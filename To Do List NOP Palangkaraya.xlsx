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excel.slicerCache+xml" PartName="/xl/slicerCaches/slicerCache1.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ummary" sheetId="2" r:id="rId6"/>
    <sheet state="visible" name="to do list" sheetId="3" r:id="rId7"/>
    <sheet state="visible" name="Datastudio" sheetId="4" r:id="rId8"/>
    <sheet state="hidden" name="Sheet4" sheetId="5" r:id="rId9"/>
    <sheet state="hidden" name="Pivot Table 2" sheetId="6" r:id="rId10"/>
    <sheet state="hidden" name="Pivot Table 1" sheetId="7" r:id="rId11"/>
  </sheets>
  <definedNames>
    <definedName hidden="1" localSheetId="2" name="_xlnm._FilterDatabase">'to do list'!$A$3:$P$3006</definedName>
    <definedName hidden="1" localSheetId="2" name="Z_849228C0_4E7B_448E_9BCB_15156E34AFA8_.wvu.FilterData">'to do list'!$A$3:$P$3006</definedName>
    <definedName hidden="1" localSheetId="2" name="Z_88A91579_1256_4D1B_B698_3B2C7BE0BC38_.wvu.FilterData">'to do list'!$A$3:$P$3006</definedName>
    <definedName hidden="1" localSheetId="3" name="Z_88A91579_1256_4D1B_B698_3B2C7BE0BC38_.wvu.FilterData">Datastudio!$A$1:$P$40</definedName>
    <definedName name="SlicerCache_Table_2_Col_1">#N/A</definedName>
  </definedNames>
  <calcPr/>
  <customWorkbookViews>
    <customWorkbookView activeSheetId="0" maximized="1" windowHeight="0" windowWidth="0" guid="{849228C0-4E7B-448E-9BCB-15156E34AFA8}" name="Winds"/>
    <customWorkbookView activeSheetId="0" maximized="1" windowHeight="0" windowWidth="0" guid="{88A91579-1256-4D1B-B698-3B2C7BE0BC38}" name="Filter 1"/>
  </customWorkbookViews>
  <pivotCaches>
    <pivotCache cacheId="0" r:id="rId12"/>
    <pivotCache cacheId="1" r:id="rId13"/>
  </pivotCaches>
  <extLst>
    <ext uri="{46BE6895-7355-4a93-B00E-2C351335B9C9}">
      <x15:slicerCaches>
        <x14:slicerCache r:id="rId14"/>
      </x15:slicerCaches>
    </ext>
  </extLst>
</workbook>
</file>

<file path=xl/sharedStrings.xml><?xml version="1.0" encoding="utf-8"?>
<sst xmlns="http://schemas.openxmlformats.org/spreadsheetml/2006/main" count="16024" uniqueCount="1983">
  <si>
    <t>Pujianto</t>
  </si>
  <si>
    <t>MBP</t>
  </si>
  <si>
    <t>Alfi Syahri</t>
  </si>
  <si>
    <t>CME</t>
  </si>
  <si>
    <t>Harun Nurasyid</t>
  </si>
  <si>
    <t>Cell down</t>
  </si>
  <si>
    <t>Corrective</t>
  </si>
  <si>
    <t>Replace Optik,RRU/Soket Power/Replace GPS</t>
  </si>
  <si>
    <t>P1</t>
  </si>
  <si>
    <t>Nurhayat</t>
  </si>
  <si>
    <t>Vswr</t>
  </si>
  <si>
    <t>Replace Jumper,antena/RRU</t>
  </si>
  <si>
    <t>Putra wardana</t>
  </si>
  <si>
    <t>TE</t>
  </si>
  <si>
    <t>Site Down</t>
  </si>
  <si>
    <t>Pemadaman,MCB Trip,Transmisi problem</t>
  </si>
  <si>
    <t>Sailillah</t>
  </si>
  <si>
    <t>Eas Validation</t>
  </si>
  <si>
    <t>Preventive</t>
  </si>
  <si>
    <t>integrasi LAN dan validasi alarm</t>
  </si>
  <si>
    <t>P2</t>
  </si>
  <si>
    <t>Tiviansyah</t>
  </si>
  <si>
    <t>PM</t>
  </si>
  <si>
    <t>Preventive Maintenance</t>
  </si>
  <si>
    <t>Rio ardinata</t>
  </si>
  <si>
    <t>Support Event</t>
  </si>
  <si>
    <t>munawir akhmad</t>
  </si>
  <si>
    <t>Pengawalan Team telkom</t>
  </si>
  <si>
    <t>Akses/Hub Site problem metro</t>
  </si>
  <si>
    <t>Ahmad Muzakir</t>
  </si>
  <si>
    <t>Pengawalan akses Vendor</t>
  </si>
  <si>
    <t>P3</t>
  </si>
  <si>
    <t>Murjani</t>
  </si>
  <si>
    <t>Pengecekan battrey</t>
  </si>
  <si>
    <t>Pengukuran dan pengambilan data log serta input Gdoc BBT</t>
  </si>
  <si>
    <t>Purwanto</t>
  </si>
  <si>
    <t>Pengecekan Suhu Shelter</t>
  </si>
  <si>
    <t>Adi Bowo Santoso</t>
  </si>
  <si>
    <t>Replace FAN Rectifier</t>
  </si>
  <si>
    <t>Ahmad Setiawan</t>
  </si>
  <si>
    <t>Add Sector RRU</t>
  </si>
  <si>
    <t>Add New Sector antena/rru</t>
  </si>
  <si>
    <t>Fahmi</t>
  </si>
  <si>
    <t>Repointing MW</t>
  </si>
  <si>
    <t>Impact BTS down / RX Level &gt;70 / PL</t>
  </si>
  <si>
    <t>Agus muliana pamungkas</t>
  </si>
  <si>
    <t>Pemasangan battrey</t>
  </si>
  <si>
    <t>Instalasi Battery</t>
  </si>
  <si>
    <t>Sairaji</t>
  </si>
  <si>
    <t>Pengecekan/Pergantian BFAN BTS</t>
  </si>
  <si>
    <t>Bts High temp impact fliker</t>
  </si>
  <si>
    <t>Yahya Muhamad</t>
  </si>
  <si>
    <t>Pengecekan Power</t>
  </si>
  <si>
    <t>MCB trip/Power upnormal</t>
  </si>
  <si>
    <t>hory yusmanto</t>
  </si>
  <si>
    <t>Penambahan Modul Recti</t>
  </si>
  <si>
    <t>melky.O.Tulangow</t>
  </si>
  <si>
    <t>Deinstal Repeater</t>
  </si>
  <si>
    <t>Muhammad Mukti</t>
  </si>
  <si>
    <t>Instalasi Smallcell</t>
  </si>
  <si>
    <t>Reynaldy Ricardo Putra</t>
  </si>
  <si>
    <t>Perbaikan Exhaust fan</t>
  </si>
  <si>
    <t>Sahrul Saputra</t>
  </si>
  <si>
    <t>Pengecekan BSC</t>
  </si>
  <si>
    <t>Fajrianur wahid</t>
  </si>
  <si>
    <t>Standby On Call</t>
  </si>
  <si>
    <t>Standby</t>
  </si>
  <si>
    <t>Elia Ronaldo</t>
  </si>
  <si>
    <t>On Leave</t>
  </si>
  <si>
    <t>Aulia Rahman</t>
  </si>
  <si>
    <t>Sick</t>
  </si>
  <si>
    <t>Leonard</t>
  </si>
  <si>
    <t>Tshoot Genset</t>
  </si>
  <si>
    <t>Perbaikan Auto,pergantian relay,timer, yang berhubungan genset</t>
  </si>
  <si>
    <t>Armadi</t>
  </si>
  <si>
    <t>Sarwono</t>
  </si>
  <si>
    <t>Ahmad</t>
  </si>
  <si>
    <t>james jimbris</t>
  </si>
  <si>
    <t>Jumadi</t>
  </si>
  <si>
    <t>Muhamad Rayhan</t>
  </si>
  <si>
    <t>Oky Bangkit Pamungkas</t>
  </si>
  <si>
    <t>AHMAD ARDIANTO FIRMANSYAH</t>
  </si>
  <si>
    <t>Darli</t>
  </si>
  <si>
    <t>Indra</t>
  </si>
  <si>
    <t>Khilal dawai katiri</t>
  </si>
  <si>
    <t>Trisno Susanto</t>
  </si>
  <si>
    <t>Riko setiadi</t>
  </si>
  <si>
    <t>Taklim</t>
  </si>
  <si>
    <t>Riki Hidayat</t>
  </si>
  <si>
    <t>M. Rifani</t>
  </si>
  <si>
    <t>Dayatullah</t>
  </si>
  <si>
    <t>Muhammad Mukhlis</t>
  </si>
  <si>
    <t>Category Task</t>
  </si>
  <si>
    <t>Prioritas</t>
  </si>
  <si>
    <t>Site ID</t>
  </si>
  <si>
    <t>FME Name</t>
  </si>
  <si>
    <t>Role</t>
  </si>
  <si>
    <t>RTS Name</t>
  </si>
  <si>
    <t>Cluster</t>
  </si>
  <si>
    <t>Category Activity</t>
  </si>
  <si>
    <t>Detail Activity</t>
  </si>
  <si>
    <t>Activity</t>
  </si>
  <si>
    <t>Start Date</t>
  </si>
  <si>
    <t>End Date</t>
  </si>
  <si>
    <t>Status Task</t>
  </si>
  <si>
    <t>Remark</t>
  </si>
  <si>
    <t>Column 15</t>
  </si>
  <si>
    <t>Column 16</t>
  </si>
  <si>
    <t>Winda Sokenda</t>
  </si>
  <si>
    <t>Done</t>
  </si>
  <si>
    <t>Stanby</t>
  </si>
  <si>
    <t>NTH149</t>
  </si>
  <si>
    <t>On Progress</t>
  </si>
  <si>
    <t>Isi token &amp; PMS done</t>
  </si>
  <si>
    <t>Izin sakit</t>
  </si>
  <si>
    <t>COH937</t>
  </si>
  <si>
    <t>PLN off, kawal team telkom MTW248</t>
  </si>
  <si>
    <t>PRC038</t>
  </si>
  <si>
    <t>Replace RRU</t>
  </si>
  <si>
    <t>KKP305</t>
  </si>
  <si>
    <t>geser KKP124 ts cell down</t>
  </si>
  <si>
    <t>KKP117</t>
  </si>
  <si>
    <t>Pending</t>
  </si>
  <si>
    <t>Lanjut Besok, kondisi hujan d jalan</t>
  </si>
  <si>
    <t>PRC225 (backup)</t>
  </si>
  <si>
    <t>Backup PRC225</t>
  </si>
  <si>
    <t>TML005 (Backup)</t>
  </si>
  <si>
    <t>Standbay Pemadaman</t>
  </si>
  <si>
    <t>KKP072 (backup)</t>
  </si>
  <si>
    <t>Backup KKP093</t>
  </si>
  <si>
    <t>KKP065 (Backup)</t>
  </si>
  <si>
    <t>MTW004 (Backup)</t>
  </si>
  <si>
    <t>Backup MTW004</t>
  </si>
  <si>
    <t xml:space="preserve">Kawal pengisian BBM &amp; cek genset </t>
  </si>
  <si>
    <t>KKP007</t>
  </si>
  <si>
    <t>PMS</t>
  </si>
  <si>
    <t>PRC008</t>
  </si>
  <si>
    <t>Waiting Update</t>
  </si>
  <si>
    <t>PMG</t>
  </si>
  <si>
    <t>BNT006</t>
  </si>
  <si>
    <t>Replace RRU monitoring asap</t>
  </si>
  <si>
    <t>AMT003</t>
  </si>
  <si>
    <t>PMG, waiting ops akses susur sungai</t>
  </si>
  <si>
    <t>Plan CO MTW180</t>
  </si>
  <si>
    <t>PRC189</t>
  </si>
  <si>
    <t>Pembersihan VP</t>
  </si>
  <si>
    <t>KKP159</t>
  </si>
  <si>
    <t>Cek power</t>
  </si>
  <si>
    <t>KKP113</t>
  </si>
  <si>
    <t>BBT 0</t>
  </si>
  <si>
    <t>PRC200 (backup)</t>
  </si>
  <si>
    <t>KKP005 (backup)</t>
  </si>
  <si>
    <t xml:space="preserve">KKP065 </t>
  </si>
  <si>
    <t>Replace APR</t>
  </si>
  <si>
    <t>KKP146</t>
  </si>
  <si>
    <t>Barito Raya</t>
  </si>
  <si>
    <t>Cell Flicker</t>
  </si>
  <si>
    <t>TML026</t>
  </si>
  <si>
    <t>PRC051</t>
  </si>
  <si>
    <t xml:space="preserve">BNT006 </t>
  </si>
  <si>
    <t>Koordinasi to pjs</t>
  </si>
  <si>
    <t>MTW062</t>
  </si>
  <si>
    <t>MTW088</t>
  </si>
  <si>
    <t>PRC005</t>
  </si>
  <si>
    <t>KKP093</t>
  </si>
  <si>
    <t xml:space="preserve">KKP036 </t>
  </si>
  <si>
    <t>Backup PRC043</t>
  </si>
  <si>
    <t>Backup KKP008</t>
  </si>
  <si>
    <t>Backup KKP004</t>
  </si>
  <si>
    <t>Backup KKP065</t>
  </si>
  <si>
    <t>BNT044</t>
  </si>
  <si>
    <t>MTW017 (PMG)</t>
  </si>
  <si>
    <t>Waiting Material</t>
  </si>
  <si>
    <t>Waiting RRU</t>
  </si>
  <si>
    <t>COH953</t>
  </si>
  <si>
    <t>TML</t>
  </si>
  <si>
    <t>NTH079</t>
  </si>
  <si>
    <t>KKP038</t>
  </si>
  <si>
    <t>KSN002</t>
  </si>
  <si>
    <t>Doni Damara</t>
  </si>
  <si>
    <t>PLK012</t>
  </si>
  <si>
    <t>PLK093</t>
  </si>
  <si>
    <t>PPS007</t>
  </si>
  <si>
    <t>BNT008</t>
  </si>
  <si>
    <t>TML113</t>
  </si>
  <si>
    <t>KKP008</t>
  </si>
  <si>
    <t>Lanjut 16/12/2025, kemarin mobil amblas</t>
  </si>
  <si>
    <t>MTW071</t>
  </si>
  <si>
    <t>KKP225</t>
  </si>
  <si>
    <t>KKP067</t>
  </si>
  <si>
    <t xml:space="preserve">Lanjut 16/12/2025 </t>
  </si>
  <si>
    <t>TML082</t>
  </si>
  <si>
    <t>KKP087</t>
  </si>
  <si>
    <t>Team relokasi battery 2P dari KKP019 ke KKP034</t>
  </si>
  <si>
    <t>Team ts celldown di KKP011</t>
  </si>
  <si>
    <t>KKP218</t>
  </si>
  <si>
    <t>MTW067</t>
  </si>
  <si>
    <t>KKP217</t>
  </si>
  <si>
    <t>PLK046</t>
  </si>
  <si>
    <t>PLK247</t>
  </si>
  <si>
    <t>PPS054</t>
  </si>
  <si>
    <t>KKN006</t>
  </si>
  <si>
    <t>KSN765</t>
  </si>
  <si>
    <t>KSN713</t>
  </si>
  <si>
    <t>PLK018</t>
  </si>
  <si>
    <t>PLK835</t>
  </si>
  <si>
    <t>KKP005</t>
  </si>
  <si>
    <t>KKP025</t>
  </si>
  <si>
    <t>KKP046</t>
  </si>
  <si>
    <t>MTW</t>
  </si>
  <si>
    <t>LEAVE</t>
  </si>
  <si>
    <t>TML112</t>
  </si>
  <si>
    <t>COH670</t>
  </si>
  <si>
    <t>KKP066</t>
  </si>
  <si>
    <t>KSN015</t>
  </si>
  <si>
    <t>KSN028</t>
  </si>
  <si>
    <t>PLK260</t>
  </si>
  <si>
    <t>KSN150</t>
  </si>
  <si>
    <t>KSN023</t>
  </si>
  <si>
    <t>PLK081</t>
  </si>
  <si>
    <t>cell down imacro PLK247 penarikan &amp; penyambungan optic</t>
  </si>
  <si>
    <t>Pengawalan Team balmon</t>
  </si>
  <si>
    <t>PLK002</t>
  </si>
  <si>
    <t xml:space="preserve">VSWR </t>
  </si>
  <si>
    <t>PLK274</t>
  </si>
  <si>
    <t>Dismentle RRU</t>
  </si>
  <si>
    <t>PLK239</t>
  </si>
  <si>
    <t xml:space="preserve">Mengubah arah imacro </t>
  </si>
  <si>
    <t>PLK240</t>
  </si>
  <si>
    <t>cek Cell Down</t>
  </si>
  <si>
    <t>Cek battrey</t>
  </si>
  <si>
    <t>PPS026</t>
  </si>
  <si>
    <t>Pengecekan di sisi rru dan optic</t>
  </si>
  <si>
    <t>KSN005</t>
  </si>
  <si>
    <t>PLK261</t>
  </si>
  <si>
    <t>KKN074</t>
  </si>
  <si>
    <t>Cek cell down</t>
  </si>
  <si>
    <t>BNT001</t>
  </si>
  <si>
    <t>TML003</t>
  </si>
  <si>
    <t>team kendala kurang sehat</t>
  </si>
  <si>
    <t>MTW082</t>
  </si>
  <si>
    <t>Kunci belting missing</t>
  </si>
  <si>
    <t>MTW249</t>
  </si>
  <si>
    <t>PRC187</t>
  </si>
  <si>
    <t>MCB Multiguna hancur imbas petir</t>
  </si>
  <si>
    <t>KKP003</t>
  </si>
  <si>
    <t>KKP156</t>
  </si>
  <si>
    <t>KKP220</t>
  </si>
  <si>
    <t>Add B2B nms</t>
  </si>
  <si>
    <t>NTH070</t>
  </si>
  <si>
    <t>NTH065</t>
  </si>
  <si>
    <t>Slot dcpdb longgar</t>
  </si>
  <si>
    <t>Genset masuk angin</t>
  </si>
  <si>
    <t>BNT045</t>
  </si>
  <si>
    <t>NTH115</t>
  </si>
  <si>
    <t>TML005</t>
  </si>
  <si>
    <t>CO  RIP TO METRO</t>
  </si>
  <si>
    <t>MTW172</t>
  </si>
  <si>
    <t>cell down</t>
  </si>
  <si>
    <t>PRC024</t>
  </si>
  <si>
    <t>Team ts site down PRC200</t>
  </si>
  <si>
    <t>pm</t>
  </si>
  <si>
    <t>KKP034</t>
  </si>
  <si>
    <t>KKP072</t>
  </si>
  <si>
    <t>Backup Pemadaman</t>
  </si>
  <si>
    <t>PRC225</t>
  </si>
  <si>
    <t>COH959</t>
  </si>
  <si>
    <t>KKN011</t>
  </si>
  <si>
    <t>KSN021</t>
  </si>
  <si>
    <t>KSN153</t>
  </si>
  <si>
    <t>PLK819</t>
  </si>
  <si>
    <t>PLK269</t>
  </si>
  <si>
    <t>PLK202</t>
  </si>
  <si>
    <t>BNT015</t>
  </si>
  <si>
    <t>MTW009</t>
  </si>
  <si>
    <t>TML055</t>
  </si>
  <si>
    <t>TML035</t>
  </si>
  <si>
    <t>MTW085</t>
  </si>
  <si>
    <t>PRC025</t>
  </si>
  <si>
    <t>KKP310</t>
  </si>
  <si>
    <t>KKP023</t>
  </si>
  <si>
    <t>KKP022</t>
  </si>
  <si>
    <t>BNT017</t>
  </si>
  <si>
    <t>BNT523</t>
  </si>
  <si>
    <t>PRC</t>
  </si>
  <si>
    <t>BNT027</t>
  </si>
  <si>
    <t>TML030</t>
  </si>
  <si>
    <t>NTH123</t>
  </si>
  <si>
    <t>MTW002</t>
  </si>
  <si>
    <t>PRC009</t>
  </si>
  <si>
    <t>kkp023</t>
  </si>
  <si>
    <t>KKP157</t>
  </si>
  <si>
    <t>Site down, PLN Problem</t>
  </si>
  <si>
    <t>BNT023</t>
  </si>
  <si>
    <t>PRC012 &amp; PRC009</t>
  </si>
  <si>
    <t>PLK102</t>
  </si>
  <si>
    <t>PLK255</t>
  </si>
  <si>
    <t>PLK111</t>
  </si>
  <si>
    <t>KKP044</t>
  </si>
  <si>
    <t>COH979</t>
  </si>
  <si>
    <t>PPS084</t>
  </si>
  <si>
    <t>PPS109</t>
  </si>
  <si>
    <t>KKN151</t>
  </si>
  <si>
    <t>KSN006</t>
  </si>
  <si>
    <t>KSN036</t>
  </si>
  <si>
    <t>KKN054</t>
  </si>
  <si>
    <t>PLK098</t>
  </si>
  <si>
    <t>PLK278</t>
  </si>
  <si>
    <t>NTH148</t>
  </si>
  <si>
    <t>PRC166</t>
  </si>
  <si>
    <t>KKP036</t>
  </si>
  <si>
    <t>KKP002</t>
  </si>
  <si>
    <t>KKP055</t>
  </si>
  <si>
    <t>MTW005</t>
  </si>
  <si>
    <t>PPS061</t>
  </si>
  <si>
    <t>PPS139</t>
  </si>
  <si>
    <t>PLK734</t>
  </si>
  <si>
    <t>COH980</t>
  </si>
  <si>
    <t>PLK024</t>
  </si>
  <si>
    <t>PPS008</t>
  </si>
  <si>
    <t>KSN024</t>
  </si>
  <si>
    <t>BNT007</t>
  </si>
  <si>
    <t>SWACAM KWH PLN</t>
  </si>
  <si>
    <t>TML029</t>
  </si>
  <si>
    <t>TML026, BNT160</t>
  </si>
  <si>
    <t>MTW248, MTW067</t>
  </si>
  <si>
    <t>MTW059</t>
  </si>
  <si>
    <t>POWER PLN TIDAK STABIL, ATS NYANGKUT</t>
  </si>
  <si>
    <t>PRC002</t>
  </si>
  <si>
    <t>KKP045</t>
  </si>
  <si>
    <t>KKP064, KKP125</t>
  </si>
  <si>
    <t>TML038, TML035</t>
  </si>
  <si>
    <t>KKP312</t>
  </si>
  <si>
    <t>BNT002</t>
  </si>
  <si>
    <t>BNT025</t>
  </si>
  <si>
    <t>cuaca hujan</t>
  </si>
  <si>
    <t>BNT004</t>
  </si>
  <si>
    <t>PRC030</t>
  </si>
  <si>
    <t>KKP065</t>
  </si>
  <si>
    <t>waiting cable jumper</t>
  </si>
  <si>
    <t>KKP293</t>
  </si>
  <si>
    <t>KKP344</t>
  </si>
  <si>
    <t>Cuaca hujan</t>
  </si>
  <si>
    <t>PLK237</t>
  </si>
  <si>
    <t>PPS264</t>
  </si>
  <si>
    <t>Terkendala Cuaca hujan</t>
  </si>
  <si>
    <t>NTH044</t>
  </si>
  <si>
    <t>KKN029</t>
  </si>
  <si>
    <t>KKN012</t>
  </si>
  <si>
    <t>KKN004</t>
  </si>
  <si>
    <t>PLK011</t>
  </si>
  <si>
    <t>NTH245</t>
  </si>
  <si>
    <t>AKSES BANJIR</t>
  </si>
  <si>
    <t>NTH119</t>
  </si>
  <si>
    <t>ISI TOKEN</t>
  </si>
  <si>
    <t>PRC200</t>
  </si>
  <si>
    <t>LANJUT BESOK, CUACA HUJAN</t>
  </si>
  <si>
    <t>KKP033</t>
  </si>
  <si>
    <t xml:space="preserve">Backup </t>
  </si>
  <si>
    <t>NTH082</t>
  </si>
  <si>
    <t>NTH250</t>
  </si>
  <si>
    <t>KSN722</t>
  </si>
  <si>
    <t>KSN188</t>
  </si>
  <si>
    <t>KSN721</t>
  </si>
  <si>
    <t>KSN048</t>
  </si>
  <si>
    <t>PPS101</t>
  </si>
  <si>
    <t>NTH147</t>
  </si>
  <si>
    <t>KKP023, KKP321, PLK814</t>
  </si>
  <si>
    <t>LANJUT REPLACE ODU</t>
  </si>
  <si>
    <t>PATROLI</t>
  </si>
  <si>
    <t>TML237</t>
  </si>
  <si>
    <t>PPS065</t>
  </si>
  <si>
    <t>KKN025</t>
  </si>
  <si>
    <t>KKN034</t>
  </si>
  <si>
    <t>PPS020</t>
  </si>
  <si>
    <t>PLK272</t>
  </si>
  <si>
    <t>PPS250</t>
  </si>
  <si>
    <t>NTH076</t>
  </si>
  <si>
    <t>Site UP</t>
  </si>
  <si>
    <t>PPS013</t>
  </si>
  <si>
    <t>Part di tempat TE yg lg sakit, team TE loss kontak</t>
  </si>
  <si>
    <t>COH049</t>
  </si>
  <si>
    <t>KKP054</t>
  </si>
  <si>
    <t>KKP074</t>
  </si>
  <si>
    <t>Replace Optik</t>
  </si>
  <si>
    <t>LVD hang</t>
  </si>
  <si>
    <t>MTW047</t>
  </si>
  <si>
    <t>PLN tidak stabil, 2 phasa cut</t>
  </si>
  <si>
    <t>MCB trip</t>
  </si>
  <si>
    <t>Part d kirim tgl 6/1/2026 siang</t>
  </si>
  <si>
    <t>Backup, pln power ubnormal</t>
  </si>
  <si>
    <t>Site Commcase</t>
  </si>
  <si>
    <t xml:space="preserve">Replacce Jumper </t>
  </si>
  <si>
    <t>PLK245</t>
  </si>
  <si>
    <t>KSN003</t>
  </si>
  <si>
    <t>Manual hybrid</t>
  </si>
  <si>
    <t>MTW063</t>
  </si>
  <si>
    <t>Waiting part APR</t>
  </si>
  <si>
    <t>KKP018</t>
  </si>
  <si>
    <t>TML001</t>
  </si>
  <si>
    <t>PPS019</t>
  </si>
  <si>
    <t>PLK242</t>
  </si>
  <si>
    <t>SPT147</t>
  </si>
  <si>
    <t>BNT070</t>
  </si>
  <si>
    <t xml:space="preserve">BNT004 </t>
  </si>
  <si>
    <t>KKP001</t>
  </si>
  <si>
    <t>KKP128</t>
  </si>
  <si>
    <t>BNT160</t>
  </si>
  <si>
    <t>TML002</t>
  </si>
  <si>
    <t>PLK171</t>
  </si>
  <si>
    <t>BNT042</t>
  </si>
  <si>
    <t>TML007</t>
  </si>
  <si>
    <t>KKP133</t>
  </si>
  <si>
    <t>KKP060</t>
  </si>
  <si>
    <t>KKN018</t>
  </si>
  <si>
    <t>KSN037</t>
  </si>
  <si>
    <t>PLK022</t>
  </si>
  <si>
    <t>Waiting part RRU &amp; Antena GPS</t>
  </si>
  <si>
    <t>MTW056</t>
  </si>
  <si>
    <t>PLK029</t>
  </si>
  <si>
    <t>BNT013</t>
  </si>
  <si>
    <t>PRC023</t>
  </si>
  <si>
    <t>COH957</t>
  </si>
  <si>
    <t>KKP016</t>
  </si>
  <si>
    <t>KKP095</t>
  </si>
  <si>
    <t>MTW176</t>
  </si>
  <si>
    <t>KSN710</t>
  </si>
  <si>
    <t>KSN763</t>
  </si>
  <si>
    <t>KSN022</t>
  </si>
  <si>
    <t>KSN008</t>
  </si>
  <si>
    <t>PLK020</t>
  </si>
  <si>
    <t>PLK172</t>
  </si>
  <si>
    <t>Waiting LVD &amp; Ioboard</t>
  </si>
  <si>
    <t>Pending RRU</t>
  </si>
  <si>
    <t>PRC190</t>
  </si>
  <si>
    <t>KKP068</t>
  </si>
  <si>
    <t>KKP208</t>
  </si>
  <si>
    <t>Waiting MCB 125A</t>
  </si>
  <si>
    <t>KKP050</t>
  </si>
  <si>
    <t>KKP031</t>
  </si>
  <si>
    <t>MTW181</t>
  </si>
  <si>
    <t xml:space="preserve">CR </t>
  </si>
  <si>
    <t>KSN007</t>
  </si>
  <si>
    <t>PPS057</t>
  </si>
  <si>
    <t>PPS224</t>
  </si>
  <si>
    <t>KSN714</t>
  </si>
  <si>
    <t>BNT525</t>
  </si>
  <si>
    <t>MTW001</t>
  </si>
  <si>
    <t>COH943</t>
  </si>
  <si>
    <t>TML009</t>
  </si>
  <si>
    <t>PRC018</t>
  </si>
  <si>
    <t>NTH248</t>
  </si>
  <si>
    <t>PLK055</t>
  </si>
  <si>
    <t>PPS108</t>
  </si>
  <si>
    <t>KSN009</t>
  </si>
  <si>
    <t>KKN062</t>
  </si>
  <si>
    <t>NTH117</t>
  </si>
  <si>
    <t>MTW010</t>
  </si>
  <si>
    <t>PRC042</t>
  </si>
  <si>
    <t>KKP081</t>
  </si>
  <si>
    <t>KKP053</t>
  </si>
  <si>
    <t>KKP226</t>
  </si>
  <si>
    <t>PLK021</t>
  </si>
  <si>
    <t>KSN019</t>
  </si>
  <si>
    <t>PPS227</t>
  </si>
  <si>
    <t>BNT047</t>
  </si>
  <si>
    <t>KKP136</t>
  </si>
  <si>
    <t>MTW060</t>
  </si>
  <si>
    <t>PLK256</t>
  </si>
  <si>
    <t>PPS032</t>
  </si>
  <si>
    <t>BNT085</t>
  </si>
  <si>
    <t>masih ada 2 cell down, lanjut besok</t>
  </si>
  <si>
    <t>NTH081</t>
  </si>
  <si>
    <t>KKP</t>
  </si>
  <si>
    <t>KKP047</t>
  </si>
  <si>
    <t>TML236</t>
  </si>
  <si>
    <t>COH944</t>
  </si>
  <si>
    <t>PPS277</t>
  </si>
  <si>
    <t>KSN356</t>
  </si>
  <si>
    <t>PPS009</t>
  </si>
  <si>
    <t>BNT086</t>
  </si>
  <si>
    <t>MTW179</t>
  </si>
  <si>
    <t>EPQ044</t>
  </si>
  <si>
    <t>KKP017</t>
  </si>
  <si>
    <t>PRC001</t>
  </si>
  <si>
    <t>PRC007</t>
  </si>
  <si>
    <t>KKP026</t>
  </si>
  <si>
    <t>KKP326</t>
  </si>
  <si>
    <t>KKP021</t>
  </si>
  <si>
    <t>MTW017</t>
  </si>
  <si>
    <t>MTW090</t>
  </si>
  <si>
    <t>TRAINING WAH</t>
  </si>
  <si>
    <t>KKP048</t>
  </si>
  <si>
    <t>BNT005</t>
  </si>
  <si>
    <t>PLK103</t>
  </si>
  <si>
    <t>PLK053</t>
  </si>
  <si>
    <t>PLK176</t>
  </si>
  <si>
    <t>PLK722</t>
  </si>
  <si>
    <t>PLK015</t>
  </si>
  <si>
    <t>PLK070</t>
  </si>
  <si>
    <t>BNT041</t>
  </si>
  <si>
    <t>MTW023</t>
  </si>
  <si>
    <t>lanjut besok</t>
  </si>
  <si>
    <t>KKP340</t>
  </si>
  <si>
    <t>MTW015</t>
  </si>
  <si>
    <t>PPS045</t>
  </si>
  <si>
    <t>PLK273</t>
  </si>
  <si>
    <t>PPS001</t>
  </si>
  <si>
    <t>Replace LVD &amp; Ioboard</t>
  </si>
  <si>
    <t>TML011</t>
  </si>
  <si>
    <t>TRAINING</t>
  </si>
  <si>
    <t>TML037</t>
  </si>
  <si>
    <t>BNT195</t>
  </si>
  <si>
    <t>KKP058</t>
  </si>
  <si>
    <t>MTW035</t>
  </si>
  <si>
    <t>Backup pemadaman</t>
  </si>
  <si>
    <t>KKP119</t>
  </si>
  <si>
    <t>BNT088</t>
  </si>
  <si>
    <t>TML078</t>
  </si>
  <si>
    <t>Tagging vlan cluster</t>
  </si>
  <si>
    <t>Lanjut besok</t>
  </si>
  <si>
    <t>KKP089</t>
  </si>
  <si>
    <t>Team Ke COH070 dahulu</t>
  </si>
  <si>
    <t>KKP090</t>
  </si>
  <si>
    <t>Replace MCB ACPDB</t>
  </si>
  <si>
    <t>PLK141</t>
  </si>
  <si>
    <t>PPS011</t>
  </si>
  <si>
    <t>KSN011</t>
  </si>
  <si>
    <t>PLK010</t>
  </si>
  <si>
    <t>BNT026</t>
  </si>
  <si>
    <t>TML025</t>
  </si>
  <si>
    <t>MTW039</t>
  </si>
  <si>
    <t>PRC191</t>
  </si>
  <si>
    <t>Team induksi di Pama</t>
  </si>
  <si>
    <t>MTW052</t>
  </si>
  <si>
    <t>PLK077</t>
  </si>
  <si>
    <t>NTH088</t>
  </si>
  <si>
    <t>BNT010</t>
  </si>
  <si>
    <t>TML013</t>
  </si>
  <si>
    <t>Fan Normal</t>
  </si>
  <si>
    <t>antar material idu VR4</t>
  </si>
  <si>
    <t>KKP300</t>
  </si>
  <si>
    <t>Reject PM, lanjut besok</t>
  </si>
  <si>
    <t>KKP014</t>
  </si>
  <si>
    <t>VSWD, VBP faulty, lanjut besok</t>
  </si>
  <si>
    <t>TML040</t>
  </si>
  <si>
    <t>MCB KWH faulty, done replace PLN</t>
  </si>
  <si>
    <t>TML038</t>
  </si>
  <si>
    <t>MTW079</t>
  </si>
  <si>
    <t>Survey penempatan pole</t>
  </si>
  <si>
    <t>Backup mobile</t>
  </si>
  <si>
    <t>MTW013</t>
  </si>
  <si>
    <t>NTH129</t>
  </si>
  <si>
    <t>TRAINING EXAM</t>
  </si>
  <si>
    <t>KKP030</t>
  </si>
  <si>
    <t>PRC041</t>
  </si>
  <si>
    <t>COH070</t>
  </si>
  <si>
    <t>MCU</t>
  </si>
  <si>
    <t>Hujan seharian</t>
  </si>
  <si>
    <t>TRAINING BATCH 2</t>
  </si>
  <si>
    <t>KKP040</t>
  </si>
  <si>
    <t>TML012</t>
  </si>
  <si>
    <t>KKP027</t>
  </si>
  <si>
    <t>MTW004</t>
  </si>
  <si>
    <t>PLK730</t>
  </si>
  <si>
    <t>NTH112</t>
  </si>
  <si>
    <t>NTH144</t>
  </si>
  <si>
    <t>KKN064</t>
  </si>
  <si>
    <t>BNT048</t>
  </si>
  <si>
    <t>MTW011</t>
  </si>
  <si>
    <t>NTH058</t>
  </si>
  <si>
    <t>BNT031</t>
  </si>
  <si>
    <t>KKP062</t>
  </si>
  <si>
    <t>TML028</t>
  </si>
  <si>
    <t>PRC014</t>
  </si>
  <si>
    <t>KKP019</t>
  </si>
  <si>
    <t>PRC058</t>
  </si>
  <si>
    <t>PLK145</t>
  </si>
  <si>
    <t>KSN055</t>
  </si>
  <si>
    <t>KSN032</t>
  </si>
  <si>
    <t>Multiguna masih belum bisa di sambung PLN</t>
  </si>
  <si>
    <t>Material baru di kirim 19/02/2026</t>
  </si>
  <si>
    <t>MTW0059</t>
  </si>
  <si>
    <t>PLK105</t>
  </si>
  <si>
    <t>KKP078</t>
  </si>
  <si>
    <t>Part blm sampai</t>
  </si>
  <si>
    <t>MTW043</t>
  </si>
  <si>
    <t>PRC017</t>
  </si>
  <si>
    <t>KKP339</t>
  </si>
  <si>
    <t>KKP041</t>
  </si>
  <si>
    <t>KKP013</t>
  </si>
  <si>
    <t>PLK146</t>
  </si>
  <si>
    <t>PLK080</t>
  </si>
  <si>
    <t>KKN055</t>
  </si>
  <si>
    <t>KSN001</t>
  </si>
  <si>
    <t>TML2338</t>
  </si>
  <si>
    <t>MTW073</t>
  </si>
  <si>
    <t>KKP124</t>
  </si>
  <si>
    <t>TML238</t>
  </si>
  <si>
    <t>PRC004</t>
  </si>
  <si>
    <t>PLK003</t>
  </si>
  <si>
    <t>PPS002</t>
  </si>
  <si>
    <t>KKN005</t>
  </si>
  <si>
    <t>CO Metro TML004</t>
  </si>
  <si>
    <t>KKP064</t>
  </si>
  <si>
    <t>PLK005</t>
  </si>
  <si>
    <t>PPS285</t>
  </si>
  <si>
    <t>COH082</t>
  </si>
  <si>
    <t>KSN027</t>
  </si>
  <si>
    <t>BNT019</t>
  </si>
  <si>
    <t>add B2B PRC200</t>
  </si>
  <si>
    <t>KKP082</t>
  </si>
  <si>
    <t>TML019</t>
  </si>
  <si>
    <t>MTW066</t>
  </si>
  <si>
    <t>Material blm sampai</t>
  </si>
  <si>
    <t>TML161</t>
  </si>
  <si>
    <t>HUJAN</t>
  </si>
  <si>
    <t>PLK254</t>
  </si>
  <si>
    <t>KSN769</t>
  </si>
  <si>
    <t>KKN027</t>
  </si>
  <si>
    <t>TML180</t>
  </si>
  <si>
    <t>MTW003</t>
  </si>
  <si>
    <t>Replace modem EA</t>
  </si>
  <si>
    <t>KKP039</t>
  </si>
  <si>
    <t>KKP035</t>
  </si>
  <si>
    <t>PLK179</t>
  </si>
  <si>
    <t>PPS094</t>
  </si>
  <si>
    <t>BNT050</t>
  </si>
  <si>
    <t>KKP077</t>
  </si>
  <si>
    <t>PLK709</t>
  </si>
  <si>
    <t>PLK094</t>
  </si>
  <si>
    <t>PLK001</t>
  </si>
  <si>
    <t>PPS132</t>
  </si>
  <si>
    <t>MTW084</t>
  </si>
  <si>
    <t>NTH012</t>
  </si>
  <si>
    <t>PLK708</t>
  </si>
  <si>
    <t>KSN014</t>
  </si>
  <si>
    <t>PLK028</t>
  </si>
  <si>
    <t>CUTI NIKAH</t>
  </si>
  <si>
    <t>TML005 / TS NMS</t>
  </si>
  <si>
    <t>KKP096</t>
  </si>
  <si>
    <t>KKP059</t>
  </si>
  <si>
    <t>Mcb trip</t>
  </si>
  <si>
    <t>TML127</t>
  </si>
  <si>
    <t>PRC029</t>
  </si>
  <si>
    <t>KKP227</t>
  </si>
  <si>
    <t>PLK019</t>
  </si>
  <si>
    <t>MTW136</t>
  </si>
  <si>
    <t>Waiting permit</t>
  </si>
  <si>
    <t>KKP104</t>
  </si>
  <si>
    <t>KSN053</t>
  </si>
  <si>
    <t>KSN039</t>
  </si>
  <si>
    <t>PLK083</t>
  </si>
  <si>
    <t>PLK156</t>
  </si>
  <si>
    <t>Antar modul apr</t>
  </si>
  <si>
    <t>PLK079</t>
  </si>
  <si>
    <t>KSN004</t>
  </si>
  <si>
    <t>Palangkaraya</t>
  </si>
  <si>
    <t>TML010</t>
  </si>
  <si>
    <t>Survey loss PT ISA</t>
  </si>
  <si>
    <t>COH069</t>
  </si>
  <si>
    <t>KKP006</t>
  </si>
  <si>
    <t>KKN073</t>
  </si>
  <si>
    <t>NTH263</t>
  </si>
  <si>
    <t>PT ISA PKS</t>
  </si>
  <si>
    <t>NTH267</t>
  </si>
  <si>
    <t>VALIDASI ASSET</t>
  </si>
  <si>
    <t>KKN049</t>
  </si>
  <si>
    <t>MTW061</t>
  </si>
  <si>
    <t>NTH253</t>
  </si>
  <si>
    <t>PRC006</t>
  </si>
  <si>
    <t>BNT</t>
  </si>
  <si>
    <t>PRC013</t>
  </si>
  <si>
    <t>MTW072</t>
  </si>
  <si>
    <t>KKP223</t>
  </si>
  <si>
    <t>PRC043</t>
  </si>
  <si>
    <t>PPS060</t>
  </si>
  <si>
    <t>PLK006</t>
  </si>
  <si>
    <t>PLK027</t>
  </si>
  <si>
    <t>PLK051</t>
  </si>
  <si>
    <t>PPS222</t>
  </si>
  <si>
    <t>PPS027</t>
  </si>
  <si>
    <t>COH068</t>
  </si>
  <si>
    <t>COH862</t>
  </si>
  <si>
    <t>PLK035</t>
  </si>
  <si>
    <t>PPS131</t>
  </si>
  <si>
    <t>KKN056</t>
  </si>
  <si>
    <t>KKN007</t>
  </si>
  <si>
    <t>TIMPAH</t>
  </si>
  <si>
    <t>battrey sps drop stanby team</t>
  </si>
  <si>
    <t>PLK842 BBT</t>
  </si>
  <si>
    <t>BBT</t>
  </si>
  <si>
    <t>KSN710 BBT</t>
  </si>
  <si>
    <t>PM dan BBT</t>
  </si>
  <si>
    <t xml:space="preserve">Site Down kemaren ruko tutup </t>
  </si>
  <si>
    <t>PLK813 -PLK730</t>
  </si>
  <si>
    <t>Cell down replace sfp dan Optic</t>
  </si>
  <si>
    <t>PPS003</t>
  </si>
  <si>
    <t>DIDI</t>
  </si>
  <si>
    <t xml:space="preserve">Pengambilan modul apr </t>
  </si>
  <si>
    <t>PPS013 BBT</t>
  </si>
  <si>
    <t>KSN720</t>
  </si>
  <si>
    <t xml:space="preserve">
</t>
  </si>
  <si>
    <t>KKN029 BBT</t>
  </si>
  <si>
    <t>Sakit</t>
  </si>
  <si>
    <t>NTH071</t>
  </si>
  <si>
    <t>Gilbert</t>
  </si>
  <si>
    <t xml:space="preserve">waiting perahu susur sungai </t>
  </si>
  <si>
    <t>PM arah kasongan</t>
  </si>
  <si>
    <t xml:space="preserve">PM arah kurun </t>
  </si>
  <si>
    <t>PRADILA</t>
  </si>
  <si>
    <t>PLK813</t>
  </si>
  <si>
    <t>RYOTA</t>
  </si>
  <si>
    <t>KKN003,KKN004</t>
  </si>
  <si>
    <t>FRANS</t>
  </si>
  <si>
    <t>PLK234</t>
  </si>
  <si>
    <t>PLK103 BBT</t>
  </si>
  <si>
    <t>Replace Optic dan SFP</t>
  </si>
  <si>
    <t>PLK259 BBT</t>
  </si>
  <si>
    <t>PLK121</t>
  </si>
  <si>
    <t xml:space="preserve">Pengecekan Power flicker </t>
  </si>
  <si>
    <t xml:space="preserve">Pengecekan jumper </t>
  </si>
  <si>
    <t>kendala penyebrangan surut team onsite memastikan</t>
  </si>
  <si>
    <t>KKN223</t>
  </si>
  <si>
    <t>BBT replace SC300</t>
  </si>
  <si>
    <t>PLK191,PLK195,PLK735</t>
  </si>
  <si>
    <t>Ts site flicker</t>
  </si>
  <si>
    <t>PLK032</t>
  </si>
  <si>
    <t>PLK261,PLK054</t>
  </si>
  <si>
    <t>PLK090,PLK121</t>
  </si>
  <si>
    <t>PLK234,PLK275</t>
  </si>
  <si>
    <t>PLK144,PLK048</t>
  </si>
  <si>
    <t>PPS095</t>
  </si>
  <si>
    <t>KSN016</t>
  </si>
  <si>
    <t>KKN001</t>
  </si>
  <si>
    <t>PRADILA KANDI</t>
  </si>
  <si>
    <t>GILBERT</t>
  </si>
  <si>
    <t>Dalam perjalanan menuju site</t>
  </si>
  <si>
    <t>PLK818,PLK177</t>
  </si>
  <si>
    <t>PLK013,PLK073</t>
  </si>
  <si>
    <t>PLK250,PLK059</t>
  </si>
  <si>
    <t>PLK275</t>
  </si>
  <si>
    <t>KSN041</t>
  </si>
  <si>
    <t>Pradila</t>
  </si>
  <si>
    <t>Frans</t>
  </si>
  <si>
    <t>OG</t>
  </si>
  <si>
    <t>PLK032,PLK098</t>
  </si>
  <si>
    <t>terkendala asap replace sfp 25G</t>
  </si>
  <si>
    <t>PLK849</t>
  </si>
  <si>
    <t>cell down clear</t>
  </si>
  <si>
    <t xml:space="preserve">handle site KSN032 </t>
  </si>
  <si>
    <t>Di lanjut team inner palangkaraya</t>
  </si>
  <si>
    <t>NTH047</t>
  </si>
  <si>
    <t>Susur sungai belum ada perahu</t>
  </si>
  <si>
    <t>KKN016</t>
  </si>
  <si>
    <t>PLK002 ,PLK071</t>
  </si>
  <si>
    <t>KSN020</t>
  </si>
  <si>
    <t>Ryota</t>
  </si>
  <si>
    <t>PLK065,PL063,PLK045</t>
  </si>
  <si>
    <t>PLK708 BBT</t>
  </si>
  <si>
    <t>KSN720,KSN012</t>
  </si>
  <si>
    <t>PLK168 BBT</t>
  </si>
  <si>
    <t>PLK200 BBT</t>
  </si>
  <si>
    <t>KSN012,KSN720</t>
  </si>
  <si>
    <t>PPS221,PPS285 BBT</t>
  </si>
  <si>
    <t>PPS011 BBT</t>
  </si>
  <si>
    <t>KKN158 BBT</t>
  </si>
  <si>
    <t>KSN129 BBT</t>
  </si>
  <si>
    <t>KSN762</t>
  </si>
  <si>
    <t>Long</t>
  </si>
  <si>
    <t>Lat</t>
  </si>
  <si>
    <t>Tanggal</t>
  </si>
  <si>
    <t>SITE ID</t>
  </si>
  <si>
    <t>SITE NAME</t>
  </si>
  <si>
    <t>SITE OWNER</t>
  </si>
  <si>
    <t>CLASS</t>
  </si>
  <si>
    <t>LAT</t>
  </si>
  <si>
    <t>LONG</t>
  </si>
  <si>
    <t>COH082MI_HPHDWIMA</t>
  </si>
  <si>
    <t>TELKOMSEL</t>
  </si>
  <si>
    <t>Silver</t>
  </si>
  <si>
    <t>KKP218N3TMASARAN</t>
  </si>
  <si>
    <t>DMT</t>
  </si>
  <si>
    <t>Platinum</t>
  </si>
  <si>
    <t>PENDA MUNTEITBG</t>
  </si>
  <si>
    <t>TBG</t>
  </si>
  <si>
    <t>Bronze</t>
  </si>
  <si>
    <t>KKP315</t>
  </si>
  <si>
    <t>KKP315SEITERAS</t>
  </si>
  <si>
    <t>Gold</t>
  </si>
  <si>
    <t>KSN147</t>
  </si>
  <si>
    <t>KSN147N3TMAKMURUTAMA</t>
  </si>
  <si>
    <t>KSN713RANTAUASEM</t>
  </si>
  <si>
    <t>NTH088N3TSUBURINDAH</t>
  </si>
  <si>
    <t>NTH142</t>
  </si>
  <si>
    <t>NTH142N3TSEBANGAUMULYA</t>
  </si>
  <si>
    <t>NTH143</t>
  </si>
  <si>
    <t>NTH143N3TTURA</t>
  </si>
  <si>
    <t>PUJONTBG</t>
  </si>
  <si>
    <t>COH915</t>
  </si>
  <si>
    <t>SMALLCELL_HARMONIPANCAUTAMA</t>
  </si>
  <si>
    <t>COMBATRAFIISLAMICCENTER</t>
  </si>
  <si>
    <t>GADABUNGTBG</t>
  </si>
  <si>
    <t>TRINSINGTBG</t>
  </si>
  <si>
    <t>KKN009</t>
  </si>
  <si>
    <t>PAMATANG LIMAUTBG</t>
  </si>
  <si>
    <t>NTH148N3TKALINAPU</t>
  </si>
  <si>
    <t>KKP029</t>
  </si>
  <si>
    <t>DMT_TAJAHAN_HANTANG_BERENG</t>
  </si>
  <si>
    <t>BNT001STOBUNTOK</t>
  </si>
  <si>
    <t>KKP346</t>
  </si>
  <si>
    <t>DMT_BASARANG</t>
  </si>
  <si>
    <t>KSN770</t>
  </si>
  <si>
    <t>TUMBANG_MARAKTBG</t>
  </si>
  <si>
    <t>DMT_GOHA</t>
  </si>
  <si>
    <t>GARANTUNGPANGKOHDMT</t>
  </si>
  <si>
    <t>KKN224</t>
  </si>
  <si>
    <t>KKN224TUMBANGHAKAU</t>
  </si>
  <si>
    <t>BNT003</t>
  </si>
  <si>
    <t>TELUKBETUNGDMT</t>
  </si>
  <si>
    <t>KKP066PETAKPTI</t>
  </si>
  <si>
    <t>KKP051</t>
  </si>
  <si>
    <t>PETAKBETUAHTBG</t>
  </si>
  <si>
    <t>KKP069</t>
  </si>
  <si>
    <t>KKP069TUMBANGTUKUN</t>
  </si>
  <si>
    <t>PPS004</t>
  </si>
  <si>
    <t>PADURANMULYADMT</t>
  </si>
  <si>
    <t>KKP067BKITBATU</t>
  </si>
  <si>
    <t>TML240</t>
  </si>
  <si>
    <t>PERUMAHAN_TAMIYANGTBG</t>
  </si>
  <si>
    <t>KKP068DANAURAWAH</t>
  </si>
  <si>
    <t>KSN039RGTANGKO</t>
  </si>
  <si>
    <t>BARARAWADMT</t>
  </si>
  <si>
    <t>KKP072BAJUH</t>
  </si>
  <si>
    <t>KKN013</t>
  </si>
  <si>
    <t>TANJUNGKARITAKTBG</t>
  </si>
  <si>
    <t>KSN763PENDAHARA</t>
  </si>
  <si>
    <t>PLK842</t>
  </si>
  <si>
    <t>PLK842CASSADOVAINDAH</t>
  </si>
  <si>
    <t>PLK018KM46PALANGKARAYA</t>
  </si>
  <si>
    <t>PLK825</t>
  </si>
  <si>
    <t>PLK825JALANKARET</t>
  </si>
  <si>
    <t>KKN034MANUHING</t>
  </si>
  <si>
    <t>KKP134</t>
  </si>
  <si>
    <t>KKP134ARUK</t>
  </si>
  <si>
    <t>KKN222</t>
  </si>
  <si>
    <t>KKN222FLORANUSAPERDANA</t>
  </si>
  <si>
    <t>PST</t>
  </si>
  <si>
    <t>KKN067</t>
  </si>
  <si>
    <t>KKN067PTTAIYOUNG</t>
  </si>
  <si>
    <t>KKN076</t>
  </si>
  <si>
    <t>KKN076TUMBANGKAJUEI</t>
  </si>
  <si>
    <t>KKN230</t>
  </si>
  <si>
    <t>KKN230MULIASAWITAGROLESTARI</t>
  </si>
  <si>
    <t>KKN231</t>
  </si>
  <si>
    <t>KKN231AGROLESTARISENTOSA</t>
  </si>
  <si>
    <t>KKP090ASMINBARABARONANG</t>
  </si>
  <si>
    <t>PROTELINDO</t>
  </si>
  <si>
    <t>Diamond</t>
  </si>
  <si>
    <t>KKP097</t>
  </si>
  <si>
    <t>KKP097DWIWARNAKARYA</t>
  </si>
  <si>
    <t>PPS060PANGKUH</t>
  </si>
  <si>
    <t>COH068MI_MUARADADAHUB</t>
  </si>
  <si>
    <t>KKP011</t>
  </si>
  <si>
    <t>KKP011PULOTELO</t>
  </si>
  <si>
    <t>KKP239</t>
  </si>
  <si>
    <t>KKP239REPEATERRINJANI</t>
  </si>
  <si>
    <t>KKP323</t>
  </si>
  <si>
    <t>KKP323B2BKMJMHE</t>
  </si>
  <si>
    <t>CORPORATE</t>
  </si>
  <si>
    <t>KKP324</t>
  </si>
  <si>
    <t>KKP324B2BDWKGHE2</t>
  </si>
  <si>
    <t>KKP339B2BGLOBALINDOAGUNGLESTARIESTATELAMUNTITIMUR</t>
  </si>
  <si>
    <t>KKN233</t>
  </si>
  <si>
    <t>TEWANG_PAJANGANTBG</t>
  </si>
  <si>
    <t>PPS281</t>
  </si>
  <si>
    <t>PPS281SANGGANG</t>
  </si>
  <si>
    <t>KKP340B2BGLOBALINDOAGUNGLESTARIESTATEPLASMA</t>
  </si>
  <si>
    <t>KKP342</t>
  </si>
  <si>
    <t>KKP342B2BKAPUASMAJUJAYASITEPKS</t>
  </si>
  <si>
    <t>MTW136PAMASMM</t>
  </si>
  <si>
    <t>BNT013BUNTOK5</t>
  </si>
  <si>
    <t>BNT015BUNTOKKOTA</t>
  </si>
  <si>
    <t>KKN055SIMPANGMIWAN</t>
  </si>
  <si>
    <t>KSN037ADYAKSADHARMAKENCANA</t>
  </si>
  <si>
    <t>BNT009</t>
  </si>
  <si>
    <t>BNT009SABILAHBUNTOK</t>
  </si>
  <si>
    <t>KSN356KARYADEWIPUTRA</t>
  </si>
  <si>
    <t>KKN223ARCHIPELAGO</t>
  </si>
  <si>
    <t>KKN229</t>
  </si>
  <si>
    <t>KKN229MSALPKS</t>
  </si>
  <si>
    <t>PPS250KARYALUHURSEJATI</t>
  </si>
  <si>
    <t>PPS277PTSURYAMAS</t>
  </si>
  <si>
    <t>PPS084PTSCP2</t>
  </si>
  <si>
    <t>KSN020KERENGPANGI</t>
  </si>
  <si>
    <t>KKP046MARAPIT</t>
  </si>
  <si>
    <t>KKP065LUNGKOHLAYANG</t>
  </si>
  <si>
    <t>PPS111</t>
  </si>
  <si>
    <t>PPS111SAKTIMAITJAYA</t>
  </si>
  <si>
    <t>BNT019DANAUSADAR</t>
  </si>
  <si>
    <t>KKP326TIMPAH</t>
  </si>
  <si>
    <t>BNT026JAYAKARSA</t>
  </si>
  <si>
    <t>SPT147GIJLAMUNTI</t>
  </si>
  <si>
    <t>BNT027JALANASAMBUNTOK</t>
  </si>
  <si>
    <t>BNT036</t>
  </si>
  <si>
    <t>BNT036TELUKTELAGA</t>
  </si>
  <si>
    <t>BNT041KELADAN</t>
  </si>
  <si>
    <t>BNT042SEWARGABUNTOK</t>
  </si>
  <si>
    <t>BNT045BUNTOKBARITO</t>
  </si>
  <si>
    <t>BNT047JELAPATKARTINI</t>
  </si>
  <si>
    <t>BNT048AMDBUNTOK</t>
  </si>
  <si>
    <t>BNT070PENDAASAM</t>
  </si>
  <si>
    <t>BNT049</t>
  </si>
  <si>
    <t>BNT049BUNTOKPASAR</t>
  </si>
  <si>
    <t>BNT010KALAHIEN</t>
  </si>
  <si>
    <t>KKP225N3TTAPEN</t>
  </si>
  <si>
    <t>BNT085MERDEKABUNTOK</t>
  </si>
  <si>
    <t>COH671</t>
  </si>
  <si>
    <t>COH671MULTITAMBANGJAYAUTAMA</t>
  </si>
  <si>
    <t>BNT006TABAKKANILAN</t>
  </si>
  <si>
    <t>BNT086PANGLIMABATURBUNTOK</t>
  </si>
  <si>
    <t>BNT007PENDANG</t>
  </si>
  <si>
    <t>BNT050PAHLAWANKOTA</t>
  </si>
  <si>
    <t>BNT025RANGGAILUNG</t>
  </si>
  <si>
    <t>BNT202</t>
  </si>
  <si>
    <t>BNT202B2BGALBAKUTA</t>
  </si>
  <si>
    <t>BNT088MERDEKABUNTOK2</t>
  </si>
  <si>
    <t>BNT105</t>
  </si>
  <si>
    <t>BNT105KELADANBUNTOK</t>
  </si>
  <si>
    <t>CMI</t>
  </si>
  <si>
    <t>BNT109</t>
  </si>
  <si>
    <t>BNT109DSSABABILAH</t>
  </si>
  <si>
    <t>BNT017MENGKATIPILIR</t>
  </si>
  <si>
    <t>BNT523MANGKATIP</t>
  </si>
  <si>
    <t>BNT110</t>
  </si>
  <si>
    <t>BNT110DSBARU</t>
  </si>
  <si>
    <t>BNT087</t>
  </si>
  <si>
    <t>BNT087MULYABUNTOK</t>
  </si>
  <si>
    <t>AMT003JENAMAS</t>
  </si>
  <si>
    <t>COH049_MANGKAHUI</t>
  </si>
  <si>
    <t>BNT044PALUREJO</t>
  </si>
  <si>
    <t>BNT527</t>
  </si>
  <si>
    <t>BNT527SMAADVENTTAMPARAKLAYUNG</t>
  </si>
  <si>
    <t>GAMETRACO</t>
  </si>
  <si>
    <t>BNT004PATAS</t>
  </si>
  <si>
    <t>BNT160PASARPATAS</t>
  </si>
  <si>
    <t>MTW062TAMPARAKLAYUNG</t>
  </si>
  <si>
    <t>NTH125</t>
  </si>
  <si>
    <t>NTH125N3TTARUSAN</t>
  </si>
  <si>
    <t>AMT101</t>
  </si>
  <si>
    <t>AMT101DSRANTAU</t>
  </si>
  <si>
    <t>BNT525TELUKTIMBAUTBG</t>
  </si>
  <si>
    <t>TML026AMPAHPATAS</t>
  </si>
  <si>
    <t>KSN129</t>
  </si>
  <si>
    <t>KSN129RANTAUBANGKIANG</t>
  </si>
  <si>
    <t>BNT195BANGKUANG2</t>
  </si>
  <si>
    <t>KKP119DAMANGSIMAN</t>
  </si>
  <si>
    <t>PPS065SEBANGAUKUALA</t>
  </si>
  <si>
    <t>KKP044KAYUBULAN</t>
  </si>
  <si>
    <t>KKP008PUJON</t>
  </si>
  <si>
    <t>BNT524</t>
  </si>
  <si>
    <t>BNT524TALIO</t>
  </si>
  <si>
    <t>KSN002TUMBANGHIRAN</t>
  </si>
  <si>
    <t>BNT526</t>
  </si>
  <si>
    <t>BNT526RAMPAMEA</t>
  </si>
  <si>
    <t>TML018</t>
  </si>
  <si>
    <t>TML018DDANGKA</t>
  </si>
  <si>
    <t>NTH116</t>
  </si>
  <si>
    <t>NTH116N3TLAGAN</t>
  </si>
  <si>
    <t>NTH149N3TJANAHJARI</t>
  </si>
  <si>
    <t>NTH117N3TWURAN</t>
  </si>
  <si>
    <t>NTH124</t>
  </si>
  <si>
    <t>NTH124N3TPANGKAN</t>
  </si>
  <si>
    <t>TML002STOAMPAH</t>
  </si>
  <si>
    <t>KKN004TUMBANGTALAKEN</t>
  </si>
  <si>
    <t>TML005BAMBULUNG</t>
  </si>
  <si>
    <t>KKN011KAMPURI</t>
  </si>
  <si>
    <t>KSN009KATINGANHILIR</t>
  </si>
  <si>
    <t>KSN011HAMPANGIN</t>
  </si>
  <si>
    <t>KKP009</t>
  </si>
  <si>
    <t>KKP009SEIHANYO</t>
  </si>
  <si>
    <t>KKN018DAHIANTAMBUK</t>
  </si>
  <si>
    <t>KKN019</t>
  </si>
  <si>
    <t>KKN019SEPANG</t>
  </si>
  <si>
    <t>KKN017</t>
  </si>
  <si>
    <t>KKN017SANGKURUN</t>
  </si>
  <si>
    <t>KKN020</t>
  </si>
  <si>
    <t>KKN020TANGKAHEN</t>
  </si>
  <si>
    <t>KKN032</t>
  </si>
  <si>
    <t>KKN032BANGUNSARI</t>
  </si>
  <si>
    <t>KKN033</t>
  </si>
  <si>
    <t>KKN033TARINGEN</t>
  </si>
  <si>
    <t>KKN035</t>
  </si>
  <si>
    <t>KKN035DESAJALEMU</t>
  </si>
  <si>
    <t>KKN045</t>
  </si>
  <si>
    <t>KKN045PTKBAHANDANG</t>
  </si>
  <si>
    <t>KKN021</t>
  </si>
  <si>
    <t>KKN021RABAMBANG</t>
  </si>
  <si>
    <t>KKN049HURUNGBUNUT</t>
  </si>
  <si>
    <t>KKN050</t>
  </si>
  <si>
    <t>KKN050TAMPANGTUMBANG</t>
  </si>
  <si>
    <t>KKN054PERINTISTEWAH</t>
  </si>
  <si>
    <t>KSN023PENDAHARA</t>
  </si>
  <si>
    <t>KKN056LETJENDSUPRAPTO</t>
  </si>
  <si>
    <t>KKN061</t>
  </si>
  <si>
    <t>KKN061BRINGEI</t>
  </si>
  <si>
    <t>KKN023</t>
  </si>
  <si>
    <t>KKN023TBANGRHA</t>
  </si>
  <si>
    <t>KKN048</t>
  </si>
  <si>
    <t>KKN048STOKUALAKURUN</t>
  </si>
  <si>
    <t>KKN064ANTANGTEWAH</t>
  </si>
  <si>
    <t>STP</t>
  </si>
  <si>
    <t>KKN062DCKURUN</t>
  </si>
  <si>
    <t>KKN063</t>
  </si>
  <si>
    <t>KKN063SANGKURUN</t>
  </si>
  <si>
    <t>KKN070</t>
  </si>
  <si>
    <t>KKN070DSSEPANG</t>
  </si>
  <si>
    <t>KSN012</t>
  </si>
  <si>
    <t>KSN012BUKITBATU</t>
  </si>
  <si>
    <t>KKN072</t>
  </si>
  <si>
    <t>KKN072TUMBANGMALAHOI</t>
  </si>
  <si>
    <t>KKN073LINTASTRANS</t>
  </si>
  <si>
    <t>KKN074DSTUMBANG</t>
  </si>
  <si>
    <t>KKN075</t>
  </si>
  <si>
    <t>KKN075KENDET</t>
  </si>
  <si>
    <t>KKN078</t>
  </si>
  <si>
    <t>KKN078DSPILANG</t>
  </si>
  <si>
    <t>KKN151BODSTUMBANGTAMBIRAH</t>
  </si>
  <si>
    <t>KKN079</t>
  </si>
  <si>
    <t>KKN079SEPANG</t>
  </si>
  <si>
    <t>KKN081</t>
  </si>
  <si>
    <t>KKN081PENDAPILANG</t>
  </si>
  <si>
    <t>KKN155</t>
  </si>
  <si>
    <t>KKN155TUMBANGANJIR</t>
  </si>
  <si>
    <t>KKN158</t>
  </si>
  <si>
    <t>KKN158KAMPURI</t>
  </si>
  <si>
    <t>KKN178</t>
  </si>
  <si>
    <t>KKN178KARYABAKTIRUNGAN</t>
  </si>
  <si>
    <t>KSN710TUMBANGSAMBA</t>
  </si>
  <si>
    <t>KKN191</t>
  </si>
  <si>
    <t>KKN191TEWAH</t>
  </si>
  <si>
    <t>KKN195</t>
  </si>
  <si>
    <t>KKN195TUMBANGJUTUH</t>
  </si>
  <si>
    <t>KKP002DESALAMUNTI</t>
  </si>
  <si>
    <t>KKP004</t>
  </si>
  <si>
    <t>KKP004BASARANG</t>
  </si>
  <si>
    <t>PLK006LANGKAI</t>
  </si>
  <si>
    <t>KKP006SEITATAS</t>
  </si>
  <si>
    <t>PPS008BAWAN</t>
  </si>
  <si>
    <t>PLK017</t>
  </si>
  <si>
    <t>PLK017LKBRBENGKEL</t>
  </si>
  <si>
    <t>KKP015</t>
  </si>
  <si>
    <t>KKP015JLPEMUDA</t>
  </si>
  <si>
    <t>KKP016TBSEITRAYA</t>
  </si>
  <si>
    <t>KKP012</t>
  </si>
  <si>
    <t>KKP012SELATDALAM</t>
  </si>
  <si>
    <t>PPS023</t>
  </si>
  <si>
    <t>PPS023GANDANG</t>
  </si>
  <si>
    <t>PLK029ASAMAD</t>
  </si>
  <si>
    <t>PLK032KBENGKIRAI</t>
  </si>
  <si>
    <t>KKP024</t>
  </si>
  <si>
    <t>KKP024BASUNGKAI</t>
  </si>
  <si>
    <t>KKP025TALEKUNGPUNEI</t>
  </si>
  <si>
    <t>KKP033PATIHRUMBIH</t>
  </si>
  <si>
    <t>KKP035SAKATAMIANG</t>
  </si>
  <si>
    <t>KKP036SETAJISELATDALAM</t>
  </si>
  <si>
    <t>KKP037</t>
  </si>
  <si>
    <t>KKP037KAHAYANHILIR</t>
  </si>
  <si>
    <t>KKP038SETAJISELATHILIR</t>
  </si>
  <si>
    <t>KKP030WARGAMULYA</t>
  </si>
  <si>
    <t>KKP032</t>
  </si>
  <si>
    <t>KKP032KRYABAKTI</t>
  </si>
  <si>
    <t>KKP040BATANJUNG</t>
  </si>
  <si>
    <t>PLK041</t>
  </si>
  <si>
    <t>PLK041BANGARIS</t>
  </si>
  <si>
    <t>KKP045TRANTANG</t>
  </si>
  <si>
    <t>PLK048</t>
  </si>
  <si>
    <t>PLK048GOBOS</t>
  </si>
  <si>
    <t>KKP049</t>
  </si>
  <si>
    <t>KKP049SAYBARAS</t>
  </si>
  <si>
    <t>KKP053AYANIKM52</t>
  </si>
  <si>
    <t>KKP043</t>
  </si>
  <si>
    <t>KKP043SEIDUSUN</t>
  </si>
  <si>
    <t>KKP047MAMPAI</t>
  </si>
  <si>
    <t>PLK051PERUMMARINAPERMAI</t>
  </si>
  <si>
    <t>GIHON</t>
  </si>
  <si>
    <t>PLK055JALANKARANGGAN</t>
  </si>
  <si>
    <t>PLK088</t>
  </si>
  <si>
    <t>PLK088PAMAPERSADA</t>
  </si>
  <si>
    <t>KKP071</t>
  </si>
  <si>
    <t>KKP071JALANBARITO</t>
  </si>
  <si>
    <t>KKP076</t>
  </si>
  <si>
    <t>KKP076TBGDSANJIRKALAMPAN</t>
  </si>
  <si>
    <t>KKP077GANGLIMA</t>
  </si>
  <si>
    <t>KKP057</t>
  </si>
  <si>
    <t>KKP057TERUSANKARYA</t>
  </si>
  <si>
    <t>KKP079</t>
  </si>
  <si>
    <t>KKP079JALANANGGREK</t>
  </si>
  <si>
    <t>PLK098BENGKIRAI</t>
  </si>
  <si>
    <t>KKP078GRAHAINTI</t>
  </si>
  <si>
    <t>KKP087DESAKALADAN</t>
  </si>
  <si>
    <t>KKP093DADAHUP</t>
  </si>
  <si>
    <t>KKP094</t>
  </si>
  <si>
    <t>KKP094MANDOMAI</t>
  </si>
  <si>
    <t>KKP102</t>
  </si>
  <si>
    <t>KKP102BINJAYA</t>
  </si>
  <si>
    <t>PLK103BERENGBENGKEL</t>
  </si>
  <si>
    <t>PLK180</t>
  </si>
  <si>
    <t>PLK180MAHIRMAHAR</t>
  </si>
  <si>
    <t>KKP095MANTANGAI</t>
  </si>
  <si>
    <t>KKP113SKBATUR</t>
  </si>
  <si>
    <t>KKP101</t>
  </si>
  <si>
    <t>KKP101BELANTISIAM</t>
  </si>
  <si>
    <t>KKP116</t>
  </si>
  <si>
    <t>KKP116POLRESPULPIS</t>
  </si>
  <si>
    <t>KKP117KLUMPAN</t>
  </si>
  <si>
    <t>KKP120</t>
  </si>
  <si>
    <t>KKP120SPLITPULANGPISAU</t>
  </si>
  <si>
    <t>KKP124PULAUTELO</t>
  </si>
  <si>
    <t>PLK208</t>
  </si>
  <si>
    <t>PLK208RTAMILONO</t>
  </si>
  <si>
    <t>KKP126</t>
  </si>
  <si>
    <t>KKP126JAWAKAPUAS</t>
  </si>
  <si>
    <t>KKP127</t>
  </si>
  <si>
    <t>KKP127GANGMENTARI</t>
  </si>
  <si>
    <t>PLK235</t>
  </si>
  <si>
    <t>PLK235RAUDAMILONO</t>
  </si>
  <si>
    <t>KKP114</t>
  </si>
  <si>
    <t>KKP114MENTAREN1</t>
  </si>
  <si>
    <t>KKP128DESAPALINGKAUSEJAHTERA</t>
  </si>
  <si>
    <t>KKP130</t>
  </si>
  <si>
    <t>KKP130KAPUASFERY</t>
  </si>
  <si>
    <t>KKP190</t>
  </si>
  <si>
    <t>KKP190B2BSUSANTIPERMAI</t>
  </si>
  <si>
    <t>KKP138</t>
  </si>
  <si>
    <t>KKP138PANUNJUNGTARUNG</t>
  </si>
  <si>
    <t>KKP139</t>
  </si>
  <si>
    <t>KKP139JLPATIHRUMBIH</t>
  </si>
  <si>
    <t>KKP144</t>
  </si>
  <si>
    <t>KKP144PULAUTELU</t>
  </si>
  <si>
    <t>KKP145</t>
  </si>
  <si>
    <t>KKP145ANGGREKTENGAH</t>
  </si>
  <si>
    <t>KKP146SANUSIPISAU</t>
  </si>
  <si>
    <t>KKP131</t>
  </si>
  <si>
    <t>KKP131KAPUASGG3</t>
  </si>
  <si>
    <t>KKP133MASJIDMUKARRAM</t>
  </si>
  <si>
    <t>KKP150</t>
  </si>
  <si>
    <t>KKP150KERUINGKAPUAS</t>
  </si>
  <si>
    <t>KKP151</t>
  </si>
  <si>
    <t>KKP151MAHAKAMKAPUAS</t>
  </si>
  <si>
    <t>KKP156DSTAJEPAN</t>
  </si>
  <si>
    <t>KKP157DSBUNGAMAWAR</t>
  </si>
  <si>
    <t>KKP158</t>
  </si>
  <si>
    <t>KKP158DSBATUNINDAN</t>
  </si>
  <si>
    <t>KKP159DSPANGKALANREKAN</t>
  </si>
  <si>
    <t>KKP199</t>
  </si>
  <si>
    <t>KKP199KALIMANTANRIASEJAHTERA</t>
  </si>
  <si>
    <t>KKP197</t>
  </si>
  <si>
    <t>KKP197DESAPANTAI</t>
  </si>
  <si>
    <t>KKP001STOKUALAKAPUAS</t>
  </si>
  <si>
    <t>KKP013BATUNINDAN</t>
  </si>
  <si>
    <t>PLK252</t>
  </si>
  <si>
    <t>PLK252BELITUNGJAYA</t>
  </si>
  <si>
    <t>KKP343</t>
  </si>
  <si>
    <t>KKP343SEITATASHILIRCMI</t>
  </si>
  <si>
    <t>KKP023PALINGKAO</t>
  </si>
  <si>
    <t>PLK254ANGGREKBENGKIRAI</t>
  </si>
  <si>
    <t>KKP223CILIKRIWUT</t>
  </si>
  <si>
    <t>KSN013</t>
  </si>
  <si>
    <t>KSN013POLRES</t>
  </si>
  <si>
    <t>KSN010</t>
  </si>
  <si>
    <t>KSN010DESASAMBABAKUMPAI</t>
  </si>
  <si>
    <t>KSN014TALIANKERENG</t>
  </si>
  <si>
    <t>KSN015HAMPALIT</t>
  </si>
  <si>
    <t>KSN016BUPATIKASONGAN</t>
  </si>
  <si>
    <t>KSN019KASONGAN</t>
  </si>
  <si>
    <t>KSN031</t>
  </si>
  <si>
    <t>KSN031KM19HAMPALIT</t>
  </si>
  <si>
    <t>KSN050</t>
  </si>
  <si>
    <t>KSN050KERENGBARAT</t>
  </si>
  <si>
    <t>KSN052</t>
  </si>
  <si>
    <t>KSN052NUKASONGAN</t>
  </si>
  <si>
    <t>KSN067</t>
  </si>
  <si>
    <t>KSN067PEMDAKATINGAN</t>
  </si>
  <si>
    <t>-1.87</t>
  </si>
  <si>
    <t>KSN059</t>
  </si>
  <si>
    <t>KSN059GRAPKASONGAN</t>
  </si>
  <si>
    <t>KSN068</t>
  </si>
  <si>
    <t>KSN068KASONGAN49</t>
  </si>
  <si>
    <t>KSN069</t>
  </si>
  <si>
    <t>KSN069KERENGKM13</t>
  </si>
  <si>
    <t>KSN070</t>
  </si>
  <si>
    <t>KSN070KERENGPANGI53</t>
  </si>
  <si>
    <t>KSN048MANGGOSELATAN</t>
  </si>
  <si>
    <t>KSN071</t>
  </si>
  <si>
    <t>KSN071TELANGKAHKUALAKURUN75</t>
  </si>
  <si>
    <t>KSN072</t>
  </si>
  <si>
    <t>KSN072SIMPANG3TUMBANGSAMBA</t>
  </si>
  <si>
    <t>KKP212</t>
  </si>
  <si>
    <t>KKP212B2BKAPUASMAJUJAYA</t>
  </si>
  <si>
    <t>KSN055HANTATIRINGESTATE</t>
  </si>
  <si>
    <t>KSN053DANAUMARE</t>
  </si>
  <si>
    <t>KSN028DESATUMBANGKALEMEI</t>
  </si>
  <si>
    <t>KSN136</t>
  </si>
  <si>
    <t>KSN136KASONGANLAMA</t>
  </si>
  <si>
    <t>KSN036MANGGO</t>
  </si>
  <si>
    <t>KSN138</t>
  </si>
  <si>
    <t>KSN138DESATELANGKAH</t>
  </si>
  <si>
    <t>KKP005ANJIRHULU</t>
  </si>
  <si>
    <t>KSN768</t>
  </si>
  <si>
    <t>KSN768SIMPANGSAMBATBG</t>
  </si>
  <si>
    <t>KKN071</t>
  </si>
  <si>
    <t>KKN071BELAWANMULYA</t>
  </si>
  <si>
    <t>KSN135</t>
  </si>
  <si>
    <t>KSN135DESASAMBAKATUNG</t>
  </si>
  <si>
    <t>KSN018</t>
  </si>
  <si>
    <t>HANDIWUNGCMI</t>
  </si>
  <si>
    <t>KSN021LUWUKNAN</t>
  </si>
  <si>
    <t>KSN022DESABANGUNJAYA</t>
  </si>
  <si>
    <t>KSN073</t>
  </si>
  <si>
    <t>KSN073BAKUMPAISAMBA</t>
  </si>
  <si>
    <t>KSN025</t>
  </si>
  <si>
    <t>KSN025KALANAM</t>
  </si>
  <si>
    <t>KSN357</t>
  </si>
  <si>
    <t>KSN357MANGGOTBG</t>
  </si>
  <si>
    <t>KSN126</t>
  </si>
  <si>
    <t>KSN126DESAJAYAMAKMUR</t>
  </si>
  <si>
    <t>KSN351</t>
  </si>
  <si>
    <t>KSN351BODSTUMBANGLAHANG</t>
  </si>
  <si>
    <t>KSN137</t>
  </si>
  <si>
    <t>KSN137TUMBANGLITING</t>
  </si>
  <si>
    <t>KSN110</t>
  </si>
  <si>
    <t>KSN110DESAASEMKUMBANG</t>
  </si>
  <si>
    <t>TML017</t>
  </si>
  <si>
    <t>TML017DAYU</t>
  </si>
  <si>
    <t>TML010MRPLANTAU</t>
  </si>
  <si>
    <t>TML021</t>
  </si>
  <si>
    <t>TML021UNSUM</t>
  </si>
  <si>
    <t>TML035KAMPUNGKARAMAH</t>
  </si>
  <si>
    <t>TML011AMPKOTA</t>
  </si>
  <si>
    <t>MTW004STOHAJAK</t>
  </si>
  <si>
    <t>TML039</t>
  </si>
  <si>
    <t>TML039KALAMUS</t>
  </si>
  <si>
    <t>TML009TAMPA</t>
  </si>
  <si>
    <t>NTH123N3TGANDRUNG</t>
  </si>
  <si>
    <t>TML019MAMPAHKOTA</t>
  </si>
  <si>
    <t>COH097</t>
  </si>
  <si>
    <t>COH097COMBATKM30</t>
  </si>
  <si>
    <t>TML025ADAROPASARPANAS</t>
  </si>
  <si>
    <t>TML082TBGDSPUTAI</t>
  </si>
  <si>
    <t>TML117</t>
  </si>
  <si>
    <t>TML117PTBKI</t>
  </si>
  <si>
    <t>TML161DESAPATUNG</t>
  </si>
  <si>
    <t>TML237LENGGANG</t>
  </si>
  <si>
    <t>TML038RNBATUAH</t>
  </si>
  <si>
    <t>TML044</t>
  </si>
  <si>
    <t>TML044AMPAHXL</t>
  </si>
  <si>
    <t>PLK264</t>
  </si>
  <si>
    <t>PLK264MCRDMSGONDO121</t>
  </si>
  <si>
    <t>NTH147N3THARARA</t>
  </si>
  <si>
    <t>NTH115N3TMARAGUT</t>
  </si>
  <si>
    <t>NTH118</t>
  </si>
  <si>
    <t>NTH118N3TMUANI</t>
  </si>
  <si>
    <t>TML001TAMIANGLAYANG</t>
  </si>
  <si>
    <t>TML013TELANG</t>
  </si>
  <si>
    <t>TML014</t>
  </si>
  <si>
    <t>TML014DORONG</t>
  </si>
  <si>
    <t>TML003JAAR</t>
  </si>
  <si>
    <t>TML012DSNTIMUR</t>
  </si>
  <si>
    <t>TML016</t>
  </si>
  <si>
    <t>TML016TEWAHPPH</t>
  </si>
  <si>
    <t>TML037PASIRPANAS</t>
  </si>
  <si>
    <t>TML040TAMIYANG</t>
  </si>
  <si>
    <t>TML055DESABAMBAN</t>
  </si>
  <si>
    <t>TML078DESAMATABU</t>
  </si>
  <si>
    <t>TML004</t>
  </si>
  <si>
    <t>TML004BENTOT</t>
  </si>
  <si>
    <t>TML112AYANIJAAR</t>
  </si>
  <si>
    <t>TML113PASARJAAR</t>
  </si>
  <si>
    <t>TML029HAYAPING</t>
  </si>
  <si>
    <t>TML030JAWETAN</t>
  </si>
  <si>
    <t>NTH121</t>
  </si>
  <si>
    <t>NTH121N3TBETANGNALONG</t>
  </si>
  <si>
    <t>MTW061SIKUI</t>
  </si>
  <si>
    <t>TML160</t>
  </si>
  <si>
    <t>TML160DESABENTOT</t>
  </si>
  <si>
    <t>TML032</t>
  </si>
  <si>
    <t>TML032SGRARAWA</t>
  </si>
  <si>
    <t>TML119</t>
  </si>
  <si>
    <t>TML119DSKEMPANG</t>
  </si>
  <si>
    <t>TML180SAWITMANUNGGAL</t>
  </si>
  <si>
    <t>TML236MATARAH</t>
  </si>
  <si>
    <t>TBG_HARINGEN</t>
  </si>
  <si>
    <t>TML127ISATTELANGBARU</t>
  </si>
  <si>
    <t>TML167</t>
  </si>
  <si>
    <t>TML167N3TDESADIDI</t>
  </si>
  <si>
    <t>KSN140</t>
  </si>
  <si>
    <t>KSN140TUMBANGLITING</t>
  </si>
  <si>
    <t>PLK059</t>
  </si>
  <si>
    <t>PLK059PANARUNG</t>
  </si>
  <si>
    <t>KSN765TAWANGRANGAS</t>
  </si>
  <si>
    <t>KSN769NAPUSAHURTBG</t>
  </si>
  <si>
    <t>KSN767</t>
  </si>
  <si>
    <t>KSN767C_TERUSANDANUMTBG</t>
  </si>
  <si>
    <t>KSN711</t>
  </si>
  <si>
    <t>KSN711BATUBADINDING</t>
  </si>
  <si>
    <t>PPS057GOHONG</t>
  </si>
  <si>
    <t>PLK003HMAHKOTA</t>
  </si>
  <si>
    <t>PLK011JALANPIRANHA</t>
  </si>
  <si>
    <t>KKN007PEMDAKURUN</t>
  </si>
  <si>
    <t>PLK013</t>
  </si>
  <si>
    <t>PLK013DIPONEGOROPLK</t>
  </si>
  <si>
    <t>PLK015OBOSMENTENG</t>
  </si>
  <si>
    <t>KKP010</t>
  </si>
  <si>
    <t>KKP010ANJIRSERAPAT</t>
  </si>
  <si>
    <t>PLK722KALIBATA</t>
  </si>
  <si>
    <t>PLK019SMP8PALANGKARAYA</t>
  </si>
  <si>
    <t>PLK021YOSSUDARSO</t>
  </si>
  <si>
    <t>KKP003SELATHULU</t>
  </si>
  <si>
    <t>PLK022GARUDA</t>
  </si>
  <si>
    <t>KKP021PLKUPANG</t>
  </si>
  <si>
    <t>KKP041TAMBANLUAR</t>
  </si>
  <si>
    <t>KKP042</t>
  </si>
  <si>
    <t>KKP042TAMBANCATUR</t>
  </si>
  <si>
    <t>PLK028MILONOPLK</t>
  </si>
  <si>
    <t>KSN004PMALAN</t>
  </si>
  <si>
    <t>PLK030</t>
  </si>
  <si>
    <t>PLK030RAMIN</t>
  </si>
  <si>
    <t>PLK835BERENGBENGKEL</t>
  </si>
  <si>
    <t>PLK033</t>
  </si>
  <si>
    <t>PLK033RRIPLK</t>
  </si>
  <si>
    <t>PLK034</t>
  </si>
  <si>
    <t>PLK034BKEMINTING</t>
  </si>
  <si>
    <t>PLK035ANTANG</t>
  </si>
  <si>
    <t>PPS010</t>
  </si>
  <si>
    <t>PPS010DESATARUNA</t>
  </si>
  <si>
    <t>PLK046HOTELAQUARIUS</t>
  </si>
  <si>
    <t>PLK012TUMBANGTAHAI</t>
  </si>
  <si>
    <t>PLK023</t>
  </si>
  <si>
    <t>PLK023KM7PALANGKARAYA</t>
  </si>
  <si>
    <t>PLK052</t>
  </si>
  <si>
    <t>PLK052PEPABRILANGKA</t>
  </si>
  <si>
    <t>PLK053GGARU</t>
  </si>
  <si>
    <t>PLK054</t>
  </si>
  <si>
    <t>PLK054RAMIN</t>
  </si>
  <si>
    <t>PLK050</t>
  </si>
  <si>
    <t>PLK050TELKOMAYANI</t>
  </si>
  <si>
    <t>PLK024RAKUMPIT</t>
  </si>
  <si>
    <t>PLK056</t>
  </si>
  <si>
    <t>PLK056PAULSULNG</t>
  </si>
  <si>
    <t>PLK058</t>
  </si>
  <si>
    <t>PLK058BETUTU</t>
  </si>
  <si>
    <t>KKP022LUPAKDALAM</t>
  </si>
  <si>
    <t>PLK060</t>
  </si>
  <si>
    <t>PLK060PAHANDUT</t>
  </si>
  <si>
    <t>PLK063</t>
  </si>
  <si>
    <t>PLK063UNPAR</t>
  </si>
  <si>
    <t>PLK065</t>
  </si>
  <si>
    <t>PLK065BANGAS</t>
  </si>
  <si>
    <t>PLK057</t>
  </si>
  <si>
    <t>PLK057CILIKRIWUT</t>
  </si>
  <si>
    <t>PLK067</t>
  </si>
  <si>
    <t>PLK067PERUMAHANLESTARI</t>
  </si>
  <si>
    <t>PLK069</t>
  </si>
  <si>
    <t>PLK069RAJAWALIKM3</t>
  </si>
  <si>
    <t>PLK070SANGGABUANA</t>
  </si>
  <si>
    <t>PLK072</t>
  </si>
  <si>
    <t>PLK072BKTTUNGGAL</t>
  </si>
  <si>
    <t>PLK073</t>
  </si>
  <si>
    <t>PLK073KM6PALANGKA</t>
  </si>
  <si>
    <t>PLK071</t>
  </si>
  <si>
    <t>PLK071KM6CILIKRIWUT</t>
  </si>
  <si>
    <t>PLK075</t>
  </si>
  <si>
    <t>PLK075MUTIARATGL</t>
  </si>
  <si>
    <t>PLK074</t>
  </si>
  <si>
    <t>PLK074KINIBALU</t>
  </si>
  <si>
    <t>PLK079SETAJI</t>
  </si>
  <si>
    <t>PLK080GALAXY</t>
  </si>
  <si>
    <t>PLK082</t>
  </si>
  <si>
    <t>PLK082RAJAWALI</t>
  </si>
  <si>
    <t>PLK077CEMPAKA</t>
  </si>
  <si>
    <t>PLK086</t>
  </si>
  <si>
    <t>PLK086SPLITRRIKAHAYAN</t>
  </si>
  <si>
    <t>PLK083SPLITBKEMINTING</t>
  </si>
  <si>
    <t>PLK090</t>
  </si>
  <si>
    <t>PLK090DRMURJANI</t>
  </si>
  <si>
    <t>PLK091</t>
  </si>
  <si>
    <t>PLK091BATUSULI</t>
  </si>
  <si>
    <t>PLK025</t>
  </si>
  <si>
    <t>PLK025TANGKILING</t>
  </si>
  <si>
    <t>PLK093ANTANGINDUK</t>
  </si>
  <si>
    <t>PLK097</t>
  </si>
  <si>
    <t>PLK097BUKITTGL</t>
  </si>
  <si>
    <t>PLK027KM17PALANGKARAYA</t>
  </si>
  <si>
    <t>PLK094KERINCIPLK</t>
  </si>
  <si>
    <t>PLK102GOBOS</t>
  </si>
  <si>
    <t>PLK099</t>
  </si>
  <si>
    <t>PLK099TEMANGGUNG</t>
  </si>
  <si>
    <t>PLK105PKYARGOPU</t>
  </si>
  <si>
    <t>PLK141BRIMOBTANGKILING</t>
  </si>
  <si>
    <t>PLK111GARUDA</t>
  </si>
  <si>
    <t>PLK106</t>
  </si>
  <si>
    <t>PLK106BUKITTUNGGAL</t>
  </si>
  <si>
    <t>PLK116</t>
  </si>
  <si>
    <t>PLK116SIMPANGGALAXY</t>
  </si>
  <si>
    <t>PLK115</t>
  </si>
  <si>
    <t>PLK115MILONO</t>
  </si>
  <si>
    <t>PLK120</t>
  </si>
  <si>
    <t>PLK120BANGAU</t>
  </si>
  <si>
    <t>PLK124</t>
  </si>
  <si>
    <t>PLK124BELIANG</t>
  </si>
  <si>
    <t>KKP060KAPUASBARIMBA</t>
  </si>
  <si>
    <t>KKP061</t>
  </si>
  <si>
    <t>KKP061DESAHAMPATUNG</t>
  </si>
  <si>
    <t>PLK145SAKAN</t>
  </si>
  <si>
    <t>PLK121RKYANIPL</t>
  </si>
  <si>
    <t>PLK147</t>
  </si>
  <si>
    <t>PLK147PASARBESAR</t>
  </si>
  <si>
    <t>PLK148</t>
  </si>
  <si>
    <t>PLK148SMA3</t>
  </si>
  <si>
    <t>PLK149</t>
  </si>
  <si>
    <t>PLK149HIURAYA</t>
  </si>
  <si>
    <t>PLK151</t>
  </si>
  <si>
    <t>PLK151OBOSPERMAI</t>
  </si>
  <si>
    <t>PLK152</t>
  </si>
  <si>
    <t>PLK152PKYLINTASKALIMANTAN</t>
  </si>
  <si>
    <t>PLK153</t>
  </si>
  <si>
    <t>PLK153THAMRIN</t>
  </si>
  <si>
    <t>PLK154</t>
  </si>
  <si>
    <t>PLK154BENGKELDEREK</t>
  </si>
  <si>
    <t>PLK155</t>
  </si>
  <si>
    <t>PLK155MURAI</t>
  </si>
  <si>
    <t>PLK156BUNDERANGARUDA</t>
  </si>
  <si>
    <t>PLK157</t>
  </si>
  <si>
    <t>PLK157KALTENGPOS</t>
  </si>
  <si>
    <t>PLK158</t>
  </si>
  <si>
    <t>PLK158KRAKATAU</t>
  </si>
  <si>
    <t>PLK159</t>
  </si>
  <si>
    <t>PLK159PERUMAHANDPRD</t>
  </si>
  <si>
    <t>PLK160</t>
  </si>
  <si>
    <t>PLK160SESEPMADU</t>
  </si>
  <si>
    <t>PLK161</t>
  </si>
  <si>
    <t>PLK161SISINGAMANGARAJA</t>
  </si>
  <si>
    <t>PLK162</t>
  </si>
  <si>
    <t>PLK162SMAPANCASILA</t>
  </si>
  <si>
    <t>PLK163</t>
  </si>
  <si>
    <t>PLK163LELE</t>
  </si>
  <si>
    <t>PLK164</t>
  </si>
  <si>
    <t>PLK164KEMINTINGKM2</t>
  </si>
  <si>
    <t>PLK165</t>
  </si>
  <si>
    <t>PLK165SIMPANGKEMINTING</t>
  </si>
  <si>
    <t>KKP063</t>
  </si>
  <si>
    <t>KKP063DESASIDOREJO</t>
  </si>
  <si>
    <t>PLK167</t>
  </si>
  <si>
    <t>PLK167JALANLUMBA2</t>
  </si>
  <si>
    <t>PLK168</t>
  </si>
  <si>
    <t>PLK168PANGERANSAMUDRA</t>
  </si>
  <si>
    <t>PLK169</t>
  </si>
  <si>
    <t>PLK169RADENSALEH</t>
  </si>
  <si>
    <t>PLK170</t>
  </si>
  <si>
    <t>PLK170NYAIBALAU</t>
  </si>
  <si>
    <t>PLK171SMK1</t>
  </si>
  <si>
    <t>PLK172MENTENG</t>
  </si>
  <si>
    <t>PLK173</t>
  </si>
  <si>
    <t>PLK173LUWANSA</t>
  </si>
  <si>
    <t>PLK174</t>
  </si>
  <si>
    <t>PLK174BEKOETIN</t>
  </si>
  <si>
    <t>PLK175</t>
  </si>
  <si>
    <t>PLK175KUTILANG</t>
  </si>
  <si>
    <t>PLK176AISNASUTI</t>
  </si>
  <si>
    <t>PLK177</t>
  </si>
  <si>
    <t>PLK177JALANBADAK</t>
  </si>
  <si>
    <t>PLK178</t>
  </si>
  <si>
    <t>PLK178DRMURJANI2</t>
  </si>
  <si>
    <t>PLK179KALAWA</t>
  </si>
  <si>
    <t>PLK166</t>
  </si>
  <si>
    <t>PLK166PERUMNAS</t>
  </si>
  <si>
    <t>PLK146MCPLKRUKOGALAXY</t>
  </si>
  <si>
    <t>PLK191</t>
  </si>
  <si>
    <t>PLK191DINASPU</t>
  </si>
  <si>
    <t>PLK192</t>
  </si>
  <si>
    <t>PLK192SMA1PLK</t>
  </si>
  <si>
    <t>PLK193</t>
  </si>
  <si>
    <t>PLK193IRIANPLK</t>
  </si>
  <si>
    <t>PLK200</t>
  </si>
  <si>
    <t>PLK200JEKANRAYA</t>
  </si>
  <si>
    <t>PLK202CEMARAPALANGKARAYA</t>
  </si>
  <si>
    <t>PLK195</t>
  </si>
  <si>
    <t>PLK195TENDEAN</t>
  </si>
  <si>
    <t>PLK205</t>
  </si>
  <si>
    <t>PLK205YOSSUDARSO2</t>
  </si>
  <si>
    <t>PLK206</t>
  </si>
  <si>
    <t>PLK206TBHYOSSUDARSO3</t>
  </si>
  <si>
    <t>KKP064SEIJANGKIT</t>
  </si>
  <si>
    <t>PLK214</t>
  </si>
  <si>
    <t>PLK214YOSSUDARSO1</t>
  </si>
  <si>
    <t>PLK203</t>
  </si>
  <si>
    <t>PLK203MAHIRMAHAR</t>
  </si>
  <si>
    <t>PLK231</t>
  </si>
  <si>
    <t>PLK231SIMPANGKARTINI</t>
  </si>
  <si>
    <t>PLK232</t>
  </si>
  <si>
    <t>PLK232SETHAJI</t>
  </si>
  <si>
    <t>PLK234URIAJAYA</t>
  </si>
  <si>
    <t>PLK259</t>
  </si>
  <si>
    <t>PLK259BKTTTUNGGAL</t>
  </si>
  <si>
    <t>PLK236</t>
  </si>
  <si>
    <t>PLK236JUNJUNGBUIH</t>
  </si>
  <si>
    <t>PLK237SAMUDINAMAN</t>
  </si>
  <si>
    <t>PLK238</t>
  </si>
  <si>
    <t>PLK238RAKARTINI</t>
  </si>
  <si>
    <t>PLK239SANGGABUANA</t>
  </si>
  <si>
    <t>PPS002PULANGPISAU</t>
  </si>
  <si>
    <t>PLK240LAPASPALANGKA</t>
  </si>
  <si>
    <t>PLK242KINIBALURAYA</t>
  </si>
  <si>
    <t>PLK245CEMARARAYA</t>
  </si>
  <si>
    <t>PLK246</t>
  </si>
  <si>
    <t>PLK246OBOSKEMINTING</t>
  </si>
  <si>
    <t>PPS007KECAMATANMALIKU</t>
  </si>
  <si>
    <t>PLK243</t>
  </si>
  <si>
    <t>PLK243RAJAWALIKM5</t>
  </si>
  <si>
    <t>PLK249</t>
  </si>
  <si>
    <t>PLK249SAMUDRATIGA</t>
  </si>
  <si>
    <t>PLK250</t>
  </si>
  <si>
    <t>PLK250BUKITINDAH</t>
  </si>
  <si>
    <t>PLK144</t>
  </si>
  <si>
    <t>PLK144PAGERRAKUMPIT</t>
  </si>
  <si>
    <t>PLK269TANGKILING166</t>
  </si>
  <si>
    <t>PPS061PETUKLITI</t>
  </si>
  <si>
    <t>PLK256MENTENGRAYA</t>
  </si>
  <si>
    <t>PLK258</t>
  </si>
  <si>
    <t>PLK258MANUNGGAL5</t>
  </si>
  <si>
    <t>PLK248</t>
  </si>
  <si>
    <t>PLK248KERUINGPAHANDUT</t>
  </si>
  <si>
    <t>PLK260PINUSPERMAI</t>
  </si>
  <si>
    <t>PLK261BROKOLI</t>
  </si>
  <si>
    <t>PLK262</t>
  </si>
  <si>
    <t>PLK262KEMINTING</t>
  </si>
  <si>
    <t>KKP103</t>
  </si>
  <si>
    <t>KKP103CEMARALABAT</t>
  </si>
  <si>
    <t>PLK735</t>
  </si>
  <si>
    <t>PLK735CILIKRIWUTK9</t>
  </si>
  <si>
    <t>PLK265</t>
  </si>
  <si>
    <t>PLK265GANGOBOS14</t>
  </si>
  <si>
    <t>PLK263</t>
  </si>
  <si>
    <t>PLK263BUKITKOTIEN</t>
  </si>
  <si>
    <t>KKN003</t>
  </si>
  <si>
    <t>KKN003RUNGAN</t>
  </si>
  <si>
    <t>PLK268</t>
  </si>
  <si>
    <t>PLK268MENTENG18</t>
  </si>
  <si>
    <t>PLK266</t>
  </si>
  <si>
    <t>PLK266TRANSGUBERNUR</t>
  </si>
  <si>
    <t>PLK271</t>
  </si>
  <si>
    <t>PLK271TINGANG</t>
  </si>
  <si>
    <t>KKP105</t>
  </si>
  <si>
    <t>KKP105TRANSKALIMANTANKM14</t>
  </si>
  <si>
    <t>PLK273MENDAWAIKOTA</t>
  </si>
  <si>
    <t>PLK274MANGKURAMBANG</t>
  </si>
  <si>
    <t>PLK275PAHANDUT</t>
  </si>
  <si>
    <t>PLK272BADAK</t>
  </si>
  <si>
    <t>PLK278GUBERNURPLK</t>
  </si>
  <si>
    <t>PLK277</t>
  </si>
  <si>
    <t>PLK277DARMASUGONDO</t>
  </si>
  <si>
    <t>PLK600</t>
  </si>
  <si>
    <t>PLK600HOTELAMARIS</t>
  </si>
  <si>
    <t>PLK719</t>
  </si>
  <si>
    <t>PLK719MENDAWAI</t>
  </si>
  <si>
    <t>PLK850</t>
  </si>
  <si>
    <t>PLK850MARANGTBG</t>
  </si>
  <si>
    <t>PLK726</t>
  </si>
  <si>
    <t>PLK726BKTRAYA</t>
  </si>
  <si>
    <t>PLK730SKARUHEI</t>
  </si>
  <si>
    <t>PLK732</t>
  </si>
  <si>
    <t>PLK732DARMOSUGONDO</t>
  </si>
  <si>
    <t>PLK709KAHAYAN</t>
  </si>
  <si>
    <t>KKP107</t>
  </si>
  <si>
    <t>KKP107KKAPUAS</t>
  </si>
  <si>
    <t>PLK748</t>
  </si>
  <si>
    <t>PLK748MALLPLK</t>
  </si>
  <si>
    <t>PLK810</t>
  </si>
  <si>
    <t>PLK810SMP3PALANGKARAYA</t>
  </si>
  <si>
    <t>PLK813METOSPLK</t>
  </si>
  <si>
    <t>PLK734BUKITRAWI</t>
  </si>
  <si>
    <t>PLK814</t>
  </si>
  <si>
    <t>PLK814TDCKAPUAS</t>
  </si>
  <si>
    <t>PLK818</t>
  </si>
  <si>
    <t>PLK818TINGANGMANDIRI</t>
  </si>
  <si>
    <t>PLK819HIUPUTIH</t>
  </si>
  <si>
    <t>KKP195</t>
  </si>
  <si>
    <t>KKP195PTTOP</t>
  </si>
  <si>
    <t>PLK816</t>
  </si>
  <si>
    <t>PLK816TAMBUNBUNGAI</t>
  </si>
  <si>
    <t>PLK820</t>
  </si>
  <si>
    <t>PLK820PERWIRA</t>
  </si>
  <si>
    <t>PLK010PALANGKARAYAKM12</t>
  </si>
  <si>
    <t>KKP007TIMPAH</t>
  </si>
  <si>
    <t>PLK821</t>
  </si>
  <si>
    <t>PLK821BABANPLK</t>
  </si>
  <si>
    <t>KKP125</t>
  </si>
  <si>
    <t>KKP125SUNGAIPASAH</t>
  </si>
  <si>
    <t>PLK839</t>
  </si>
  <si>
    <t>PLK839MUNGKUBARU</t>
  </si>
  <si>
    <t>PLK849BUKITRAWITBG</t>
  </si>
  <si>
    <t>KKP208ANJIRSERAPAT</t>
  </si>
  <si>
    <t>PPS009BAHAUR</t>
  </si>
  <si>
    <t>PPS011JABIREN</t>
  </si>
  <si>
    <t>PPS012</t>
  </si>
  <si>
    <t>PPS012TJPINANG</t>
  </si>
  <si>
    <t>PPS013STOPULANGPISAU</t>
  </si>
  <si>
    <t>PPS017</t>
  </si>
  <si>
    <t>PPS017MINTIN</t>
  </si>
  <si>
    <t>PPS026SUKAJADI</t>
  </si>
  <si>
    <t>PPS027NUSAINDAH</t>
  </si>
  <si>
    <t>PPS028</t>
  </si>
  <si>
    <t>PPS028TAHAWA</t>
  </si>
  <si>
    <t>PPS030</t>
  </si>
  <si>
    <t>PPS030PANGI</t>
  </si>
  <si>
    <t>PPS031</t>
  </si>
  <si>
    <t>PPS031TALMUARA</t>
  </si>
  <si>
    <t>PPS029</t>
  </si>
  <si>
    <t>PPS029LAWANGURU</t>
  </si>
  <si>
    <t>PPS037</t>
  </si>
  <si>
    <t>PPS037SANAMANMANTIKEI</t>
  </si>
  <si>
    <t>COH930</t>
  </si>
  <si>
    <t>SMALLCELLKODAMTANJUNGPURA1</t>
  </si>
  <si>
    <t>COH114</t>
  </si>
  <si>
    <t>COH114PTMJCR</t>
  </si>
  <si>
    <t>PPS045PIPITPLK</t>
  </si>
  <si>
    <t>COH862MIPTKARYADEWIPUTRA</t>
  </si>
  <si>
    <t>PPS077</t>
  </si>
  <si>
    <t>PPS077PAHAWAN</t>
  </si>
  <si>
    <t>PPS062</t>
  </si>
  <si>
    <t>PPS062PULANGJABIREN</t>
  </si>
  <si>
    <t>PPS095PELABUHANTUMBANGEMPAS</t>
  </si>
  <si>
    <t>PPS102</t>
  </si>
  <si>
    <t>PPS102TALIOHULU</t>
  </si>
  <si>
    <t>PPS104</t>
  </si>
  <si>
    <t>PPS104ABELGAWE</t>
  </si>
  <si>
    <t>PPS106</t>
  </si>
  <si>
    <t>PPS106BLTSIAM</t>
  </si>
  <si>
    <t>PPS108BARUNAI</t>
  </si>
  <si>
    <t>PPS109JABIREN46</t>
  </si>
  <si>
    <t>PPS094TUMBANGDANAU</t>
  </si>
  <si>
    <t>PPS110</t>
  </si>
  <si>
    <t>PPS110PANGKOHSARI99</t>
  </si>
  <si>
    <t>PPS131TAHAIJAYA</t>
  </si>
  <si>
    <t>PPS132DSBAHU</t>
  </si>
  <si>
    <t>PPS134</t>
  </si>
  <si>
    <t>PPS134PARAHANGAN</t>
  </si>
  <si>
    <t>PPS135</t>
  </si>
  <si>
    <t>PPS135BERENGRAMBANG</t>
  </si>
  <si>
    <t>PPS136</t>
  </si>
  <si>
    <t>PPS136DSBUNTOI</t>
  </si>
  <si>
    <t>PPS139DESASIGI</t>
  </si>
  <si>
    <t>PPS220</t>
  </si>
  <si>
    <t>PPS220DSSUNGAIRUNGUN</t>
  </si>
  <si>
    <t>PPS221</t>
  </si>
  <si>
    <t>PPS221BODSBADIRIH</t>
  </si>
  <si>
    <t>PPS222DSGARANTUNG</t>
  </si>
  <si>
    <t>MTW080</t>
  </si>
  <si>
    <t>MTW080NUSAINDAHMTW</t>
  </si>
  <si>
    <t>MTW016</t>
  </si>
  <si>
    <t>MTW016BENANGIN</t>
  </si>
  <si>
    <t>MTW017TUMPUNGLAUNG</t>
  </si>
  <si>
    <t>PPS223</t>
  </si>
  <si>
    <t>PPS223DSKANAMITBARAT</t>
  </si>
  <si>
    <t>PPS224DSKANTANDALAM</t>
  </si>
  <si>
    <t>PPS137</t>
  </si>
  <si>
    <t>PPS137DSPAMARUNAN</t>
  </si>
  <si>
    <t>PPS226</t>
  </si>
  <si>
    <t>PPS226DARUNBAWAN</t>
  </si>
  <si>
    <t>PPS227BUKITLITI</t>
  </si>
  <si>
    <t>PPS247</t>
  </si>
  <si>
    <t>PPS247BAHAURHILIR</t>
  </si>
  <si>
    <t>PPS235</t>
  </si>
  <si>
    <t>PPS235DESAHANUABANAMA</t>
  </si>
  <si>
    <t>MTW010WONOREJO</t>
  </si>
  <si>
    <t>MTW024</t>
  </si>
  <si>
    <t>MTW024TBKAMAWEN</t>
  </si>
  <si>
    <t>MTW037</t>
  </si>
  <si>
    <t>MTW037SIKUIKM30</t>
  </si>
  <si>
    <t>MTW039SABUH</t>
  </si>
  <si>
    <t>MTW041</t>
  </si>
  <si>
    <t>MTW041BUANAADHITAMA</t>
  </si>
  <si>
    <t>MTW047BINTANGNINGGI</t>
  </si>
  <si>
    <t>MTW060RUJI</t>
  </si>
  <si>
    <t>MTW063POLTEKMUARATEWEH</t>
  </si>
  <si>
    <t>MTW071TRAHEAN</t>
  </si>
  <si>
    <t>MTW072BATURAYA</t>
  </si>
  <si>
    <t>MTW090TRINSING</t>
  </si>
  <si>
    <t>MTW013GUNUNGTIMANG</t>
  </si>
  <si>
    <t>MTW056KANDUI</t>
  </si>
  <si>
    <t>BNT002BUNTOK2</t>
  </si>
  <si>
    <t>BNT020</t>
  </si>
  <si>
    <t>BNT020ADAROKLANIS</t>
  </si>
  <si>
    <t>MTW179N3TSAMPIRANG2</t>
  </si>
  <si>
    <t>MTW180</t>
  </si>
  <si>
    <t>MTW180N3TBENANGIN3</t>
  </si>
  <si>
    <t>MTW181N3TLIJU</t>
  </si>
  <si>
    <t>MTW014</t>
  </si>
  <si>
    <t>MTW014GUNUNGPUREI</t>
  </si>
  <si>
    <t>TML027</t>
  </si>
  <si>
    <t>TML027BANGKUANG</t>
  </si>
  <si>
    <t>MTW172B2BPTMULTIPERSADAGATRAMEGAH</t>
  </si>
  <si>
    <t>MTW138</t>
  </si>
  <si>
    <t>MTW138SAWITSBM</t>
  </si>
  <si>
    <t>MTW169</t>
  </si>
  <si>
    <t>MTW169MONTALLAT</t>
  </si>
  <si>
    <t>MTW176TAWANJAYA</t>
  </si>
  <si>
    <t>MTW206</t>
  </si>
  <si>
    <t>MTW206PARINGLAHUNG</t>
  </si>
  <si>
    <t>MTW242</t>
  </si>
  <si>
    <t>MTW242MAJENGKAN</t>
  </si>
  <si>
    <t>NTH119N3TMALUNGAI</t>
  </si>
  <si>
    <t>NTH129N3TPANAEN</t>
  </si>
  <si>
    <t>COH904</t>
  </si>
  <si>
    <t>COH904COMBATMKMTSEL</t>
  </si>
  <si>
    <t>MTW001STOMUARATEWEH</t>
  </si>
  <si>
    <t>MTW033</t>
  </si>
  <si>
    <t>MTW033BENAO</t>
  </si>
  <si>
    <t>MTW034</t>
  </si>
  <si>
    <t>MTW034LEMO</t>
  </si>
  <si>
    <t>MTW035RIMBASARI</t>
  </si>
  <si>
    <t>MTW043MERAK</t>
  </si>
  <si>
    <t>MTW066MUARATEWEH10</t>
  </si>
  <si>
    <t>MTW067YETROSINSENG</t>
  </si>
  <si>
    <t>MTW069</t>
  </si>
  <si>
    <t>MTW069LANJAS</t>
  </si>
  <si>
    <t>MTW073NIHAN</t>
  </si>
  <si>
    <t>MTW079AYANITEWEH</t>
  </si>
  <si>
    <t>TML028DAMPARAN</t>
  </si>
  <si>
    <t>MTW081</t>
  </si>
  <si>
    <t>MTW081NUSAINDAHMTW2</t>
  </si>
  <si>
    <t>MTW082PENDREHMTW</t>
  </si>
  <si>
    <t>PT. TRIVIEW GEOSPATIAL MANDIRI (TGM)</t>
  </si>
  <si>
    <t>MTW084MELAYUMTEWEH</t>
  </si>
  <si>
    <t>MTW085PRAMUKATEWEH</t>
  </si>
  <si>
    <t>MTW086</t>
  </si>
  <si>
    <t>MTW086BANDARATEWEH</t>
  </si>
  <si>
    <t>MTW087</t>
  </si>
  <si>
    <t>MTW087PASARMUARA</t>
  </si>
  <si>
    <t>MTW059BUTONG</t>
  </si>
  <si>
    <t>MTW003JALANNENAS</t>
  </si>
  <si>
    <t>MTW009PERTIWI</t>
  </si>
  <si>
    <t>MTW002MUARATEWE2PERWIRA</t>
  </si>
  <si>
    <t>MTW088PANGLIMABATURTEWEH</t>
  </si>
  <si>
    <t>MTW089</t>
  </si>
  <si>
    <t>MTW089BUTONG</t>
  </si>
  <si>
    <t>MTW207</t>
  </si>
  <si>
    <t>MTW207DESAPENDREH</t>
  </si>
  <si>
    <t>MTW248</t>
  </si>
  <si>
    <t>MTW248IPUMELAYUPTI</t>
  </si>
  <si>
    <t>MTW250</t>
  </si>
  <si>
    <t>MTW250PERMATAHIJAUTBG</t>
  </si>
  <si>
    <t>KKN005TUMBANGMIRI</t>
  </si>
  <si>
    <t>KKN001KUALAKURUN</t>
  </si>
  <si>
    <t>KKN002</t>
  </si>
  <si>
    <t>KKN002SEPANGSIMIN</t>
  </si>
  <si>
    <t>COH654</t>
  </si>
  <si>
    <t>COMBATBUPATIKASONGAN</t>
  </si>
  <si>
    <t>KKN006TEWAH</t>
  </si>
  <si>
    <t>COH087</t>
  </si>
  <si>
    <t>COMBAT KAYUBULAN</t>
  </si>
  <si>
    <t>KKN010</t>
  </si>
  <si>
    <t>KKN010TANJUNGRIU</t>
  </si>
  <si>
    <t>COH070COMBATPAMAASMINBARABARONANG</t>
  </si>
  <si>
    <t>KKN012TMBGMIWAN</t>
  </si>
  <si>
    <t>COH269</t>
  </si>
  <si>
    <t>COH269DADAHUBA2</t>
  </si>
  <si>
    <t>COH812</t>
  </si>
  <si>
    <t>COH812COMBATHAULKYAIGEDETSEL/KASADOVA</t>
  </si>
  <si>
    <t>KKP136ANGGREKKAPUAS</t>
  </si>
  <si>
    <t>KKP017MANUSUP</t>
  </si>
  <si>
    <t>KKP019MURUNGKERAMAT</t>
  </si>
  <si>
    <t>PPS280</t>
  </si>
  <si>
    <t>PPS280MENTAREN</t>
  </si>
  <si>
    <t>NTH079N3TMUARAPARI</t>
  </si>
  <si>
    <t>MTW015LAHEI</t>
  </si>
  <si>
    <t>PRC025TUMBANGMASAO</t>
  </si>
  <si>
    <t>PPS264N3TTAMBAK</t>
  </si>
  <si>
    <t>PPS282</t>
  </si>
  <si>
    <t>PPS282MINTINPTI</t>
  </si>
  <si>
    <t>PPS283</t>
  </si>
  <si>
    <t>PPS283GOHONGPTI</t>
  </si>
  <si>
    <t>PPS284</t>
  </si>
  <si>
    <t>PPS284KANTANMUARACMI</t>
  </si>
  <si>
    <t>PPS285MULYASARITBG</t>
  </si>
  <si>
    <t>KKP321</t>
  </si>
  <si>
    <t>KKP321WARNASARI</t>
  </si>
  <si>
    <t>KKP344ANJIRMAMBULAUPTI</t>
  </si>
  <si>
    <t>PRC001STOPURUKCAHU</t>
  </si>
  <si>
    <t>PRC009SARIPOI</t>
  </si>
  <si>
    <t>KKP300PERUMPULAUTELO</t>
  </si>
  <si>
    <t>KSN007MENDAWAI</t>
  </si>
  <si>
    <t>KSN008PEGATAN</t>
  </si>
  <si>
    <t>KKP301</t>
  </si>
  <si>
    <t>KKP301MURAIRAYA</t>
  </si>
  <si>
    <t>KSN762MCMEBUPATIKASONGAN</t>
  </si>
  <si>
    <t>PLK002STOPALANGKARAYAKM5</t>
  </si>
  <si>
    <t>KKP020</t>
  </si>
  <si>
    <t>KKP020TAMBANBARUSELATAN</t>
  </si>
  <si>
    <t>COH091</t>
  </si>
  <si>
    <t>COH091MI_PERUMAHANTAMIYANG</t>
  </si>
  <si>
    <t>113.54</t>
  </si>
  <si>
    <t>PLK020DIPONEGORO</t>
  </si>
  <si>
    <t>PLK708TINGANG</t>
  </si>
  <si>
    <t>PLK001CENTRUMPLK</t>
  </si>
  <si>
    <t>PRC024MUARAUTU</t>
  </si>
  <si>
    <t>PRC026</t>
  </si>
  <si>
    <t>PRC026BABUAT</t>
  </si>
  <si>
    <t>PRC030KOMPLEKRSUD</t>
  </si>
  <si>
    <t>PRC038TAHUJANONTU</t>
  </si>
  <si>
    <t>PRC041BUPATIPURUKCAHU</t>
  </si>
  <si>
    <t>PRC005KOMPLEKSDPR</t>
  </si>
  <si>
    <t>PRC007TUMBANGLAHUNG</t>
  </si>
  <si>
    <t>PRC043KURUNPAJANG</t>
  </si>
  <si>
    <t>PRC017DIRUNGLINGKIN</t>
  </si>
  <si>
    <t>NTH002</t>
  </si>
  <si>
    <t>NTH002N3TPANTAILAGA</t>
  </si>
  <si>
    <t>NTH058N3TSUNGAILOBANG</t>
  </si>
  <si>
    <t>PRC191N3TTELOKJOLO</t>
  </si>
  <si>
    <t>PRC018TUMBANGKUNYI</t>
  </si>
  <si>
    <t>KKP014MAMPULAU</t>
  </si>
  <si>
    <t>PLK241</t>
  </si>
  <si>
    <t>PLK241PASARKAHAYAN</t>
  </si>
  <si>
    <t>PLK247TOKOCILIKRIWUT</t>
  </si>
  <si>
    <t>PPS054HENDA</t>
  </si>
  <si>
    <t>PLK255NYAIUNDANG</t>
  </si>
  <si>
    <t>PPS101TUMBANGNUSA</t>
  </si>
  <si>
    <t>PLK267</t>
  </si>
  <si>
    <t>PLK267SETHADJI</t>
  </si>
  <si>
    <t>KKP026LAMUNTI</t>
  </si>
  <si>
    <t>KSN001TUMBANGSENAMAN</t>
  </si>
  <si>
    <t>KSN003TUMBANGKAMAN</t>
  </si>
  <si>
    <t>KSN005PETAKBAHANDANG</t>
  </si>
  <si>
    <t>KSN006BAUNBANGO</t>
  </si>
  <si>
    <t>KKP034TBKATUNJUNG</t>
  </si>
  <si>
    <t>NTH086</t>
  </si>
  <si>
    <t>NTH086N3TSEIBAKAU</t>
  </si>
  <si>
    <t>KKP217N3TTABORE</t>
  </si>
  <si>
    <t>KSN709</t>
  </si>
  <si>
    <t>KSN709KM55PALANGKARAYA</t>
  </si>
  <si>
    <t>KKP220N3TBATUSAMBUNG</t>
  </si>
  <si>
    <t>KKP222</t>
  </si>
  <si>
    <t>KKP222N3TJAKATANMASAHA</t>
  </si>
  <si>
    <t>KKP226N3TLAHEIMANGKUTUP</t>
  </si>
  <si>
    <t>KKP227N3TLAWANGKAJANG</t>
  </si>
  <si>
    <t>KKP228</t>
  </si>
  <si>
    <t>KKP228N3TKABURAN</t>
  </si>
  <si>
    <t>KKP241</t>
  </si>
  <si>
    <t>KKP241N3TTUMBANGSIRAT</t>
  </si>
  <si>
    <t>KKP293N3TTUMBANGMUROI</t>
  </si>
  <si>
    <t>KKP304</t>
  </si>
  <si>
    <t>KKP304N3TRAHUNGBUNGAI</t>
  </si>
  <si>
    <t>KKP305N3TSEIAHAS</t>
  </si>
  <si>
    <t>KKP306</t>
  </si>
  <si>
    <t>KKP306N3TTUMBANGMANGKUTUP</t>
  </si>
  <si>
    <t>KKP310N3TBALAIBANJANG</t>
  </si>
  <si>
    <t>KKP311</t>
  </si>
  <si>
    <t>KKP311N3THURUNGKAMPIN</t>
  </si>
  <si>
    <t>KKP312N3TSEIGAWING</t>
  </si>
  <si>
    <t>KKP314</t>
  </si>
  <si>
    <t>KKP314N3TSEIRINGIN</t>
  </si>
  <si>
    <t>PRC166DESAKONUT</t>
  </si>
  <si>
    <t>KKP325</t>
  </si>
  <si>
    <t>KKP325N3TTANJUNGRENDAN</t>
  </si>
  <si>
    <t>PRC200DESABAHITOM</t>
  </si>
  <si>
    <t>KSN150N3TPENDATANGGARINGBARU</t>
  </si>
  <si>
    <t>KSN153N3TTUMBANGBEMBAN</t>
  </si>
  <si>
    <t>KSN164</t>
  </si>
  <si>
    <t>KSN164N3TBATUBANGO</t>
  </si>
  <si>
    <t>KSN165</t>
  </si>
  <si>
    <t>KSN165N3TKARUING</t>
  </si>
  <si>
    <t>KSN188N3TTUMBANGLAMBI</t>
  </si>
  <si>
    <t>KSN193</t>
  </si>
  <si>
    <t>KSN193N3TRANGANBAHEKANG</t>
  </si>
  <si>
    <t>KSN707</t>
  </si>
  <si>
    <t>KSN707CSRBMKSMA54</t>
  </si>
  <si>
    <t>PRC225ISLAMICCENTERPRC</t>
  </si>
  <si>
    <t>PRC138</t>
  </si>
  <si>
    <t>PRC138HARMONIPANCAUTAMA</t>
  </si>
  <si>
    <t>PRC155</t>
  </si>
  <si>
    <t>PRC155ADAROINDONESIALAMPUNUT</t>
  </si>
  <si>
    <t>PRC182</t>
  </si>
  <si>
    <t>PRC182PTAKT</t>
  </si>
  <si>
    <t>PRC224</t>
  </si>
  <si>
    <t>PRC224PTSAPTAINDRASEJATI</t>
  </si>
  <si>
    <t>KSN714N3TTUMBANGMANANGEI</t>
  </si>
  <si>
    <t>KSN715</t>
  </si>
  <si>
    <t>KSN715N3TPENDANANGE</t>
  </si>
  <si>
    <t>KSN716</t>
  </si>
  <si>
    <t>KSN716N3TTUMBANGGAEI</t>
  </si>
  <si>
    <t>KSN720N3TPARUPUK</t>
  </si>
  <si>
    <t>KSN721N3TSELATBANING</t>
  </si>
  <si>
    <t>PRC226</t>
  </si>
  <si>
    <t>MUARABAKANONTBG</t>
  </si>
  <si>
    <t>KSN722N3TSEBANGAUJAYA</t>
  </si>
  <si>
    <t>NTH012N3TBUNTUTLELENG</t>
  </si>
  <si>
    <t>NTH044N3TTUMBANGPAKU</t>
  </si>
  <si>
    <t>NTH045</t>
  </si>
  <si>
    <t>NTH045N3TMUROIRAYA</t>
  </si>
  <si>
    <t>NTH047N3TTUMBANGMALAWAN</t>
  </si>
  <si>
    <t>NTH053</t>
  </si>
  <si>
    <t>NTH053N3TDIRUNGKORAM</t>
  </si>
  <si>
    <t>NTH065N3TSEIPINANG</t>
  </si>
  <si>
    <t>NTH067</t>
  </si>
  <si>
    <t>NTH067N3THURUNGTABENGAN</t>
  </si>
  <si>
    <t>NTH070N3TTUMBANGNUSA</t>
  </si>
  <si>
    <t>NTH071N3TTUMBANGKATAEI</t>
  </si>
  <si>
    <t>NTH073</t>
  </si>
  <si>
    <t>NTH073N3TTUMBANGTUNDU</t>
  </si>
  <si>
    <t>NTH074</t>
  </si>
  <si>
    <t>NTH074N3TTUMBANGTAEI</t>
  </si>
  <si>
    <t>NTH075</t>
  </si>
  <si>
    <t>NTH075N3TTUMBANGTIHIS</t>
  </si>
  <si>
    <t>NTH076N3TTUMBANGMANDUREI</t>
  </si>
  <si>
    <t>NTH080</t>
  </si>
  <si>
    <t>NTH080N3TMANIS</t>
  </si>
  <si>
    <t>NTH081N3TTUMBANGDIRING</t>
  </si>
  <si>
    <t>NTH082N3TBARUNANG2</t>
  </si>
  <si>
    <t>NTH083</t>
  </si>
  <si>
    <t>NTH083N3TTUMBANGMANGKETAI</t>
  </si>
  <si>
    <t>PRC227</t>
  </si>
  <si>
    <t>PRC227JUKINGPANJANG</t>
  </si>
  <si>
    <t>PRC012</t>
  </si>
  <si>
    <t>PRC012PURUKCAHU4QUNUT</t>
  </si>
  <si>
    <t>PRC015</t>
  </si>
  <si>
    <t>PRC015BERIWIT</t>
  </si>
  <si>
    <t>NTH085</t>
  </si>
  <si>
    <t>NTH085N3TDANDANG</t>
  </si>
  <si>
    <t>PRC023BILITON</t>
  </si>
  <si>
    <t>NTH054</t>
  </si>
  <si>
    <t>NTH054N3TBULAUNGANDUNG</t>
  </si>
  <si>
    <t>PRC029BAHITOM</t>
  </si>
  <si>
    <t>NTH112N3TGERAGU</t>
  </si>
  <si>
    <t>NTH114</t>
  </si>
  <si>
    <t>NTH114N3TDEHES</t>
  </si>
  <si>
    <t>PRC040</t>
  </si>
  <si>
    <t>PRC040BONDANG</t>
  </si>
  <si>
    <t>PRC008MUARALAUNG</t>
  </si>
  <si>
    <t>PRC013PURUKCAHUSEBERANG</t>
  </si>
  <si>
    <t>NTH138</t>
  </si>
  <si>
    <t>NTH138N3TMUARAMARUWEIII</t>
  </si>
  <si>
    <t>PRC178</t>
  </si>
  <si>
    <t>PRC178N3TLAKUTAN</t>
  </si>
  <si>
    <t>PRC189N3TKALANGDOHONG</t>
  </si>
  <si>
    <t>PRC190N3TTUMBANGBALOI</t>
  </si>
  <si>
    <t>PRC006MARUNDA</t>
  </si>
  <si>
    <t>MTW005KM64PURUKCAHU</t>
  </si>
  <si>
    <t>NTH120</t>
  </si>
  <si>
    <t>NTH120N3TMANGKAWUK</t>
  </si>
  <si>
    <t>NTH127</t>
  </si>
  <si>
    <t>NTH127N3TJAHANJANG</t>
  </si>
  <si>
    <t>NTH141</t>
  </si>
  <si>
    <t>NTH141N3TTUMBANGKABAYAN</t>
  </si>
  <si>
    <t>PRC047</t>
  </si>
  <si>
    <t>PRC047SENGAJI</t>
  </si>
  <si>
    <t>PRC051DESABAHITOM</t>
  </si>
  <si>
    <t>NTH144N3TTUMBANGRUNEN</t>
  </si>
  <si>
    <t>COMBAT PUJON</t>
  </si>
  <si>
    <t>TML239</t>
  </si>
  <si>
    <t>SGM_BUMI_BORNEO_ESTATE_2 (TBG)</t>
  </si>
  <si>
    <t>PRC003</t>
  </si>
  <si>
    <t>MUARABUMBAN (TBG)</t>
  </si>
  <si>
    <t>MUARALAUNGI (TBG)</t>
  </si>
  <si>
    <t>MTW006</t>
  </si>
  <si>
    <t>MALAWAKEN (PST)</t>
  </si>
  <si>
    <t>RANTAUBANGKIANG (TBG)</t>
  </si>
  <si>
    <t>RANTAU ASEM (TBG)</t>
  </si>
  <si>
    <t>KSN017</t>
  </si>
  <si>
    <t>KAMPUNG KERAMAT (TBG)</t>
  </si>
  <si>
    <t>BUMIRAHAYU (TBG)</t>
  </si>
  <si>
    <t>SEKATA MAKMUR (TBG)</t>
  </si>
  <si>
    <t>SUKA MAJU (TBG)</t>
  </si>
  <si>
    <t>KKN024</t>
  </si>
  <si>
    <t>TANGKIDAHUYAN</t>
  </si>
  <si>
    <t>MIDESATUMBANGPASANGON</t>
  </si>
  <si>
    <t>BNT528</t>
  </si>
  <si>
    <t>RANGGA_ILUNG_2 (TBG)</t>
  </si>
  <si>
    <t>COUNTA of RTS Name</t>
  </si>
  <si>
    <t>Grand Total</t>
  </si>
  <si>
    <t>Doni Damara Total</t>
  </si>
  <si>
    <t>Winda Sokenda Total</t>
  </si>
  <si>
    <t>COUNTA of Status Task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</si>
</sst>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
    <font>
      <sz val="10.0"/>
      <color rgb="FF000000"/>
      <name val="Arial"/>
      <scheme val="minor"/>
    </font>
    <font>
      <sz val="11.0"/>
      <color theme="1"/>
      <name val="Calibri"/>
    </font>
    <font>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6D9EEB"/>
        <bgColor rgb="FF6D9EEB"/>
      </patternFill>
    </fill>
    <fill>
      <patternFill patternType="solid">
        <fgColor rgb="FF93C47D"/>
        <bgColor rgb="FF93C47D"/>
      </patternFill>
    </fill>
    <fill>
      <patternFill patternType="solid">
        <fgColor rgb="FF6AA84F"/>
        <bgColor rgb="FF6AA84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2" numFmtId="0" xfId="0" applyFont="1"/>
    <xf borderId="0" fillId="0" fontId="1" numFmtId="0" xfId="0" applyAlignment="1" applyFont="1">
      <alignment readingOrder="0" vertical="bottom"/>
    </xf>
    <xf borderId="0" fillId="2" fontId="2" numFmtId="0" xfId="0" applyAlignment="1" applyFill="1" applyFont="1">
      <alignment horizontal="center" readingOrder="0" shrinkToFit="0" wrapText="1"/>
    </xf>
    <xf borderId="0" fillId="2" fontId="2" numFmtId="0" xfId="0" applyAlignment="1" applyFill="1" applyFont="1">
      <alignment horizontal="center" readingOrder="0" shrinkToFit="0" wrapText="1"/>
    </xf>
    <xf borderId="1" fillId="3" fontId="2" numFmtId="0" xfId="0" applyAlignment="1" applyBorder="1" applyFill="1" applyFont="1">
      <alignment horizontal="center" readingOrder="0" shrinkToFit="0" vertical="center" wrapText="1"/>
    </xf>
    <xf borderId="1" fillId="4" fontId="2"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0" fontId="2" numFmtId="0" xfId="0" applyAlignment="1" applyBorder="1" applyFont="1">
      <alignment horizontal="center" readingOrder="0" shrinkToFit="0" vertical="center" wrapText="1"/>
    </xf>
    <xf borderId="0" fillId="3" fontId="2" numFmtId="0" xfId="0" applyAlignment="1" applyFill="1" applyFont="1">
      <alignment horizontal="center" readingOrder="0" shrinkToFit="0" vertical="center" wrapText="1"/>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shrinkToFit="0" vertical="center" wrapText="0"/>
    </xf>
    <xf borderId="1" fillId="0" fontId="2" numFmtId="0" xfId="0" applyAlignment="1" applyBorder="1" applyFont="1">
      <alignment shrinkToFit="0" vertical="center" wrapText="0"/>
    </xf>
    <xf borderId="1" fillId="0" fontId="2" numFmtId="164" xfId="0" applyAlignment="1" applyBorder="1" applyFont="1" applyNumberFormat="1">
      <alignment readingOrder="0" shrinkToFit="0" vertical="center" wrapText="0"/>
    </xf>
    <xf borderId="1" fillId="0" fontId="2" numFmtId="49" xfId="0" applyAlignment="1" applyBorder="1" applyFont="1" applyNumberFormat="1">
      <alignment readingOrder="0" shrinkToFit="0" vertical="center" wrapText="0"/>
    </xf>
    <xf borderId="0" fillId="0" fontId="2" numFmtId="0" xfId="0" applyAlignment="1" applyFont="1">
      <alignment readingOrder="0" shrinkToFit="0" vertical="center" wrapText="0"/>
    </xf>
    <xf borderId="1" fillId="0" fontId="2" numFmtId="0" xfId="0" applyAlignment="1" applyBorder="1" applyFont="1">
      <alignment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1" fillId="0" fontId="2" numFmtId="49" xfId="0" applyAlignment="1" applyBorder="1" applyFont="1" applyNumberFormat="1">
      <alignment shrinkToFit="0" vertical="center" wrapText="0"/>
    </xf>
    <xf borderId="1" fillId="0" fontId="2" numFmtId="164" xfId="0" applyAlignment="1" applyBorder="1" applyFont="1" applyNumberFormat="1">
      <alignment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164" xfId="0" applyFont="1" applyNumberFormat="1"/>
    <xf borderId="0" fillId="0" fontId="2" numFmtId="3" xfId="0" applyAlignment="1" applyFont="1" applyNumberFormat="1">
      <alignment readingOrder="0"/>
    </xf>
    <xf borderId="0" fillId="0" fontId="2" numFmtId="3" xfId="0" applyFont="1" applyNumberFormat="1"/>
  </cellXfs>
  <cellStyles count="1">
    <cellStyle xfId="0" name="Normal" builtinId="0"/>
  </cellStyles>
  <dxfs count="8">
    <dxf>
      <font/>
      <fill>
        <patternFill patternType="none"/>
      </fill>
      <border/>
    </dxf>
    <dxf>
      <font/>
      <fill>
        <patternFill patternType="solid">
          <fgColor rgb="FF373F6B"/>
          <bgColor rgb="FF373F6B"/>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73F6B"/>
        </left>
        <right style="thin">
          <color rgb="FF373F6B"/>
        </right>
        <top style="thin">
          <color rgb="FF373F6B"/>
        </top>
        <bottom style="thin">
          <color rgb="FF373F6B"/>
        </bottom>
      </border>
    </dxf>
    <dxf>
      <font/>
      <fill>
        <patternFill patternType="solid">
          <fgColor rgb="FFB7E1CD"/>
          <bgColor rgb="FFB7E1CD"/>
        </patternFill>
      </fill>
      <border/>
    </dxf>
    <dxf>
      <font/>
      <fill>
        <patternFill patternType="solid">
          <fgColor rgb="FFA4C2F4"/>
          <bgColor rgb="FFA4C2F4"/>
        </patternFill>
      </fill>
      <border/>
    </dxf>
    <dxf>
      <font/>
      <fill>
        <patternFill patternType="solid">
          <fgColor rgb="FFC27BA0"/>
          <bgColor rgb="FFC27BA0"/>
        </patternFill>
      </fill>
      <border/>
    </dxf>
  </dxfs>
  <tableStyles count="1">
    <tableStyle count="4" pivot="0" name="to do lis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'Pivot Table 2'!$A$3:$A$4</c:f>
            </c:strRef>
          </c:cat>
          <c:val>
            <c:numRef>
              <c:f>'Pivot Table 2'!$B$3:$B$4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314325</xdr:colOff>
      <xdr:row>0</xdr:row>
      <xdr:rowOff>19050</xdr:rowOff>
    </xdr:from>
    <xdr:ext cx="5495925" cy="3590925"/>
    <xdr:graphicFrame>
      <xdr:nvGraphicFramePr>
        <xdr:cNvPr id="1" name="Chart 1"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361950</xdr:colOff>
      <xdr:row>18</xdr:row>
      <xdr:rowOff>180975</xdr:rowOff>
    </xdr:from>
    <xdr:ext cx="2857500" cy="2857500"/>
    <mc:AlternateContent>
      <mc:Choice Requires="sle15">
        <xdr:graphicFrame>
          <xdr:nvGraphicFramePr>
            <xdr:cNvPr id="1" name="Category Task_1"/>
            <xdr:cNvGraphicFramePr/>
          </xdr:nvGraphicFramePr>
          <xdr:xfrm>
            <a:off x="0" y="0"/>
            <a:ext cx="0" cy="0"/>
          </xdr:xfrm>
          <a:graphic>
            <a:graphicData uri="http://schemas.microsoft.com/office/drawing/2010/slicer">
              <x3Unk:slicer name="Category Task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1515" sheet="Datastudio"/>
  </cacheSource>
  <cacheFields>
    <cacheField name="Category Task" numFmtId="0">
      <sharedItems containsBlank="1">
        <s v="Standby On Call"/>
        <s v="Pengecekan Power"/>
        <s v="Sick"/>
        <s v="Site Down"/>
        <s v="Tshoot Genset"/>
        <s v="Cell down"/>
        <s v="PM"/>
        <s v="Pengecekan battrey"/>
        <s v="Repointing MW"/>
        <s v="Penambahan Modul Recti"/>
        <s v="Vswr"/>
        <s v="Support Event"/>
        <s v="On Leave"/>
        <s v="Pemasangan battrey"/>
        <s v="Pengawalan akses Vendor"/>
        <s v="Pengawalan Team telkom"/>
        <s v="Add Sector RRU"/>
        <s v="Replace FAN Rectifier"/>
        <m/>
        <s v="Perbaikan Exhaust fan"/>
        <s v="Pengecekan/Pergantian BFAN BTS"/>
      </sharedItems>
    </cacheField>
    <cacheField name="Prioritas" numFmtId="0">
      <sharedItems containsBlank="1">
        <s v="P3"/>
        <s v="P1"/>
        <s v="P2"/>
        <s v=""/>
        <m/>
      </sharedItems>
    </cacheField>
    <cacheField name="Site ID" numFmtId="0">
      <sharedItems containsBlank="1">
        <m/>
        <s v="NTH149"/>
        <s v="COH937"/>
        <s v="PRC038"/>
        <s v="KKP305"/>
        <s v="KKP117"/>
        <s v="PRC225 (backup)"/>
        <s v="TML005 (Backup)"/>
        <s v="KKP072 (backup)"/>
        <s v="KKP065 (Backup)"/>
        <s v="MTW004 (Backup)"/>
        <s v="KKP007"/>
        <s v="PRC008"/>
        <s v="BNT006"/>
        <s v="AMT003"/>
        <s v="PRC189"/>
        <s v="KKP159"/>
        <s v="KKP113"/>
        <s v="PRC200 (backup)"/>
        <s v="KKP005 (backup)"/>
        <s v="KKP065 "/>
        <s v="KKP146"/>
        <s v="TML026"/>
        <s v="PRC051"/>
        <s v="BNT006 "/>
        <s v="MTW062"/>
        <s v="MTW088"/>
        <s v="PRC005"/>
        <s v="KKP093"/>
        <s v="KKP036 "/>
        <s v="BNT044"/>
        <s v="MTW017 (PMG)"/>
        <s v="COH953"/>
        <s v="TML"/>
        <s v="NTH079"/>
        <s v="KKP038"/>
        <s v="KSN002"/>
        <s v="PLK012"/>
        <s v="PLK093"/>
        <s v="PPS007"/>
        <s v="BNT008"/>
        <s v="TML113"/>
        <s v="KKP008"/>
        <s v="MTW071"/>
        <s v="KKP225"/>
        <s v="KKP067"/>
        <s v="TML082"/>
        <s v="KKP087"/>
        <s v="KKP218"/>
        <s v="MTW067"/>
        <s v="KKP217"/>
        <s v="PLK046"/>
        <s v="PLK247"/>
        <s v="PPS054"/>
        <s v="KKN006"/>
        <s v="KSN765"/>
        <s v="KSN713"/>
        <s v="PLK018"/>
        <s v="PLK835"/>
        <s v="KKP005"/>
        <s v="KKP025"/>
        <s v="KKP046"/>
        <s v="MTW"/>
        <s v="TML112"/>
        <s v="COH670"/>
        <s v="KKP066"/>
        <s v="KSN015"/>
        <s v="KSN028"/>
        <s v="PLK260"/>
        <s v="KSN150"/>
        <s v="KSN023"/>
        <s v="PLK081"/>
        <s v="PLK002"/>
        <s v="PLK274"/>
        <s v="PLK239"/>
        <s v="PLK240"/>
        <s v="PPS026"/>
        <s v="KSN005"/>
        <s v="PLK261"/>
        <s v="KKN074"/>
        <s v="BNT001"/>
        <s v="TML003"/>
        <s v="MTW082"/>
        <s v="MTW249"/>
        <s v="PRC187"/>
        <s v="KKP003"/>
        <s v="KKP156"/>
        <s v="KKP220"/>
        <s v="NTH070"/>
        <s v="NTH065"/>
        <s v="BNT045"/>
        <s v="NTH115"/>
        <s v="TML005"/>
        <s v="MTW172"/>
        <s v="PRC024"/>
        <s v="KKP034"/>
        <s v="KKP072"/>
        <s v="PRC225"/>
        <s v="COH959"/>
        <s v="KKN011"/>
        <s v="KSN021"/>
        <s v="KSN153"/>
        <s v="PLK819"/>
        <s v="PLK269"/>
        <s v="PLK202"/>
        <s v="BNT015"/>
        <s v="MTW009"/>
        <s v="TML055"/>
        <s v="TML035"/>
        <s v="MTW085"/>
        <s v="PRC025"/>
        <s v="KKP310"/>
        <s v="KKP023"/>
        <s v="KKP022"/>
        <s v="BNT017"/>
        <s v="BNT523"/>
        <s v="PRC"/>
        <s v="BNT027"/>
        <s v="TML030"/>
        <s v="NTH123"/>
        <s v="MTW002"/>
        <s v="PRC009"/>
        <s v="KKP157"/>
        <s v="BNT023"/>
        <s v="PRC012 &amp; PRC009"/>
        <s v="PLK102"/>
        <s v="PLK255"/>
        <s v="PLK111"/>
        <s v="KKP044"/>
        <s v="COH979"/>
        <s v="PPS084"/>
        <s v="PPS109"/>
        <s v="KKN151"/>
        <s v="KSN006"/>
        <s v="KSN036"/>
        <s v="KKN054"/>
        <s v="PLK098"/>
        <s v="PLK278"/>
        <s v="NTH148"/>
        <s v="PRC166"/>
        <s v="KKP036"/>
        <s v="KKP002"/>
        <s v="KKP055"/>
        <s v="MTW005"/>
        <s v="PPS061"/>
        <s v="PPS139"/>
        <s v="PLK734"/>
        <s v="COH980"/>
        <s v="PLK024"/>
        <s v="PPS008"/>
        <s v="KSN024"/>
        <s v="BNT007"/>
        <s v="TML029"/>
        <s v="TML026, BNT160"/>
        <s v="MTW248, MTW067"/>
        <s v="MTW059"/>
        <s v="PRC002"/>
        <s v="KKP045"/>
        <s v="KKP064, KKP125"/>
        <s v="TML038, TML035"/>
        <s v="KKP312"/>
        <s v="BNT002"/>
        <s v="BNT025"/>
        <s v="BNT004"/>
        <s v="PRC030"/>
        <s v="KKP065"/>
        <s v="KKP293"/>
        <s v="KKP344"/>
        <s v="PLK237"/>
        <s v="PPS264"/>
        <s v="NTH044"/>
        <s v="KKN029"/>
        <s v="KKN012"/>
        <s v="KKN004"/>
        <s v="PLK011"/>
        <s v="NTH245"/>
        <s v="NTH119"/>
        <s v="PRC200"/>
        <s v="KKP033"/>
        <s v="NTH082"/>
        <s v="NTH250"/>
        <s v="KSN722"/>
        <s v="KSN188"/>
        <s v="KSN721"/>
        <s v="KSN048"/>
        <s v="PPS101"/>
        <s v="NTH147"/>
        <s v="KKP023, KKP321, PLK814"/>
        <s v="TML237"/>
        <s v="PPS065"/>
        <s v="KKN025"/>
        <s v="KKN034"/>
        <s v="PPS020"/>
        <s v="PLK272"/>
        <s v="PPS250"/>
        <s v="NTH076"/>
        <s v="PPS013"/>
        <s v="COH049"/>
        <s v="KKP054"/>
        <s v="KKP074"/>
        <s v="MTW047"/>
        <s v="PLK245"/>
        <s v="KSN003"/>
        <s v="MTW063"/>
        <s v="KKP018"/>
        <s v="TML001"/>
        <s v="PPS019"/>
        <s v="PLK242"/>
        <s v="SPT147"/>
        <s v="BNT070"/>
        <s v="BNT004 "/>
        <s v="KKP001"/>
        <s v="KKP128"/>
        <s v="BNT160"/>
        <s v="TML002"/>
        <s v="PLK171"/>
        <s v="BNT042"/>
        <s v="TML007"/>
        <s v="KKP133"/>
        <s v="KKP060"/>
        <s v="KKN018"/>
        <s v="KSN037"/>
        <s v="PLK022"/>
        <s v="MTW056"/>
        <s v="PLK029"/>
        <s v="BNT013"/>
        <s v="PRC023"/>
        <s v="COH957"/>
        <s v="KKP016"/>
        <s v="KKP095"/>
        <s v="MTW176"/>
        <s v="KSN710"/>
        <s v="KSN763"/>
        <s v="KSN022"/>
        <s v="KSN008"/>
        <s v="PLK020"/>
        <s v="PLK172"/>
        <s v="PRC190"/>
        <s v="KKP068"/>
        <s v="KKP208"/>
        <s v="KKP050"/>
        <s v="KKP031"/>
        <s v="MTW181"/>
        <s v="KSN007"/>
        <s v="PPS057"/>
        <s v="PPS224"/>
        <s v="KSN714"/>
        <s v="BNT525"/>
        <s v="MTW001"/>
        <s v="COH943"/>
        <s v="TML009"/>
        <s v="PRC018"/>
        <s v="NTH248"/>
        <s v="PLK055"/>
        <s v="PPS108"/>
        <s v="KSN009"/>
        <s v="KKN062"/>
        <s v="NTH117"/>
        <s v="MTW010"/>
        <s v="PRC042"/>
        <s v="KKP081"/>
        <s v="KKP053"/>
        <s v="KKP226"/>
        <s v="PLK021"/>
        <s v="KSN019"/>
        <s v="PPS227"/>
        <s v="BNT047"/>
        <s v="KKP136"/>
        <s v="MTW060"/>
        <s v="PLK256"/>
        <s v="PPS032"/>
        <s v="BNT085"/>
        <s v="NTH081"/>
        <s v="KKP"/>
        <s v="KKP047"/>
        <s v="TML236"/>
        <s v="COH944"/>
        <s v="PPS277"/>
        <s v="KSN356"/>
        <s v="PPS009"/>
        <s v="BNT086"/>
        <s v="MTW179"/>
        <s v="EPQ044"/>
        <s v="KKP017"/>
        <s v="PRC001"/>
        <s v="PRC007"/>
        <s v="KKP026"/>
        <s v="KKP326"/>
        <s v="KKP021"/>
      </sharedItems>
    </cacheField>
    <cacheField name="FME Name" numFmtId="0">
      <sharedItems containsBlank="1">
        <s v="Putra wardana"/>
        <s v="Sailillah"/>
        <s v="Tiviansyah"/>
        <s v="munawir akhmad"/>
        <s v="Murjani"/>
        <s v="Reynaldy Ricardo Putra"/>
        <s v="Sahrul Saputra"/>
        <s v="Ahmad Muzakir"/>
        <s v="Harun Nurasyid"/>
        <s v="Nurhayat"/>
        <s v="Pujianto"/>
        <s v="Alfi Syahri"/>
        <s v="Taklim"/>
        <s v="Riko setiadi"/>
        <s v="Khilal dawai katiri"/>
        <s v="Yahya Muhamad"/>
        <s v="Trisno Susanto"/>
        <s v="Indra"/>
        <s v="Darli"/>
        <s v="AHMAD ARDIANTO FIRMANSYAH"/>
        <s v="Purwanto"/>
        <s v="Sairaji"/>
        <s v="Sarwono"/>
        <s v="Fajrianur wahid"/>
        <s v="Agus muliana pamungkas"/>
        <s v="Riki Hidayat"/>
        <s v="Dayatullah"/>
        <s v="Armadi"/>
        <s v="Jumadi"/>
        <s v="Ahmad Setiawan"/>
        <s v="Oky Bangkit Pamungkas"/>
        <s v="Fahmi"/>
        <s v="james jimbris"/>
        <s v="Ahmad"/>
        <s v="Adi Bowo Santoso"/>
        <s v="Muhamad Rayhan"/>
        <s v="Leonard"/>
        <s v="Aulia Rahman"/>
        <s v="Muhammad Mukhlis"/>
        <s v="Muhammad Mukti"/>
        <s v="Elia Ronaldo"/>
        <s v="melky.O.Tulangow"/>
        <s v="Rio ardinata"/>
        <s v="hory yusmanto"/>
        <m/>
      </sharedItems>
    </cacheField>
    <cacheField name="Role" numFmtId="0">
      <sharedItems containsBlank="1">
        <s v="TE"/>
        <s v="MBP"/>
        <s v="CME"/>
        <s v="PM"/>
        <s v=""/>
        <m/>
      </sharedItems>
    </cacheField>
    <cacheField name="RTS Name" numFmtId="0">
      <sharedItems containsBlank="1">
        <s v="Winda Sokenda"/>
        <s v="Doni Damara"/>
        <m/>
      </sharedItems>
    </cacheField>
    <cacheField name="Cluster" numFmtId="0">
      <sharedItems containsBlank="1">
        <s v="Barito Raya"/>
        <s v="Palangkaraya"/>
        <m/>
      </sharedItems>
    </cacheField>
    <cacheField name="Category Activity" numFmtId="0">
      <sharedItems containsBlank="1">
        <s v="Standby"/>
        <s v="Preventive"/>
        <s v="Sick"/>
        <s v="Corrective"/>
        <s v="On Leave"/>
        <s v=""/>
        <m/>
      </sharedItems>
    </cacheField>
    <cacheField name="Detail Activity" numFmtId="0">
      <sharedItems containsBlank="1">
        <s v="Standby On Call"/>
        <s v="MCB trip/Power upnormal"/>
        <s v="Sick"/>
        <s v="Pemadaman,MCB Trip,Transmisi problem"/>
        <s v="Perbaikan Auto,pergantian relay,timer, yang berhubungan genset"/>
        <s v="Replace Optik,RRU/Soket Power/Replace GPS"/>
        <s v="Preventive Maintenance"/>
        <s v="Pengukuran dan pengambilan data log serta input Gdoc BBT"/>
        <s v="Impact BTS down / RX Level &gt;70 / PL"/>
        <s v="Penambahan Modul Recti"/>
        <s v="Replace Jumper,antena/RRU"/>
        <s v="Support Event"/>
        <s v="On Leave"/>
        <s v="Instalasi Battery"/>
        <s v="Pengawalan akses Vendor"/>
        <s v="Akses/Hub Site problem metro"/>
        <s v="Add New Sector antena/rru"/>
        <s v="Replace FAN Rectifier"/>
        <s v=""/>
        <s v="Perbaikan Exhaust fan"/>
        <s v="Bts High temp impact fliker"/>
        <m/>
      </sharedItems>
    </cacheField>
    <cacheField name="Activity" numFmtId="0">
      <sharedItems containsBlank="1">
        <s v="Standby"/>
        <s v="On Progress"/>
        <s v="Waiting Material"/>
        <m/>
      </sharedItems>
    </cacheField>
    <cacheField name="Start Date">
      <sharedItems containsDate="1" containsString="0" containsBlank="1" containsMixedTypes="1">
        <d v="2026-10-20T00:00:00Z"/>
        <d v="2026-10-15T00:00:00Z"/>
        <d v="2026-10-12T00:00:00Z"/>
        <d v="2026-10-13T00:00:00Z"/>
        <d v="2025-12-13T00:00:00Z"/>
        <n v="3698431.0"/>
        <d v="2025-12-16T00:00:00Z"/>
        <d v="2025-12-17T00:00:00Z"/>
        <d v="2025-12-18T00:00:00Z"/>
        <d v="2025-12-19T00:00:00Z"/>
        <d v="2025-12-22T00:00:00Z"/>
        <d v="2025-12-23T00:00:00Z"/>
        <d v="2025-12-24T00:00:00Z"/>
        <d v="2025-12-29T00:00:00Z"/>
        <d v="2025-12-30T00:00:00Z"/>
        <d v="2025-12-31T00:00:00Z"/>
        <d v="2026-01-02T00:00:00Z"/>
        <d v="2026-01-05T00:00:00Z"/>
        <d v="2026-01-06T00:00:00Z"/>
        <d v="2026-01-09T00:00:00Z"/>
        <d v="2026-01-07T00:00:00Z"/>
        <d v="2026-01-08T00:00:00Z"/>
        <d v="2026-01-12T00:00:00Z"/>
        <d v="2026-01-13T00:00:00Z"/>
        <d v="2026-01-14T00:00:00Z"/>
        <m/>
        <d v="2026-04-23T00:00:00Z"/>
        <d v="2026-01-15T00:00:00Z"/>
        <d v="2026-01-16T00:00:00Z"/>
        <d v="2026-01-19T00:00:00Z"/>
        <d v="2026-01-20T00:00:00Z"/>
        <d v="2026-01-21T00:00:00Z"/>
        <d v="2026-01-22T00:00:00Z"/>
        <d v="2026-01-23T00:00:00Z"/>
        <d v="2026-01-26T00:00:00Z"/>
      </sharedItems>
    </cacheField>
    <cacheField name="End Date">
      <sharedItems containsDate="1" containsString="0" containsBlank="1" containsMixedTypes="1">
        <d v="2026-10-20T00:00:00Z"/>
        <d v="2026-10-15T00:00:00Z"/>
        <d v="2026-10-12T00:00:00Z"/>
        <d v="2026-10-13T00:00:00Z"/>
        <d v="2025-12-13T00:00:00Z"/>
        <n v="3698431.0"/>
        <d v="2025-12-16T00:00:00Z"/>
        <d v="2025-12-17T00:00:00Z"/>
        <m/>
        <d v="2025-12-18T00:00:00Z"/>
        <d v="2025-12-19T00:00:00Z"/>
        <d v="2025-12-22T00:00:00Z"/>
        <d v="2025-12-23T00:00:00Z"/>
        <d v="2025-12-24T00:00:00Z"/>
        <d v="2025-12-29T00:00:00Z"/>
        <d v="2025-12-30T00:00:00Z"/>
        <d v="2025-12-31T00:00:00Z"/>
        <d v="2026-01-02T00:00:00Z"/>
        <d v="2026-01-05T00:00:00Z"/>
        <d v="2026-01-06T00:00:00Z"/>
        <d v="2026-01-07T00:00:00Z"/>
        <d v="2026-01-08T00:00:00Z"/>
        <d v="2026-01-09T00:00:00Z"/>
        <d v="2026-01-12T00:00:00Z"/>
        <d v="2026-01-13T00:00:00Z"/>
        <d v="2026-01-14T00:00:00Z"/>
        <d v="2026-04-23T00:00:00Z"/>
        <d v="2026-01-15T00:00:00Z"/>
        <d v="2026-01-19T00:00:00Z"/>
        <d v="2026-01-20T00:00:00Z"/>
        <d v="2026-01-21T00:00:00Z"/>
        <d v="2026-01-22T00:00:00Z"/>
        <d v="2026-01-23T00:00:00Z"/>
        <d v="2026-01-26T00:00:00Z"/>
      </sharedItems>
    </cacheField>
    <cacheField name="Status Task" numFmtId="0">
      <sharedItems containsBlank="1">
        <s v="Done"/>
        <s v="Pending"/>
        <s v="Waiting Update"/>
        <m/>
      </sharedItems>
    </cacheField>
    <cacheField name="Remark" numFmtId="0">
      <sharedItems containsBlank="1">
        <s v="Stanby"/>
        <s v="Isi token &amp; PMS done"/>
        <s v="Izin sakit"/>
        <s v="PLN off, kawal team telkom MTW248"/>
        <s v="Replace RRU"/>
        <s v="geser KKP124 ts cell down"/>
        <s v="Lanjut Besok, kondisi hujan d jalan"/>
        <s v="Backup PRC225"/>
        <s v="Standbay Pemadaman"/>
        <s v="Backup KKP093"/>
        <s v="Backup MTW004"/>
        <s v="Kawal pengisian BBM &amp; cek genset "/>
        <s v="PMS"/>
        <s v="PMG"/>
        <s v="Replace RRU monitoring asap"/>
        <s v="PMG, waiting ops akses susur sungai"/>
        <s v="Plan CO MTW180"/>
        <s v="Pembersihan VP"/>
        <s v="Cek power"/>
        <s v="BBT 0"/>
        <s v="Replace APR"/>
        <s v="Cell Flicker"/>
        <s v="Koordinasi to pjs"/>
        <m/>
        <s v="Backup PRC043"/>
        <s v="Backup KKP008"/>
        <s v="Backup KKP004"/>
        <s v="Backup KKP065"/>
        <s v="Waiting RRU"/>
        <s v="Lanjut 16/12/2025, kemarin mobil amblas"/>
        <s v="Lanjut 16/12/2025 "/>
        <s v="Team relokasi battery 2P dari KKP019 ke KKP034"/>
        <s v="Team ts celldown di KKP011"/>
        <s v="LEAVE"/>
        <s v="cell down imacro PLK247 penarikan &amp; penyambungan optic"/>
        <s v="Pengawalan Team balmon"/>
        <s v="VSWR "/>
        <s v="Dismentle RRU"/>
        <s v="Mengubah arah imacro "/>
        <s v="cek Cell Down"/>
        <s v="Cek battrey"/>
        <s v="Pengecekan di sisi rru dan optic"/>
        <s v="team kendala kurang sehat"/>
        <s v="Kunci belting missing"/>
        <s v="MCB Multiguna hancur imbas petir"/>
        <s v="Add B2B nms"/>
        <s v="Slot dcpdb longgar"/>
        <s v="Genset masuk angin"/>
        <s v="CO  RIP TO METRO"/>
        <s v="Team ts site down PRC200"/>
        <s v="Backup Pemadaman"/>
        <s v="Site down, PLN Problem"/>
        <s v="SWACAM KWH PLN"/>
        <s v="POWER PLN TIDAK STABIL, ATS NYANGKUT"/>
        <s v="cuaca hujan"/>
        <s v="waiting cable jumper"/>
        <s v="Terkendala Cuaca hujan"/>
        <s v="AKSES BANJIR"/>
        <s v="ISI TOKEN"/>
        <s v="LANJUT BESOK, CUACA HUJAN"/>
        <s v="Backup "/>
        <s v="LANJUT REPLACE ODU"/>
        <s v="PATROLI"/>
        <s v="Site UP"/>
        <s v="Part di tempat TE yg lg sakit, team TE loss kontak"/>
        <s v="Replace Optik"/>
        <s v="LVD hang"/>
        <s v="PLN tidak stabil, 2 phasa cut"/>
        <s v="MCB trip"/>
        <s v="Part d kirim tgl 6/1/2026 siang"/>
        <s v="Backup, pln power ubnormal"/>
        <s v="Site Commcase"/>
        <s v="Replacce Jumper "/>
        <s v="Manual hybrid"/>
        <s v="Waiting part APR"/>
        <s v="Waiting part RRU &amp; Antena GPS"/>
        <s v="Waiting LVD &amp; Ioboard"/>
        <s v="Pending RRU"/>
        <s v="Waiting MCB 125A"/>
        <s v="CR "/>
        <s v="masih ada 2 cell down, lanjut besok"/>
      </sharedItems>
    </cacheField>
    <cacheField name="Long">
      <sharedItems containsMixedTypes="1" containsNumber="1">
        <n v="113.38514"/>
        <n v="1.1519868E7"/>
        <s v=""/>
        <n v="1.1490638E7"/>
        <n v="1145281.0"/>
        <n v="1.1440769E7"/>
        <n v="1.1448663E7"/>
        <n v="1.1447972E7"/>
        <n v="1.1473414E7"/>
        <n v="1.1505932E7"/>
        <n v="1.1491403E7"/>
        <n v="1.1463516E7"/>
        <n v="1.1433822E7"/>
        <n v="1.1447436E7"/>
        <n v="1.1426215E7"/>
        <n v="1.1515247E7"/>
        <n v="1.1459734E7"/>
        <n v="1.1514783E7"/>
        <n v="1.1490715E7"/>
        <n v="1.1456278E7"/>
        <n v="1146016.0"/>
        <n v="1.1518049E7"/>
        <n v="1.1514599E7"/>
        <n v="1.1438998E7"/>
        <n v="1126923.0"/>
        <n v="1.1376615E7"/>
        <n v="1.1389818E7"/>
        <n v="1.1415633E7"/>
        <n v="1.1519692E7"/>
        <n v="1.1436101E7"/>
        <n v="1.1489885E7"/>
        <n v="1.1439398E7"/>
        <n v="1.1512014E7"/>
        <n v="1.1444619E7"/>
        <n v="1.1488679E7"/>
        <n v="1.1424023E7"/>
        <n v="1.1391769E7"/>
        <n v="1.1391569E7"/>
        <n v="1.1420639E7"/>
        <n v="1.1372689E7"/>
        <n v="1.1330861E7"/>
        <n v="1.1402814E7"/>
        <n v="1.1446143E7"/>
        <n v="1.1458852E7"/>
        <n v="1.1522584E7"/>
        <n v="1.1356588E7"/>
        <n v="1.1321067E7"/>
        <n v="1129584.0"/>
        <n v="1.1393324E7"/>
        <n v="112496.0"/>
        <n v="113289.0"/>
        <n v="1.1388602E7"/>
        <n v="1.1391151E7"/>
        <n v="1.1390364E7"/>
        <n v="1.1390138E7"/>
        <n v="1.1415421E7"/>
        <n v="1.1345406E7"/>
        <n v="1.1393729E7"/>
        <n v="1.1392894E7"/>
        <n v="1.1521413E7"/>
        <n v="1.1489651E7"/>
        <n v="1.1441666E7"/>
        <n v="1.1455174E7"/>
        <n v="1141726.0"/>
        <n v="1.1424508E7"/>
        <n v="1.1405308E7"/>
        <n v="1.1525479E7"/>
        <n v="1.1474127E7"/>
        <n v="1.1453975E7"/>
        <n v="1.1441518E7"/>
        <n v="1.1457831E7"/>
        <n v="1.1343026E7"/>
        <n v="1.12622896E8"/>
        <n v="1.1386294E7"/>
        <n v="1.1375989E7"/>
        <n v="1.1393233E7"/>
        <n v="1.1490238E7"/>
        <n v="1152699.0"/>
        <n v="1.1514895E7"/>
        <n v="1.1489353E7"/>
        <n v="1.1415439E7"/>
        <n v="1.1421141E7"/>
        <n v="1.1451949E7"/>
        <n v="1.1430901E7"/>
        <n v="1.1513525E7"/>
        <n v="1.1524776E7"/>
        <n v="1149024.0"/>
        <n v="1.1450418E7"/>
        <n v="1.1390551E7"/>
        <n v="1.1392467E7"/>
        <n v="1138911.0"/>
        <n v="1.1418992E7"/>
        <n v="1.1347421E7"/>
        <n v="1.1309504E7"/>
        <n v="1.1391816E7"/>
        <n v="1145157.0"/>
        <n v="1.1463015E7"/>
        <n v="1.1395425E7"/>
        <n v="1.1394447E7"/>
        <n v="1139481.0"/>
        <n v="1.1368627E7"/>
        <n v="1.12958977E8"/>
        <n v="1.1524123E7"/>
        <n v="1149522.0"/>
        <n v="1.1473469E7"/>
        <n v="1.1428453E7"/>
        <n v="1.1483654E7"/>
        <n v="1.1456408E7"/>
        <n v="1144008.0"/>
        <n v="1.1440778E7"/>
        <n v="1.1391264E7"/>
        <n v="1.1391273E7"/>
        <n v="1127164.0"/>
        <n v="113877.0"/>
        <n v="1.1494045E7"/>
        <n v="1.1458301E7"/>
        <n v="1.1381485E7"/>
        <n v="1.1360951E7"/>
        <n v="1.1260717E7"/>
        <n v="1.1334753E7"/>
        <n v="1.1412495E7"/>
        <n v="1138836.0"/>
        <n v="1.1275382E7"/>
        <n v="1142576.0"/>
        <n v="1.1486264E7"/>
        <n v="1.1308922E7"/>
        <n v="1.1489533E7"/>
        <n v="1.1480614E7"/>
      </sharedItems>
    </cacheField>
    <cacheField name="Lat" numFmtId="0">
      <sharedItems containsString="0" containsBlank="1" containsNumber="1">
        <n v="-1.3519"/>
        <m/>
      </sharedItems>
    </cacheField>
    <cacheField name="Tanggal" numFmtId="0">
      <sharedItems>
        <s v="20"/>
        <s v="15"/>
        <s v="12"/>
        <s v="13"/>
        <s v="16"/>
        <s v="17"/>
        <s v="18"/>
        <s v="19"/>
        <s v="22"/>
        <s v="23"/>
        <s v="24"/>
        <s v="29"/>
        <s v="30"/>
        <s v="31"/>
        <s v="02"/>
        <s v="05"/>
        <s v="06"/>
        <s v="09"/>
        <s v="07"/>
        <s v="08"/>
        <s v="14"/>
        <s v=""/>
        <s v="21"/>
        <s v="26"/>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P3006" sheet="to do list"/>
  </cacheSource>
  <cacheFields>
    <cacheField name="Category Task" numFmtId="0">
      <sharedItems containsBlank="1">
        <s v="Standby On Call"/>
        <s v="Pengecekan Power"/>
        <s v="Sick"/>
        <s v="Site Down"/>
        <s v="Tshoot Genset"/>
        <s v="Cell down"/>
        <s v="PM"/>
        <s v="Pengecekan battrey"/>
        <s v="Repointing MW"/>
        <s v="Penambahan Modul Recti"/>
        <s v="Vswr"/>
        <s v="Support Event"/>
        <s v="On Leave"/>
        <s v="Pemasangan battrey"/>
        <s v="Pengawalan akses Vendor"/>
        <s v="Pengawalan Team telkom"/>
        <s v="Add Sector RRU"/>
        <s v="Replace FAN Rectifier"/>
        <m/>
        <s v="Perbaikan Exhaust fan"/>
        <s v="Pengecekan/Pergantian BFAN BTS"/>
        <s v="Eas Validation"/>
        <s v="VALIDASI ASSET"/>
      </sharedItems>
    </cacheField>
    <cacheField name="Prioritas" numFmtId="0">
      <sharedItems>
        <s v="P3"/>
        <s v="P1"/>
        <s v="P2"/>
        <s v=""/>
      </sharedItems>
    </cacheField>
    <cacheField name="Site ID" numFmtId="0">
      <sharedItems containsBlank="1">
        <m/>
        <s v="NTH149"/>
        <s v="COH937"/>
        <s v="PRC038"/>
        <s v="KKP305"/>
        <s v="KKP117"/>
        <s v="PRC225 (backup)"/>
        <s v="TML005 (Backup)"/>
        <s v="KKP072 (backup)"/>
        <s v="KKP065 (Backup)"/>
        <s v="MTW004 (Backup)"/>
        <s v="KKP007"/>
        <s v="PRC008"/>
        <s v="BNT006"/>
        <s v="AMT003"/>
        <s v="PRC189"/>
        <s v="KKP159"/>
        <s v="KKP113"/>
        <s v="PRC200 (backup)"/>
        <s v="KKP005 (backup)"/>
        <s v="KKP065 "/>
        <s v="KKP146"/>
        <s v="TML026"/>
        <s v="PRC051"/>
        <s v="BNT006 "/>
        <s v="MTW062"/>
        <s v="MTW088"/>
        <s v="PRC005"/>
        <s v="KKP093"/>
        <s v="KKP036 "/>
        <s v="BNT044"/>
        <s v="MTW017 (PMG)"/>
        <s v="COH953"/>
        <s v="TML"/>
        <s v="NTH079"/>
        <s v="KKP038"/>
        <s v="KSN002"/>
        <s v="PLK012"/>
        <s v="PLK093"/>
        <s v="PPS007"/>
        <s v="BNT008"/>
        <s v="TML113"/>
        <s v="KKP008"/>
        <s v="MTW071"/>
        <s v="KKP225"/>
        <s v="KKP067"/>
        <s v="TML082"/>
        <s v="KKP087"/>
        <s v="KKP218"/>
        <s v="MTW067"/>
        <s v="KKP217"/>
        <s v="PLK046"/>
        <s v="PLK247"/>
        <s v="PPS054"/>
        <s v="KKN006"/>
        <s v="KSN765"/>
        <s v="KSN713"/>
        <s v="PLK018"/>
        <s v="PLK835"/>
        <s v="KKP005"/>
        <s v="KKP025"/>
        <s v="KKP046"/>
        <s v="MTW"/>
        <s v="TML112"/>
        <s v="COH670"/>
        <s v="KKP066"/>
        <s v="KSN015"/>
        <s v="KSN028"/>
        <s v="PLK260"/>
        <s v="KSN150"/>
        <s v="KSN023"/>
        <s v="PLK081"/>
        <s v="PLK002"/>
        <s v="PLK274"/>
        <s v="PLK239"/>
        <s v="PLK240"/>
        <s v="PPS026"/>
        <s v="KSN005"/>
        <s v="PLK261"/>
        <s v="KKN074"/>
        <s v="BNT001"/>
        <s v="TML003"/>
        <s v="MTW082"/>
        <s v="MTW249"/>
        <s v="PRC187"/>
        <s v="KKP003"/>
        <s v="KKP156"/>
        <s v="KKP220"/>
        <s v="NTH070"/>
        <s v="NTH065"/>
        <s v="BNT045"/>
        <s v="NTH115"/>
        <s v="TML005"/>
        <s v="MTW172"/>
        <s v="PRC024"/>
        <s v="KKP034"/>
        <s v="KKP072"/>
        <s v="PRC225"/>
        <s v="COH959"/>
        <s v="KKN011"/>
        <s v="KSN021"/>
        <s v="KSN153"/>
        <s v="PLK819"/>
        <s v="PLK269"/>
        <s v="PLK202"/>
        <s v="BNT015"/>
        <s v="MTW009"/>
        <s v="TML055"/>
        <s v="TML035"/>
        <s v="MTW085"/>
        <s v="PRC025"/>
        <s v="KKP310"/>
        <s v="KKP023"/>
        <s v="KKP022"/>
        <s v="BNT017"/>
        <s v="BNT523"/>
        <s v="PRC"/>
        <s v="BNT027"/>
        <s v="TML030"/>
        <s v="NTH123"/>
        <s v="MTW002"/>
        <s v="PRC009"/>
        <s v="KKP157"/>
        <s v="BNT023"/>
        <s v="PRC012 &amp; PRC009"/>
        <s v="PLK102"/>
        <s v="PLK255"/>
        <s v="PLK111"/>
        <s v="KKP044"/>
        <s v="COH979"/>
        <s v="PPS084"/>
        <s v="PPS109"/>
        <s v="KKN151"/>
        <s v="KSN006"/>
        <s v="KSN036"/>
        <s v="KKN054"/>
        <s v="PLK098"/>
        <s v="PLK278"/>
        <s v="NTH148"/>
        <s v="PRC166"/>
        <s v="KKP036"/>
        <s v="KKP002"/>
        <s v="KKP055"/>
        <s v="MTW005"/>
        <s v="PPS061"/>
        <s v="PPS139"/>
        <s v="PLK734"/>
        <s v="COH980"/>
        <s v="PLK024"/>
        <s v="PPS008"/>
        <s v="KSN024"/>
        <s v="BNT007"/>
        <s v="TML029"/>
        <s v="TML026, BNT160"/>
        <s v="MTW248, MTW067"/>
        <s v="MTW059"/>
        <s v="PRC002"/>
        <s v="KKP045"/>
        <s v="KKP064, KKP125"/>
        <s v="TML038, TML035"/>
        <s v="KKP312"/>
        <s v="BNT002"/>
        <s v="BNT025"/>
        <s v="BNT004"/>
        <s v="PRC030"/>
        <s v="KKP065"/>
        <s v="KKP293"/>
        <s v="KKP344"/>
        <s v="PLK237"/>
        <s v="PPS264"/>
        <s v="NTH044"/>
        <s v="KKN029"/>
        <s v="KKN012"/>
        <s v="KKN004"/>
        <s v="PLK011"/>
        <s v="NTH245"/>
        <s v="NTH119"/>
        <s v="PRC200"/>
        <s v="KKP033"/>
        <s v="NTH082"/>
        <s v="NTH250"/>
        <s v="KSN722"/>
        <s v="KSN188"/>
        <s v="KSN721"/>
        <s v="KSN048"/>
        <s v="PPS101"/>
        <s v="NTH147"/>
        <s v="KKP023, KKP321, PLK814"/>
        <s v="TML237"/>
        <s v="PPS065"/>
        <s v="KKN025"/>
        <s v="KKN034"/>
        <s v="PPS020"/>
        <s v="PLK272"/>
        <s v="PPS250"/>
        <s v="NTH076"/>
        <s v="PPS013"/>
        <s v="COH049"/>
        <s v="KKP054"/>
        <s v="KKP074"/>
        <s v="MTW047"/>
        <s v="PLK245"/>
        <s v="KSN003"/>
        <s v="MTW063"/>
        <s v="KKP018"/>
        <s v="TML001"/>
        <s v="PPS019"/>
        <s v="PLK242"/>
        <s v="SPT147"/>
        <s v="BNT070"/>
        <s v="BNT004 "/>
        <s v="KKP001"/>
        <s v="KKP128"/>
        <s v="BNT160"/>
        <s v="TML002"/>
        <s v="PLK171"/>
        <s v="BNT042"/>
        <s v="TML007"/>
        <s v="KKP133"/>
        <s v="KKP060"/>
        <s v="KKN018"/>
        <s v="KSN037"/>
        <s v="PLK022"/>
        <s v="MTW056"/>
        <s v="PLK029"/>
        <s v="BNT013"/>
        <s v="PRC023"/>
        <s v="COH957"/>
        <s v="KKP016"/>
        <s v="KKP095"/>
        <s v="MTW176"/>
        <s v="KSN710"/>
        <s v="KSN763"/>
        <s v="KSN022"/>
        <s v="KSN008"/>
        <s v="PLK020"/>
        <s v="PLK172"/>
        <s v="PRC190"/>
        <s v="KKP068"/>
        <s v="KKP208"/>
        <s v="KKP050"/>
        <s v="KKP031"/>
        <s v="MTW181"/>
        <s v="KSN007"/>
        <s v="PPS057"/>
        <s v="PPS224"/>
        <s v="KSN714"/>
        <s v="BNT525"/>
        <s v="MTW001"/>
        <s v="COH943"/>
        <s v="TML009"/>
        <s v="PRC018"/>
        <s v="NTH248"/>
        <s v="PLK055"/>
        <s v="PPS108"/>
        <s v="KSN009"/>
        <s v="KKN062"/>
        <s v="NTH117"/>
        <s v="MTW010"/>
        <s v="PRC042"/>
        <s v="KKP081"/>
        <s v="KKP053"/>
        <s v="KKP226"/>
        <s v="PLK021"/>
        <s v="KSN019"/>
        <s v="PPS227"/>
        <s v="BNT047"/>
        <s v="KKP136"/>
        <s v="MTW060"/>
        <s v="PLK256"/>
        <s v="PPS032"/>
        <s v="BNT085"/>
        <s v="NTH081"/>
        <s v="KKP"/>
        <s v="KKP047"/>
        <s v="TML236"/>
        <s v="COH944"/>
        <s v="PPS277"/>
        <s v="KSN356"/>
        <s v="PPS009"/>
        <s v="BNT086"/>
        <s v="MTW179"/>
        <s v="EPQ044"/>
        <s v="KKP017"/>
        <s v="PRC001"/>
        <s v="PRC007"/>
        <s v="KKP026"/>
        <s v="KKP326"/>
        <s v="KKP021"/>
        <s v="MTW017"/>
        <s v="MTW090"/>
        <s v="TRAINING WAH"/>
        <s v="KKP048"/>
        <s v="BNT005"/>
        <s v="PLK103"/>
        <s v="PLK053"/>
        <s v="PLK176"/>
        <s v="PLK722"/>
        <s v="PLK015"/>
        <s v="PLK070"/>
        <s v="BNT041"/>
        <s v="MTW023"/>
        <s v="KKP340"/>
        <s v="MTW015"/>
        <s v="PPS045"/>
        <s v="PLK273"/>
        <s v="PPS001"/>
        <s v="TML011"/>
        <s v="TRAINING"/>
        <s v="TML037"/>
        <s v="BNT195"/>
        <s v="KKP058"/>
        <s v="MTW035"/>
        <s v="KKP119"/>
        <s v="BNT088"/>
        <s v="TML078"/>
        <s v="KKP089"/>
        <s v="KKP090"/>
        <s v="PLK141"/>
        <s v="PPS011"/>
        <s v="KSN011"/>
        <s v="PLK010"/>
        <s v="BNT026"/>
        <s v="TML025"/>
        <s v="MTW039"/>
        <s v="PRC191"/>
        <s v="MTW052"/>
        <s v="PLK077"/>
        <s v="NTH088"/>
        <s v="BNT010"/>
        <s v="TML013"/>
        <s v="KKP300"/>
        <s v="KKP014"/>
        <s v="TML040"/>
        <s v="TML038"/>
        <s v="MTW079"/>
        <s v="MTW013"/>
        <s v="NTH129"/>
        <s v="TRAINING EXAM"/>
        <s v="KKP030"/>
        <s v="PRC041"/>
        <s v="COH070"/>
        <s v="MCU"/>
        <s v="TRAINING BATCH 2"/>
        <s v="KKP040"/>
        <s v="TML012"/>
        <s v="KKP027"/>
        <s v="MTW004"/>
        <s v="PLK730"/>
        <s v="NTH112"/>
        <s v="NTH144"/>
        <s v="KKN064"/>
        <s v="BNT048"/>
        <s v="MTW011"/>
        <s v="NTH058"/>
        <s v="BNT031"/>
        <s v="KKP062"/>
        <s v="TML028"/>
        <s v="PRC014"/>
        <s v="KKP019"/>
        <s v="PRC058"/>
        <s v="PLK145"/>
        <s v="KSN055"/>
        <s v="KSN032"/>
        <s v="MTW0059"/>
        <s v="PLK105"/>
        <s v="KKP078"/>
        <s v="MTW043"/>
        <s v="PRC017"/>
        <s v="KKP339"/>
        <s v="KKP041"/>
        <s v="KKP013"/>
        <s v="PLK146"/>
        <s v="PLK080"/>
        <s v="KKN055"/>
        <s v="KSN001"/>
        <s v="TML2338"/>
        <s v="MTW073"/>
        <s v="KKP124"/>
        <s v="TML238"/>
        <s v="PRC004"/>
        <s v="PLK003"/>
        <s v="PPS002"/>
        <s v="KKN005"/>
        <s v="CO Metro TML004"/>
        <s v="KKP064"/>
        <s v="PLK005"/>
        <s v="PPS285"/>
        <s v="COH082"/>
        <s v="KSN027"/>
        <s v="BNT019"/>
        <s v="add B2B PRC200"/>
        <s v="KKP082"/>
        <s v="TML019"/>
        <s v="MTW066"/>
        <s v="TML161"/>
        <s v="PLK254"/>
        <s v="KSN769"/>
        <s v="KKN027"/>
        <s v="TML180"/>
        <s v="MTW003"/>
        <s v="KKP039"/>
        <s v="KKP035"/>
        <s v="PLK179"/>
        <s v="PPS094"/>
        <s v="BNT050"/>
        <s v="KKP077"/>
        <s v="PLK709"/>
        <s v="PLK094"/>
        <s v="PLK001"/>
        <s v="PPS132"/>
        <s v="MTW084"/>
        <s v="NTH012"/>
        <s v="PLK708"/>
        <s v="KSN014"/>
        <s v="PLK028"/>
        <s v="CUTI NIKAH"/>
        <s v="TML005 / TS NMS"/>
        <s v="KKP096"/>
        <s v="KKP059"/>
        <s v="TML127"/>
        <s v="PRC029"/>
        <s v="KKP227"/>
        <s v="PLK019"/>
        <s v="MTW136"/>
        <s v="KKP104"/>
        <s v="KSN053"/>
        <s v="KSN039"/>
        <s v="PLK083"/>
        <s v="PLK156"/>
        <s v="Antar modul apr"/>
        <s v="PLK079"/>
        <s v="KSN004"/>
        <s v="TML010"/>
        <s v="Survey loss PT ISA"/>
        <s v="COH069"/>
        <s v="KKP006"/>
        <s v="KKN073"/>
        <s v="NTH263"/>
        <s v="PT ISA PKS"/>
        <s v="NTH267"/>
        <s v="KKN049"/>
        <s v="MTW061"/>
        <s v="NTH253"/>
        <s v="PRC006"/>
        <s v="BNT"/>
        <s v="PRC013"/>
        <s v="MTW072"/>
        <s v="KKP223"/>
        <s v="PRC043"/>
        <s v="PPS060"/>
        <s v="PLK006"/>
        <s v="PLK027"/>
        <s v="PLK051"/>
        <s v="PPS222"/>
        <s v="PPS027"/>
        <s v="COH068"/>
        <s v="COH862"/>
        <s v="PLK035"/>
        <s v="PPS131"/>
        <s v="KKN056"/>
        <s v="KKN007"/>
        <s v="TIMPAH"/>
        <s v="PLK842 BBT"/>
        <s v="KSN710 BBT"/>
        <s v="PLK813 -PLK730"/>
        <s v="PPS003"/>
        <s v="PPS013 BBT"/>
        <s v="KSN720"/>
        <s v="&#10;"/>
        <s v="KKN029 BBT"/>
        <s v="NTH071"/>
        <s v="PLK813"/>
        <s v="KKN003,KKN004"/>
        <s v="PLK234"/>
        <s v="PLK103 BBT"/>
        <s v="PLK259 BBT"/>
        <s v="PLK121"/>
        <s v="KKN223"/>
        <s v="PLK191,PLK195,PLK735"/>
        <s v="PLK032"/>
        <s v="PLK261,PLK054"/>
        <s v="PLK090,PLK121"/>
        <s v="PLK234,PLK275"/>
        <s v="PLK144,PLK048"/>
        <s v="PPS095"/>
        <s v="KSN016"/>
        <s v="KKN001"/>
        <s v="PLK818,PLK177"/>
        <s v="PLK013,PLK073"/>
        <s v="PLK250,PLK059"/>
        <s v="PLK275"/>
        <s v="KSN041"/>
        <s v="OG"/>
        <s v="PLK032,PLK098"/>
        <s v="PLK849"/>
        <s v="NTH047"/>
        <s v="KKN016"/>
        <s v="PLK002 ,PLK071"/>
        <s v="KSN020"/>
        <s v="PLK065,PL063,PLK045"/>
        <s v="PLK708 BBT"/>
        <s v="KSN720,KSN012"/>
        <s v="PLK168 BBT"/>
        <s v="PLK200 BBT"/>
        <s v="KSN012,KSN720"/>
        <s v="PPS221,PPS285 BBT"/>
        <s v="PPS011 BBT"/>
        <s v="KKN158 BBT"/>
        <s v="KSN129 BBT"/>
        <s v="KSN762"/>
      </sharedItems>
    </cacheField>
    <cacheField name="FME Name" numFmtId="0">
      <sharedItems containsBlank="1">
        <s v="Putra wardana"/>
        <s v="Sailillah"/>
        <s v="Tiviansyah"/>
        <s v="munawir akhmad"/>
        <s v="Murjani"/>
        <s v="Reynaldy Ricardo Putra"/>
        <s v="Sahrul Saputra"/>
        <s v="Ahmad Muzakir"/>
        <s v="Harun Nurasyid"/>
        <s v="Nurhayat"/>
        <s v="Pujianto"/>
        <s v="Alfi Syahri"/>
        <s v="Taklim"/>
        <s v="Riko setiadi"/>
        <s v="Khilal dawai katiri"/>
        <s v="Yahya Muhamad"/>
        <s v="Trisno Susanto"/>
        <s v="Indra"/>
        <s v="Darli"/>
        <s v="AHMAD ARDIANTO FIRMANSYAH"/>
        <s v="Purwanto"/>
        <s v="Sairaji"/>
        <s v="Sarwono"/>
        <s v="Fajrianur wahid"/>
        <s v="Agus muliana pamungkas"/>
        <s v="Riki Hidayat"/>
        <s v="Dayatullah"/>
        <s v="Armadi"/>
        <s v="Jumadi"/>
        <s v="Ahmad Setiawan"/>
        <s v="Oky Bangkit Pamungkas"/>
        <s v="Fahmi"/>
        <s v="james jimbris"/>
        <s v="Ahmad"/>
        <s v="Adi Bowo Santoso"/>
        <s v="Muhamad Rayhan"/>
        <s v="Leonard"/>
        <s v="Aulia Rahman"/>
        <s v="Muhammad Mukhlis"/>
        <s v="Muhammad Mukti"/>
        <s v="Elia Ronaldo"/>
        <s v="melky.O.Tulangow"/>
        <s v="Rio ardinata"/>
        <s v="hory yusmanto"/>
        <m/>
        <s v="DIDI"/>
        <s v="Gilbert"/>
        <s v="M. Rifani"/>
        <s v="PRADILA"/>
        <s v="RYOTA"/>
        <s v="FRANS"/>
        <s v="PRADILA KANDI"/>
      </sharedItems>
    </cacheField>
    <cacheField name="Role" numFmtId="0">
      <sharedItems>
        <s v="TE"/>
        <s v="MBP"/>
        <s v="CME"/>
        <s v="PM"/>
        <s v=""/>
      </sharedItems>
    </cacheField>
    <cacheField name="RTS Name" numFmtId="0">
      <sharedItems containsBlank="1">
        <s v="Winda Sokenda"/>
        <s v="Doni Damara"/>
        <m/>
      </sharedItems>
    </cacheField>
    <cacheField name="Cluster" numFmtId="0">
      <sharedItems>
        <s v="Barito Raya"/>
        <s v="Palangkaraya"/>
        <s v=""/>
      </sharedItems>
    </cacheField>
    <cacheField name="Category Activity" numFmtId="0">
      <sharedItems>
        <s v="Standby"/>
        <s v="Preventive"/>
        <s v="Sick"/>
        <s v="Corrective"/>
        <s v="On Leave"/>
        <s v=""/>
      </sharedItems>
    </cacheField>
    <cacheField name="Detail Activity" numFmtId="0">
      <sharedItems containsBlank="1">
        <s v="Standby On Call"/>
        <s v="MCB trip/Power upnormal"/>
        <s v="Sick"/>
        <s v="Pemadaman,MCB Trip,Transmisi problem"/>
        <s v="Perbaikan Auto,pergantian relay,timer, yang berhubungan genset"/>
        <s v="Replace Optik,RRU/Soket Power/Replace GPS"/>
        <s v="Preventive Maintenance"/>
        <s v="Pengukuran dan pengambilan data log serta input Gdoc BBT"/>
        <s v="Impact BTS down / RX Level &gt;70 / PL"/>
        <s v="Penambahan Modul Recti"/>
        <s v="Replace Jumper,antena/RRU"/>
        <s v="Support Event"/>
        <s v="On Leave"/>
        <s v="Instalasi Battery"/>
        <s v="Pengawalan akses Vendor"/>
        <s v="Akses/Hub Site problem metro"/>
        <s v="Add New Sector antena/rru"/>
        <s v="Replace FAN Rectifier"/>
        <s v=""/>
        <s v="Perbaikan Exhaust fan"/>
        <s v="Bts High temp impact fliker"/>
        <s v="integrasi LAN dan validasi alarm"/>
        <m/>
      </sharedItems>
    </cacheField>
    <cacheField name="Activity" numFmtId="0">
      <sharedItems containsBlank="1">
        <s v="Standby"/>
        <s v="On Progress"/>
        <s v="Waiting Material"/>
        <m/>
      </sharedItems>
    </cacheField>
    <cacheField name="Start Date">
      <sharedItems containsDate="1" containsString="0" containsBlank="1" containsMixedTypes="1">
        <d v="2026-10-20T00:00:00Z"/>
        <d v="2026-10-15T00:00:00Z"/>
        <d v="2026-10-12T00:00:00Z"/>
        <d v="2026-10-13T00:00:00Z"/>
        <d v="2025-12-13T00:00:00Z"/>
        <n v="3698431.0"/>
        <d v="2025-12-16T00:00:00Z"/>
        <d v="2025-12-17T00:00:00Z"/>
        <d v="2025-12-18T00:00:00Z"/>
        <d v="2025-12-19T00:00:00Z"/>
        <d v="2025-12-22T00:00:00Z"/>
        <d v="2025-12-23T00:00:00Z"/>
        <d v="2025-12-24T00:00:00Z"/>
        <d v="2025-12-29T00:00:00Z"/>
        <d v="2025-12-30T00:00:00Z"/>
        <d v="2025-12-31T00:00:00Z"/>
        <d v="2026-01-02T00:00:00Z"/>
        <d v="2026-01-05T00:00:00Z"/>
        <d v="2026-01-06T00:00:00Z"/>
        <d v="2026-01-09T00:00:00Z"/>
        <d v="2026-01-07T00:00:00Z"/>
        <d v="2026-01-08T00:00:00Z"/>
        <d v="2026-01-12T00:00:00Z"/>
        <d v="2026-01-13T00:00:00Z"/>
        <d v="2026-01-14T00:00:00Z"/>
        <m/>
        <d v="2026-04-23T00:00:00Z"/>
        <d v="2026-01-15T00:00:00Z"/>
        <d v="2026-01-16T00:00:00Z"/>
        <d v="2026-01-19T00:00:00Z"/>
        <d v="2026-01-20T00:00:00Z"/>
        <d v="2026-01-21T00:00:00Z"/>
        <d v="2026-01-22T00:00:00Z"/>
        <d v="2026-01-23T00:00:00Z"/>
        <d v="2026-01-26T00:00:00Z"/>
        <d v="2026-01-27T00:00:00Z"/>
        <d v="2026-01-28T00:00:00Z"/>
        <d v="2026-01-29T00:00:00Z"/>
        <d v="2026-01-30T00:00:00Z"/>
        <d v="2026-02-02T00:00:00Z"/>
        <d v="2026-02-03T00:00:00Z"/>
        <d v="2026-02-04T00:00:00Z"/>
        <d v="2026-02-05T00:00:00Z"/>
        <d v="2026-02-06T00:00:00Z"/>
        <d v="2026-02-09T00:00:00Z"/>
        <d v="2026-02-10T00:00:00Z"/>
        <d v="2026-02-11T00:00:00Z"/>
        <d v="2026-02-12T00:00:00Z"/>
        <d v="2026-02-13T00:00:00Z"/>
        <d v="2026-02-14T00:00:00Z"/>
        <d v="2026-02-16T00:00:00Z"/>
        <d v="2026-02-18T00:00:00Z"/>
        <d v="2026-02-19T00:00:00Z"/>
        <d v="2026-02-20T00:00:00Z"/>
        <d v="2026-02-23T00:00:00Z"/>
        <d v="2026-03-02T00:00:00Z"/>
        <d v="2026-03-04T00:00:00Z"/>
        <d v="2026-03-05T00:00:00Z"/>
        <d v="2026-03-06T00:00:00Z"/>
        <d v="2026-03-09T00:00:00Z"/>
        <d v="2026-03-10T00:00:00Z"/>
        <d v="2026-03-11T00:00:00Z"/>
        <d v="2026-03-13T00:00:00Z"/>
        <d v="2026-03-12T00:00:00Z"/>
        <d v="2026-04-03T00:00:00Z"/>
        <d v="2026-04-06T00:00:00Z"/>
        <d v="2026-04-07T00:00:00Z"/>
        <d v="2026-04-08T00:00:00Z"/>
        <d v="2026-04-09T00:00:00Z"/>
        <d v="2026-04-10T00:00:00Z"/>
        <d v="2026-04-17T00:00:00Z"/>
        <d v="2026-04-16T00:00:00Z"/>
        <d v="2026-04-13T00:00:00Z"/>
        <d v="2026-04-14T00:00:00Z"/>
        <d v="2026-04-15T00:00:00Z"/>
        <d v="2026-05-05T00:00:00Z"/>
        <d v="2026-06-12T00:00:00Z"/>
        <d v="2026-06-09T00:00:00Z"/>
        <d v="2026-09-30T00:00:00Z"/>
        <d v="2026-10-14T00:00:00Z"/>
        <d v="2026-10-16T00:00:00Z"/>
        <d v="2026-10-19T00:00:00Z"/>
      </sharedItems>
    </cacheField>
    <cacheField name="End Date">
      <sharedItems containsDate="1" containsString="0" containsBlank="1" containsMixedTypes="1">
        <d v="2026-10-20T00:00:00Z"/>
        <d v="2026-10-15T00:00:00Z"/>
        <d v="2026-10-12T00:00:00Z"/>
        <d v="2026-10-13T00:00:00Z"/>
        <d v="2025-12-13T00:00:00Z"/>
        <n v="3698431.0"/>
        <d v="2025-12-16T00:00:00Z"/>
        <d v="2025-12-17T00:00:00Z"/>
        <m/>
        <d v="2025-12-18T00:00:00Z"/>
        <d v="2025-12-19T00:00:00Z"/>
        <d v="2025-12-22T00:00:00Z"/>
        <d v="2025-12-23T00:00:00Z"/>
        <d v="2025-12-24T00:00:00Z"/>
        <d v="2025-12-29T00:00:00Z"/>
        <d v="2025-12-30T00:00:00Z"/>
        <d v="2025-12-31T00:00:00Z"/>
        <d v="2026-01-02T00:00:00Z"/>
        <d v="2026-01-05T00:00:00Z"/>
        <d v="2026-01-06T00:00:00Z"/>
        <d v="2026-01-07T00:00:00Z"/>
        <d v="2026-01-08T00:00:00Z"/>
        <d v="2026-01-09T00:00:00Z"/>
        <d v="2026-01-12T00:00:00Z"/>
        <d v="2026-01-13T00:00:00Z"/>
        <d v="2026-01-14T00:00:00Z"/>
        <d v="2026-04-23T00:00:00Z"/>
        <d v="2026-01-15T00:00:00Z"/>
        <d v="2026-01-19T00:00:00Z"/>
        <d v="2026-01-20T00:00:00Z"/>
        <d v="2026-01-21T00:00:00Z"/>
        <d v="2026-01-22T00:00:00Z"/>
        <d v="2026-01-23T00:00:00Z"/>
        <d v="2026-01-26T00:00:00Z"/>
        <d v="2026-01-27T00:00:00Z"/>
        <d v="2026-01-28T00:00:00Z"/>
        <d v="2026-01-29T00:00:00Z"/>
        <d v="2026-01-30T00:00:00Z"/>
        <d v="2026-02-02T00:00:00Z"/>
        <d v="2026-02-03T00:00:00Z"/>
        <d v="2026-02-04T00:00:00Z"/>
        <d v="2026-02-05T00:00:00Z"/>
        <d v="2026-02-06T00:00:00Z"/>
        <d v="2026-02-09T00:00:00Z"/>
        <d v="2026-02-10T00:00:00Z"/>
        <d v="2026-02-11T00:00:00Z"/>
        <d v="2026-02-12T00:00:00Z"/>
        <d v="2026-02-13T00:00:00Z"/>
        <d v="2026-02-14T00:00:00Z"/>
        <d v="2026-02-16T00:00:00Z"/>
        <d v="2026-02-18T00:00:00Z"/>
        <d v="2026-02-19T00:00:00Z"/>
        <d v="2026-02-20T00:00:00Z"/>
        <d v="2026-02-23T00:00:00Z"/>
        <d v="2026-03-04T00:00:00Z"/>
        <d v="2026-03-05T00:00:00Z"/>
        <d v="2026-03-06T00:00:00Z"/>
        <d v="2026-03-09T00:00:00Z"/>
        <d v="2026-03-10T00:00:00Z"/>
        <d v="2026-03-11T00:00:00Z"/>
        <d v="2026-03-12T00:00:00Z"/>
        <d v="2026-03-13T00:00:00Z"/>
        <d v="2026-04-03T00:00:00Z"/>
        <d v="2026-04-06T00:00:00Z"/>
        <d v="2026-04-07T00:00:00Z"/>
        <d v="2026-04-08T00:00:00Z"/>
        <d v="2026-04-09T00:00:00Z"/>
        <d v="2026-04-10T00:00:00Z"/>
        <d v="2026-04-13T00:00:00Z"/>
        <d v="2026-04-14T00:00:00Z"/>
        <d v="2026-04-15T00:00:00Z"/>
        <d v="2026-04-16T00:00:00Z"/>
        <d v="2026-04-17T00:00:00Z"/>
        <d v="2026-10-19T00:00:00Z"/>
      </sharedItems>
    </cacheField>
    <cacheField name="Status Task" numFmtId="0">
      <sharedItems containsBlank="1">
        <s v="Done"/>
        <s v="Pending"/>
        <s v="Waiting Update"/>
        <m/>
      </sharedItems>
    </cacheField>
    <cacheField name="Remark" numFmtId="0">
      <sharedItems containsBlank="1">
        <s v="Stanby"/>
        <s v="Isi token &amp; PMS done"/>
        <s v="Izin sakit"/>
        <s v="PLN off, kawal team telkom MTW248"/>
        <s v="Replace RRU"/>
        <s v="geser KKP124 ts cell down"/>
        <s v="Lanjut Besok, kondisi hujan d jalan"/>
        <s v="Backup PRC225"/>
        <s v="Standbay Pemadaman"/>
        <s v="Backup KKP093"/>
        <s v="Backup MTW004"/>
        <s v="Kawal pengisian BBM &amp; cek genset "/>
        <s v="PMS"/>
        <s v="PMG"/>
        <s v="Replace RRU monitoring asap"/>
        <s v="PMG, waiting ops akses susur sungai"/>
        <s v="Plan CO MTW180"/>
        <s v="Pembersihan VP"/>
        <s v="Cek power"/>
        <s v="BBT 0"/>
        <s v="Replace APR"/>
        <s v="Cell Flicker"/>
        <s v="Koordinasi to pjs"/>
        <m/>
        <s v="Backup PRC043"/>
        <s v="Backup KKP008"/>
        <s v="Backup KKP004"/>
        <s v="Backup KKP065"/>
        <s v="Waiting RRU"/>
        <s v="Lanjut 16/12/2025, kemarin mobil amblas"/>
        <s v="Lanjut 16/12/2025 "/>
        <s v="Team relokasi battery 2P dari KKP019 ke KKP034"/>
        <s v="Team ts celldown di KKP011"/>
        <s v="LEAVE"/>
        <s v="cell down imacro PLK247 penarikan &amp; penyambungan optic"/>
        <s v="Pengawalan Team balmon"/>
        <s v="VSWR "/>
        <s v="Dismentle RRU"/>
        <s v="Mengubah arah imacro "/>
        <s v="cek Cell Down"/>
        <s v="Cek battrey"/>
        <s v="Pengecekan di sisi rru dan optic"/>
        <s v="team kendala kurang sehat"/>
        <s v="Kunci belting missing"/>
        <s v="MCB Multiguna hancur imbas petir"/>
        <s v="Add B2B nms"/>
        <s v="Slot dcpdb longgar"/>
        <s v="Genset masuk angin"/>
        <s v="CO  RIP TO METRO"/>
        <s v="Team ts site down PRC200"/>
        <s v="Backup Pemadaman"/>
        <s v="Site down, PLN Problem"/>
        <s v="SWACAM KWH PLN"/>
        <s v="POWER PLN TIDAK STABIL, ATS NYANGKUT"/>
        <s v="cuaca hujan"/>
        <s v="waiting cable jumper"/>
        <s v="Terkendala Cuaca hujan"/>
        <s v="AKSES BANJIR"/>
        <s v="ISI TOKEN"/>
        <s v="LANJUT BESOK, CUACA HUJAN"/>
        <s v="Backup "/>
        <s v="LANJUT REPLACE ODU"/>
        <s v="PATROLI"/>
        <s v="Site UP"/>
        <s v="Part di tempat TE yg lg sakit, team TE loss kontak"/>
        <s v="Replace Optik"/>
        <s v="LVD hang"/>
        <s v="PLN tidak stabil, 2 phasa cut"/>
        <s v="MCB trip"/>
        <s v="Part d kirim tgl 6/1/2026 siang"/>
        <s v="Backup, pln power ubnormal"/>
        <s v="Site Commcase"/>
        <s v="Replacce Jumper "/>
        <s v="Manual hybrid"/>
        <s v="Waiting part APR"/>
        <s v="Waiting part RRU &amp; Antena GPS"/>
        <s v="Waiting LVD &amp; Ioboard"/>
        <s v="Pending RRU"/>
        <s v="Waiting MCB 125A"/>
        <s v="CR "/>
        <s v="masih ada 2 cell down, lanjut besok"/>
        <s v="lanjut besok"/>
        <s v="Replace LVD &amp; Ioboard"/>
        <s v="Tagging vlan cluster"/>
        <s v="Team Ke COH070 dahulu"/>
        <s v="Replace MCB ACPDB"/>
        <s v="Team induksi di Pama"/>
        <s v="Fan Normal"/>
        <s v="antar material idu VR4"/>
        <s v="Reject PM, lanjut besok"/>
        <s v="VSWD, VBP faulty, lanjut besok"/>
        <s v="MCB KWH faulty, done replace PLN"/>
        <s v="Survey penempatan pole"/>
        <s v="Backup mobile"/>
        <s v="Hujan seharian"/>
        <s v="Multiguna masih belum bisa di sambung PLN"/>
        <s v="Material baru di kirim 19/02/2026"/>
        <s v="Part blm sampai"/>
        <s v="Material blm sampai"/>
        <s v="HUJAN"/>
        <s v="Replace modem EA"/>
        <s v="Waiting permit"/>
        <s v="battrey sps drop stanby team"/>
        <s v="BBT"/>
        <s v="PM dan BBT"/>
        <s v="Site Down kemaren ruko tutup "/>
        <s v="Cell down replace sfp dan Optic"/>
        <s v="Pengambilan modul apr "/>
        <s v="Sakit"/>
        <s v="waiting perahu susur sungai "/>
        <s v="PM arah kasongan"/>
        <s v="PM arah kurun "/>
        <s v="Cell down"/>
        <s v="Replace Optic dan SFP"/>
        <s v="Pengecekan Power flicker "/>
        <s v="Pengecekan jumper "/>
        <s v="kendala penyebrangan surut team onsite memastikan"/>
        <s v="BBT replace SC300"/>
        <s v="Ts site flicker"/>
        <s v="Dalam perjalanan menuju site"/>
        <s v="terkendala asap replace sfp 25G"/>
        <s v="cell down clear"/>
        <s v="handle site KSN032 "/>
        <s v="Di lanjut team inner palangkaraya"/>
        <s v="Susur sungai belum ada perahu"/>
      </sharedItems>
    </cacheField>
    <cacheField name="Column 15" numFmtId="0">
      <sharedItems containsString="0" containsBlank="1">
        <m/>
      </sharedItems>
    </cacheField>
    <cacheField name="Column 16"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2" cacheId="0" dataCaption="" compact="0" compactData="0">
  <location ref="A1:B5" firstHeaderRow="0" firstDataRow="1" firstDataCol="0"/>
  <pivotFields>
    <pivotField name="Category Task"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rioritas" compact="0" outline="0" multipleItemSelectionAllowed="1" showAll="0">
      <items>
        <item x="0"/>
        <item x="1"/>
        <item x="2"/>
        <item x="3"/>
        <item x="4"/>
        <item t="default"/>
      </items>
    </pivotField>
    <pivotField name="Sit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t="default"/>
      </items>
    </pivotField>
    <pivotField name="FM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ole" compact="0" outline="0" multipleItemSelectionAllowed="1" showAll="0">
      <items>
        <item x="0"/>
        <item x="1"/>
        <item x="2"/>
        <item x="3"/>
        <item x="4"/>
        <item x="5"/>
        <item t="default"/>
      </items>
    </pivotField>
    <pivotField name="RTS Name" axis="axisRow" dataField="1" compact="0" outline="0" multipleItemSelectionAllowed="1" showAll="0" sortType="ascending">
      <items>
        <item x="2"/>
        <item x="1"/>
        <item x="0"/>
        <item t="default"/>
      </items>
    </pivotField>
    <pivotField name="Cluster" compact="0" outline="0" multipleItemSelectionAllowed="1" showAll="0">
      <items>
        <item x="0"/>
        <item x="1"/>
        <item x="2"/>
        <item t="default"/>
      </items>
    </pivotField>
    <pivotField name="Category Activity" compact="0" outline="0" multipleItemSelectionAllowed="1" showAll="0">
      <items>
        <item x="0"/>
        <item x="1"/>
        <item x="2"/>
        <item x="3"/>
        <item x="4"/>
        <item x="5"/>
        <item x="6"/>
        <item t="default"/>
      </items>
    </pivotField>
    <pivotField name="Detail Activity"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ctivity" compact="0" outline="0" multipleItemSelectionAllowed="1" showAll="0">
      <items>
        <item x="0"/>
        <item x="1"/>
        <item x="2"/>
        <item x="3"/>
        <item t="default"/>
      </items>
    </pivotField>
    <pivotField name="Start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n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Status Task" compact="0" outline="0" multipleItemSelectionAllowed="1" showAll="0">
      <items>
        <item x="0"/>
        <item x="1"/>
        <item x="2"/>
        <item x="3"/>
        <item t="default"/>
      </items>
    </pivotField>
    <pivotField name="Remar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Lo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Lat" compact="0" outline="0" multipleItemSelectionAllowed="1" showAll="0">
      <items>
        <item x="0"/>
        <item x="1"/>
        <item t="default"/>
      </items>
    </pivotField>
    <pivotField name="Tanggal"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s>
  <rowFields>
    <field x="5"/>
  </rowFields>
  <dataFields>
    <dataField name="COUNTA of RTS Name" fld="5" subtotal="count" baseField="0"/>
  </dataFields>
</pivotTableDefinition>
</file>

<file path=xl/pivotTables/pivotTable2.xml><?xml version="1.0" encoding="utf-8"?>
<pivotTableDefinition xmlns="http://schemas.openxmlformats.org/spreadsheetml/2006/main" name="Pivot Table 2 2" cacheId="0" dataCaption="" compact="0" compactData="0">
  <location ref="A8:AK20" firstHeaderRow="0" firstDataRow="2" firstDataCol="1" rowPageCount="1" colPageCount="1"/>
  <pivotFields>
    <pivotField name="Category Task" axis="axisPage" compact="0" outline="0" multipleItemSelectionAllowed="1" showAll="0">
      <items>
        <item x="0"/>
        <item x="1"/>
        <item h="1" x="2"/>
        <item x="3"/>
        <item h="1" x="4"/>
        <item x="5"/>
        <item x="6"/>
        <item x="7"/>
        <item h="1" x="8"/>
        <item h="1" x="9"/>
        <item x="10"/>
        <item h="1" x="11"/>
        <item h="1" x="12"/>
        <item x="13"/>
        <item h="1" x="14"/>
        <item h="1" x="15"/>
        <item h="1" x="16"/>
        <item h="1" x="17"/>
        <item h="1" x="18"/>
        <item h="1" x="19"/>
        <item h="1" x="20"/>
        <item t="default"/>
      </items>
    </pivotField>
    <pivotField name="Prioritas" compact="0" outline="0" multipleItemSelectionAllowed="1" showAll="0">
      <items>
        <item x="0"/>
        <item x="1"/>
        <item x="2"/>
        <item x="3"/>
        <item x="4"/>
        <item t="default"/>
      </items>
    </pivotField>
    <pivotField name="Sit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t="default"/>
      </items>
    </pivotField>
    <pivotField name="FM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ole" compact="0" outline="0" multipleItemSelectionAllowed="1" showAll="0">
      <items>
        <item x="0"/>
        <item x="1"/>
        <item x="2"/>
        <item x="3"/>
        <item x="4"/>
        <item x="5"/>
        <item t="default"/>
      </items>
    </pivotField>
    <pivotField name="RTS Name" axis="axisRow" dataField="1" compact="0" outline="0" multipleItemSelectionAllowed="1" showAll="0" sortType="ascending">
      <items>
        <item x="2"/>
        <item x="1"/>
        <item x="0"/>
        <item t="default"/>
      </items>
    </pivotField>
    <pivotField name="Cluster" compact="0" outline="0" multipleItemSelectionAllowed="1" showAll="0">
      <items>
        <item x="0"/>
        <item x="1"/>
        <item x="2"/>
        <item t="default"/>
      </items>
    </pivotField>
    <pivotField name="Category Activity" compact="0" outline="0" multipleItemSelectionAllowed="1" showAll="0">
      <items>
        <item x="0"/>
        <item x="1"/>
        <item x="2"/>
        <item x="3"/>
        <item x="4"/>
        <item x="5"/>
        <item x="6"/>
        <item t="default"/>
      </items>
    </pivotField>
    <pivotField name="Detail Activity"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ctivity" compact="0" outline="0" multipleItemSelectionAllowed="1" showAll="0">
      <items>
        <item x="0"/>
        <item x="1"/>
        <item x="2"/>
        <item x="3"/>
        <item t="default"/>
      </items>
    </pivotField>
    <pivotField name="Start Date" axis="axisCol" compact="0" outline="0" multipleItemSelectionAllowed="1" showAll="0" sortType="ascending">
      <items>
        <item x="25"/>
        <item x="4"/>
        <item x="6"/>
        <item x="7"/>
        <item x="8"/>
        <item x="9"/>
        <item x="10"/>
        <item x="11"/>
        <item x="12"/>
        <item x="13"/>
        <item x="14"/>
        <item x="15"/>
        <item x="16"/>
        <item x="17"/>
        <item x="18"/>
        <item x="20"/>
        <item x="21"/>
        <item x="19"/>
        <item x="22"/>
        <item x="23"/>
        <item x="24"/>
        <item x="27"/>
        <item x="28"/>
        <item x="29"/>
        <item x="30"/>
        <item x="31"/>
        <item x="32"/>
        <item x="33"/>
        <item x="34"/>
        <item x="26"/>
        <item x="2"/>
        <item x="3"/>
        <item x="1"/>
        <item x="0"/>
        <item x="5"/>
        <item t="default"/>
      </items>
    </pivotField>
    <pivotField name="En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Status Task" axis="axisRow" compact="0" outline="0" multipleItemSelectionAllowed="1" showAll="0" sortType="ascending">
      <items>
        <item x="3"/>
        <item x="0"/>
        <item x="1"/>
        <item x="2"/>
        <item t="default"/>
      </items>
    </pivotField>
    <pivotField name="Remar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Lo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Lat" compact="0" outline="0" multipleItemSelectionAllowed="1" showAll="0">
      <items>
        <item x="0"/>
        <item x="1"/>
        <item t="default"/>
      </items>
    </pivotField>
    <pivotField name="Tanggal"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s>
  <rowFields>
    <field x="5"/>
    <field x="12"/>
  </rowFields>
  <colFields>
    <field x="10"/>
  </colFields>
  <pageFields>
    <pageField fld="0"/>
  </pageFields>
  <dataFields>
    <dataField name="COUNTA of RTS Name" fld="5" subtotal="count" baseField="0"/>
  </dataFields>
</pivotTableDefinition>
</file>

<file path=xl/pivotTables/pivotTable3.xml><?xml version="1.0" encoding="utf-8"?>
<pivotTableDefinition xmlns="http://schemas.openxmlformats.org/spreadsheetml/2006/main" name="Pivot Table 2 3" cacheId="0" dataCaption="" compact="0" compactData="0">
  <location ref="A23:AK28" firstHeaderRow="0" firstDataRow="1" firstDataCol="1"/>
  <pivotFields>
    <pivotField name="Category Task"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rioritas" compact="0" outline="0" multipleItemSelectionAllowed="1" showAll="0">
      <items>
        <item x="0"/>
        <item x="1"/>
        <item x="2"/>
        <item x="3"/>
        <item x="4"/>
        <item t="default"/>
      </items>
    </pivotField>
    <pivotField name="Sit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t="default"/>
      </items>
    </pivotField>
    <pivotField name="FM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ole" compact="0" outline="0" multipleItemSelectionAllowed="1" showAll="0">
      <items>
        <item x="0"/>
        <item x="1"/>
        <item x="2"/>
        <item x="3"/>
        <item x="4"/>
        <item x="5"/>
        <item t="default"/>
      </items>
    </pivotField>
    <pivotField name="RTS Name" axis="axisRow" dataField="1" compact="0" outline="0" multipleItemSelectionAllowed="1" showAll="0" sortType="ascending">
      <items>
        <item x="2"/>
        <item x="1"/>
        <item x="0"/>
        <item t="default"/>
      </items>
    </pivotField>
    <pivotField name="Cluster" compact="0" outline="0" multipleItemSelectionAllowed="1" showAll="0">
      <items>
        <item x="0"/>
        <item x="1"/>
        <item x="2"/>
        <item t="default"/>
      </items>
    </pivotField>
    <pivotField name="Category Activity" compact="0" outline="0" multipleItemSelectionAllowed="1" showAll="0">
      <items>
        <item x="0"/>
        <item x="1"/>
        <item x="2"/>
        <item x="3"/>
        <item x="4"/>
        <item x="5"/>
        <item x="6"/>
        <item t="default"/>
      </items>
    </pivotField>
    <pivotField name="Detail Activity"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ctivity" compact="0" outline="0" multipleItemSelectionAllowed="1" showAll="0">
      <items>
        <item x="0"/>
        <item x="1"/>
        <item x="2"/>
        <item x="3"/>
        <item t="default"/>
      </items>
    </pivotField>
    <pivotField name="Start Date" axis="axisCol" compact="0" outline="0" multipleItemSelectionAllowed="1" showAll="0" sortType="ascending">
      <items>
        <item x="25"/>
        <item x="4"/>
        <item x="6"/>
        <item x="7"/>
        <item x="8"/>
        <item x="9"/>
        <item x="10"/>
        <item x="11"/>
        <item x="12"/>
        <item x="13"/>
        <item x="14"/>
        <item x="15"/>
        <item x="16"/>
        <item x="17"/>
        <item x="18"/>
        <item x="20"/>
        <item x="21"/>
        <item x="19"/>
        <item x="22"/>
        <item x="23"/>
        <item x="24"/>
        <item x="27"/>
        <item x="28"/>
        <item x="29"/>
        <item x="30"/>
        <item x="31"/>
        <item x="32"/>
        <item x="33"/>
        <item x="34"/>
        <item x="26"/>
        <item x="2"/>
        <item x="3"/>
        <item x="1"/>
        <item x="0"/>
        <item x="5"/>
        <item t="default"/>
      </items>
    </pivotField>
    <pivotField name="En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Status Task" compact="0" outline="0" multipleItemSelectionAllowed="1" showAll="0">
      <items>
        <item x="0"/>
        <item x="1"/>
        <item x="2"/>
        <item x="3"/>
        <item t="default"/>
      </items>
    </pivotField>
    <pivotField name="Remar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Lo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Lat" compact="0" outline="0" multipleItemSelectionAllowed="1" showAll="0">
      <items>
        <item x="0"/>
        <item x="1"/>
        <item t="default"/>
      </items>
    </pivotField>
    <pivotField name="Tanggal"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s>
  <rowFields>
    <field x="5"/>
  </rowFields>
  <colFields>
    <field x="10"/>
  </colFields>
  <dataFields>
    <dataField name="COUNTA of RTS Name" fld="5" subtotal="count" baseField="0"/>
  </dataFields>
</pivotTableDefinition>
</file>

<file path=xl/pivotTables/pivotTable4.xml><?xml version="1.0" encoding="utf-8"?>
<pivotTableDefinition xmlns="http://schemas.openxmlformats.org/spreadsheetml/2006/main" name="Pivot Table 1" cacheId="1" dataCaption="" compact="0" compactData="0">
  <location ref="A1:F6" firstHeaderRow="0" firstDataRow="1" firstDataCol="1"/>
  <pivotFields>
    <pivotField name="Category Task"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Prioritas" compact="0" outline="0" multipleItemSelectionAllowed="1" showAll="0">
      <items>
        <item x="0"/>
        <item x="1"/>
        <item x="2"/>
        <item x="3"/>
        <item t="default"/>
      </items>
    </pivotField>
    <pivotField name="Sit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name="FM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Role" compact="0" outline="0" multipleItemSelectionAllowed="1" showAll="0">
      <items>
        <item x="0"/>
        <item x="1"/>
        <item x="2"/>
        <item x="3"/>
        <item x="4"/>
        <item t="default"/>
      </items>
    </pivotField>
    <pivotField name="RTS Name" axis="axisRow" compact="0" outline="0" multipleItemSelectionAllowed="1" showAll="0" sortType="ascending">
      <items>
        <item x="2"/>
        <item x="1"/>
        <item x="0"/>
        <item t="default"/>
      </items>
    </pivotField>
    <pivotField name="Cluster" compact="0" outline="0" multipleItemSelectionAllowed="1" showAll="0">
      <items>
        <item x="0"/>
        <item x="1"/>
        <item x="2"/>
        <item t="default"/>
      </items>
    </pivotField>
    <pivotField name="Category Activity" compact="0" outline="0" multipleItemSelectionAllowed="1" showAll="0">
      <items>
        <item x="0"/>
        <item x="1"/>
        <item x="2"/>
        <item x="3"/>
        <item x="4"/>
        <item x="5"/>
        <item t="default"/>
      </items>
    </pivotField>
    <pivotField name="Detail Activity"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Activity" compact="0" outline="0" multipleItemSelectionAllowed="1" showAll="0">
      <items>
        <item x="0"/>
        <item x="1"/>
        <item x="2"/>
        <item x="3"/>
        <item t="default"/>
      </items>
    </pivotField>
    <pivotField name="Start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En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Status Task" axis="axisCol" dataField="1" compact="0" outline="0" multipleItemSelectionAllowed="1" showAll="0" sortType="ascending">
      <items>
        <item x="3"/>
        <item x="0"/>
        <item x="1"/>
        <item x="2"/>
        <item t="default"/>
      </items>
    </pivotField>
    <pivotField name="Remar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t="default"/>
      </items>
    </pivotField>
    <pivotField name="Column 15" compact="0" outline="0" multipleItemSelectionAllowed="1" showAll="0">
      <items>
        <item x="0"/>
        <item t="default"/>
      </items>
    </pivotField>
    <pivotField name="Column 16" compact="0" outline="0" multipleItemSelectionAllowed="1" showAll="0">
      <items>
        <item x="0"/>
        <item t="default"/>
      </items>
    </pivotField>
  </pivotFields>
  <rowFields>
    <field x="5"/>
  </rowFields>
  <colFields>
    <field x="12"/>
  </colFields>
  <dataFields>
    <dataField name="COUNTA of Status Task" fld="12"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ategory Task">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ategory Task_1" cache="SlicerCache_Table_2_Col_1" caption="Category Task" rowHeight="247650"/>
</x14:slicers>
</file>

<file path=xl/tables/table1.xml><?xml version="1.0" encoding="utf-8"?>
<table xmlns="http://schemas.openxmlformats.org/spreadsheetml/2006/main" ref="A3:P3006" displayName="FME_TASK" name="FME_TASK" id="1">
  <autoFilter ref="$A$3:$P$3006"/>
  <tableColumns count="16">
    <tableColumn name="Category Task" id="1"/>
    <tableColumn name="Prioritas" id="2"/>
    <tableColumn name="Site ID" id="3"/>
    <tableColumn name="FME Name" id="4"/>
    <tableColumn name="Role" id="5"/>
    <tableColumn name="RTS Name" id="6"/>
    <tableColumn name="Cluster" id="7"/>
    <tableColumn name="Category Activity" id="8"/>
    <tableColumn name="Detail Activity" id="9"/>
    <tableColumn name="Activity" id="10"/>
    <tableColumn name="Start Date" id="11"/>
    <tableColumn name="End Date" id="12"/>
    <tableColumn name="Status Task" id="13"/>
    <tableColumn name="Remark" id="14"/>
    <tableColumn name="Column 15" id="15"/>
    <tableColumn name="Column 16" id="16"/>
  </tableColumns>
  <tableStyleInfo name="to do list-style" showColumnStripes="0" showFirstColumn="1" showLastColumn="1" showRowStripes="1"/>
</table>
</file>

<file path=xl/tables/table2.xml><?xml version="1.0" encoding="utf-8"?>
<table xmlns="http://schemas.openxmlformats.org/spreadsheetml/2006/main" ref="A1:P40" displayName="Table_1" name="Table_1" id="2">
  <autoFilter ref="$A$1:$P$40"/>
  <tableColumns count="16">
    <tableColumn name="Category Task" id="1"/>
    <tableColumn name="Prioritas" id="2"/>
    <tableColumn name="Site ID" id="3"/>
    <tableColumn name="FME Name" id="4"/>
    <tableColumn name="Role" id="5"/>
    <tableColumn name="RTS Name" id="6"/>
    <tableColumn name="Cluster" id="7"/>
    <tableColumn name="Category Activity" id="8"/>
    <tableColumn name="Detail Activity" id="9"/>
    <tableColumn name="Activity" id="10"/>
    <tableColumn name="Start Date" id="11"/>
    <tableColumn name="End Date" id="12"/>
    <tableColumn name="Status Task" id="13"/>
    <tableColumn name="Remark" id="14"/>
    <tableColumn name="Long" id="15"/>
    <tableColumn name="Lat" id="16"/>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6.xml"/><Relationship Id="rId5"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5" max="5" width="28.38"/>
    <col customWidth="1" min="7" max="7" width="49.0"/>
  </cols>
  <sheetData>
    <row r="1">
      <c r="B1" s="1" t="s">
        <v>0</v>
      </c>
      <c r="C1" s="2" t="s">
        <v>1</v>
      </c>
    </row>
    <row r="2">
      <c r="B2" s="1" t="s">
        <v>2</v>
      </c>
      <c r="C2" s="2" t="s">
        <v>3</v>
      </c>
    </row>
    <row r="3">
      <c r="B3" s="1" t="s">
        <v>4</v>
      </c>
      <c r="C3" s="2" t="s">
        <v>3</v>
      </c>
      <c r="E3" s="2" t="s">
        <v>5</v>
      </c>
      <c r="F3" s="2" t="s">
        <v>6</v>
      </c>
      <c r="G3" s="2" t="s">
        <v>7</v>
      </c>
      <c r="H3" s="2" t="s">
        <v>8</v>
      </c>
    </row>
    <row r="4">
      <c r="B4" s="1" t="s">
        <v>9</v>
      </c>
      <c r="C4" s="2" t="s">
        <v>1</v>
      </c>
      <c r="E4" s="2" t="s">
        <v>10</v>
      </c>
      <c r="F4" s="2" t="s">
        <v>6</v>
      </c>
      <c r="G4" s="2" t="s">
        <v>11</v>
      </c>
      <c r="H4" s="2" t="s">
        <v>8</v>
      </c>
    </row>
    <row r="5">
      <c r="B5" s="1" t="s">
        <v>12</v>
      </c>
      <c r="C5" s="2" t="s">
        <v>13</v>
      </c>
      <c r="E5" s="2" t="s">
        <v>14</v>
      </c>
      <c r="F5" s="2" t="s">
        <v>6</v>
      </c>
      <c r="G5" s="2" t="s">
        <v>15</v>
      </c>
      <c r="H5" s="2" t="s">
        <v>8</v>
      </c>
    </row>
    <row r="6">
      <c r="B6" s="1" t="s">
        <v>16</v>
      </c>
      <c r="C6" s="2" t="s">
        <v>13</v>
      </c>
      <c r="E6" s="2" t="s">
        <v>17</v>
      </c>
      <c r="F6" s="2" t="s">
        <v>18</v>
      </c>
      <c r="G6" s="2" t="s">
        <v>19</v>
      </c>
      <c r="H6" s="2" t="s">
        <v>20</v>
      </c>
    </row>
    <row r="7">
      <c r="B7" s="1" t="s">
        <v>21</v>
      </c>
      <c r="C7" s="2" t="s">
        <v>13</v>
      </c>
      <c r="E7" s="2" t="s">
        <v>22</v>
      </c>
      <c r="F7" s="2" t="s">
        <v>18</v>
      </c>
      <c r="G7" s="2" t="s">
        <v>23</v>
      </c>
      <c r="H7" s="2" t="s">
        <v>20</v>
      </c>
    </row>
    <row r="8">
      <c r="B8" s="1" t="s">
        <v>24</v>
      </c>
      <c r="C8" s="2" t="s">
        <v>1</v>
      </c>
      <c r="E8" s="2" t="s">
        <v>25</v>
      </c>
      <c r="F8" s="2" t="s">
        <v>6</v>
      </c>
      <c r="G8" s="3" t="str">
        <f>E8</f>
        <v>Support Event</v>
      </c>
      <c r="H8" s="2" t="s">
        <v>20</v>
      </c>
    </row>
    <row r="9">
      <c r="B9" s="1" t="s">
        <v>26</v>
      </c>
      <c r="C9" s="2" t="s">
        <v>13</v>
      </c>
      <c r="E9" s="2" t="s">
        <v>27</v>
      </c>
      <c r="F9" s="2" t="s">
        <v>18</v>
      </c>
      <c r="G9" s="2" t="s">
        <v>28</v>
      </c>
      <c r="H9" s="2" t="s">
        <v>20</v>
      </c>
    </row>
    <row r="10">
      <c r="B10" s="1" t="s">
        <v>29</v>
      </c>
      <c r="C10" s="2" t="s">
        <v>1</v>
      </c>
      <c r="E10" s="2" t="s">
        <v>30</v>
      </c>
      <c r="F10" s="2" t="s">
        <v>18</v>
      </c>
      <c r="G10" s="3" t="str">
        <f>E10</f>
        <v>Pengawalan akses Vendor</v>
      </c>
      <c r="H10" s="2" t="s">
        <v>31</v>
      </c>
    </row>
    <row r="11">
      <c r="B11" s="1" t="s">
        <v>32</v>
      </c>
      <c r="C11" s="2" t="s">
        <v>13</v>
      </c>
      <c r="E11" s="2" t="s">
        <v>33</v>
      </c>
      <c r="F11" s="2" t="s">
        <v>18</v>
      </c>
      <c r="G11" s="2" t="s">
        <v>34</v>
      </c>
      <c r="H11" s="2" t="s">
        <v>20</v>
      </c>
    </row>
    <row r="12">
      <c r="B12" s="1" t="s">
        <v>35</v>
      </c>
      <c r="C12" s="2" t="s">
        <v>1</v>
      </c>
      <c r="E12" s="2" t="s">
        <v>36</v>
      </c>
      <c r="F12" s="2" t="s">
        <v>18</v>
      </c>
      <c r="G12" s="3" t="str">
        <f t="shared" ref="G12:G13" si="1">E12</f>
        <v>Pengecekan Suhu Shelter</v>
      </c>
      <c r="H12" s="2" t="s">
        <v>8</v>
      </c>
    </row>
    <row r="13">
      <c r="B13" s="1" t="s">
        <v>37</v>
      </c>
      <c r="C13" s="2" t="s">
        <v>13</v>
      </c>
      <c r="E13" s="2" t="s">
        <v>38</v>
      </c>
      <c r="F13" s="2" t="s">
        <v>6</v>
      </c>
      <c r="G13" s="3" t="str">
        <f t="shared" si="1"/>
        <v>Replace FAN Rectifier</v>
      </c>
      <c r="H13" s="2" t="s">
        <v>8</v>
      </c>
    </row>
    <row r="14">
      <c r="B14" s="1" t="s">
        <v>39</v>
      </c>
      <c r="C14" s="2" t="s">
        <v>13</v>
      </c>
      <c r="E14" s="2" t="s">
        <v>40</v>
      </c>
      <c r="F14" s="2" t="s">
        <v>6</v>
      </c>
      <c r="G14" s="2" t="s">
        <v>41</v>
      </c>
      <c r="H14" s="2" t="s">
        <v>20</v>
      </c>
    </row>
    <row r="15">
      <c r="B15" s="1" t="s">
        <v>42</v>
      </c>
      <c r="C15" s="2" t="s">
        <v>13</v>
      </c>
      <c r="E15" s="2" t="s">
        <v>43</v>
      </c>
      <c r="F15" s="2" t="s">
        <v>6</v>
      </c>
      <c r="G15" s="2" t="s">
        <v>44</v>
      </c>
      <c r="H15" s="2" t="s">
        <v>8</v>
      </c>
    </row>
    <row r="16">
      <c r="B16" s="1" t="s">
        <v>45</v>
      </c>
      <c r="C16" s="2" t="s">
        <v>1</v>
      </c>
      <c r="E16" s="2" t="s">
        <v>46</v>
      </c>
      <c r="F16" s="2" t="s">
        <v>18</v>
      </c>
      <c r="G16" s="2" t="s">
        <v>47</v>
      </c>
      <c r="H16" s="2" t="s">
        <v>20</v>
      </c>
    </row>
    <row r="17">
      <c r="B17" s="1" t="s">
        <v>48</v>
      </c>
      <c r="C17" s="2" t="s">
        <v>1</v>
      </c>
      <c r="E17" s="2" t="s">
        <v>49</v>
      </c>
      <c r="F17" s="2" t="s">
        <v>18</v>
      </c>
      <c r="G17" s="2" t="s">
        <v>50</v>
      </c>
      <c r="H17" s="2" t="s">
        <v>20</v>
      </c>
    </row>
    <row r="18">
      <c r="B18" s="1" t="s">
        <v>51</v>
      </c>
      <c r="C18" s="2" t="s">
        <v>13</v>
      </c>
      <c r="E18" s="2" t="s">
        <v>52</v>
      </c>
      <c r="F18" s="2" t="s">
        <v>18</v>
      </c>
      <c r="G18" s="2" t="s">
        <v>53</v>
      </c>
      <c r="H18" s="2" t="s">
        <v>8</v>
      </c>
    </row>
    <row r="19">
      <c r="B19" s="1" t="s">
        <v>54</v>
      </c>
      <c r="C19" s="2" t="s">
        <v>1</v>
      </c>
      <c r="E19" s="2" t="s">
        <v>55</v>
      </c>
      <c r="F19" s="2" t="s">
        <v>6</v>
      </c>
      <c r="G19" s="3" t="str">
        <f t="shared" ref="G19:G26" si="2">E19</f>
        <v>Penambahan Modul Recti</v>
      </c>
      <c r="H19" s="2" t="s">
        <v>20</v>
      </c>
    </row>
    <row r="20">
      <c r="B20" s="1" t="s">
        <v>56</v>
      </c>
      <c r="C20" s="2" t="s">
        <v>13</v>
      </c>
      <c r="E20" s="2" t="s">
        <v>57</v>
      </c>
      <c r="F20" s="2" t="s">
        <v>6</v>
      </c>
      <c r="G20" s="3" t="str">
        <f t="shared" si="2"/>
        <v>Deinstal Repeater</v>
      </c>
      <c r="H20" s="2" t="s">
        <v>20</v>
      </c>
    </row>
    <row r="21">
      <c r="B21" s="1" t="s">
        <v>58</v>
      </c>
      <c r="C21" s="2" t="s">
        <v>13</v>
      </c>
      <c r="E21" s="2" t="s">
        <v>59</v>
      </c>
      <c r="F21" s="2" t="s">
        <v>6</v>
      </c>
      <c r="G21" s="3" t="str">
        <f t="shared" si="2"/>
        <v>Instalasi Smallcell</v>
      </c>
      <c r="H21" s="2" t="s">
        <v>31</v>
      </c>
    </row>
    <row r="22">
      <c r="B22" s="1" t="s">
        <v>60</v>
      </c>
      <c r="C22" s="2" t="s">
        <v>13</v>
      </c>
      <c r="E22" s="2" t="s">
        <v>61</v>
      </c>
      <c r="F22" s="2" t="s">
        <v>6</v>
      </c>
      <c r="G22" s="3" t="str">
        <f t="shared" si="2"/>
        <v>Perbaikan Exhaust fan</v>
      </c>
      <c r="H22" s="2" t="s">
        <v>31</v>
      </c>
    </row>
    <row r="23">
      <c r="B23" s="1" t="s">
        <v>62</v>
      </c>
      <c r="C23" s="2" t="s">
        <v>13</v>
      </c>
      <c r="E23" s="2" t="s">
        <v>63</v>
      </c>
      <c r="F23" s="2" t="s">
        <v>18</v>
      </c>
      <c r="G23" s="3" t="str">
        <f t="shared" si="2"/>
        <v>Pengecekan BSC</v>
      </c>
      <c r="H23" s="2" t="s">
        <v>8</v>
      </c>
    </row>
    <row r="24">
      <c r="B24" s="1" t="s">
        <v>64</v>
      </c>
      <c r="C24" s="2" t="s">
        <v>13</v>
      </c>
      <c r="E24" s="2" t="s">
        <v>65</v>
      </c>
      <c r="F24" s="2" t="s">
        <v>66</v>
      </c>
      <c r="G24" s="3" t="str">
        <f t="shared" si="2"/>
        <v>Standby On Call</v>
      </c>
      <c r="H24" s="2" t="s">
        <v>31</v>
      </c>
    </row>
    <row r="25">
      <c r="B25" s="1" t="s">
        <v>67</v>
      </c>
      <c r="C25" s="2" t="s">
        <v>13</v>
      </c>
      <c r="E25" s="2" t="s">
        <v>68</v>
      </c>
      <c r="F25" s="2" t="str">
        <f t="shared" ref="F25:F26" si="3">E25</f>
        <v>On Leave</v>
      </c>
      <c r="G25" s="3" t="str">
        <f t="shared" si="2"/>
        <v>On Leave</v>
      </c>
      <c r="H25" s="2" t="s">
        <v>31</v>
      </c>
    </row>
    <row r="26">
      <c r="B26" s="1" t="s">
        <v>69</v>
      </c>
      <c r="C26" s="2" t="s">
        <v>13</v>
      </c>
      <c r="E26" s="2" t="s">
        <v>70</v>
      </c>
      <c r="F26" s="2" t="str">
        <f t="shared" si="3"/>
        <v>Sick</v>
      </c>
      <c r="G26" s="3" t="str">
        <f t="shared" si="2"/>
        <v>Sick</v>
      </c>
      <c r="H26" s="2" t="s">
        <v>31</v>
      </c>
    </row>
    <row r="27">
      <c r="B27" s="1" t="s">
        <v>71</v>
      </c>
      <c r="C27" s="2" t="s">
        <v>13</v>
      </c>
      <c r="E27" s="2" t="s">
        <v>72</v>
      </c>
      <c r="F27" s="2" t="s">
        <v>6</v>
      </c>
      <c r="G27" s="2" t="s">
        <v>73</v>
      </c>
      <c r="H27" s="2" t="s">
        <v>8</v>
      </c>
    </row>
    <row r="28">
      <c r="B28" s="4" t="s">
        <v>74</v>
      </c>
      <c r="C28" s="2" t="s">
        <v>13</v>
      </c>
    </row>
    <row r="29">
      <c r="B29" s="1" t="s">
        <v>75</v>
      </c>
      <c r="C29" s="2" t="s">
        <v>3</v>
      </c>
    </row>
    <row r="30">
      <c r="B30" s="1" t="s">
        <v>76</v>
      </c>
      <c r="C30" s="2" t="s">
        <v>13</v>
      </c>
    </row>
    <row r="31">
      <c r="B31" s="1" t="s">
        <v>77</v>
      </c>
      <c r="C31" s="2" t="s">
        <v>13</v>
      </c>
    </row>
    <row r="32">
      <c r="B32" s="1" t="s">
        <v>78</v>
      </c>
      <c r="C32" s="2" t="s">
        <v>13</v>
      </c>
    </row>
    <row r="33">
      <c r="B33" s="1" t="s">
        <v>79</v>
      </c>
      <c r="C33" s="2" t="s">
        <v>13</v>
      </c>
    </row>
    <row r="34">
      <c r="B34" s="1" t="s">
        <v>80</v>
      </c>
      <c r="C34" s="2" t="s">
        <v>13</v>
      </c>
    </row>
    <row r="35">
      <c r="B35" s="1" t="s">
        <v>81</v>
      </c>
      <c r="C35" s="2" t="s">
        <v>22</v>
      </c>
    </row>
    <row r="36">
      <c r="B36" s="1" t="s">
        <v>82</v>
      </c>
      <c r="C36" s="2" t="s">
        <v>22</v>
      </c>
    </row>
    <row r="37">
      <c r="B37" s="1" t="s">
        <v>83</v>
      </c>
      <c r="C37" s="2" t="s">
        <v>22</v>
      </c>
    </row>
    <row r="38">
      <c r="B38" s="1" t="s">
        <v>84</v>
      </c>
      <c r="C38" s="2" t="s">
        <v>1</v>
      </c>
    </row>
    <row r="39">
      <c r="B39" s="1" t="s">
        <v>85</v>
      </c>
      <c r="C39" s="2" t="s">
        <v>22</v>
      </c>
    </row>
    <row r="40">
      <c r="B40" s="1" t="s">
        <v>86</v>
      </c>
      <c r="C40" s="2" t="s">
        <v>22</v>
      </c>
    </row>
    <row r="41">
      <c r="B41" s="1" t="s">
        <v>87</v>
      </c>
      <c r="C41" s="2" t="s">
        <v>1</v>
      </c>
    </row>
    <row r="42">
      <c r="B42" s="1" t="s">
        <v>88</v>
      </c>
      <c r="C42" s="2" t="s">
        <v>13</v>
      </c>
    </row>
    <row r="43">
      <c r="B43" s="1" t="s">
        <v>89</v>
      </c>
      <c r="C43" s="2" t="s">
        <v>13</v>
      </c>
    </row>
    <row r="44">
      <c r="B44" s="1" t="s">
        <v>90</v>
      </c>
      <c r="C44" s="2" t="s">
        <v>1</v>
      </c>
    </row>
    <row r="45">
      <c r="B45" s="1" t="s">
        <v>91</v>
      </c>
      <c r="C45" s="2" t="s">
        <v>13</v>
      </c>
    </row>
    <row r="46">
      <c r="B46" s="2" t="s">
        <v>74</v>
      </c>
      <c r="C46" s="2" t="s">
        <v>13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20.5"/>
    <col customWidth="1" min="2" max="2" width="15.13"/>
    <col customWidth="1" min="3" max="3" width="23.25"/>
    <col customWidth="1" min="4" max="4" width="25.13"/>
    <col customWidth="1" min="5" max="5" width="12.0"/>
    <col customWidth="1" min="6" max="7" width="17.38"/>
    <col customWidth="1" min="8" max="8" width="15.38"/>
    <col customWidth="1" min="9" max="9" width="34.5"/>
    <col customWidth="1" min="10" max="10" width="18.0"/>
    <col customWidth="1" min="11" max="11" width="11.63"/>
    <col customWidth="1" min="12" max="12" width="14.5"/>
    <col customWidth="1" min="13" max="13" width="18.13"/>
    <col customWidth="1" min="14" max="16" width="45.25"/>
  </cols>
  <sheetData>
    <row r="1" ht="31.5" customHeight="1">
      <c r="A1" s="5"/>
      <c r="B1" s="5"/>
      <c r="C1" s="5"/>
      <c r="D1" s="5"/>
      <c r="E1" s="5"/>
      <c r="F1" s="5"/>
      <c r="G1" s="5"/>
      <c r="H1" s="5"/>
      <c r="I1" s="5"/>
      <c r="J1" s="5"/>
      <c r="K1" s="5"/>
      <c r="L1" s="5"/>
      <c r="M1" s="5"/>
      <c r="N1" s="5"/>
      <c r="O1" s="5"/>
      <c r="P1" s="5"/>
    </row>
    <row r="2">
      <c r="A2" s="5"/>
      <c r="B2" s="5"/>
      <c r="C2" s="5"/>
      <c r="D2" s="5"/>
      <c r="E2" s="5"/>
      <c r="F2" s="5"/>
      <c r="G2" s="5"/>
      <c r="H2" s="5"/>
      <c r="I2" s="5"/>
      <c r="J2" s="5"/>
      <c r="K2" s="5"/>
      <c r="L2" s="5"/>
      <c r="M2" s="5"/>
      <c r="N2" s="6"/>
      <c r="O2" s="6"/>
      <c r="P2" s="6"/>
    </row>
    <row r="3" ht="22.5" customHeight="1">
      <c r="A3" s="7" t="s">
        <v>92</v>
      </c>
      <c r="B3" s="8" t="s">
        <v>93</v>
      </c>
      <c r="C3" s="7" t="s">
        <v>94</v>
      </c>
      <c r="D3" s="7" t="s">
        <v>95</v>
      </c>
      <c r="E3" s="9" t="s">
        <v>96</v>
      </c>
      <c r="F3" s="7" t="s">
        <v>97</v>
      </c>
      <c r="G3" s="9" t="s">
        <v>98</v>
      </c>
      <c r="H3" s="10" t="s">
        <v>99</v>
      </c>
      <c r="I3" s="9" t="s">
        <v>100</v>
      </c>
      <c r="J3" s="7" t="s">
        <v>101</v>
      </c>
      <c r="K3" s="7" t="s">
        <v>102</v>
      </c>
      <c r="L3" s="7" t="s">
        <v>103</v>
      </c>
      <c r="M3" s="7" t="s">
        <v>104</v>
      </c>
      <c r="N3" s="7" t="s">
        <v>105</v>
      </c>
      <c r="O3" s="11" t="s">
        <v>106</v>
      </c>
      <c r="P3" s="11" t="s">
        <v>107</v>
      </c>
    </row>
    <row r="4" ht="22.5" customHeight="1">
      <c r="A4" s="12" t="s">
        <v>65</v>
      </c>
      <c r="B4" s="13" t="str">
        <f>IFERROR(VLOOKUP(A4,Sheet1!$E$3:$H$27,4,0),"")</f>
        <v>P3</v>
      </c>
      <c r="C4" s="14"/>
      <c r="D4" s="12" t="s">
        <v>12</v>
      </c>
      <c r="E4" s="13" t="str">
        <f>IFERROR(VLOOKUP(D4,Sheet1!$B$1:$C$45,2,0),"")</f>
        <v>TE</v>
      </c>
      <c r="F4" s="12" t="s">
        <v>108</v>
      </c>
      <c r="G4" s="12" t="str">
        <f t="shared" ref="G4:G32" si="1">IFERROR(IFS(F4="Winda Sokenda","Barito Raya",F4="Doni Damara","Palangkaraya"),"")</f>
        <v>Barito Raya</v>
      </c>
      <c r="H4" s="15" t="str">
        <f>IFERROR(VLOOKUP(A4,Sheet1!$E$3:$F$27,2,),"")</f>
        <v>Standby</v>
      </c>
      <c r="I4" s="16" t="str">
        <f>IFERROR(VLOOKUP(A4,Sheet1!$E$3:$G$27,3,0),"")</f>
        <v>Standby On Call</v>
      </c>
      <c r="J4" s="12" t="s">
        <v>66</v>
      </c>
      <c r="K4" s="17">
        <v>46315.0</v>
      </c>
      <c r="L4" s="17">
        <v>46315.0</v>
      </c>
      <c r="M4" s="12" t="s">
        <v>109</v>
      </c>
      <c r="N4" s="18" t="s">
        <v>110</v>
      </c>
      <c r="O4" s="19"/>
      <c r="P4" s="19"/>
    </row>
    <row r="5" ht="22.5" customHeight="1">
      <c r="A5" s="12" t="s">
        <v>52</v>
      </c>
      <c r="B5" s="20" t="str">
        <f>IFERROR(VLOOKUP(A5,Sheet1!$E$3:$H$27,4,0),"")</f>
        <v>P1</v>
      </c>
      <c r="C5" s="14" t="s">
        <v>111</v>
      </c>
      <c r="D5" s="12" t="s">
        <v>16</v>
      </c>
      <c r="E5" s="13" t="str">
        <f>IFERROR(VLOOKUP(D5,Sheet1!$B$1:$C$45,2,0),"")</f>
        <v>TE</v>
      </c>
      <c r="F5" s="12" t="s">
        <v>108</v>
      </c>
      <c r="G5" s="13" t="str">
        <f t="shared" si="1"/>
        <v>Barito Raya</v>
      </c>
      <c r="H5" s="15" t="str">
        <f>IFERROR(VLOOKUP(A5,Sheet1!$E$3:$F$27,2,),"")</f>
        <v>Preventive</v>
      </c>
      <c r="I5" s="16" t="str">
        <f>IFERROR(VLOOKUP(A5,Sheet1!$E$3:$G$27,3,0),"")</f>
        <v>MCB trip/Power upnormal</v>
      </c>
      <c r="J5" s="12" t="s">
        <v>112</v>
      </c>
      <c r="K5" s="17">
        <v>46315.0</v>
      </c>
      <c r="L5" s="17">
        <v>46315.0</v>
      </c>
      <c r="M5" s="12" t="s">
        <v>109</v>
      </c>
      <c r="N5" s="18" t="s">
        <v>113</v>
      </c>
      <c r="O5" s="19"/>
      <c r="P5" s="19"/>
    </row>
    <row r="6" ht="22.5" customHeight="1">
      <c r="A6" s="12" t="s">
        <v>70</v>
      </c>
      <c r="B6" s="13" t="str">
        <f>IFERROR(VLOOKUP(A6,Sheet1!$E$3:$H$27,4,0),"")</f>
        <v>P3</v>
      </c>
      <c r="C6" s="14"/>
      <c r="D6" s="12" t="s">
        <v>21</v>
      </c>
      <c r="E6" s="13" t="str">
        <f>IFERROR(VLOOKUP(D6,Sheet1!$B$1:$C$45,2,0),"")</f>
        <v>TE</v>
      </c>
      <c r="F6" s="12" t="s">
        <v>108</v>
      </c>
      <c r="G6" s="13" t="str">
        <f t="shared" si="1"/>
        <v>Barito Raya</v>
      </c>
      <c r="H6" s="15" t="str">
        <f>IFERROR(VLOOKUP(A6,Sheet1!$E$3:$F$27,2,),"")</f>
        <v>Sick</v>
      </c>
      <c r="I6" s="16" t="str">
        <f>IFERROR(VLOOKUP(A6,Sheet1!$E$3:$G$27,3,0),"")</f>
        <v>Sick</v>
      </c>
      <c r="J6" s="12" t="s">
        <v>66</v>
      </c>
      <c r="K6" s="17">
        <v>46315.0</v>
      </c>
      <c r="L6" s="17">
        <v>46315.0</v>
      </c>
      <c r="M6" s="12" t="s">
        <v>109</v>
      </c>
      <c r="N6" s="18" t="s">
        <v>114</v>
      </c>
      <c r="O6" s="19"/>
      <c r="P6" s="19"/>
    </row>
    <row r="7" ht="22.5" customHeight="1">
      <c r="A7" s="12" t="s">
        <v>14</v>
      </c>
      <c r="B7" s="13" t="str">
        <f>IFERROR(VLOOKUP(A7,Sheet1!$E$3:$H$27,4,0),"")</f>
        <v>P1</v>
      </c>
      <c r="C7" s="14" t="s">
        <v>115</v>
      </c>
      <c r="D7" s="12" t="s">
        <v>26</v>
      </c>
      <c r="E7" s="13" t="str">
        <f>IFERROR(VLOOKUP(D7,Sheet1!$B$1:$C$45,2,0),"")</f>
        <v>TE</v>
      </c>
      <c r="F7" s="12" t="s">
        <v>108</v>
      </c>
      <c r="G7" s="13" t="str">
        <f t="shared" si="1"/>
        <v>Barito Raya</v>
      </c>
      <c r="H7" s="15" t="str">
        <f>IFERROR(VLOOKUP(A7,Sheet1!$E$3:$F$27,2,),"")</f>
        <v>Corrective</v>
      </c>
      <c r="I7" s="16" t="str">
        <f>IFERROR(VLOOKUP(A7,Sheet1!$E$3:$G$27,3,0),"")</f>
        <v>Pemadaman,MCB Trip,Transmisi problem</v>
      </c>
      <c r="J7" s="12" t="s">
        <v>112</v>
      </c>
      <c r="K7" s="17">
        <v>46315.0</v>
      </c>
      <c r="L7" s="17">
        <v>46315.0</v>
      </c>
      <c r="M7" s="12" t="s">
        <v>109</v>
      </c>
      <c r="N7" s="18" t="s">
        <v>116</v>
      </c>
      <c r="O7" s="19"/>
      <c r="P7" s="19"/>
    </row>
    <row r="8" ht="22.5" customHeight="1">
      <c r="A8" s="12" t="s">
        <v>14</v>
      </c>
      <c r="B8" s="13" t="str">
        <f>IFERROR(VLOOKUP(A8,Sheet1!$E$3:$H$27,4,0),"")</f>
        <v>P1</v>
      </c>
      <c r="C8" s="14" t="s">
        <v>117</v>
      </c>
      <c r="D8" s="12" t="s">
        <v>32</v>
      </c>
      <c r="E8" s="13" t="str">
        <f>IFERROR(VLOOKUP(D8,Sheet1!$B$1:$C$45,2,0),"")</f>
        <v>TE</v>
      </c>
      <c r="F8" s="12" t="s">
        <v>108</v>
      </c>
      <c r="G8" s="13" t="str">
        <f t="shared" si="1"/>
        <v>Barito Raya</v>
      </c>
      <c r="H8" s="15" t="str">
        <f>IFERROR(VLOOKUP(A8,Sheet1!$E$3:$F$27,2,),"")</f>
        <v>Corrective</v>
      </c>
      <c r="I8" s="16" t="str">
        <f>IFERROR(VLOOKUP(A8,Sheet1!$E$3:$G$27,3,0),"")</f>
        <v>Pemadaman,MCB Trip,Transmisi problem</v>
      </c>
      <c r="J8" s="12" t="s">
        <v>112</v>
      </c>
      <c r="K8" s="17">
        <v>46315.0</v>
      </c>
      <c r="L8" s="17">
        <v>46315.0</v>
      </c>
      <c r="M8" s="12" t="s">
        <v>109</v>
      </c>
      <c r="N8" s="18" t="s">
        <v>118</v>
      </c>
      <c r="O8" s="19"/>
      <c r="P8" s="19"/>
    </row>
    <row r="9" ht="22.5" customHeight="1">
      <c r="A9" s="12" t="s">
        <v>72</v>
      </c>
      <c r="B9" s="20" t="str">
        <f>IFERROR(VLOOKUP(A9,Sheet1!$E$3:$H$27,4,0),"")</f>
        <v>P1</v>
      </c>
      <c r="C9" s="14" t="s">
        <v>119</v>
      </c>
      <c r="D9" s="12" t="s">
        <v>60</v>
      </c>
      <c r="E9" s="13" t="str">
        <f>IFERROR(VLOOKUP(D9,Sheet1!$B$1:$C$45,2,0),"")</f>
        <v>TE</v>
      </c>
      <c r="F9" s="12" t="s">
        <v>108</v>
      </c>
      <c r="G9" s="13" t="str">
        <f t="shared" si="1"/>
        <v>Barito Raya</v>
      </c>
      <c r="H9" s="15" t="str">
        <f>IFERROR(VLOOKUP(A9,Sheet1!$E$3:$F$27,2,),"")</f>
        <v>Corrective</v>
      </c>
      <c r="I9" s="16" t="str">
        <f>IFERROR(VLOOKUP(A9,Sheet1!$E$3:$G$27,3,0),"")</f>
        <v>Perbaikan Auto,pergantian relay,timer, yang berhubungan genset</v>
      </c>
      <c r="J9" s="12" t="s">
        <v>112</v>
      </c>
      <c r="K9" s="17">
        <v>46315.0</v>
      </c>
      <c r="L9" s="17">
        <v>46315.0</v>
      </c>
      <c r="M9" s="12" t="s">
        <v>109</v>
      </c>
      <c r="N9" s="18" t="s">
        <v>120</v>
      </c>
      <c r="O9" s="19"/>
      <c r="P9" s="19"/>
    </row>
    <row r="10" ht="22.5" customHeight="1">
      <c r="A10" s="12" t="s">
        <v>5</v>
      </c>
      <c r="B10" s="20" t="str">
        <f>IFERROR(VLOOKUP(A10,Sheet1!$E$3:$H$27,4,0),"")</f>
        <v>P1</v>
      </c>
      <c r="C10" s="14" t="s">
        <v>121</v>
      </c>
      <c r="D10" s="12" t="s">
        <v>62</v>
      </c>
      <c r="E10" s="13" t="str">
        <f>IFERROR(VLOOKUP(D10,Sheet1!$B$1:$C$45,2,0),"")</f>
        <v>TE</v>
      </c>
      <c r="F10" s="12" t="s">
        <v>108</v>
      </c>
      <c r="G10" s="13" t="str">
        <f t="shared" si="1"/>
        <v>Barito Raya</v>
      </c>
      <c r="H10" s="15" t="str">
        <f>IFERROR(VLOOKUP(A10,Sheet1!$E$3:$F$27,2,),"")</f>
        <v>Corrective</v>
      </c>
      <c r="I10" s="16" t="str">
        <f>IFERROR(VLOOKUP(A10,Sheet1!$E$3:$G$27,3,0),"")</f>
        <v>Replace Optik,RRU/Soket Power/Replace GPS</v>
      </c>
      <c r="J10" s="12" t="s">
        <v>112</v>
      </c>
      <c r="K10" s="17">
        <v>46315.0</v>
      </c>
      <c r="L10" s="17">
        <v>46315.0</v>
      </c>
      <c r="M10" s="12" t="s">
        <v>122</v>
      </c>
      <c r="N10" s="18" t="s">
        <v>123</v>
      </c>
      <c r="O10" s="19"/>
      <c r="P10" s="19"/>
    </row>
    <row r="11" ht="22.5" customHeight="1">
      <c r="A11" s="12" t="s">
        <v>52</v>
      </c>
      <c r="B11" s="20" t="str">
        <f>IFERROR(VLOOKUP(A11,Sheet1!$E$3:$H$27,4,0),"")</f>
        <v>P1</v>
      </c>
      <c r="C11" s="14" t="s">
        <v>124</v>
      </c>
      <c r="D11" s="12" t="s">
        <v>29</v>
      </c>
      <c r="E11" s="13" t="str">
        <f>IFERROR(VLOOKUP(D11,Sheet1!$B$1:$C$45,2,0),"")</f>
        <v>MBP</v>
      </c>
      <c r="F11" s="12" t="s">
        <v>108</v>
      </c>
      <c r="G11" s="13" t="str">
        <f t="shared" si="1"/>
        <v>Barito Raya</v>
      </c>
      <c r="H11" s="15" t="str">
        <f>IFERROR(VLOOKUP(A11,Sheet1!$E$3:$F$27,2,),"")</f>
        <v>Preventive</v>
      </c>
      <c r="I11" s="16" t="str">
        <f>IFERROR(VLOOKUP(A11,Sheet1!$E$3:$G$27,3,0),"")</f>
        <v>MCB trip/Power upnormal</v>
      </c>
      <c r="J11" s="12" t="s">
        <v>112</v>
      </c>
      <c r="K11" s="17">
        <v>46315.0</v>
      </c>
      <c r="L11" s="17">
        <v>46315.0</v>
      </c>
      <c r="M11" s="12" t="s">
        <v>109</v>
      </c>
      <c r="N11" s="18" t="s">
        <v>125</v>
      </c>
      <c r="O11" s="19"/>
      <c r="P11" s="19"/>
    </row>
    <row r="12" ht="22.5" customHeight="1">
      <c r="A12" s="12" t="s">
        <v>52</v>
      </c>
      <c r="B12" s="20" t="str">
        <f>IFERROR(VLOOKUP(A12,Sheet1!$E$3:$H$27,4,0),"")</f>
        <v>P1</v>
      </c>
      <c r="C12" s="14" t="s">
        <v>126</v>
      </c>
      <c r="D12" s="12" t="s">
        <v>4</v>
      </c>
      <c r="E12" s="13" t="str">
        <f>IFERROR(VLOOKUP(D12,Sheet1!$B$1:$C$45,2,0),"")</f>
        <v>CME</v>
      </c>
      <c r="F12" s="12" t="s">
        <v>108</v>
      </c>
      <c r="G12" s="13" t="str">
        <f t="shared" si="1"/>
        <v>Barito Raya</v>
      </c>
      <c r="H12" s="15" t="str">
        <f>IFERROR(VLOOKUP(A12,Sheet1!$E$3:$F$27,2,),"")</f>
        <v>Preventive</v>
      </c>
      <c r="I12" s="16" t="str">
        <f>IFERROR(VLOOKUP(A12,Sheet1!$E$3:$G$27,3,0),"")</f>
        <v>MCB trip/Power upnormal</v>
      </c>
      <c r="J12" s="12" t="s">
        <v>112</v>
      </c>
      <c r="K12" s="17">
        <v>46315.0</v>
      </c>
      <c r="L12" s="17">
        <v>46315.0</v>
      </c>
      <c r="M12" s="12" t="s">
        <v>109</v>
      </c>
      <c r="N12" s="18" t="s">
        <v>127</v>
      </c>
      <c r="O12" s="19"/>
      <c r="P12" s="19"/>
    </row>
    <row r="13" ht="22.5" customHeight="1">
      <c r="A13" s="12" t="s">
        <v>52</v>
      </c>
      <c r="B13" s="20" t="str">
        <f>IFERROR(VLOOKUP(A13,Sheet1!$E$3:$H$27,4,0),"")</f>
        <v>P1</v>
      </c>
      <c r="C13" s="14" t="s">
        <v>128</v>
      </c>
      <c r="D13" s="12" t="s">
        <v>9</v>
      </c>
      <c r="E13" s="12" t="s">
        <v>1</v>
      </c>
      <c r="F13" s="12" t="s">
        <v>108</v>
      </c>
      <c r="G13" s="13" t="str">
        <f t="shared" si="1"/>
        <v>Barito Raya</v>
      </c>
      <c r="H13" s="15" t="str">
        <f>IFERROR(VLOOKUP(A13,Sheet1!$E$3:$F$27,2,),"")</f>
        <v>Preventive</v>
      </c>
      <c r="I13" s="16" t="str">
        <f>IFERROR(VLOOKUP(A13,Sheet1!$E$3:$G$27,3,0),"")</f>
        <v>MCB trip/Power upnormal</v>
      </c>
      <c r="J13" s="12" t="s">
        <v>112</v>
      </c>
      <c r="K13" s="17">
        <v>46315.0</v>
      </c>
      <c r="L13" s="17">
        <v>46315.0</v>
      </c>
      <c r="M13" s="12" t="s">
        <v>109</v>
      </c>
      <c r="N13" s="18" t="s">
        <v>127</v>
      </c>
      <c r="O13" s="19"/>
      <c r="P13" s="19"/>
    </row>
    <row r="14" ht="22.5" customHeight="1">
      <c r="A14" s="12" t="s">
        <v>72</v>
      </c>
      <c r="B14" s="20" t="str">
        <f>IFERROR(VLOOKUP(A14,Sheet1!$E$3:$H$27,4,0),"")</f>
        <v>P1</v>
      </c>
      <c r="C14" s="14" t="s">
        <v>119</v>
      </c>
      <c r="D14" s="12" t="s">
        <v>0</v>
      </c>
      <c r="E14" s="13" t="str">
        <f>IFERROR(VLOOKUP(D14,Sheet1!$B$1:$C$45,2,0),"")</f>
        <v>MBP</v>
      </c>
      <c r="F14" s="12" t="s">
        <v>108</v>
      </c>
      <c r="G14" s="13" t="str">
        <f t="shared" si="1"/>
        <v>Barito Raya</v>
      </c>
      <c r="H14" s="15" t="str">
        <f>IFERROR(VLOOKUP(A14,Sheet1!$E$3:$F$27,2,),"")</f>
        <v>Corrective</v>
      </c>
      <c r="I14" s="16" t="str">
        <f>IFERROR(VLOOKUP(A14,Sheet1!$E$3:$G$27,3,0),"")</f>
        <v>Perbaikan Auto,pergantian relay,timer, yang berhubungan genset</v>
      </c>
      <c r="J14" s="12" t="s">
        <v>112</v>
      </c>
      <c r="K14" s="17">
        <v>46315.0</v>
      </c>
      <c r="L14" s="17">
        <v>46315.0</v>
      </c>
      <c r="M14" s="12" t="s">
        <v>109</v>
      </c>
      <c r="N14" s="18" t="s">
        <v>129</v>
      </c>
      <c r="O14" s="19"/>
      <c r="P14" s="19"/>
    </row>
    <row r="15" ht="22.5" customHeight="1">
      <c r="A15" s="12" t="s">
        <v>52</v>
      </c>
      <c r="B15" s="20" t="str">
        <f>IFERROR(VLOOKUP(A15,Sheet1!$E$3:$H$27,4,0),"")</f>
        <v>P1</v>
      </c>
      <c r="C15" s="14" t="s">
        <v>130</v>
      </c>
      <c r="D15" s="12" t="s">
        <v>2</v>
      </c>
      <c r="E15" s="13" t="str">
        <f>IFERROR(VLOOKUP(D15,Sheet1!$B$1:$C$45,2,0),"")</f>
        <v>CME</v>
      </c>
      <c r="F15" s="12" t="s">
        <v>108</v>
      </c>
      <c r="G15" s="13" t="str">
        <f t="shared" si="1"/>
        <v>Barito Raya</v>
      </c>
      <c r="H15" s="15" t="str">
        <f>IFERROR(VLOOKUP(A15,Sheet1!$E$3:$F$27,2,),"")</f>
        <v>Preventive</v>
      </c>
      <c r="I15" s="16" t="str">
        <f>IFERROR(VLOOKUP(A15,Sheet1!$E$3:$G$27,3,0),"")</f>
        <v>MCB trip/Power upnormal</v>
      </c>
      <c r="J15" s="12" t="s">
        <v>112</v>
      </c>
      <c r="K15" s="17">
        <v>46315.0</v>
      </c>
      <c r="L15" s="17">
        <v>46315.0</v>
      </c>
      <c r="M15" s="12" t="s">
        <v>109</v>
      </c>
      <c r="N15" s="18" t="s">
        <v>127</v>
      </c>
      <c r="O15" s="19"/>
      <c r="P15" s="19"/>
    </row>
    <row r="16" ht="22.5" customHeight="1">
      <c r="A16" s="12" t="s">
        <v>52</v>
      </c>
      <c r="B16" s="20" t="str">
        <f>IFERROR(VLOOKUP(A16,Sheet1!$E$3:$H$27,4,0),"")</f>
        <v>P1</v>
      </c>
      <c r="C16" s="14" t="s">
        <v>131</v>
      </c>
      <c r="D16" s="12" t="s">
        <v>87</v>
      </c>
      <c r="E16" s="12" t="s">
        <v>1</v>
      </c>
      <c r="F16" s="12" t="s">
        <v>108</v>
      </c>
      <c r="G16" s="13" t="str">
        <f t="shared" si="1"/>
        <v>Barito Raya</v>
      </c>
      <c r="H16" s="15" t="str">
        <f>IFERROR(VLOOKUP(A16,Sheet1!$E$3:$F$27,2,),"")</f>
        <v>Preventive</v>
      </c>
      <c r="I16" s="16" t="str">
        <f>IFERROR(VLOOKUP(A16,Sheet1!$E$3:$G$27,3,0),"")</f>
        <v>MCB trip/Power upnormal</v>
      </c>
      <c r="J16" s="12" t="s">
        <v>112</v>
      </c>
      <c r="K16" s="17">
        <v>46315.0</v>
      </c>
      <c r="L16" s="17">
        <v>46315.0</v>
      </c>
      <c r="M16" s="12" t="s">
        <v>109</v>
      </c>
      <c r="N16" s="18" t="s">
        <v>132</v>
      </c>
      <c r="O16" s="19"/>
      <c r="P16" s="19"/>
    </row>
    <row r="17" ht="22.5" customHeight="1">
      <c r="A17" s="12" t="s">
        <v>65</v>
      </c>
      <c r="B17" s="20" t="str">
        <f>IFERROR(VLOOKUP(A17,Sheet1!$E$3:$H$27,4,0),"")</f>
        <v>P3</v>
      </c>
      <c r="C17" s="14"/>
      <c r="D17" s="12" t="s">
        <v>86</v>
      </c>
      <c r="E17" s="13" t="str">
        <f>IFERROR(VLOOKUP(D17,Sheet1!$B$1:$C$45,2,0),"")</f>
        <v>PM</v>
      </c>
      <c r="F17" s="12" t="s">
        <v>108</v>
      </c>
      <c r="G17" s="13" t="str">
        <f t="shared" si="1"/>
        <v>Barito Raya</v>
      </c>
      <c r="H17" s="15" t="str">
        <f>IFERROR(VLOOKUP(A17,Sheet1!$E$3:$F$27,2,),"")</f>
        <v>Standby</v>
      </c>
      <c r="I17" s="16" t="str">
        <f>IFERROR(VLOOKUP(A17,Sheet1!$E$3:$G$27,3,0),"")</f>
        <v>Standby On Call</v>
      </c>
      <c r="J17" s="12" t="s">
        <v>112</v>
      </c>
      <c r="K17" s="17">
        <v>46315.0</v>
      </c>
      <c r="L17" s="17">
        <v>46315.0</v>
      </c>
      <c r="M17" s="12" t="s">
        <v>109</v>
      </c>
      <c r="N17" s="18" t="s">
        <v>133</v>
      </c>
      <c r="O17" s="19"/>
      <c r="P17" s="19"/>
    </row>
    <row r="18" ht="22.5" customHeight="1">
      <c r="A18" s="12" t="s">
        <v>22</v>
      </c>
      <c r="B18" s="20" t="str">
        <f>IFERROR(VLOOKUP(A18,Sheet1!$E$3:$H$27,4,0),"")</f>
        <v>P2</v>
      </c>
      <c r="C18" s="14" t="s">
        <v>134</v>
      </c>
      <c r="D18" s="12" t="s">
        <v>84</v>
      </c>
      <c r="E18" s="13" t="str">
        <f>IFERROR(VLOOKUP(D18,Sheet1!$B$1:$C$45,2,0),"")</f>
        <v>MBP</v>
      </c>
      <c r="F18" s="12" t="s">
        <v>108</v>
      </c>
      <c r="G18" s="13" t="str">
        <f t="shared" si="1"/>
        <v>Barito Raya</v>
      </c>
      <c r="H18" s="15" t="str">
        <f>IFERROR(VLOOKUP(A18,Sheet1!$E$3:$F$27,2,),"")</f>
        <v>Preventive</v>
      </c>
      <c r="I18" s="16" t="str">
        <f>IFERROR(VLOOKUP(A18,Sheet1!$E$3:$G$27,3,0),"")</f>
        <v>Preventive Maintenance</v>
      </c>
      <c r="J18" s="12" t="s">
        <v>112</v>
      </c>
      <c r="K18" s="17">
        <v>46315.0</v>
      </c>
      <c r="L18" s="17">
        <v>46315.0</v>
      </c>
      <c r="M18" s="12" t="s">
        <v>122</v>
      </c>
      <c r="N18" s="18" t="s">
        <v>135</v>
      </c>
      <c r="O18" s="19"/>
      <c r="P18" s="19"/>
    </row>
    <row r="19" ht="22.5" customHeight="1">
      <c r="A19" s="12" t="s">
        <v>22</v>
      </c>
      <c r="B19" s="20" t="str">
        <f>IFERROR(VLOOKUP(A19,Sheet1!$E$3:$H$27,4,0),"")</f>
        <v>P2</v>
      </c>
      <c r="C19" s="14" t="s">
        <v>136</v>
      </c>
      <c r="D19" s="12" t="s">
        <v>86</v>
      </c>
      <c r="E19" s="13" t="str">
        <f>IFERROR(VLOOKUP(D19,Sheet1!$B$1:$C$45,2,0),"")</f>
        <v>PM</v>
      </c>
      <c r="F19" s="12" t="s">
        <v>108</v>
      </c>
      <c r="G19" s="13" t="str">
        <f t="shared" si="1"/>
        <v>Barito Raya</v>
      </c>
      <c r="H19" s="15" t="str">
        <f>IFERROR(VLOOKUP(A19,Sheet1!$E$3:$F$27,2,),"")</f>
        <v>Preventive</v>
      </c>
      <c r="I19" s="16" t="str">
        <f>IFERROR(VLOOKUP(A19,Sheet1!$E$3:$G$27,3,0),"")</f>
        <v>Preventive Maintenance</v>
      </c>
      <c r="J19" s="12" t="s">
        <v>112</v>
      </c>
      <c r="K19" s="17">
        <v>46315.0</v>
      </c>
      <c r="L19" s="17">
        <v>46315.0</v>
      </c>
      <c r="M19" s="12" t="s">
        <v>137</v>
      </c>
      <c r="N19" s="18" t="s">
        <v>138</v>
      </c>
      <c r="O19" s="19"/>
      <c r="P19" s="19"/>
    </row>
    <row r="20" ht="22.5" customHeight="1">
      <c r="A20" s="12" t="s">
        <v>5</v>
      </c>
      <c r="B20" s="13" t="str">
        <f>IFERROR(VLOOKUP(A20,Sheet1!$E$3:$H$27,4,0),"")</f>
        <v>P1</v>
      </c>
      <c r="C20" s="14" t="s">
        <v>139</v>
      </c>
      <c r="D20" s="12" t="s">
        <v>12</v>
      </c>
      <c r="E20" s="13" t="str">
        <f>IFERROR(VLOOKUP(D20,Sheet1!$B$1:$C$45,2,0),"")</f>
        <v>TE</v>
      </c>
      <c r="F20" s="12" t="s">
        <v>108</v>
      </c>
      <c r="G20" s="13" t="str">
        <f t="shared" si="1"/>
        <v>Barito Raya</v>
      </c>
      <c r="H20" s="15" t="str">
        <f>IFERROR(VLOOKUP(A20,Sheet1!$E$3:$F$27,2,),"")</f>
        <v>Corrective</v>
      </c>
      <c r="I20" s="16" t="str">
        <f>IFERROR(VLOOKUP(A20,Sheet1!$E$3:$G$27,3,0),"")</f>
        <v>Replace Optik,RRU/Soket Power/Replace GPS</v>
      </c>
      <c r="J20" s="12" t="s">
        <v>112</v>
      </c>
      <c r="K20" s="17">
        <v>46310.0</v>
      </c>
      <c r="L20" s="17">
        <v>46310.0</v>
      </c>
      <c r="M20" s="12" t="s">
        <v>137</v>
      </c>
      <c r="N20" s="18" t="s">
        <v>140</v>
      </c>
      <c r="O20" s="19"/>
      <c r="P20" s="19"/>
    </row>
    <row r="21" ht="22.5" customHeight="1">
      <c r="A21" s="12" t="s">
        <v>22</v>
      </c>
      <c r="B21" s="20" t="str">
        <f>IFERROR(VLOOKUP(A21,Sheet1!$E$3:$H$27,4,0),"")</f>
        <v>P2</v>
      </c>
      <c r="C21" s="14" t="s">
        <v>141</v>
      </c>
      <c r="D21" s="12" t="s">
        <v>16</v>
      </c>
      <c r="E21" s="13" t="str">
        <f>IFERROR(VLOOKUP(D21,Sheet1!$B$1:$C$45,2,0),"")</f>
        <v>TE</v>
      </c>
      <c r="F21" s="12" t="s">
        <v>108</v>
      </c>
      <c r="G21" s="13" t="str">
        <f t="shared" si="1"/>
        <v>Barito Raya</v>
      </c>
      <c r="H21" s="15" t="str">
        <f>IFERROR(VLOOKUP(A21,Sheet1!$E$3:$F$27,2,),"")</f>
        <v>Preventive</v>
      </c>
      <c r="I21" s="16" t="str">
        <f>IFERROR(VLOOKUP(A21,Sheet1!$E$3:$G$27,3,0),"")</f>
        <v>Preventive Maintenance</v>
      </c>
      <c r="J21" s="12" t="s">
        <v>112</v>
      </c>
      <c r="K21" s="17">
        <v>46310.0</v>
      </c>
      <c r="L21" s="17">
        <v>46310.0</v>
      </c>
      <c r="M21" s="21" t="s">
        <v>137</v>
      </c>
      <c r="N21" s="18" t="s">
        <v>142</v>
      </c>
      <c r="O21" s="19"/>
      <c r="P21" s="19"/>
    </row>
    <row r="22" ht="22.5" customHeight="1">
      <c r="A22" s="12" t="s">
        <v>33</v>
      </c>
      <c r="B22" s="13" t="str">
        <f>IFERROR(VLOOKUP(A22,Sheet1!$E$3:$H$27,4,0),"")</f>
        <v>P2</v>
      </c>
      <c r="C22" s="14" t="s">
        <v>139</v>
      </c>
      <c r="D22" s="12" t="s">
        <v>21</v>
      </c>
      <c r="E22" s="13" t="str">
        <f>IFERROR(VLOOKUP(D22,Sheet1!$B$1:$C$45,2,0),"")</f>
        <v>TE</v>
      </c>
      <c r="F22" s="12" t="s">
        <v>108</v>
      </c>
      <c r="G22" s="13" t="str">
        <f t="shared" si="1"/>
        <v>Barito Raya</v>
      </c>
      <c r="H22" s="15" t="str">
        <f>IFERROR(VLOOKUP(A22,Sheet1!$E$3:$F$27,2,),"")</f>
        <v>Preventive</v>
      </c>
      <c r="I22" s="16" t="str">
        <f>IFERROR(VLOOKUP(A22,Sheet1!$E$3:$G$27,3,0),"")</f>
        <v>Pengukuran dan pengambilan data log serta input Gdoc BBT</v>
      </c>
      <c r="J22" s="12" t="s">
        <v>112</v>
      </c>
      <c r="K22" s="17">
        <v>46310.0</v>
      </c>
      <c r="L22" s="17">
        <v>46310.0</v>
      </c>
      <c r="M22" s="12" t="s">
        <v>137</v>
      </c>
      <c r="N22" s="18" t="s">
        <v>140</v>
      </c>
      <c r="O22" s="19"/>
      <c r="P22" s="19"/>
    </row>
    <row r="23" ht="22.5" customHeight="1">
      <c r="A23" s="12" t="s">
        <v>65</v>
      </c>
      <c r="B23" s="13" t="str">
        <f>IFERROR(VLOOKUP(A23,Sheet1!$E$3:$H$27,4,0),"")</f>
        <v>P3</v>
      </c>
      <c r="C23" s="14"/>
      <c r="D23" s="12" t="s">
        <v>26</v>
      </c>
      <c r="E23" s="13" t="str">
        <f>IFERROR(VLOOKUP(D23,Sheet1!$B$1:$C$45,2,0),"")</f>
        <v>TE</v>
      </c>
      <c r="F23" s="12" t="s">
        <v>108</v>
      </c>
      <c r="G23" s="13" t="str">
        <f t="shared" si="1"/>
        <v>Barito Raya</v>
      </c>
      <c r="H23" s="15" t="str">
        <f>IFERROR(VLOOKUP(A23,Sheet1!$E$3:$F$27,2,),"")</f>
        <v>Standby</v>
      </c>
      <c r="I23" s="16" t="str">
        <f>IFERROR(VLOOKUP(A23,Sheet1!$E$3:$G$27,3,0),"")</f>
        <v>Standby On Call</v>
      </c>
      <c r="J23" s="12" t="s">
        <v>112</v>
      </c>
      <c r="K23" s="17">
        <v>46310.0</v>
      </c>
      <c r="L23" s="17">
        <v>46310.0</v>
      </c>
      <c r="M23" s="12" t="s">
        <v>137</v>
      </c>
      <c r="N23" s="18" t="s">
        <v>143</v>
      </c>
      <c r="O23" s="19"/>
      <c r="P23" s="19"/>
    </row>
    <row r="24" ht="22.5" customHeight="1">
      <c r="A24" s="12" t="s">
        <v>14</v>
      </c>
      <c r="B24" s="13" t="str">
        <f>IFERROR(VLOOKUP(A24,Sheet1!$E$3:$H$27,4,0),"")</f>
        <v>P1</v>
      </c>
      <c r="C24" s="14" t="s">
        <v>144</v>
      </c>
      <c r="D24" s="12" t="s">
        <v>32</v>
      </c>
      <c r="E24" s="13" t="str">
        <f>IFERROR(VLOOKUP(D24,Sheet1!$B$1:$C$45,2,0),"")</f>
        <v>TE</v>
      </c>
      <c r="F24" s="12" t="s">
        <v>108</v>
      </c>
      <c r="G24" s="13" t="str">
        <f t="shared" si="1"/>
        <v>Barito Raya</v>
      </c>
      <c r="H24" s="15" t="str">
        <f>IFERROR(VLOOKUP(A24,Sheet1!$E$3:$F$27,2,),"")</f>
        <v>Corrective</v>
      </c>
      <c r="I24" s="16" t="str">
        <f>IFERROR(VLOOKUP(A24,Sheet1!$E$3:$G$27,3,0),"")</f>
        <v>Pemadaman,MCB Trip,Transmisi problem</v>
      </c>
      <c r="J24" s="12" t="s">
        <v>112</v>
      </c>
      <c r="K24" s="17">
        <v>46310.0</v>
      </c>
      <c r="L24" s="17">
        <v>46310.0</v>
      </c>
      <c r="M24" s="12" t="s">
        <v>137</v>
      </c>
      <c r="N24" s="18" t="s">
        <v>145</v>
      </c>
      <c r="O24" s="19"/>
      <c r="P24" s="19"/>
    </row>
    <row r="25" ht="22.5" customHeight="1">
      <c r="A25" s="12" t="s">
        <v>14</v>
      </c>
      <c r="B25" s="20" t="str">
        <f>IFERROR(VLOOKUP(A25,Sheet1!$E$3:$H$27,4,0),"")</f>
        <v>P1</v>
      </c>
      <c r="C25" s="14" t="s">
        <v>146</v>
      </c>
      <c r="D25" s="12" t="s">
        <v>60</v>
      </c>
      <c r="E25" s="13" t="str">
        <f>IFERROR(VLOOKUP(D25,Sheet1!$B$1:$C$45,2,0),"")</f>
        <v>TE</v>
      </c>
      <c r="F25" s="12" t="s">
        <v>108</v>
      </c>
      <c r="G25" s="13" t="str">
        <f t="shared" si="1"/>
        <v>Barito Raya</v>
      </c>
      <c r="H25" s="15" t="str">
        <f>IFERROR(VLOOKUP(A25,Sheet1!$E$3:$F$27,2,),"")</f>
        <v>Corrective</v>
      </c>
      <c r="I25" s="16" t="str">
        <f>IFERROR(VLOOKUP(A25,Sheet1!$E$3:$G$27,3,0),"")</f>
        <v>Pemadaman,MCB Trip,Transmisi problem</v>
      </c>
      <c r="J25" s="12" t="s">
        <v>112</v>
      </c>
      <c r="K25" s="17">
        <v>46310.0</v>
      </c>
      <c r="L25" s="17">
        <v>46310.0</v>
      </c>
      <c r="M25" s="12" t="s">
        <v>137</v>
      </c>
      <c r="N25" s="18" t="s">
        <v>147</v>
      </c>
      <c r="O25" s="19"/>
      <c r="P25" s="19"/>
    </row>
    <row r="26" ht="22.5" customHeight="1">
      <c r="A26" s="12" t="s">
        <v>33</v>
      </c>
      <c r="B26" s="20" t="str">
        <f>IFERROR(VLOOKUP(A26,Sheet1!$E$3:$H$27,4,0),"")</f>
        <v>P2</v>
      </c>
      <c r="C26" s="14" t="s">
        <v>148</v>
      </c>
      <c r="D26" s="12" t="s">
        <v>62</v>
      </c>
      <c r="E26" s="13" t="str">
        <f>IFERROR(VLOOKUP(D26,Sheet1!$B$1:$C$45,2,0),"")</f>
        <v>TE</v>
      </c>
      <c r="F26" s="12" t="s">
        <v>108</v>
      </c>
      <c r="G26" s="13" t="str">
        <f t="shared" si="1"/>
        <v>Barito Raya</v>
      </c>
      <c r="H26" s="15" t="str">
        <f>IFERROR(VLOOKUP(A26,Sheet1!$E$3:$F$27,2,),"")</f>
        <v>Preventive</v>
      </c>
      <c r="I26" s="16" t="str">
        <f>IFERROR(VLOOKUP(A26,Sheet1!$E$3:$G$27,3,0),"")</f>
        <v>Pengukuran dan pengambilan data log serta input Gdoc BBT</v>
      </c>
      <c r="J26" s="12" t="s">
        <v>112</v>
      </c>
      <c r="K26" s="17">
        <v>46310.0</v>
      </c>
      <c r="L26" s="17">
        <v>46310.0</v>
      </c>
      <c r="M26" s="12" t="s">
        <v>137</v>
      </c>
      <c r="N26" s="18" t="s">
        <v>149</v>
      </c>
      <c r="O26" s="19"/>
      <c r="P26" s="19"/>
    </row>
    <row r="27" ht="22.5" customHeight="1">
      <c r="A27" s="12" t="s">
        <v>52</v>
      </c>
      <c r="B27" s="20" t="str">
        <f>IFERROR(VLOOKUP(A27,Sheet1!$E$3:$H$27,4,0),"")</f>
        <v>P1</v>
      </c>
      <c r="C27" s="14" t="s">
        <v>150</v>
      </c>
      <c r="D27" s="12" t="s">
        <v>29</v>
      </c>
      <c r="E27" s="13" t="str">
        <f>IFERROR(VLOOKUP(D27,Sheet1!$B$1:$C$45,2,0),"")</f>
        <v>MBP</v>
      </c>
      <c r="F27" s="12" t="s">
        <v>108</v>
      </c>
      <c r="G27" s="13" t="str">
        <f t="shared" si="1"/>
        <v>Barito Raya</v>
      </c>
      <c r="H27" s="15" t="str">
        <f>IFERROR(VLOOKUP(A27,Sheet1!$E$3:$F$27,2,),"")</f>
        <v>Preventive</v>
      </c>
      <c r="I27" s="16" t="str">
        <f>IFERROR(VLOOKUP(A27,Sheet1!$E$3:$G$27,3,0),"")</f>
        <v>MCB trip/Power upnormal</v>
      </c>
      <c r="J27" s="12" t="s">
        <v>112</v>
      </c>
      <c r="K27" s="17">
        <v>46310.0</v>
      </c>
      <c r="L27" s="17">
        <v>46310.0</v>
      </c>
      <c r="M27" s="12" t="s">
        <v>137</v>
      </c>
      <c r="N27" s="18" t="s">
        <v>127</v>
      </c>
      <c r="O27" s="19"/>
      <c r="P27" s="19"/>
    </row>
    <row r="28" ht="22.5" customHeight="1">
      <c r="A28" s="12" t="s">
        <v>52</v>
      </c>
      <c r="B28" s="20" t="str">
        <f>IFERROR(VLOOKUP(A28,Sheet1!$E$3:$H$27,4,0),"")</f>
        <v>P1</v>
      </c>
      <c r="C28" s="14" t="s">
        <v>126</v>
      </c>
      <c r="D28" s="12" t="s">
        <v>4</v>
      </c>
      <c r="E28" s="13" t="str">
        <f>IFERROR(VLOOKUP(D28,Sheet1!$B$1:$C$45,2,0),"")</f>
        <v>CME</v>
      </c>
      <c r="F28" s="12" t="s">
        <v>108</v>
      </c>
      <c r="G28" s="13" t="str">
        <f t="shared" si="1"/>
        <v>Barito Raya</v>
      </c>
      <c r="H28" s="15" t="str">
        <f>IFERROR(VLOOKUP(A28,Sheet1!$E$3:$F$27,2,),"")</f>
        <v>Preventive</v>
      </c>
      <c r="I28" s="16" t="str">
        <f>IFERROR(VLOOKUP(A28,Sheet1!$E$3:$G$27,3,0),"")</f>
        <v>MCB trip/Power upnormal</v>
      </c>
      <c r="J28" s="12" t="s">
        <v>112</v>
      </c>
      <c r="K28" s="17">
        <v>46310.0</v>
      </c>
      <c r="L28" s="17">
        <v>46310.0</v>
      </c>
      <c r="M28" s="12" t="s">
        <v>137</v>
      </c>
      <c r="N28" s="18" t="s">
        <v>127</v>
      </c>
      <c r="O28" s="19"/>
      <c r="P28" s="19"/>
    </row>
    <row r="29" ht="22.5" customHeight="1">
      <c r="A29" s="12" t="s">
        <v>52</v>
      </c>
      <c r="B29" s="20" t="str">
        <f>IFERROR(VLOOKUP(A29,Sheet1!$E$3:$H$27,4,0),"")</f>
        <v>P1</v>
      </c>
      <c r="C29" s="14" t="s">
        <v>128</v>
      </c>
      <c r="D29" s="12" t="s">
        <v>9</v>
      </c>
      <c r="E29" s="12" t="s">
        <v>1</v>
      </c>
      <c r="F29" s="12" t="s">
        <v>108</v>
      </c>
      <c r="G29" s="13" t="str">
        <f t="shared" si="1"/>
        <v>Barito Raya</v>
      </c>
      <c r="H29" s="15" t="str">
        <f>IFERROR(VLOOKUP(A29,Sheet1!$E$3:$F$27,2,),"")</f>
        <v>Preventive</v>
      </c>
      <c r="I29" s="16" t="str">
        <f>IFERROR(VLOOKUP(A29,Sheet1!$E$3:$G$27,3,0),"")</f>
        <v>MCB trip/Power upnormal</v>
      </c>
      <c r="J29" s="12" t="s">
        <v>112</v>
      </c>
      <c r="K29" s="17">
        <v>46310.0</v>
      </c>
      <c r="L29" s="17">
        <v>46310.0</v>
      </c>
      <c r="M29" s="12" t="s">
        <v>137</v>
      </c>
      <c r="N29" s="18" t="s">
        <v>127</v>
      </c>
      <c r="O29" s="19"/>
      <c r="P29" s="19"/>
    </row>
    <row r="30" ht="22.5" customHeight="1">
      <c r="A30" s="12" t="s">
        <v>43</v>
      </c>
      <c r="B30" s="20" t="str">
        <f>IFERROR(VLOOKUP(A30,Sheet1!$E$3:$H$27,4,0),"")</f>
        <v>P1</v>
      </c>
      <c r="C30" s="14" t="s">
        <v>151</v>
      </c>
      <c r="D30" s="12" t="s">
        <v>0</v>
      </c>
      <c r="E30" s="13" t="str">
        <f>IFERROR(VLOOKUP(D30,Sheet1!$B$1:$C$45,2,0),"")</f>
        <v>MBP</v>
      </c>
      <c r="F30" s="12" t="s">
        <v>108</v>
      </c>
      <c r="G30" s="13" t="str">
        <f t="shared" si="1"/>
        <v>Barito Raya</v>
      </c>
      <c r="H30" s="15" t="str">
        <f>IFERROR(VLOOKUP(A30,Sheet1!$E$3:$F$27,2,),"")</f>
        <v>Corrective</v>
      </c>
      <c r="I30" s="16" t="str">
        <f>IFERROR(VLOOKUP(A30,Sheet1!$E$3:$G$27,3,0),"")</f>
        <v>Impact BTS down / RX Level &gt;70 / PL</v>
      </c>
      <c r="J30" s="12" t="s">
        <v>112</v>
      </c>
      <c r="K30" s="17">
        <v>46310.0</v>
      </c>
      <c r="L30" s="17">
        <v>46310.0</v>
      </c>
      <c r="M30" s="12" t="s">
        <v>137</v>
      </c>
      <c r="N30" s="18" t="s">
        <v>127</v>
      </c>
      <c r="O30" s="19"/>
      <c r="P30" s="19"/>
    </row>
    <row r="31" ht="22.5" customHeight="1">
      <c r="A31" s="12" t="s">
        <v>55</v>
      </c>
      <c r="B31" s="20" t="str">
        <f>IFERROR(VLOOKUP(A31,Sheet1!$E$3:$H$27,4,0),"")</f>
        <v>P2</v>
      </c>
      <c r="C31" s="14" t="s">
        <v>152</v>
      </c>
      <c r="D31" s="12" t="s">
        <v>2</v>
      </c>
      <c r="E31" s="13" t="str">
        <f>IFERROR(VLOOKUP(D31,Sheet1!$B$1:$C$45,2,0),"")</f>
        <v>CME</v>
      </c>
      <c r="F31" s="12" t="s">
        <v>108</v>
      </c>
      <c r="G31" s="13" t="str">
        <f t="shared" si="1"/>
        <v>Barito Raya</v>
      </c>
      <c r="H31" s="15" t="str">
        <f>IFERROR(VLOOKUP(A31,Sheet1!$E$3:$F$27,2,),"")</f>
        <v>Corrective</v>
      </c>
      <c r="I31" s="16" t="str">
        <f>IFERROR(VLOOKUP(A31,Sheet1!$E$3:$G$27,3,0),"")</f>
        <v>Penambahan Modul Recti</v>
      </c>
      <c r="J31" s="12" t="s">
        <v>112</v>
      </c>
      <c r="K31" s="17">
        <v>46310.0</v>
      </c>
      <c r="L31" s="17">
        <v>46310.0</v>
      </c>
      <c r="M31" s="12" t="s">
        <v>137</v>
      </c>
      <c r="N31" s="18" t="s">
        <v>153</v>
      </c>
      <c r="O31" s="19"/>
      <c r="P31" s="19"/>
    </row>
    <row r="32" ht="22.5" customHeight="1">
      <c r="A32" s="12" t="s">
        <v>52</v>
      </c>
      <c r="B32" s="20" t="str">
        <f>IFERROR(VLOOKUP(A32,Sheet1!$E$3:$H$27,4,0),"")</f>
        <v>P1</v>
      </c>
      <c r="C32" s="14" t="s">
        <v>131</v>
      </c>
      <c r="D32" s="12" t="s">
        <v>87</v>
      </c>
      <c r="E32" s="12" t="s">
        <v>1</v>
      </c>
      <c r="F32" s="12" t="s">
        <v>108</v>
      </c>
      <c r="G32" s="13" t="str">
        <f t="shared" si="1"/>
        <v>Barito Raya</v>
      </c>
      <c r="H32" s="15" t="str">
        <f>IFERROR(VLOOKUP(A32,Sheet1!$E$3:$F$27,2,),"")</f>
        <v>Preventive</v>
      </c>
      <c r="I32" s="16" t="str">
        <f>IFERROR(VLOOKUP(A32,Sheet1!$E$3:$G$27,3,0),"")</f>
        <v>MCB trip/Power upnormal</v>
      </c>
      <c r="J32" s="12" t="s">
        <v>112</v>
      </c>
      <c r="K32" s="17">
        <v>46310.0</v>
      </c>
      <c r="L32" s="17">
        <v>46310.0</v>
      </c>
      <c r="M32" s="12" t="s">
        <v>137</v>
      </c>
      <c r="N32" s="18" t="s">
        <v>127</v>
      </c>
      <c r="O32" s="19"/>
      <c r="P32" s="19"/>
    </row>
    <row r="33" ht="22.5" customHeight="1">
      <c r="A33" s="12" t="s">
        <v>5</v>
      </c>
      <c r="B33" s="20" t="str">
        <f>IFERROR(VLOOKUP(A33,Sheet1!$E$3:$H$27,4,0),"")</f>
        <v>P1</v>
      </c>
      <c r="C33" s="14" t="s">
        <v>154</v>
      </c>
      <c r="D33" s="12" t="s">
        <v>51</v>
      </c>
      <c r="E33" s="13" t="str">
        <f>IFERROR(VLOOKUP(D33,Sheet1!$B$1:$C$45,2,0),"")</f>
        <v>TE</v>
      </c>
      <c r="F33" s="12" t="s">
        <v>108</v>
      </c>
      <c r="G33" s="12" t="s">
        <v>155</v>
      </c>
      <c r="H33" s="15" t="str">
        <f>IFERROR(VLOOKUP(A33,Sheet1!$E$3:$F$27,2,),"")</f>
        <v>Corrective</v>
      </c>
      <c r="I33" s="16" t="str">
        <f>IFERROR(VLOOKUP(A33,Sheet1!$E$3:$G$27,3,0),"")</f>
        <v>Replace Optik,RRU/Soket Power/Replace GPS</v>
      </c>
      <c r="J33" s="12" t="s">
        <v>112</v>
      </c>
      <c r="K33" s="17">
        <v>46310.0</v>
      </c>
      <c r="L33" s="17">
        <v>46310.0</v>
      </c>
      <c r="M33" s="12" t="s">
        <v>137</v>
      </c>
      <c r="N33" s="18" t="s">
        <v>156</v>
      </c>
      <c r="O33" s="19"/>
      <c r="P33" s="19"/>
    </row>
    <row r="34" ht="22.5" customHeight="1">
      <c r="A34" s="12" t="s">
        <v>22</v>
      </c>
      <c r="B34" s="20" t="str">
        <f>IFERROR(VLOOKUP(A34,Sheet1!$E$3:$H$27,4,0),"")</f>
        <v>P2</v>
      </c>
      <c r="C34" s="14" t="s">
        <v>157</v>
      </c>
      <c r="D34" s="12" t="s">
        <v>84</v>
      </c>
      <c r="E34" s="13" t="str">
        <f>IFERROR(VLOOKUP(D34,Sheet1!$B$1:$C$45,2,0),"")</f>
        <v>MBP</v>
      </c>
      <c r="F34" s="12" t="s">
        <v>108</v>
      </c>
      <c r="G34" s="12" t="s">
        <v>155</v>
      </c>
      <c r="H34" s="15" t="str">
        <f>IFERROR(VLOOKUP(A34,Sheet1!$E$3:$F$27,2,),"")</f>
        <v>Preventive</v>
      </c>
      <c r="I34" s="16" t="str">
        <f>IFERROR(VLOOKUP(A34,Sheet1!$E$3:$G$27,3,0),"")</f>
        <v>Preventive Maintenance</v>
      </c>
      <c r="J34" s="12" t="s">
        <v>112</v>
      </c>
      <c r="K34" s="17">
        <v>46310.0</v>
      </c>
      <c r="L34" s="17">
        <v>46310.0</v>
      </c>
      <c r="M34" s="12" t="s">
        <v>137</v>
      </c>
      <c r="N34" s="18" t="s">
        <v>135</v>
      </c>
      <c r="O34" s="19"/>
      <c r="P34" s="19"/>
    </row>
    <row r="35" ht="22.5" customHeight="1">
      <c r="A35" s="12" t="s">
        <v>22</v>
      </c>
      <c r="B35" s="20" t="str">
        <f>IFERROR(VLOOKUP(A35,Sheet1!$E$3:$H$27,4,0),"")</f>
        <v>P2</v>
      </c>
      <c r="C35" s="14" t="s">
        <v>158</v>
      </c>
      <c r="D35" s="12" t="s">
        <v>86</v>
      </c>
      <c r="E35" s="13" t="str">
        <f>IFERROR(VLOOKUP(D35,Sheet1!$B$1:$C$45,2,0),"")</f>
        <v>PM</v>
      </c>
      <c r="F35" s="12" t="s">
        <v>108</v>
      </c>
      <c r="G35" s="12" t="s">
        <v>155</v>
      </c>
      <c r="H35" s="15" t="str">
        <f>IFERROR(VLOOKUP(A35,Sheet1!$E$3:$F$27,2,),"")</f>
        <v>Preventive</v>
      </c>
      <c r="I35" s="16" t="str">
        <f>IFERROR(VLOOKUP(A35,Sheet1!$E$3:$G$27,3,0),"")</f>
        <v>Preventive Maintenance</v>
      </c>
      <c r="J35" s="12" t="s">
        <v>66</v>
      </c>
      <c r="K35" s="17">
        <v>46310.0</v>
      </c>
      <c r="L35" s="17">
        <v>46310.0</v>
      </c>
      <c r="M35" s="12" t="s">
        <v>137</v>
      </c>
      <c r="N35" s="18" t="s">
        <v>135</v>
      </c>
      <c r="O35" s="22"/>
      <c r="P35" s="22"/>
    </row>
    <row r="36" ht="22.5" customHeight="1">
      <c r="A36" s="12" t="s">
        <v>33</v>
      </c>
      <c r="B36" s="20" t="str">
        <f>IFERROR(VLOOKUP(A36,Sheet1!$E$3:$H$27,4,0),"")</f>
        <v>P2</v>
      </c>
      <c r="C36" s="14" t="s">
        <v>159</v>
      </c>
      <c r="D36" s="12" t="s">
        <v>12</v>
      </c>
      <c r="E36" s="13" t="str">
        <f>IFERROR(VLOOKUP(D36,Sheet1!$B$1:$C$45,2,0),"")</f>
        <v>TE</v>
      </c>
      <c r="F36" s="12" t="s">
        <v>108</v>
      </c>
      <c r="G36" s="13" t="str">
        <f t="shared" ref="G36:G48" si="2">IFERROR(IFS(F36="Winda Sokenda","Barito Raya",F36="Doni Damara","Palangkaraya"),"")</f>
        <v>Barito Raya</v>
      </c>
      <c r="H36" s="15" t="str">
        <f>IFERROR(VLOOKUP(A36,Sheet1!$E$3:$F$27,2,),"")</f>
        <v>Preventive</v>
      </c>
      <c r="I36" s="16" t="str">
        <f>IFERROR(VLOOKUP(A36,Sheet1!$E$3:$G$27,3,0),"")</f>
        <v>Pengukuran dan pengambilan data log serta input Gdoc BBT</v>
      </c>
      <c r="J36" s="12" t="s">
        <v>112</v>
      </c>
      <c r="K36" s="17">
        <v>46307.0</v>
      </c>
      <c r="L36" s="17">
        <v>46307.0</v>
      </c>
      <c r="M36" s="12" t="s">
        <v>109</v>
      </c>
      <c r="N36" s="18" t="s">
        <v>149</v>
      </c>
      <c r="O36" s="19"/>
      <c r="P36" s="19"/>
    </row>
    <row r="37" ht="22.5" customHeight="1">
      <c r="A37" s="12" t="s">
        <v>14</v>
      </c>
      <c r="B37" s="20" t="str">
        <f>IFERROR(VLOOKUP(A37,Sheet1!$E$3:$H$27,4,0),"")</f>
        <v>P1</v>
      </c>
      <c r="C37" s="14" t="s">
        <v>141</v>
      </c>
      <c r="D37" s="12" t="s">
        <v>16</v>
      </c>
      <c r="E37" s="13" t="str">
        <f>IFERROR(VLOOKUP(D37,Sheet1!$B$1:$C$45,2,0),"")</f>
        <v>TE</v>
      </c>
      <c r="F37" s="12" t="s">
        <v>108</v>
      </c>
      <c r="G37" s="13" t="str">
        <f t="shared" si="2"/>
        <v>Barito Raya</v>
      </c>
      <c r="H37" s="15" t="str">
        <f>IFERROR(VLOOKUP(A37,Sheet1!$E$3:$F$27,2,),"")</f>
        <v>Corrective</v>
      </c>
      <c r="I37" s="16" t="str">
        <f>IFERROR(VLOOKUP(A37,Sheet1!$E$3:$G$27,3,0),"")</f>
        <v>Pemadaman,MCB Trip,Transmisi problem</v>
      </c>
      <c r="J37" s="12" t="s">
        <v>112</v>
      </c>
      <c r="K37" s="17">
        <v>46307.0</v>
      </c>
      <c r="L37" s="17">
        <v>46307.0</v>
      </c>
      <c r="M37" s="12" t="s">
        <v>109</v>
      </c>
      <c r="N37" s="18" t="s">
        <v>160</v>
      </c>
      <c r="O37" s="19"/>
      <c r="P37" s="19"/>
    </row>
    <row r="38" ht="22.5" customHeight="1">
      <c r="A38" s="12" t="s">
        <v>33</v>
      </c>
      <c r="B38" s="20" t="str">
        <f>IFERROR(VLOOKUP(A38,Sheet1!$E$3:$H$27,4,0),"")</f>
        <v>P2</v>
      </c>
      <c r="C38" s="14" t="s">
        <v>161</v>
      </c>
      <c r="D38" s="12" t="s">
        <v>21</v>
      </c>
      <c r="E38" s="13" t="str">
        <f>IFERROR(VLOOKUP(D38,Sheet1!$B$1:$C$45,2,0),"")</f>
        <v>TE</v>
      </c>
      <c r="F38" s="12" t="s">
        <v>108</v>
      </c>
      <c r="G38" s="13" t="str">
        <f t="shared" si="2"/>
        <v>Barito Raya</v>
      </c>
      <c r="H38" s="15" t="str">
        <f>IFERROR(VLOOKUP(A38,Sheet1!$E$3:$F$27,2,),"")</f>
        <v>Preventive</v>
      </c>
      <c r="I38" s="16" t="str">
        <f>IFERROR(VLOOKUP(A38,Sheet1!$E$3:$G$27,3,0),"")</f>
        <v>Pengukuran dan pengambilan data log serta input Gdoc BBT</v>
      </c>
      <c r="J38" s="12" t="s">
        <v>112</v>
      </c>
      <c r="K38" s="17">
        <v>46307.0</v>
      </c>
      <c r="L38" s="17">
        <v>46307.0</v>
      </c>
      <c r="M38" s="12" t="s">
        <v>109</v>
      </c>
      <c r="N38" s="18" t="s">
        <v>149</v>
      </c>
      <c r="O38" s="19"/>
      <c r="P38" s="19"/>
    </row>
    <row r="39" ht="22.5" customHeight="1">
      <c r="A39" s="12" t="s">
        <v>33</v>
      </c>
      <c r="B39" s="20" t="str">
        <f>IFERROR(VLOOKUP(A39,Sheet1!$E$3:$H$27,4,0),"")</f>
        <v>P2</v>
      </c>
      <c r="C39" s="14" t="s">
        <v>162</v>
      </c>
      <c r="D39" s="12" t="s">
        <v>26</v>
      </c>
      <c r="E39" s="13" t="str">
        <f>IFERROR(VLOOKUP(D39,Sheet1!$B$1:$C$45,2,0),"")</f>
        <v>TE</v>
      </c>
      <c r="F39" s="12" t="s">
        <v>108</v>
      </c>
      <c r="G39" s="13" t="str">
        <f t="shared" si="2"/>
        <v>Barito Raya</v>
      </c>
      <c r="H39" s="15" t="str">
        <f>IFERROR(VLOOKUP(A39,Sheet1!$E$3:$F$27,2,),"")</f>
        <v>Preventive</v>
      </c>
      <c r="I39" s="16" t="str">
        <f>IFERROR(VLOOKUP(A39,Sheet1!$E$3:$G$27,3,0),"")</f>
        <v>Pengukuran dan pengambilan data log serta input Gdoc BBT</v>
      </c>
      <c r="J39" s="12" t="s">
        <v>112</v>
      </c>
      <c r="K39" s="17">
        <v>46307.0</v>
      </c>
      <c r="L39" s="17">
        <v>46307.0</v>
      </c>
      <c r="M39" s="12" t="s">
        <v>109</v>
      </c>
      <c r="N39" s="18" t="s">
        <v>149</v>
      </c>
      <c r="O39" s="19"/>
      <c r="P39" s="19"/>
    </row>
    <row r="40" ht="22.5" customHeight="1">
      <c r="A40" s="12" t="s">
        <v>52</v>
      </c>
      <c r="B40" s="20" t="str">
        <f>IFERROR(VLOOKUP(A40,Sheet1!$E$3:$H$27,4,0),"")</f>
        <v>P1</v>
      </c>
      <c r="C40" s="14" t="s">
        <v>163</v>
      </c>
      <c r="D40" s="12" t="s">
        <v>32</v>
      </c>
      <c r="E40" s="13" t="str">
        <f>IFERROR(VLOOKUP(D40,Sheet1!$B$1:$C$45,2,0),"")</f>
        <v>TE</v>
      </c>
      <c r="F40" s="12" t="s">
        <v>108</v>
      </c>
      <c r="G40" s="13" t="str">
        <f t="shared" si="2"/>
        <v>Barito Raya</v>
      </c>
      <c r="H40" s="15" t="str">
        <f>IFERROR(VLOOKUP(A40,Sheet1!$E$3:$F$27,2,),"")</f>
        <v>Preventive</v>
      </c>
      <c r="I40" s="16" t="str">
        <f>IFERROR(VLOOKUP(A40,Sheet1!$E$3:$G$27,3,0),"")</f>
        <v>MCB trip/Power upnormal</v>
      </c>
      <c r="J40" s="12" t="s">
        <v>112</v>
      </c>
      <c r="K40" s="17">
        <v>46307.0</v>
      </c>
      <c r="L40" s="17">
        <v>46307.0</v>
      </c>
      <c r="M40" s="12" t="s">
        <v>109</v>
      </c>
      <c r="N40" s="18"/>
      <c r="O40" s="19"/>
      <c r="P40" s="19"/>
    </row>
    <row r="41" ht="22.5" customHeight="1">
      <c r="A41" s="12" t="s">
        <v>52</v>
      </c>
      <c r="B41" s="20" t="str">
        <f>IFERROR(VLOOKUP(A41,Sheet1!$E$3:$H$27,4,0),"")</f>
        <v>P1</v>
      </c>
      <c r="C41" s="14" t="s">
        <v>164</v>
      </c>
      <c r="D41" s="12" t="s">
        <v>60</v>
      </c>
      <c r="E41" s="13" t="str">
        <f>IFERROR(VLOOKUP(D41,Sheet1!$B$1:$C$45,2,0),"")</f>
        <v>TE</v>
      </c>
      <c r="F41" s="12" t="s">
        <v>108</v>
      </c>
      <c r="G41" s="13" t="str">
        <f t="shared" si="2"/>
        <v>Barito Raya</v>
      </c>
      <c r="H41" s="15" t="str">
        <f>IFERROR(VLOOKUP(A41,Sheet1!$E$3:$F$27,2,),"")</f>
        <v>Preventive</v>
      </c>
      <c r="I41" s="16" t="str">
        <f>IFERROR(VLOOKUP(A41,Sheet1!$E$3:$G$27,3,0),"")</f>
        <v>MCB trip/Power upnormal</v>
      </c>
      <c r="J41" s="12" t="s">
        <v>112</v>
      </c>
      <c r="K41" s="17">
        <v>46307.0</v>
      </c>
      <c r="L41" s="17">
        <v>46307.0</v>
      </c>
      <c r="M41" s="12" t="s">
        <v>109</v>
      </c>
      <c r="N41" s="18" t="s">
        <v>149</v>
      </c>
      <c r="O41" s="19"/>
      <c r="P41" s="19"/>
    </row>
    <row r="42" ht="22.5" customHeight="1">
      <c r="A42" s="12" t="s">
        <v>33</v>
      </c>
      <c r="B42" s="20" t="str">
        <f>IFERROR(VLOOKUP(A42,Sheet1!$E$3:$H$27,4,0),"")</f>
        <v>P2</v>
      </c>
      <c r="C42" s="14" t="s">
        <v>165</v>
      </c>
      <c r="D42" s="12" t="s">
        <v>62</v>
      </c>
      <c r="E42" s="13" t="str">
        <f>IFERROR(VLOOKUP(D42,Sheet1!$B$1:$C$45,2,0),"")</f>
        <v>TE</v>
      </c>
      <c r="F42" s="12" t="s">
        <v>108</v>
      </c>
      <c r="G42" s="13" t="str">
        <f t="shared" si="2"/>
        <v>Barito Raya</v>
      </c>
      <c r="H42" s="15" t="str">
        <f>IFERROR(VLOOKUP(A42,Sheet1!$E$3:$F$27,2,),"")</f>
        <v>Preventive</v>
      </c>
      <c r="I42" s="16" t="str">
        <f>IFERROR(VLOOKUP(A42,Sheet1!$E$3:$G$27,3,0),"")</f>
        <v>Pengukuran dan pengambilan data log serta input Gdoc BBT</v>
      </c>
      <c r="J42" s="12" t="s">
        <v>112</v>
      </c>
      <c r="K42" s="17">
        <v>46307.0</v>
      </c>
      <c r="L42" s="17">
        <v>46307.0</v>
      </c>
      <c r="M42" s="12" t="s">
        <v>109</v>
      </c>
      <c r="N42" s="18" t="s">
        <v>149</v>
      </c>
      <c r="O42" s="19"/>
      <c r="P42" s="19"/>
    </row>
    <row r="43" ht="22.5" customHeight="1">
      <c r="A43" s="12" t="s">
        <v>52</v>
      </c>
      <c r="B43" s="20" t="str">
        <f>IFERROR(VLOOKUP(A43,Sheet1!$E$3:$H$27,4,0),"")</f>
        <v>P1</v>
      </c>
      <c r="C43" s="14" t="s">
        <v>150</v>
      </c>
      <c r="D43" s="12" t="s">
        <v>29</v>
      </c>
      <c r="E43" s="13" t="str">
        <f>IFERROR(VLOOKUP(D43,Sheet1!$B$1:$C$45,2,0),"")</f>
        <v>MBP</v>
      </c>
      <c r="F43" s="12" t="s">
        <v>108</v>
      </c>
      <c r="G43" s="13" t="str">
        <f t="shared" si="2"/>
        <v>Barito Raya</v>
      </c>
      <c r="H43" s="15" t="str">
        <f>IFERROR(VLOOKUP(A43,Sheet1!$E$3:$F$27,2,),"")</f>
        <v>Preventive</v>
      </c>
      <c r="I43" s="16" t="str">
        <f>IFERROR(VLOOKUP(A43,Sheet1!$E$3:$G$27,3,0),"")</f>
        <v>MCB trip/Power upnormal</v>
      </c>
      <c r="J43" s="12" t="s">
        <v>112</v>
      </c>
      <c r="K43" s="17">
        <v>46307.0</v>
      </c>
      <c r="L43" s="17">
        <v>46307.0</v>
      </c>
      <c r="M43" s="12" t="s">
        <v>109</v>
      </c>
      <c r="N43" s="18" t="s">
        <v>166</v>
      </c>
      <c r="O43" s="19"/>
      <c r="P43" s="19"/>
    </row>
    <row r="44" ht="22.5" customHeight="1">
      <c r="A44" s="12" t="s">
        <v>52</v>
      </c>
      <c r="B44" s="20" t="str">
        <f>IFERROR(VLOOKUP(A44,Sheet1!$E$3:$H$27,4,0),"")</f>
        <v>P1</v>
      </c>
      <c r="C44" s="14" t="s">
        <v>126</v>
      </c>
      <c r="D44" s="12" t="s">
        <v>4</v>
      </c>
      <c r="E44" s="13" t="str">
        <f>IFERROR(VLOOKUP(D44,Sheet1!$B$1:$C$45,2,0),"")</f>
        <v>CME</v>
      </c>
      <c r="F44" s="12" t="s">
        <v>108</v>
      </c>
      <c r="G44" s="13" t="str">
        <f t="shared" si="2"/>
        <v>Barito Raya</v>
      </c>
      <c r="H44" s="15" t="str">
        <f>IFERROR(VLOOKUP(A44,Sheet1!$E$3:$F$27,2,),"")</f>
        <v>Preventive</v>
      </c>
      <c r="I44" s="16" t="str">
        <f>IFERROR(VLOOKUP(A44,Sheet1!$E$3:$G$27,3,0),"")</f>
        <v>MCB trip/Power upnormal</v>
      </c>
      <c r="J44" s="12" t="s">
        <v>112</v>
      </c>
      <c r="K44" s="17">
        <v>46307.0</v>
      </c>
      <c r="L44" s="17">
        <v>46307.0</v>
      </c>
      <c r="M44" s="12" t="s">
        <v>109</v>
      </c>
      <c r="N44" s="18" t="s">
        <v>127</v>
      </c>
      <c r="O44" s="19"/>
      <c r="P44" s="19"/>
    </row>
    <row r="45" ht="22.5" customHeight="1">
      <c r="A45" s="12" t="s">
        <v>52</v>
      </c>
      <c r="B45" s="20" t="str">
        <f>IFERROR(VLOOKUP(A45,Sheet1!$E$3:$H$27,4,0),"")</f>
        <v>P1</v>
      </c>
      <c r="C45" s="14" t="s">
        <v>128</v>
      </c>
      <c r="D45" s="12" t="s">
        <v>9</v>
      </c>
      <c r="E45" s="13" t="str">
        <f>IFERROR(VLOOKUP(D45,Sheet1!$B$1:$C$45,2,0),"")</f>
        <v>MBP</v>
      </c>
      <c r="F45" s="12" t="s">
        <v>108</v>
      </c>
      <c r="G45" s="13" t="str">
        <f t="shared" si="2"/>
        <v>Barito Raya</v>
      </c>
      <c r="H45" s="15" t="str">
        <f>IFERROR(VLOOKUP(A45,Sheet1!$E$3:$F$27,2,),"")</f>
        <v>Preventive</v>
      </c>
      <c r="I45" s="16" t="str">
        <f>IFERROR(VLOOKUP(A45,Sheet1!$E$3:$G$27,3,0),"")</f>
        <v>MCB trip/Power upnormal</v>
      </c>
      <c r="J45" s="12" t="s">
        <v>112</v>
      </c>
      <c r="K45" s="17">
        <v>46307.0</v>
      </c>
      <c r="L45" s="17">
        <v>46307.0</v>
      </c>
      <c r="M45" s="12" t="s">
        <v>109</v>
      </c>
      <c r="N45" s="18" t="s">
        <v>167</v>
      </c>
      <c r="O45" s="19"/>
      <c r="P45" s="19"/>
    </row>
    <row r="46" ht="22.5" customHeight="1">
      <c r="A46" s="12" t="s">
        <v>52</v>
      </c>
      <c r="B46" s="20" t="str">
        <f>IFERROR(VLOOKUP(A46,Sheet1!$E$3:$H$27,4,0),"")</f>
        <v>P1</v>
      </c>
      <c r="C46" s="14" t="s">
        <v>151</v>
      </c>
      <c r="D46" s="12" t="s">
        <v>0</v>
      </c>
      <c r="E46" s="13" t="str">
        <f>IFERROR(VLOOKUP(D46,Sheet1!$B$1:$C$45,2,0),"")</f>
        <v>MBP</v>
      </c>
      <c r="F46" s="12" t="s">
        <v>108</v>
      </c>
      <c r="G46" s="13" t="str">
        <f t="shared" si="2"/>
        <v>Barito Raya</v>
      </c>
      <c r="H46" s="15" t="str">
        <f>IFERROR(VLOOKUP(A46,Sheet1!$E$3:$F$27,2,),"")</f>
        <v>Preventive</v>
      </c>
      <c r="I46" s="16" t="str">
        <f>IFERROR(VLOOKUP(A46,Sheet1!$E$3:$G$27,3,0),"")</f>
        <v>MCB trip/Power upnormal</v>
      </c>
      <c r="J46" s="12" t="s">
        <v>112</v>
      </c>
      <c r="K46" s="17">
        <v>46307.0</v>
      </c>
      <c r="L46" s="17">
        <v>46307.0</v>
      </c>
      <c r="M46" s="12" t="s">
        <v>109</v>
      </c>
      <c r="N46" s="18" t="s">
        <v>168</v>
      </c>
      <c r="O46" s="19"/>
      <c r="P46" s="19"/>
    </row>
    <row r="47" ht="22.5" customHeight="1">
      <c r="A47" s="12" t="s">
        <v>52</v>
      </c>
      <c r="B47" s="20" t="str">
        <f>IFERROR(VLOOKUP(A47,Sheet1!$E$3:$H$27,4,0),"")</f>
        <v>P1</v>
      </c>
      <c r="C47" s="14" t="s">
        <v>130</v>
      </c>
      <c r="D47" s="12" t="s">
        <v>2</v>
      </c>
      <c r="E47" s="13" t="str">
        <f>IFERROR(VLOOKUP(D47,Sheet1!$B$1:$C$45,2,0),"")</f>
        <v>CME</v>
      </c>
      <c r="F47" s="12" t="s">
        <v>108</v>
      </c>
      <c r="G47" s="13" t="str">
        <f t="shared" si="2"/>
        <v>Barito Raya</v>
      </c>
      <c r="H47" s="15" t="str">
        <f>IFERROR(VLOOKUP(A47,Sheet1!$E$3:$F$27,2,),"")</f>
        <v>Preventive</v>
      </c>
      <c r="I47" s="16" t="str">
        <f>IFERROR(VLOOKUP(A47,Sheet1!$E$3:$G$27,3,0),"")</f>
        <v>MCB trip/Power upnormal</v>
      </c>
      <c r="J47" s="12" t="s">
        <v>112</v>
      </c>
      <c r="K47" s="17">
        <v>46307.0</v>
      </c>
      <c r="L47" s="17">
        <v>46307.0</v>
      </c>
      <c r="M47" s="12" t="s">
        <v>109</v>
      </c>
      <c r="N47" s="18" t="s">
        <v>169</v>
      </c>
      <c r="O47" s="19"/>
      <c r="P47" s="19"/>
    </row>
    <row r="48" ht="22.5" customHeight="1">
      <c r="A48" s="12" t="s">
        <v>52</v>
      </c>
      <c r="B48" s="20" t="str">
        <f>IFERROR(VLOOKUP(A48,Sheet1!$E$3:$H$27,4,0),"")</f>
        <v>P1</v>
      </c>
      <c r="C48" s="14" t="s">
        <v>131</v>
      </c>
      <c r="D48" s="12" t="s">
        <v>87</v>
      </c>
      <c r="E48" s="13" t="str">
        <f>IFERROR(VLOOKUP(D48,Sheet1!$B$1:$C$45,2,0),"")</f>
        <v>MBP</v>
      </c>
      <c r="F48" s="12" t="s">
        <v>108</v>
      </c>
      <c r="G48" s="13" t="str">
        <f t="shared" si="2"/>
        <v>Barito Raya</v>
      </c>
      <c r="H48" s="15" t="str">
        <f>IFERROR(VLOOKUP(A48,Sheet1!$E$3:$F$27,2,),"")</f>
        <v>Preventive</v>
      </c>
      <c r="I48" s="16" t="str">
        <f>IFERROR(VLOOKUP(A48,Sheet1!$E$3:$G$27,3,0),"")</f>
        <v>MCB trip/Power upnormal</v>
      </c>
      <c r="J48" s="12" t="s">
        <v>112</v>
      </c>
      <c r="K48" s="17">
        <v>46307.0</v>
      </c>
      <c r="L48" s="17">
        <v>46307.0</v>
      </c>
      <c r="M48" s="12" t="s">
        <v>109</v>
      </c>
      <c r="N48" s="18" t="s">
        <v>127</v>
      </c>
      <c r="O48" s="19"/>
      <c r="P48" s="19"/>
    </row>
    <row r="49" ht="22.5" customHeight="1">
      <c r="A49" s="12" t="s">
        <v>22</v>
      </c>
      <c r="B49" s="12" t="s">
        <v>20</v>
      </c>
      <c r="C49" s="14" t="s">
        <v>170</v>
      </c>
      <c r="D49" s="12" t="s">
        <v>85</v>
      </c>
      <c r="E49" s="12" t="s">
        <v>3</v>
      </c>
      <c r="F49" s="12" t="s">
        <v>108</v>
      </c>
      <c r="G49" s="12" t="s">
        <v>155</v>
      </c>
      <c r="H49" s="15" t="str">
        <f>IFERROR(VLOOKUP(A49,Sheet1!$E$3:$F$27,2,),"")</f>
        <v>Preventive</v>
      </c>
      <c r="I49" s="16" t="str">
        <f>IFERROR(VLOOKUP(A49,Sheet1!$E$3:$G$27,3,0),"")</f>
        <v>Preventive Maintenance</v>
      </c>
      <c r="J49" s="12" t="s">
        <v>112</v>
      </c>
      <c r="K49" s="17">
        <v>46307.0</v>
      </c>
      <c r="L49" s="17">
        <v>46307.0</v>
      </c>
      <c r="M49" s="12" t="s">
        <v>109</v>
      </c>
      <c r="N49" s="18" t="s">
        <v>135</v>
      </c>
      <c r="O49" s="19"/>
      <c r="P49" s="19"/>
    </row>
    <row r="50" ht="22.5" customHeight="1">
      <c r="A50" s="12" t="s">
        <v>22</v>
      </c>
      <c r="B50" s="12" t="s">
        <v>20</v>
      </c>
      <c r="C50" s="14" t="s">
        <v>170</v>
      </c>
      <c r="D50" s="12" t="s">
        <v>84</v>
      </c>
      <c r="E50" s="12" t="s">
        <v>1</v>
      </c>
      <c r="F50" s="12" t="s">
        <v>108</v>
      </c>
      <c r="G50" s="12" t="s">
        <v>155</v>
      </c>
      <c r="H50" s="15" t="str">
        <f>IFERROR(VLOOKUP(A50,Sheet1!$E$3:$F$27,2,),"")</f>
        <v>Preventive</v>
      </c>
      <c r="I50" s="16" t="str">
        <f>IFERROR(VLOOKUP(A50,Sheet1!$E$3:$G$27,3,0),"")</f>
        <v>Preventive Maintenance</v>
      </c>
      <c r="J50" s="12" t="s">
        <v>112</v>
      </c>
      <c r="K50" s="17">
        <v>46307.0</v>
      </c>
      <c r="L50" s="17">
        <v>46307.0</v>
      </c>
      <c r="M50" s="12" t="s">
        <v>109</v>
      </c>
      <c r="N50" s="18" t="s">
        <v>135</v>
      </c>
      <c r="O50" s="19"/>
      <c r="P50" s="19"/>
    </row>
    <row r="51" ht="22.5" customHeight="1">
      <c r="A51" s="12" t="s">
        <v>22</v>
      </c>
      <c r="B51" s="12" t="s">
        <v>31</v>
      </c>
      <c r="C51" s="14" t="s">
        <v>171</v>
      </c>
      <c r="D51" s="12" t="s">
        <v>86</v>
      </c>
      <c r="E51" s="12" t="s">
        <v>3</v>
      </c>
      <c r="F51" s="12" t="s">
        <v>108</v>
      </c>
      <c r="G51" s="12" t="s">
        <v>155</v>
      </c>
      <c r="H51" s="15" t="str">
        <f>IFERROR(VLOOKUP(A51,Sheet1!$E$3:$F$27,2,),"")</f>
        <v>Preventive</v>
      </c>
      <c r="I51" s="16" t="str">
        <f>IFERROR(VLOOKUP(A51,Sheet1!$E$3:$G$27,3,0),"")</f>
        <v>Preventive Maintenance</v>
      </c>
      <c r="J51" s="12" t="s">
        <v>112</v>
      </c>
      <c r="K51" s="17">
        <v>46307.0</v>
      </c>
      <c r="L51" s="17">
        <v>46307.0</v>
      </c>
      <c r="M51" s="12" t="s">
        <v>109</v>
      </c>
      <c r="N51" s="18" t="s">
        <v>138</v>
      </c>
      <c r="O51" s="19"/>
      <c r="P51" s="19"/>
    </row>
    <row r="52" ht="22.5" customHeight="1">
      <c r="A52" s="12" t="s">
        <v>5</v>
      </c>
      <c r="B52" s="20" t="str">
        <f>IFERROR(VLOOKUP(A52,Sheet1!$E$3:$H$27,4,0),"")</f>
        <v>P1</v>
      </c>
      <c r="C52" s="14" t="s">
        <v>159</v>
      </c>
      <c r="D52" s="12" t="s">
        <v>12</v>
      </c>
      <c r="E52" s="13" t="str">
        <f>IFERROR(VLOOKUP(D52,Sheet1!$B$1:$C$45,2,0),"")</f>
        <v>TE</v>
      </c>
      <c r="F52" s="12" t="s">
        <v>108</v>
      </c>
      <c r="G52" s="13" t="str">
        <f t="shared" ref="G52:G799" si="3">IFERROR(IFS(F52="Winda Sokenda","Barito Raya",F52="Doni Damara","Palangkaraya"),"")</f>
        <v>Barito Raya</v>
      </c>
      <c r="H52" s="15" t="str">
        <f>IFERROR(VLOOKUP(A52,Sheet1!$E$3:$F$27,2,),"")</f>
        <v>Corrective</v>
      </c>
      <c r="I52" s="16" t="str">
        <f>IFERROR(VLOOKUP(A52,Sheet1!$E$3:$G$27,3,0),"")</f>
        <v>Replace Optik,RRU/Soket Power/Replace GPS</v>
      </c>
      <c r="J52" s="12" t="s">
        <v>172</v>
      </c>
      <c r="K52" s="17">
        <v>46308.0</v>
      </c>
      <c r="L52" s="17">
        <v>46308.0</v>
      </c>
      <c r="M52" s="12" t="s">
        <v>137</v>
      </c>
      <c r="N52" s="18" t="s">
        <v>173</v>
      </c>
      <c r="O52" s="22"/>
      <c r="P52" s="22"/>
    </row>
    <row r="53" ht="22.5" customHeight="1">
      <c r="A53" s="12" t="s">
        <v>14</v>
      </c>
      <c r="B53" s="20" t="str">
        <f>IFERROR(VLOOKUP(A53,Sheet1!$E$3:$H$27,4,0),"")</f>
        <v>P1</v>
      </c>
      <c r="C53" s="14" t="s">
        <v>174</v>
      </c>
      <c r="D53" s="12" t="s">
        <v>16</v>
      </c>
      <c r="E53" s="13" t="str">
        <f>IFERROR(VLOOKUP(D53,Sheet1!$B$1:$C$45,2,0),"")</f>
        <v>TE</v>
      </c>
      <c r="F53" s="12" t="s">
        <v>108</v>
      </c>
      <c r="G53" s="13" t="str">
        <f t="shared" si="3"/>
        <v>Barito Raya</v>
      </c>
      <c r="H53" s="15" t="str">
        <f>IFERROR(VLOOKUP(A53,Sheet1!$E$3:$F$27,2,),"")</f>
        <v>Corrective</v>
      </c>
      <c r="I53" s="16" t="str">
        <f>IFERROR(VLOOKUP(A53,Sheet1!$E$3:$G$27,3,0),"")</f>
        <v>Pemadaman,MCB Trip,Transmisi problem</v>
      </c>
      <c r="J53" s="12" t="s">
        <v>112</v>
      </c>
      <c r="K53" s="17">
        <v>46308.0</v>
      </c>
      <c r="L53" s="17">
        <v>46308.0</v>
      </c>
      <c r="M53" s="12" t="s">
        <v>137</v>
      </c>
      <c r="N53" s="18" t="s">
        <v>138</v>
      </c>
      <c r="O53" s="22"/>
      <c r="P53" s="22"/>
    </row>
    <row r="54" ht="22.5" customHeight="1">
      <c r="A54" s="12" t="s">
        <v>33</v>
      </c>
      <c r="B54" s="20" t="str">
        <f>IFERROR(VLOOKUP(A54,Sheet1!$E$3:$H$27,4,0),"")</f>
        <v>P2</v>
      </c>
      <c r="C54" s="14" t="s">
        <v>175</v>
      </c>
      <c r="D54" s="12" t="s">
        <v>21</v>
      </c>
      <c r="E54" s="13" t="str">
        <f>IFERROR(VLOOKUP(D54,Sheet1!$B$1:$C$45,2,0),"")</f>
        <v>TE</v>
      </c>
      <c r="F54" s="12" t="s">
        <v>108</v>
      </c>
      <c r="G54" s="13" t="str">
        <f t="shared" si="3"/>
        <v>Barito Raya</v>
      </c>
      <c r="H54" s="15" t="str">
        <f>IFERROR(VLOOKUP(A54,Sheet1!$E$3:$F$27,2,),"")</f>
        <v>Preventive</v>
      </c>
      <c r="I54" s="16" t="str">
        <f>IFERROR(VLOOKUP(A54,Sheet1!$E$3:$G$27,3,0),"")</f>
        <v>Pengukuran dan pengambilan data log serta input Gdoc BBT</v>
      </c>
      <c r="J54" s="12" t="s">
        <v>112</v>
      </c>
      <c r="K54" s="17">
        <v>46308.0</v>
      </c>
      <c r="L54" s="17">
        <v>46308.0</v>
      </c>
      <c r="M54" s="12" t="s">
        <v>137</v>
      </c>
      <c r="N54" s="23"/>
      <c r="O54" s="22"/>
      <c r="P54" s="22"/>
    </row>
    <row r="55" ht="22.5" customHeight="1">
      <c r="A55" s="12" t="s">
        <v>33</v>
      </c>
      <c r="B55" s="20" t="str">
        <f>IFERROR(VLOOKUP(A55,Sheet1!$E$3:$H$27,4,0),"")</f>
        <v>P2</v>
      </c>
      <c r="C55" s="14" t="s">
        <v>176</v>
      </c>
      <c r="D55" s="12" t="s">
        <v>26</v>
      </c>
      <c r="E55" s="13" t="str">
        <f>IFERROR(VLOOKUP(D55,Sheet1!$B$1:$C$45,2,0),"")</f>
        <v>TE</v>
      </c>
      <c r="F55" s="12" t="s">
        <v>108</v>
      </c>
      <c r="G55" s="13" t="str">
        <f t="shared" si="3"/>
        <v>Barito Raya</v>
      </c>
      <c r="H55" s="15" t="str">
        <f>IFERROR(VLOOKUP(A55,Sheet1!$E$3:$F$27,2,),"")</f>
        <v>Preventive</v>
      </c>
      <c r="I55" s="16" t="str">
        <f>IFERROR(VLOOKUP(A55,Sheet1!$E$3:$G$27,3,0),"")</f>
        <v>Pengukuran dan pengambilan data log serta input Gdoc BBT</v>
      </c>
      <c r="J55" s="12" t="s">
        <v>112</v>
      </c>
      <c r="K55" s="17">
        <v>46308.0</v>
      </c>
      <c r="L55" s="17">
        <v>46308.0</v>
      </c>
      <c r="M55" s="12" t="s">
        <v>137</v>
      </c>
      <c r="N55" s="23"/>
      <c r="O55" s="22"/>
      <c r="P55" s="22"/>
    </row>
    <row r="56" ht="22.5" customHeight="1">
      <c r="A56" s="12" t="s">
        <v>10</v>
      </c>
      <c r="B56" s="20" t="str">
        <f>IFERROR(VLOOKUP(A56,Sheet1!$E$3:$H$27,4,0),"")</f>
        <v>P1</v>
      </c>
      <c r="C56" s="14" t="s">
        <v>158</v>
      </c>
      <c r="D56" s="12" t="s">
        <v>32</v>
      </c>
      <c r="E56" s="13" t="str">
        <f>IFERROR(VLOOKUP(D56,Sheet1!$B$1:$C$45,2,0),"")</f>
        <v>TE</v>
      </c>
      <c r="F56" s="12" t="s">
        <v>108</v>
      </c>
      <c r="G56" s="13" t="str">
        <f t="shared" si="3"/>
        <v>Barito Raya</v>
      </c>
      <c r="H56" s="15" t="str">
        <f>IFERROR(VLOOKUP(A56,Sheet1!$E$3:$F$27,2,),"")</f>
        <v>Corrective</v>
      </c>
      <c r="I56" s="16" t="str">
        <f>IFERROR(VLOOKUP(A56,Sheet1!$E$3:$G$27,3,0),"")</f>
        <v>Replace Jumper,antena/RRU</v>
      </c>
      <c r="J56" s="12" t="s">
        <v>172</v>
      </c>
      <c r="K56" s="17">
        <v>46308.0</v>
      </c>
      <c r="L56" s="17">
        <v>46308.0</v>
      </c>
      <c r="M56" s="12" t="s">
        <v>137</v>
      </c>
      <c r="N56" s="18" t="s">
        <v>173</v>
      </c>
      <c r="O56" s="22"/>
      <c r="P56" s="22"/>
    </row>
    <row r="57" ht="22.5" customHeight="1">
      <c r="A57" s="12" t="s">
        <v>52</v>
      </c>
      <c r="B57" s="20" t="str">
        <f>IFERROR(VLOOKUP(A57,Sheet1!$E$3:$H$27,4,0),"")</f>
        <v>P1</v>
      </c>
      <c r="C57" s="14" t="s">
        <v>177</v>
      </c>
      <c r="D57" s="12" t="s">
        <v>60</v>
      </c>
      <c r="E57" s="13" t="str">
        <f>IFERROR(VLOOKUP(D57,Sheet1!$B$1:$C$45,2,0),"")</f>
        <v>TE</v>
      </c>
      <c r="F57" s="12" t="s">
        <v>108</v>
      </c>
      <c r="G57" s="13" t="str">
        <f t="shared" si="3"/>
        <v>Barito Raya</v>
      </c>
      <c r="H57" s="15" t="str">
        <f>IFERROR(VLOOKUP(A57,Sheet1!$E$3:$F$27,2,),"")</f>
        <v>Preventive</v>
      </c>
      <c r="I57" s="16" t="str">
        <f>IFERROR(VLOOKUP(A57,Sheet1!$E$3:$G$27,3,0),"")</f>
        <v>MCB trip/Power upnormal</v>
      </c>
      <c r="J57" s="12" t="s">
        <v>112</v>
      </c>
      <c r="K57" s="17">
        <v>46308.0</v>
      </c>
      <c r="L57" s="17">
        <v>46308.0</v>
      </c>
      <c r="M57" s="12" t="s">
        <v>137</v>
      </c>
      <c r="N57" s="23"/>
      <c r="O57" s="22"/>
      <c r="P57" s="22"/>
    </row>
    <row r="58" ht="22.5" customHeight="1">
      <c r="A58" s="12" t="s">
        <v>22</v>
      </c>
      <c r="B58" s="20" t="str">
        <f>IFERROR(VLOOKUP(A58,Sheet1!$E$3:$H$27,4,0),"")</f>
        <v>P2</v>
      </c>
      <c r="C58" s="14" t="s">
        <v>178</v>
      </c>
      <c r="D58" s="12" t="s">
        <v>83</v>
      </c>
      <c r="E58" s="13" t="str">
        <f>IFERROR(VLOOKUP(D58,Sheet1!$B$1:$C$45,2,0),"")</f>
        <v>PM</v>
      </c>
      <c r="F58" s="12" t="s">
        <v>179</v>
      </c>
      <c r="G58" s="13" t="str">
        <f t="shared" si="3"/>
        <v>Palangkaraya</v>
      </c>
      <c r="H58" s="15" t="str">
        <f>IFERROR(VLOOKUP(A58,Sheet1!$E$3:$F$27,2,),"")</f>
        <v>Preventive</v>
      </c>
      <c r="I58" s="16" t="str">
        <f>IFERROR(VLOOKUP(A58,Sheet1!$E$3:$G$27,3,0),"")</f>
        <v>Preventive Maintenance</v>
      </c>
      <c r="J58" s="12" t="s">
        <v>112</v>
      </c>
      <c r="K58" s="17">
        <v>46004.0</v>
      </c>
      <c r="L58" s="17">
        <v>46004.0</v>
      </c>
      <c r="M58" s="12" t="s">
        <v>122</v>
      </c>
      <c r="N58" s="23"/>
      <c r="O58" s="22"/>
      <c r="P58" s="22"/>
    </row>
    <row r="59" ht="22.5" customHeight="1">
      <c r="A59" s="12" t="s">
        <v>22</v>
      </c>
      <c r="B59" s="20" t="str">
        <f>IFERROR(VLOOKUP(A59,Sheet1!$E$3:$H$27,4,0),"")</f>
        <v>P2</v>
      </c>
      <c r="C59" s="14" t="s">
        <v>180</v>
      </c>
      <c r="D59" s="12" t="s">
        <v>82</v>
      </c>
      <c r="E59" s="13" t="str">
        <f>IFERROR(VLOOKUP(D59,Sheet1!$B$1:$C$45,2,0),"")</f>
        <v>PM</v>
      </c>
      <c r="F59" s="12" t="s">
        <v>179</v>
      </c>
      <c r="G59" s="13" t="str">
        <f t="shared" si="3"/>
        <v>Palangkaraya</v>
      </c>
      <c r="H59" s="15" t="str">
        <f>IFERROR(VLOOKUP(A59,Sheet1!$E$3:$F$27,2,),"")</f>
        <v>Preventive</v>
      </c>
      <c r="I59" s="16" t="str">
        <f>IFERROR(VLOOKUP(A59,Sheet1!$E$3:$G$27,3,0),"")</f>
        <v>Preventive Maintenance</v>
      </c>
      <c r="J59" s="12" t="s">
        <v>112</v>
      </c>
      <c r="K59" s="17">
        <v>46004.0</v>
      </c>
      <c r="L59" s="17">
        <v>46004.0</v>
      </c>
      <c r="M59" s="12" t="s">
        <v>109</v>
      </c>
      <c r="N59" s="23"/>
      <c r="O59" s="22"/>
      <c r="P59" s="22"/>
    </row>
    <row r="60" ht="22.5" customHeight="1">
      <c r="A60" s="12" t="s">
        <v>22</v>
      </c>
      <c r="B60" s="20" t="str">
        <f>IFERROR(VLOOKUP(A60,Sheet1!$E$3:$H$27,4,0),"")</f>
        <v>P2</v>
      </c>
      <c r="C60" s="14" t="s">
        <v>181</v>
      </c>
      <c r="D60" s="12" t="s">
        <v>81</v>
      </c>
      <c r="E60" s="13" t="str">
        <f>IFERROR(VLOOKUP(D60,Sheet1!$B$1:$C$45,2,0),"")</f>
        <v>PM</v>
      </c>
      <c r="F60" s="12" t="s">
        <v>179</v>
      </c>
      <c r="G60" s="13" t="str">
        <f t="shared" si="3"/>
        <v>Palangkaraya</v>
      </c>
      <c r="H60" s="15" t="str">
        <f>IFERROR(VLOOKUP(A60,Sheet1!$E$3:$F$27,2,),"")</f>
        <v>Preventive</v>
      </c>
      <c r="I60" s="16" t="str">
        <f>IFERROR(VLOOKUP(A60,Sheet1!$E$3:$G$27,3,0),"")</f>
        <v>Preventive Maintenance</v>
      </c>
      <c r="J60" s="12" t="s">
        <v>112</v>
      </c>
      <c r="K60" s="17">
        <v>46004.0</v>
      </c>
      <c r="L60" s="17">
        <v>46004.0</v>
      </c>
      <c r="M60" s="12" t="s">
        <v>109</v>
      </c>
      <c r="N60" s="23"/>
      <c r="O60" s="22"/>
      <c r="P60" s="22"/>
    </row>
    <row r="61" ht="22.5" customHeight="1">
      <c r="A61" s="12" t="s">
        <v>65</v>
      </c>
      <c r="B61" s="20" t="str">
        <f>IFERROR(VLOOKUP(A61,Sheet1!$E$3:$H$27,4,0),"")</f>
        <v>P3</v>
      </c>
      <c r="C61" s="15"/>
      <c r="D61" s="12" t="s">
        <v>35</v>
      </c>
      <c r="E61" s="13" t="str">
        <f>IFERROR(VLOOKUP(D61,Sheet1!$B$1:$C$45,2,0),"")</f>
        <v>MBP</v>
      </c>
      <c r="F61" s="12" t="s">
        <v>179</v>
      </c>
      <c r="G61" s="13" t="str">
        <f t="shared" si="3"/>
        <v>Palangkaraya</v>
      </c>
      <c r="H61" s="15" t="str">
        <f>IFERROR(VLOOKUP(A61,Sheet1!$E$3:$F$27,2,),"")</f>
        <v>Standby</v>
      </c>
      <c r="I61" s="16" t="str">
        <f>IFERROR(VLOOKUP(A61,Sheet1!$E$3:$G$27,3,0),"")</f>
        <v>Standby On Call</v>
      </c>
      <c r="J61" s="12" t="s">
        <v>66</v>
      </c>
      <c r="K61" s="17">
        <v>46004.0</v>
      </c>
      <c r="L61" s="17">
        <v>46004.0</v>
      </c>
      <c r="M61" s="12" t="s">
        <v>137</v>
      </c>
      <c r="N61" s="23"/>
      <c r="O61" s="22"/>
      <c r="P61" s="22"/>
    </row>
    <row r="62" ht="22.5" customHeight="1">
      <c r="A62" s="12" t="s">
        <v>65</v>
      </c>
      <c r="B62" s="20" t="str">
        <f>IFERROR(VLOOKUP(A62,Sheet1!$E$3:$H$27,4,0),"")</f>
        <v>P3</v>
      </c>
      <c r="C62" s="15"/>
      <c r="D62" s="12" t="s">
        <v>48</v>
      </c>
      <c r="E62" s="13" t="str">
        <f>IFERROR(VLOOKUP(D62,Sheet1!$B$1:$C$45,2,0),"")</f>
        <v>MBP</v>
      </c>
      <c r="F62" s="12" t="s">
        <v>179</v>
      </c>
      <c r="G62" s="13" t="str">
        <f t="shared" si="3"/>
        <v>Palangkaraya</v>
      </c>
      <c r="H62" s="15" t="str">
        <f>IFERROR(VLOOKUP(A62,Sheet1!$E$3:$F$27,2,),"")</f>
        <v>Standby</v>
      </c>
      <c r="I62" s="16" t="str">
        <f>IFERROR(VLOOKUP(A62,Sheet1!$E$3:$G$27,3,0),"")</f>
        <v>Standby On Call</v>
      </c>
      <c r="J62" s="12" t="s">
        <v>66</v>
      </c>
      <c r="K62" s="17">
        <v>46004.0</v>
      </c>
      <c r="L62" s="17">
        <v>46004.0</v>
      </c>
      <c r="M62" s="12" t="s">
        <v>137</v>
      </c>
      <c r="N62" s="23"/>
      <c r="O62" s="22"/>
      <c r="P62" s="22"/>
    </row>
    <row r="63" ht="22.5" customHeight="1">
      <c r="A63" s="12" t="s">
        <v>65</v>
      </c>
      <c r="B63" s="20" t="str">
        <f>IFERROR(VLOOKUP(A63,Sheet1!$E$3:$H$27,4,0),"")</f>
        <v>P3</v>
      </c>
      <c r="C63" s="15"/>
      <c r="D63" s="12" t="s">
        <v>75</v>
      </c>
      <c r="E63" s="13" t="str">
        <f>IFERROR(VLOOKUP(D63,Sheet1!$B$1:$C$45,2,0),"")</f>
        <v>CME</v>
      </c>
      <c r="F63" s="12" t="s">
        <v>179</v>
      </c>
      <c r="G63" s="13" t="str">
        <f t="shared" si="3"/>
        <v>Palangkaraya</v>
      </c>
      <c r="H63" s="15" t="str">
        <f>IFERROR(VLOOKUP(A63,Sheet1!$E$3:$F$27,2,),"")</f>
        <v>Standby</v>
      </c>
      <c r="I63" s="16" t="str">
        <f>IFERROR(VLOOKUP(A63,Sheet1!$E$3:$G$27,3,0),"")</f>
        <v>Standby On Call</v>
      </c>
      <c r="J63" s="12" t="s">
        <v>66</v>
      </c>
      <c r="K63" s="17">
        <v>46004.0</v>
      </c>
      <c r="L63" s="17">
        <v>46004.0</v>
      </c>
      <c r="M63" s="12" t="s">
        <v>137</v>
      </c>
      <c r="N63" s="23"/>
      <c r="O63" s="22"/>
      <c r="P63" s="22"/>
    </row>
    <row r="64" ht="22.5" customHeight="1">
      <c r="A64" s="12" t="s">
        <v>65</v>
      </c>
      <c r="B64" s="20" t="str">
        <f>IFERROR(VLOOKUP(A64,Sheet1!$E$3:$H$27,4,0),"")</f>
        <v>P3</v>
      </c>
      <c r="C64" s="15"/>
      <c r="D64" s="12" t="s">
        <v>64</v>
      </c>
      <c r="E64" s="13" t="str">
        <f>IFERROR(VLOOKUP(D64,Sheet1!$B$1:$C$45,2,0),"")</f>
        <v>TE</v>
      </c>
      <c r="F64" s="12" t="s">
        <v>179</v>
      </c>
      <c r="G64" s="13" t="str">
        <f t="shared" si="3"/>
        <v>Palangkaraya</v>
      </c>
      <c r="H64" s="15" t="str">
        <f>IFERROR(VLOOKUP(A64,Sheet1!$E$3:$F$27,2,),"")</f>
        <v>Standby</v>
      </c>
      <c r="I64" s="16" t="str">
        <f>IFERROR(VLOOKUP(A64,Sheet1!$E$3:$G$27,3,0),"")</f>
        <v>Standby On Call</v>
      </c>
      <c r="J64" s="12" t="s">
        <v>66</v>
      </c>
      <c r="K64" s="17">
        <v>46004.0</v>
      </c>
      <c r="L64" s="17">
        <v>46004.0</v>
      </c>
      <c r="M64" s="12" t="s">
        <v>137</v>
      </c>
      <c r="N64" s="23"/>
      <c r="O64" s="22"/>
      <c r="P64" s="22"/>
    </row>
    <row r="65" ht="22.5" customHeight="1">
      <c r="A65" s="12" t="s">
        <v>14</v>
      </c>
      <c r="B65" s="20" t="str">
        <f>IFERROR(VLOOKUP(A65,Sheet1!$E$3:$H$27,4,0),"")</f>
        <v>P1</v>
      </c>
      <c r="C65" s="14" t="s">
        <v>182</v>
      </c>
      <c r="D65" s="12" t="s">
        <v>45</v>
      </c>
      <c r="E65" s="13" t="str">
        <f>IFERROR(VLOOKUP(D65,Sheet1!$B$1:$C$45,2,0),"")</f>
        <v>MBP</v>
      </c>
      <c r="F65" s="12" t="s">
        <v>179</v>
      </c>
      <c r="G65" s="13" t="str">
        <f t="shared" si="3"/>
        <v>Palangkaraya</v>
      </c>
      <c r="H65" s="15" t="str">
        <f>IFERROR(VLOOKUP(A65,Sheet1!$E$3:$F$27,2,),"")</f>
        <v>Corrective</v>
      </c>
      <c r="I65" s="16" t="str">
        <f>IFERROR(VLOOKUP(A65,Sheet1!$E$3:$G$27,3,0),"")</f>
        <v>Pemadaman,MCB Trip,Transmisi problem</v>
      </c>
      <c r="J65" s="12" t="s">
        <v>112</v>
      </c>
      <c r="K65" s="17">
        <v>46004.0</v>
      </c>
      <c r="L65" s="17">
        <v>46004.0</v>
      </c>
      <c r="M65" s="12" t="s">
        <v>109</v>
      </c>
      <c r="N65" s="23"/>
      <c r="O65" s="22"/>
      <c r="P65" s="22"/>
    </row>
    <row r="66" ht="22.5" customHeight="1">
      <c r="A66" s="12" t="s">
        <v>65</v>
      </c>
      <c r="B66" s="20" t="str">
        <f>IFERROR(VLOOKUP(A66,Sheet1!$E$3:$H$27,4,0),"")</f>
        <v>P3</v>
      </c>
      <c r="C66" s="15"/>
      <c r="D66" s="12" t="s">
        <v>4</v>
      </c>
      <c r="E66" s="13" t="str">
        <f>IFERROR(VLOOKUP(D66,Sheet1!$B$1:$C$45,2,0),"")</f>
        <v>CME</v>
      </c>
      <c r="F66" s="12" t="s">
        <v>108</v>
      </c>
      <c r="G66" s="13" t="str">
        <f t="shared" si="3"/>
        <v>Barito Raya</v>
      </c>
      <c r="H66" s="15" t="str">
        <f>IFERROR(VLOOKUP(A66,Sheet1!$E$3:$F$27,2,),"")</f>
        <v>Standby</v>
      </c>
      <c r="I66" s="16" t="str">
        <f>IFERROR(VLOOKUP(A66,Sheet1!$E$3:$G$27,3,0),"")</f>
        <v>Standby On Call</v>
      </c>
      <c r="J66" s="12" t="s">
        <v>66</v>
      </c>
      <c r="K66" s="17">
        <v>3698431.0</v>
      </c>
      <c r="L66" s="17">
        <v>3698431.0</v>
      </c>
      <c r="M66" s="12" t="s">
        <v>137</v>
      </c>
      <c r="N66" s="23"/>
      <c r="O66" s="22"/>
      <c r="P66" s="22"/>
    </row>
    <row r="67" ht="22.5" customHeight="1">
      <c r="A67" s="12" t="s">
        <v>65</v>
      </c>
      <c r="B67" s="20" t="str">
        <f>IFERROR(VLOOKUP(A67,Sheet1!$E$3:$H$27,4,0),"")</f>
        <v>P3</v>
      </c>
      <c r="C67" s="15"/>
      <c r="D67" s="12" t="s">
        <v>9</v>
      </c>
      <c r="E67" s="13" t="str">
        <f>IFERROR(VLOOKUP(D67,Sheet1!$B$1:$C$45,2,0),"")</f>
        <v>MBP</v>
      </c>
      <c r="F67" s="12" t="s">
        <v>108</v>
      </c>
      <c r="G67" s="13" t="str">
        <f t="shared" si="3"/>
        <v>Barito Raya</v>
      </c>
      <c r="H67" s="15" t="str">
        <f>IFERROR(VLOOKUP(A67,Sheet1!$E$3:$F$27,2,),"")</f>
        <v>Standby</v>
      </c>
      <c r="I67" s="16" t="str">
        <f>IFERROR(VLOOKUP(A67,Sheet1!$E$3:$G$27,3,0),"")</f>
        <v>Standby On Call</v>
      </c>
      <c r="J67" s="12" t="s">
        <v>66</v>
      </c>
      <c r="K67" s="17">
        <v>3698431.0</v>
      </c>
      <c r="L67" s="17">
        <v>3698431.0</v>
      </c>
      <c r="M67" s="12" t="s">
        <v>137</v>
      </c>
      <c r="N67" s="23"/>
      <c r="O67" s="22"/>
      <c r="P67" s="22"/>
    </row>
    <row r="68" ht="22.5" customHeight="1">
      <c r="A68" s="12" t="s">
        <v>33</v>
      </c>
      <c r="B68" s="20" t="str">
        <f>IFERROR(VLOOKUP(A68,Sheet1!$E$3:$H$27,4,0),"")</f>
        <v>P2</v>
      </c>
      <c r="C68" s="14" t="s">
        <v>183</v>
      </c>
      <c r="D68" s="12" t="s">
        <v>12</v>
      </c>
      <c r="E68" s="13" t="str">
        <f>IFERROR(VLOOKUP(D68,Sheet1!$B$1:$C$45,2,0),"")</f>
        <v>TE</v>
      </c>
      <c r="F68" s="12" t="s">
        <v>108</v>
      </c>
      <c r="G68" s="13" t="str">
        <f t="shared" si="3"/>
        <v>Barito Raya</v>
      </c>
      <c r="H68" s="15" t="str">
        <f>IFERROR(VLOOKUP(A68,Sheet1!$E$3:$F$27,2,),"")</f>
        <v>Preventive</v>
      </c>
      <c r="I68" s="16" t="str">
        <f>IFERROR(VLOOKUP(A68,Sheet1!$E$3:$G$27,3,0),"")</f>
        <v>Pengukuran dan pengambilan data log serta input Gdoc BBT</v>
      </c>
      <c r="J68" s="12" t="s">
        <v>112</v>
      </c>
      <c r="K68" s="17">
        <v>3698431.0</v>
      </c>
      <c r="L68" s="17">
        <v>3698431.0</v>
      </c>
      <c r="M68" s="12" t="s">
        <v>109</v>
      </c>
      <c r="N68" s="23"/>
      <c r="O68" s="22"/>
      <c r="P68" s="22"/>
    </row>
    <row r="69" ht="22.5" customHeight="1">
      <c r="A69" s="12" t="s">
        <v>33</v>
      </c>
      <c r="B69" s="20" t="str">
        <f>IFERROR(VLOOKUP(A69,Sheet1!$E$3:$H$27,4,0),"")</f>
        <v>P2</v>
      </c>
      <c r="C69" s="14" t="s">
        <v>184</v>
      </c>
      <c r="D69" s="12" t="s">
        <v>16</v>
      </c>
      <c r="E69" s="13" t="str">
        <f>IFERROR(VLOOKUP(D69,Sheet1!$B$1:$C$45,2,0),"")</f>
        <v>TE</v>
      </c>
      <c r="F69" s="12" t="s">
        <v>108</v>
      </c>
      <c r="G69" s="13" t="str">
        <f t="shared" si="3"/>
        <v>Barito Raya</v>
      </c>
      <c r="H69" s="15" t="str">
        <f>IFERROR(VLOOKUP(A69,Sheet1!$E$3:$F$27,2,),"")</f>
        <v>Preventive</v>
      </c>
      <c r="I69" s="16" t="str">
        <f>IFERROR(VLOOKUP(A69,Sheet1!$E$3:$G$27,3,0),"")</f>
        <v>Pengukuran dan pengambilan data log serta input Gdoc BBT</v>
      </c>
      <c r="J69" s="12" t="s">
        <v>112</v>
      </c>
      <c r="K69" s="17">
        <v>3698431.0</v>
      </c>
      <c r="L69" s="17">
        <v>3698431.0</v>
      </c>
      <c r="M69" s="12" t="s">
        <v>109</v>
      </c>
      <c r="N69" s="23"/>
      <c r="O69" s="22"/>
      <c r="P69" s="22"/>
    </row>
    <row r="70" ht="22.5" customHeight="1">
      <c r="A70" s="12" t="s">
        <v>22</v>
      </c>
      <c r="B70" s="20" t="str">
        <f>IFERROR(VLOOKUP(A70,Sheet1!$E$3:$H$27,4,0),"")</f>
        <v>P2</v>
      </c>
      <c r="C70" s="14" t="s">
        <v>185</v>
      </c>
      <c r="D70" s="12" t="s">
        <v>84</v>
      </c>
      <c r="E70" s="13" t="str">
        <f>IFERROR(VLOOKUP(D70,Sheet1!$B$1:$C$45,2,0),"")</f>
        <v>MBP</v>
      </c>
      <c r="F70" s="12" t="s">
        <v>108</v>
      </c>
      <c r="G70" s="13" t="str">
        <f t="shared" si="3"/>
        <v>Barito Raya</v>
      </c>
      <c r="H70" s="15" t="str">
        <f>IFERROR(VLOOKUP(A70,Sheet1!$E$3:$F$27,2,),"")</f>
        <v>Preventive</v>
      </c>
      <c r="I70" s="16" t="str">
        <f>IFERROR(VLOOKUP(A70,Sheet1!$E$3:$G$27,3,0),"")</f>
        <v>Preventive Maintenance</v>
      </c>
      <c r="J70" s="12" t="s">
        <v>112</v>
      </c>
      <c r="K70" s="17">
        <v>3698431.0</v>
      </c>
      <c r="L70" s="17">
        <v>3698431.0</v>
      </c>
      <c r="M70" s="12" t="s">
        <v>122</v>
      </c>
      <c r="N70" s="18" t="s">
        <v>186</v>
      </c>
      <c r="O70" s="19"/>
      <c r="P70" s="19"/>
    </row>
    <row r="71" ht="22.5" customHeight="1">
      <c r="A71" s="12" t="s">
        <v>22</v>
      </c>
      <c r="B71" s="20" t="str">
        <f>IFERROR(VLOOKUP(A71,Sheet1!$E$3:$H$27,4,0),"")</f>
        <v>P2</v>
      </c>
      <c r="C71" s="14" t="s">
        <v>185</v>
      </c>
      <c r="D71" s="12" t="s">
        <v>85</v>
      </c>
      <c r="E71" s="13" t="str">
        <f>IFERROR(VLOOKUP(D71,Sheet1!$B$1:$C$45,2,0),"")</f>
        <v>PM</v>
      </c>
      <c r="F71" s="12" t="s">
        <v>108</v>
      </c>
      <c r="G71" s="13" t="str">
        <f t="shared" si="3"/>
        <v>Barito Raya</v>
      </c>
      <c r="H71" s="15" t="str">
        <f>IFERROR(VLOOKUP(A71,Sheet1!$E$3:$F$27,2,),"")</f>
        <v>Preventive</v>
      </c>
      <c r="I71" s="16" t="str">
        <f>IFERROR(VLOOKUP(A71,Sheet1!$E$3:$G$27,3,0),"")</f>
        <v>Preventive Maintenance</v>
      </c>
      <c r="J71" s="12" t="s">
        <v>112</v>
      </c>
      <c r="K71" s="17">
        <v>3698431.0</v>
      </c>
      <c r="L71" s="17">
        <v>3698431.0</v>
      </c>
      <c r="M71" s="12" t="s">
        <v>122</v>
      </c>
      <c r="N71" s="18" t="s">
        <v>186</v>
      </c>
      <c r="O71" s="19"/>
      <c r="P71" s="19"/>
    </row>
    <row r="72" ht="22.5" customHeight="1">
      <c r="A72" s="12" t="s">
        <v>22</v>
      </c>
      <c r="B72" s="20" t="str">
        <f>IFERROR(VLOOKUP(A72,Sheet1!$E$3:$H$27,4,0),"")</f>
        <v>P2</v>
      </c>
      <c r="C72" s="14" t="s">
        <v>187</v>
      </c>
      <c r="D72" s="12" t="s">
        <v>86</v>
      </c>
      <c r="E72" s="13" t="str">
        <f>IFERROR(VLOOKUP(D72,Sheet1!$B$1:$C$45,2,0),"")</f>
        <v>PM</v>
      </c>
      <c r="F72" s="12" t="s">
        <v>108</v>
      </c>
      <c r="G72" s="13" t="str">
        <f t="shared" si="3"/>
        <v>Barito Raya</v>
      </c>
      <c r="H72" s="15" t="str">
        <f>IFERROR(VLOOKUP(A72,Sheet1!$E$3:$F$27,2,),"")</f>
        <v>Preventive</v>
      </c>
      <c r="I72" s="16" t="str">
        <f>IFERROR(VLOOKUP(A72,Sheet1!$E$3:$G$27,3,0),"")</f>
        <v>Preventive Maintenance</v>
      </c>
      <c r="J72" s="12" t="s">
        <v>112</v>
      </c>
      <c r="K72" s="17">
        <v>3698431.0</v>
      </c>
      <c r="L72" s="17">
        <v>3698431.0</v>
      </c>
      <c r="M72" s="12" t="s">
        <v>109</v>
      </c>
      <c r="N72" s="23"/>
      <c r="O72" s="22"/>
      <c r="P72" s="22"/>
    </row>
    <row r="73" ht="22.5" customHeight="1">
      <c r="A73" s="12" t="s">
        <v>52</v>
      </c>
      <c r="B73" s="20" t="str">
        <f>IFERROR(VLOOKUP(A73,Sheet1!$E$3:$H$27,4,0),"")</f>
        <v>P1</v>
      </c>
      <c r="C73" s="14" t="s">
        <v>188</v>
      </c>
      <c r="D73" s="12" t="s">
        <v>2</v>
      </c>
      <c r="E73" s="13" t="str">
        <f>IFERROR(VLOOKUP(D73,Sheet1!$B$1:$C$45,2,0),"")</f>
        <v>CME</v>
      </c>
      <c r="F73" s="12" t="s">
        <v>108</v>
      </c>
      <c r="G73" s="13" t="str">
        <f t="shared" si="3"/>
        <v>Barito Raya</v>
      </c>
      <c r="H73" s="15" t="str">
        <f>IFERROR(VLOOKUP(A73,Sheet1!$E$3:$F$27,2,),"")</f>
        <v>Preventive</v>
      </c>
      <c r="I73" s="16" t="str">
        <f>IFERROR(VLOOKUP(A73,Sheet1!$E$3:$G$27,3,0),"")</f>
        <v>MCB trip/Power upnormal</v>
      </c>
      <c r="J73" s="12" t="s">
        <v>112</v>
      </c>
      <c r="K73" s="17">
        <v>3698431.0</v>
      </c>
      <c r="L73" s="17">
        <v>3698431.0</v>
      </c>
      <c r="M73" s="12" t="s">
        <v>109</v>
      </c>
      <c r="N73" s="23"/>
      <c r="O73" s="22"/>
      <c r="P73" s="22"/>
    </row>
    <row r="74" ht="22.5" customHeight="1">
      <c r="A74" s="12" t="s">
        <v>10</v>
      </c>
      <c r="B74" s="20" t="str">
        <f>IFERROR(VLOOKUP(A74,Sheet1!$E$3:$H$27,4,0),"")</f>
        <v>P1</v>
      </c>
      <c r="C74" s="14" t="s">
        <v>189</v>
      </c>
      <c r="D74" s="12" t="s">
        <v>88</v>
      </c>
      <c r="E74" s="13" t="str">
        <f>IFERROR(VLOOKUP(D74,Sheet1!$B$1:$C$45,2,0),"")</f>
        <v>TE</v>
      </c>
      <c r="F74" s="12" t="s">
        <v>108</v>
      </c>
      <c r="G74" s="13" t="str">
        <f t="shared" si="3"/>
        <v>Barito Raya</v>
      </c>
      <c r="H74" s="15" t="str">
        <f>IFERROR(VLOOKUP(A74,Sheet1!$E$3:$F$27,2,),"")</f>
        <v>Corrective</v>
      </c>
      <c r="I74" s="16" t="str">
        <f>IFERROR(VLOOKUP(A74,Sheet1!$E$3:$G$27,3,0),"")</f>
        <v>Replace Jumper,antena/RRU</v>
      </c>
      <c r="J74" s="12" t="s">
        <v>112</v>
      </c>
      <c r="K74" s="17">
        <v>3698431.0</v>
      </c>
      <c r="L74" s="17">
        <v>3698431.0</v>
      </c>
      <c r="M74" s="12" t="s">
        <v>122</v>
      </c>
      <c r="N74" s="18" t="s">
        <v>190</v>
      </c>
      <c r="O74" s="19"/>
      <c r="P74" s="19"/>
    </row>
    <row r="75" ht="22.5" customHeight="1">
      <c r="A75" s="12" t="s">
        <v>65</v>
      </c>
      <c r="B75" s="20" t="str">
        <f>IFERROR(VLOOKUP(A75,Sheet1!$E$3:$H$27,4,0),"")</f>
        <v>P3</v>
      </c>
      <c r="C75" s="15"/>
      <c r="D75" s="12" t="s">
        <v>90</v>
      </c>
      <c r="E75" s="13" t="str">
        <f>IFERROR(VLOOKUP(D75,Sheet1!$B$1:$C$45,2,0),"")</f>
        <v>MBP</v>
      </c>
      <c r="F75" s="12" t="s">
        <v>108</v>
      </c>
      <c r="G75" s="13" t="str">
        <f t="shared" si="3"/>
        <v>Barito Raya</v>
      </c>
      <c r="H75" s="15" t="str">
        <f>IFERROR(VLOOKUP(A75,Sheet1!$E$3:$F$27,2,),"")</f>
        <v>Standby</v>
      </c>
      <c r="I75" s="16" t="str">
        <f>IFERROR(VLOOKUP(A75,Sheet1!$E$3:$G$27,3,0),"")</f>
        <v>Standby On Call</v>
      </c>
      <c r="J75" s="12" t="s">
        <v>66</v>
      </c>
      <c r="K75" s="17">
        <v>3698431.0</v>
      </c>
      <c r="L75" s="17">
        <v>3698431.0</v>
      </c>
      <c r="M75" s="12" t="s">
        <v>137</v>
      </c>
      <c r="N75" s="23"/>
      <c r="O75" s="22"/>
      <c r="P75" s="22"/>
    </row>
    <row r="76" ht="22.5" customHeight="1">
      <c r="A76" s="12" t="s">
        <v>65</v>
      </c>
      <c r="B76" s="20" t="str">
        <f>IFERROR(VLOOKUP(A76,Sheet1!$E$3:$H$27,4,0),"")</f>
        <v>P3</v>
      </c>
      <c r="C76" s="15"/>
      <c r="D76" s="12" t="s">
        <v>87</v>
      </c>
      <c r="E76" s="13" t="str">
        <f>IFERROR(VLOOKUP(D76,Sheet1!$B$1:$C$45,2,0),"")</f>
        <v>MBP</v>
      </c>
      <c r="F76" s="12" t="s">
        <v>108</v>
      </c>
      <c r="G76" s="13" t="str">
        <f t="shared" si="3"/>
        <v>Barito Raya</v>
      </c>
      <c r="H76" s="15" t="str">
        <f>IFERROR(VLOOKUP(A76,Sheet1!$E$3:$F$27,2,),"")</f>
        <v>Standby</v>
      </c>
      <c r="I76" s="16" t="str">
        <f>IFERROR(VLOOKUP(A76,Sheet1!$E$3:$G$27,3,0),"")</f>
        <v>Standby On Call</v>
      </c>
      <c r="J76" s="12" t="s">
        <v>66</v>
      </c>
      <c r="K76" s="17">
        <v>3698431.0</v>
      </c>
      <c r="L76" s="17">
        <v>3698431.0</v>
      </c>
      <c r="M76" s="12" t="s">
        <v>137</v>
      </c>
      <c r="N76" s="23"/>
      <c r="O76" s="22"/>
      <c r="P76" s="22"/>
    </row>
    <row r="77" ht="22.5" customHeight="1">
      <c r="A77" s="12" t="s">
        <v>33</v>
      </c>
      <c r="B77" s="20" t="str">
        <f>IFERROR(VLOOKUP(A77,Sheet1!$E$3:$H$27,4,0),"")</f>
        <v>P2</v>
      </c>
      <c r="C77" s="14" t="s">
        <v>191</v>
      </c>
      <c r="D77" s="12" t="s">
        <v>21</v>
      </c>
      <c r="E77" s="13" t="str">
        <f>IFERROR(VLOOKUP(D77,Sheet1!$B$1:$C$45,2,0),"")</f>
        <v>TE</v>
      </c>
      <c r="F77" s="12" t="s">
        <v>108</v>
      </c>
      <c r="G77" s="13" t="str">
        <f t="shared" si="3"/>
        <v>Barito Raya</v>
      </c>
      <c r="H77" s="15" t="str">
        <f>IFERROR(VLOOKUP(A77,Sheet1!$E$3:$F$27,2,),"")</f>
        <v>Preventive</v>
      </c>
      <c r="I77" s="16" t="str">
        <f>IFERROR(VLOOKUP(A77,Sheet1!$E$3:$G$27,3,0),"")</f>
        <v>Pengukuran dan pengambilan data log serta input Gdoc BBT</v>
      </c>
      <c r="J77" s="12" t="s">
        <v>112</v>
      </c>
      <c r="K77" s="17">
        <v>3698431.0</v>
      </c>
      <c r="L77" s="17">
        <v>3698431.0</v>
      </c>
      <c r="M77" s="12" t="s">
        <v>137</v>
      </c>
      <c r="N77" s="23"/>
      <c r="O77" s="22"/>
      <c r="P77" s="22"/>
    </row>
    <row r="78" ht="22.5" customHeight="1">
      <c r="A78" s="12" t="s">
        <v>10</v>
      </c>
      <c r="B78" s="20" t="str">
        <f>IFERROR(VLOOKUP(A78,Sheet1!$E$3:$H$27,4,0),"")</f>
        <v>P1</v>
      </c>
      <c r="C78" s="14" t="s">
        <v>192</v>
      </c>
      <c r="D78" s="12" t="s">
        <v>60</v>
      </c>
      <c r="E78" s="13" t="str">
        <f>IFERROR(VLOOKUP(D78,Sheet1!$B$1:$C$45,2,0),"")</f>
        <v>TE</v>
      </c>
      <c r="F78" s="12" t="s">
        <v>108</v>
      </c>
      <c r="G78" s="13" t="str">
        <f t="shared" si="3"/>
        <v>Barito Raya</v>
      </c>
      <c r="H78" s="15" t="str">
        <f>IFERROR(VLOOKUP(A78,Sheet1!$E$3:$F$27,2,),"")</f>
        <v>Corrective</v>
      </c>
      <c r="I78" s="16" t="str">
        <f>IFERROR(VLOOKUP(A78,Sheet1!$E$3:$G$27,3,0),"")</f>
        <v>Replace Jumper,antena/RRU</v>
      </c>
      <c r="J78" s="12" t="s">
        <v>112</v>
      </c>
      <c r="K78" s="17">
        <v>3698431.0</v>
      </c>
      <c r="L78" s="17">
        <v>3698431.0</v>
      </c>
      <c r="M78" s="12" t="s">
        <v>122</v>
      </c>
      <c r="N78" s="18" t="s">
        <v>193</v>
      </c>
      <c r="O78" s="19"/>
      <c r="P78" s="19"/>
    </row>
    <row r="79" ht="22.5" customHeight="1">
      <c r="A79" s="12" t="s">
        <v>10</v>
      </c>
      <c r="B79" s="20" t="str">
        <f>IFERROR(VLOOKUP(A79,Sheet1!$E$3:$H$27,4,0),"")</f>
        <v>P1</v>
      </c>
      <c r="C79" s="14" t="s">
        <v>192</v>
      </c>
      <c r="D79" s="12" t="s">
        <v>62</v>
      </c>
      <c r="E79" s="13" t="str">
        <f>IFERROR(VLOOKUP(D79,Sheet1!$B$1:$C$45,2,0),"")</f>
        <v>TE</v>
      </c>
      <c r="F79" s="12" t="s">
        <v>108</v>
      </c>
      <c r="G79" s="13" t="str">
        <f t="shared" si="3"/>
        <v>Barito Raya</v>
      </c>
      <c r="H79" s="15" t="str">
        <f>IFERROR(VLOOKUP(A79,Sheet1!$E$3:$F$27,2,),"")</f>
        <v>Corrective</v>
      </c>
      <c r="I79" s="16" t="str">
        <f>IFERROR(VLOOKUP(A79,Sheet1!$E$3:$G$27,3,0),"")</f>
        <v>Replace Jumper,antena/RRU</v>
      </c>
      <c r="J79" s="12" t="s">
        <v>112</v>
      </c>
      <c r="K79" s="17">
        <v>3698431.0</v>
      </c>
      <c r="L79" s="17">
        <v>3698431.0</v>
      </c>
      <c r="M79" s="12" t="s">
        <v>122</v>
      </c>
      <c r="N79" s="18" t="s">
        <v>194</v>
      </c>
      <c r="O79" s="19"/>
      <c r="P79" s="19"/>
    </row>
    <row r="80" ht="22.5" customHeight="1">
      <c r="A80" s="12" t="s">
        <v>10</v>
      </c>
      <c r="B80" s="20" t="str">
        <f>IFERROR(VLOOKUP(A80,Sheet1!$E$3:$H$27,4,0),"")</f>
        <v>P1</v>
      </c>
      <c r="C80" s="14" t="s">
        <v>195</v>
      </c>
      <c r="D80" s="12" t="s">
        <v>74</v>
      </c>
      <c r="E80" s="13" t="str">
        <f>IFERROR(VLOOKUP(D80,Sheet1!$B$1:$C$45,2,0),"")</f>
        <v>TE</v>
      </c>
      <c r="F80" s="12" t="s">
        <v>108</v>
      </c>
      <c r="G80" s="13" t="str">
        <f t="shared" si="3"/>
        <v>Barito Raya</v>
      </c>
      <c r="H80" s="15" t="str">
        <f>IFERROR(VLOOKUP(A80,Sheet1!$E$3:$F$27,2,),"")</f>
        <v>Corrective</v>
      </c>
      <c r="I80" s="16" t="str">
        <f>IFERROR(VLOOKUP(A80,Sheet1!$E$3:$G$27,3,0),"")</f>
        <v>Replace Jumper,antena/RRU</v>
      </c>
      <c r="J80" s="12" t="s">
        <v>112</v>
      </c>
      <c r="K80" s="17">
        <v>3698431.0</v>
      </c>
      <c r="L80" s="17">
        <v>3698431.0</v>
      </c>
      <c r="M80" s="12" t="s">
        <v>109</v>
      </c>
      <c r="N80" s="23"/>
      <c r="O80" s="22"/>
      <c r="P80" s="22"/>
    </row>
    <row r="81" ht="22.5" customHeight="1">
      <c r="A81" s="12" t="s">
        <v>10</v>
      </c>
      <c r="B81" s="20" t="str">
        <f>IFERROR(VLOOKUP(A81,Sheet1!$E$3:$H$27,4,0),"")</f>
        <v>P1</v>
      </c>
      <c r="C81" s="14" t="s">
        <v>195</v>
      </c>
      <c r="D81" s="12" t="s">
        <v>78</v>
      </c>
      <c r="E81" s="13" t="str">
        <f>IFERROR(VLOOKUP(D81,Sheet1!$B$1:$C$45,2,0),"")</f>
        <v>TE</v>
      </c>
      <c r="F81" s="12" t="s">
        <v>108</v>
      </c>
      <c r="G81" s="13" t="str">
        <f t="shared" si="3"/>
        <v>Barito Raya</v>
      </c>
      <c r="H81" s="15" t="str">
        <f>IFERROR(VLOOKUP(A81,Sheet1!$E$3:$F$27,2,),"")</f>
        <v>Corrective</v>
      </c>
      <c r="I81" s="16" t="str">
        <f>IFERROR(VLOOKUP(A81,Sheet1!$E$3:$G$27,3,0),"")</f>
        <v>Replace Jumper,antena/RRU</v>
      </c>
      <c r="J81" s="12" t="s">
        <v>112</v>
      </c>
      <c r="K81" s="17">
        <v>3698431.0</v>
      </c>
      <c r="L81" s="17">
        <v>3698431.0</v>
      </c>
      <c r="M81" s="12" t="s">
        <v>109</v>
      </c>
      <c r="N81" s="23"/>
      <c r="O81" s="22"/>
      <c r="P81" s="22"/>
    </row>
    <row r="82" ht="22.5" customHeight="1">
      <c r="A82" s="12" t="s">
        <v>10</v>
      </c>
      <c r="B82" s="20" t="str">
        <f>IFERROR(VLOOKUP(A82,Sheet1!$E$3:$H$27,4,0),"")</f>
        <v>P1</v>
      </c>
      <c r="C82" s="14" t="s">
        <v>195</v>
      </c>
      <c r="D82" s="12" t="s">
        <v>39</v>
      </c>
      <c r="E82" s="13" t="str">
        <f>IFERROR(VLOOKUP(D82,Sheet1!$B$1:$C$45,2,0),"")</f>
        <v>TE</v>
      </c>
      <c r="F82" s="12" t="s">
        <v>108</v>
      </c>
      <c r="G82" s="13" t="str">
        <f t="shared" si="3"/>
        <v>Barito Raya</v>
      </c>
      <c r="H82" s="15" t="str">
        <f>IFERROR(VLOOKUP(A82,Sheet1!$E$3:$F$27,2,),"")</f>
        <v>Corrective</v>
      </c>
      <c r="I82" s="16" t="str">
        <f>IFERROR(VLOOKUP(A82,Sheet1!$E$3:$G$27,3,0),"")</f>
        <v>Replace Jumper,antena/RRU</v>
      </c>
      <c r="J82" s="12" t="s">
        <v>112</v>
      </c>
      <c r="K82" s="17">
        <v>3698431.0</v>
      </c>
      <c r="L82" s="17">
        <v>3698431.0</v>
      </c>
      <c r="M82" s="12" t="s">
        <v>122</v>
      </c>
      <c r="N82" s="23"/>
      <c r="O82" s="22"/>
      <c r="P82" s="22"/>
    </row>
    <row r="83" ht="22.5" customHeight="1">
      <c r="A83" s="12" t="s">
        <v>10</v>
      </c>
      <c r="B83" s="20" t="str">
        <f>IFERROR(VLOOKUP(A83,Sheet1!$E$3:$H$27,4,0),"")</f>
        <v>P1</v>
      </c>
      <c r="C83" s="14" t="s">
        <v>195</v>
      </c>
      <c r="D83" s="12" t="s">
        <v>80</v>
      </c>
      <c r="E83" s="13" t="str">
        <f>IFERROR(VLOOKUP(D83,Sheet1!$B$1:$C$45,2,0),"")</f>
        <v>TE</v>
      </c>
      <c r="F83" s="12" t="s">
        <v>108</v>
      </c>
      <c r="G83" s="13" t="str">
        <f t="shared" si="3"/>
        <v>Barito Raya</v>
      </c>
      <c r="H83" s="15" t="str">
        <f>IFERROR(VLOOKUP(A83,Sheet1!$E$3:$F$27,2,),"")</f>
        <v>Corrective</v>
      </c>
      <c r="I83" s="16" t="str">
        <f>IFERROR(VLOOKUP(A83,Sheet1!$E$3:$G$27,3,0),"")</f>
        <v>Replace Jumper,antena/RRU</v>
      </c>
      <c r="J83" s="12" t="s">
        <v>112</v>
      </c>
      <c r="K83" s="17">
        <v>3698431.0</v>
      </c>
      <c r="L83" s="17">
        <v>3698431.0</v>
      </c>
      <c r="M83" s="12" t="s">
        <v>109</v>
      </c>
      <c r="N83" s="23"/>
      <c r="O83" s="22"/>
      <c r="P83" s="22"/>
    </row>
    <row r="84" ht="22.5" customHeight="1">
      <c r="A84" s="12" t="s">
        <v>10</v>
      </c>
      <c r="B84" s="20" t="str">
        <f>IFERROR(VLOOKUP(A84,Sheet1!$E$3:$H$27,4,0),"")</f>
        <v>P1</v>
      </c>
      <c r="C84" s="14" t="s">
        <v>196</v>
      </c>
      <c r="D84" s="12" t="s">
        <v>26</v>
      </c>
      <c r="E84" s="13" t="str">
        <f>IFERROR(VLOOKUP(D84,Sheet1!$B$1:$C$45,2,0),"")</f>
        <v>TE</v>
      </c>
      <c r="F84" s="12" t="s">
        <v>108</v>
      </c>
      <c r="G84" s="13" t="str">
        <f t="shared" si="3"/>
        <v>Barito Raya</v>
      </c>
      <c r="H84" s="15" t="str">
        <f>IFERROR(VLOOKUP(A84,Sheet1!$E$3:$F$27,2,),"")</f>
        <v>Corrective</v>
      </c>
      <c r="I84" s="16" t="str">
        <f>IFERROR(VLOOKUP(A84,Sheet1!$E$3:$G$27,3,0),"")</f>
        <v>Replace Jumper,antena/RRU</v>
      </c>
      <c r="J84" s="12" t="s">
        <v>112</v>
      </c>
      <c r="K84" s="17">
        <v>3698431.0</v>
      </c>
      <c r="L84" s="17">
        <v>3698431.0</v>
      </c>
      <c r="M84" s="12" t="s">
        <v>122</v>
      </c>
      <c r="N84" s="18" t="s">
        <v>190</v>
      </c>
      <c r="O84" s="19"/>
      <c r="P84" s="19"/>
    </row>
    <row r="85" ht="22.5" customHeight="1">
      <c r="A85" s="12" t="s">
        <v>65</v>
      </c>
      <c r="B85" s="20" t="str">
        <f>IFERROR(VLOOKUP(A85,Sheet1!$E$3:$H$27,4,0),"")</f>
        <v>P3</v>
      </c>
      <c r="C85" s="15"/>
      <c r="D85" s="12" t="s">
        <v>29</v>
      </c>
      <c r="E85" s="13" t="str">
        <f>IFERROR(VLOOKUP(D85,Sheet1!$B$1:$C$45,2,0),"")</f>
        <v>MBP</v>
      </c>
      <c r="F85" s="12" t="s">
        <v>108</v>
      </c>
      <c r="G85" s="13" t="str">
        <f t="shared" si="3"/>
        <v>Barito Raya</v>
      </c>
      <c r="H85" s="15" t="str">
        <f>IFERROR(VLOOKUP(A85,Sheet1!$E$3:$F$27,2,),"")</f>
        <v>Standby</v>
      </c>
      <c r="I85" s="16" t="str">
        <f>IFERROR(VLOOKUP(A85,Sheet1!$E$3:$G$27,3,0),"")</f>
        <v>Standby On Call</v>
      </c>
      <c r="J85" s="12" t="s">
        <v>66</v>
      </c>
      <c r="K85" s="17">
        <v>3698431.0</v>
      </c>
      <c r="L85" s="17">
        <v>3698431.0</v>
      </c>
      <c r="M85" s="12" t="s">
        <v>137</v>
      </c>
      <c r="N85" s="23"/>
      <c r="O85" s="22"/>
      <c r="P85" s="22"/>
    </row>
    <row r="86" ht="22.5" customHeight="1">
      <c r="A86" s="12" t="s">
        <v>14</v>
      </c>
      <c r="B86" s="20" t="str">
        <f>IFERROR(VLOOKUP(A86,Sheet1!$E$3:$H$27,4,0),"")</f>
        <v>P1</v>
      </c>
      <c r="C86" s="14" t="s">
        <v>144</v>
      </c>
      <c r="D86" s="12" t="s">
        <v>32</v>
      </c>
      <c r="E86" s="13" t="str">
        <f>IFERROR(VLOOKUP(D86,Sheet1!$B$1:$C$45,2,0),"")</f>
        <v>TE</v>
      </c>
      <c r="F86" s="12" t="s">
        <v>108</v>
      </c>
      <c r="G86" s="13" t="str">
        <f t="shared" si="3"/>
        <v>Barito Raya</v>
      </c>
      <c r="H86" s="15" t="str">
        <f>IFERROR(VLOOKUP(A86,Sheet1!$E$3:$F$27,2,),"")</f>
        <v>Corrective</v>
      </c>
      <c r="I86" s="16" t="str">
        <f>IFERROR(VLOOKUP(A86,Sheet1!$E$3:$G$27,3,0),"")</f>
        <v>Pemadaman,MCB Trip,Transmisi problem</v>
      </c>
      <c r="J86" s="12" t="s">
        <v>112</v>
      </c>
      <c r="K86" s="17">
        <v>3698431.0</v>
      </c>
      <c r="L86" s="17">
        <v>3698431.0</v>
      </c>
      <c r="M86" s="12" t="s">
        <v>109</v>
      </c>
      <c r="N86" s="23"/>
      <c r="O86" s="22"/>
      <c r="P86" s="22"/>
    </row>
    <row r="87" ht="22.5" customHeight="1">
      <c r="A87" s="12" t="s">
        <v>72</v>
      </c>
      <c r="B87" s="20" t="str">
        <f>IFERROR(VLOOKUP(A87,Sheet1!$E$3:$H$27,4,0),"")</f>
        <v>P1</v>
      </c>
      <c r="C87" s="14" t="s">
        <v>197</v>
      </c>
      <c r="D87" s="12" t="s">
        <v>42</v>
      </c>
      <c r="E87" s="13" t="str">
        <f>IFERROR(VLOOKUP(D87,Sheet1!$B$1:$C$45,2,0),"")</f>
        <v>TE</v>
      </c>
      <c r="F87" s="12" t="s">
        <v>108</v>
      </c>
      <c r="G87" s="13" t="str">
        <f t="shared" si="3"/>
        <v>Barito Raya</v>
      </c>
      <c r="H87" s="15" t="str">
        <f>IFERROR(VLOOKUP(A87,Sheet1!$E$3:$F$27,2,),"")</f>
        <v>Corrective</v>
      </c>
      <c r="I87" s="16" t="str">
        <f>IFERROR(VLOOKUP(A87,Sheet1!$E$3:$G$27,3,0),"")</f>
        <v>Perbaikan Auto,pergantian relay,timer, yang berhubungan genset</v>
      </c>
      <c r="J87" s="12" t="s">
        <v>112</v>
      </c>
      <c r="K87" s="17">
        <v>3698431.0</v>
      </c>
      <c r="L87" s="17">
        <v>3698431.0</v>
      </c>
      <c r="M87" s="12" t="s">
        <v>137</v>
      </c>
      <c r="N87" s="23"/>
      <c r="O87" s="22"/>
      <c r="P87" s="22"/>
    </row>
    <row r="88" ht="22.5" customHeight="1">
      <c r="A88" s="12" t="s">
        <v>25</v>
      </c>
      <c r="B88" s="20" t="str">
        <f>IFERROR(VLOOKUP(A88,Sheet1!$E$3:$H$27,4,0),"")</f>
        <v>P2</v>
      </c>
      <c r="C88" s="14" t="s">
        <v>198</v>
      </c>
      <c r="D88" s="12" t="s">
        <v>77</v>
      </c>
      <c r="E88" s="13" t="str">
        <f>IFERROR(VLOOKUP(D88,Sheet1!$B$1:$C$45,2,0),"")</f>
        <v>TE</v>
      </c>
      <c r="F88" s="12" t="s">
        <v>179</v>
      </c>
      <c r="G88" s="13" t="str">
        <f t="shared" si="3"/>
        <v>Palangkaraya</v>
      </c>
      <c r="H88" s="15" t="str">
        <f>IFERROR(VLOOKUP(A88,Sheet1!$E$3:$F$27,2,),"")</f>
        <v>Corrective</v>
      </c>
      <c r="I88" s="16" t="str">
        <f>IFERROR(VLOOKUP(A88,Sheet1!$E$3:$G$27,3,0),"")</f>
        <v>Support Event</v>
      </c>
      <c r="J88" s="12" t="s">
        <v>112</v>
      </c>
      <c r="K88" s="17">
        <v>3698431.0</v>
      </c>
      <c r="L88" s="17">
        <v>3698431.0</v>
      </c>
      <c r="M88" s="12" t="s">
        <v>109</v>
      </c>
      <c r="N88" s="23"/>
      <c r="O88" s="22"/>
      <c r="P88" s="22"/>
    </row>
    <row r="89" ht="22.5" customHeight="1">
      <c r="A89" s="12" t="s">
        <v>5</v>
      </c>
      <c r="B89" s="20" t="str">
        <f>IFERROR(VLOOKUP(A89,Sheet1!$E$3:$H$27,4,0),"")</f>
        <v>P1</v>
      </c>
      <c r="C89" s="14" t="s">
        <v>199</v>
      </c>
      <c r="D89" s="12" t="s">
        <v>76</v>
      </c>
      <c r="E89" s="13" t="str">
        <f>IFERROR(VLOOKUP(D89,Sheet1!$B$1:$C$45,2,0),"")</f>
        <v>TE</v>
      </c>
      <c r="F89" s="12" t="s">
        <v>179</v>
      </c>
      <c r="G89" s="13" t="str">
        <f t="shared" si="3"/>
        <v>Palangkaraya</v>
      </c>
      <c r="H89" s="15" t="str">
        <f>IFERROR(VLOOKUP(A89,Sheet1!$E$3:$F$27,2,),"")</f>
        <v>Corrective</v>
      </c>
      <c r="I89" s="16" t="str">
        <f>IFERROR(VLOOKUP(A89,Sheet1!$E$3:$G$27,3,0),"")</f>
        <v>Replace Optik,RRU/Soket Power/Replace GPS</v>
      </c>
      <c r="J89" s="12" t="s">
        <v>112</v>
      </c>
      <c r="K89" s="17">
        <v>3698431.0</v>
      </c>
      <c r="L89" s="17">
        <v>3698431.0</v>
      </c>
      <c r="M89" s="12" t="s">
        <v>122</v>
      </c>
      <c r="N89" s="23"/>
      <c r="O89" s="22"/>
      <c r="P89" s="22"/>
    </row>
    <row r="90" ht="22.5" customHeight="1">
      <c r="A90" s="12" t="s">
        <v>5</v>
      </c>
      <c r="B90" s="20" t="str">
        <f>IFERROR(VLOOKUP(A90,Sheet1!$E$3:$H$27,4,0),"")</f>
        <v>P1</v>
      </c>
      <c r="C90" s="14" t="s">
        <v>199</v>
      </c>
      <c r="D90" s="12" t="s">
        <v>37</v>
      </c>
      <c r="E90" s="13" t="str">
        <f>IFERROR(VLOOKUP(D90,Sheet1!$B$1:$C$45,2,0),"")</f>
        <v>TE</v>
      </c>
      <c r="F90" s="12" t="s">
        <v>179</v>
      </c>
      <c r="G90" s="13" t="str">
        <f t="shared" si="3"/>
        <v>Palangkaraya</v>
      </c>
      <c r="H90" s="15" t="str">
        <f>IFERROR(VLOOKUP(A90,Sheet1!$E$3:$F$27,2,),"")</f>
        <v>Corrective</v>
      </c>
      <c r="I90" s="16" t="str">
        <f>IFERROR(VLOOKUP(A90,Sheet1!$E$3:$G$27,3,0),"")</f>
        <v>Replace Optik,RRU/Soket Power/Replace GPS</v>
      </c>
      <c r="J90" s="12" t="s">
        <v>112</v>
      </c>
      <c r="K90" s="17">
        <v>3698431.0</v>
      </c>
      <c r="L90" s="17">
        <v>3698431.0</v>
      </c>
      <c r="M90" s="12" t="s">
        <v>122</v>
      </c>
      <c r="N90" s="23"/>
      <c r="O90" s="22"/>
      <c r="P90" s="22"/>
    </row>
    <row r="91" ht="22.5" customHeight="1">
      <c r="A91" s="12" t="s">
        <v>33</v>
      </c>
      <c r="B91" s="20" t="str">
        <f>IFERROR(VLOOKUP(A91,Sheet1!$E$3:$H$27,4,0),"")</f>
        <v>P2</v>
      </c>
      <c r="C91" s="14" t="s">
        <v>200</v>
      </c>
      <c r="D91" s="12" t="s">
        <v>51</v>
      </c>
      <c r="E91" s="13" t="str">
        <f>IFERROR(VLOOKUP(D91,Sheet1!$B$1:$C$45,2,0),"")</f>
        <v>TE</v>
      </c>
      <c r="F91" s="12" t="s">
        <v>179</v>
      </c>
      <c r="G91" s="13" t="str">
        <f t="shared" si="3"/>
        <v>Palangkaraya</v>
      </c>
      <c r="H91" s="15" t="str">
        <f>IFERROR(VLOOKUP(A91,Sheet1!$E$3:$F$27,2,),"")</f>
        <v>Preventive</v>
      </c>
      <c r="I91" s="16" t="str">
        <f>IFERROR(VLOOKUP(A91,Sheet1!$E$3:$G$27,3,0),"")</f>
        <v>Pengukuran dan pengambilan data log serta input Gdoc BBT</v>
      </c>
      <c r="J91" s="12" t="s">
        <v>112</v>
      </c>
      <c r="K91" s="17">
        <v>3698431.0</v>
      </c>
      <c r="L91" s="17">
        <v>3698431.0</v>
      </c>
      <c r="M91" s="12" t="s">
        <v>122</v>
      </c>
      <c r="N91" s="23"/>
      <c r="O91" s="22"/>
      <c r="P91" s="22"/>
    </row>
    <row r="92" ht="22.5" customHeight="1">
      <c r="A92" s="12" t="s">
        <v>14</v>
      </c>
      <c r="B92" s="20" t="str">
        <f>IFERROR(VLOOKUP(A92,Sheet1!$E$3:$H$27,4,0),"")</f>
        <v>P1</v>
      </c>
      <c r="C92" s="14" t="s">
        <v>182</v>
      </c>
      <c r="D92" s="12" t="s">
        <v>79</v>
      </c>
      <c r="E92" s="13" t="str">
        <f>IFERROR(VLOOKUP(D92,Sheet1!$B$1:$C$45,2,0),"")</f>
        <v>TE</v>
      </c>
      <c r="F92" s="12" t="s">
        <v>179</v>
      </c>
      <c r="G92" s="13" t="str">
        <f t="shared" si="3"/>
        <v>Palangkaraya</v>
      </c>
      <c r="H92" s="15" t="str">
        <f>IFERROR(VLOOKUP(A92,Sheet1!$E$3:$F$27,2,),"")</f>
        <v>Corrective</v>
      </c>
      <c r="I92" s="16" t="str">
        <f>IFERROR(VLOOKUP(A92,Sheet1!$E$3:$G$27,3,0),"")</f>
        <v>Pemadaman,MCB Trip,Transmisi problem</v>
      </c>
      <c r="J92" s="12" t="s">
        <v>112</v>
      </c>
      <c r="K92" s="17">
        <v>3698431.0</v>
      </c>
      <c r="L92" s="17">
        <v>3698431.0</v>
      </c>
      <c r="M92" s="12" t="s">
        <v>122</v>
      </c>
      <c r="N92" s="23"/>
      <c r="O92" s="22"/>
      <c r="P92" s="22"/>
    </row>
    <row r="93" ht="22.5" customHeight="1">
      <c r="A93" s="12" t="s">
        <v>10</v>
      </c>
      <c r="B93" s="20" t="str">
        <f>IFERROR(VLOOKUP(A93,Sheet1!$E$3:$H$27,4,0),"")</f>
        <v>P1</v>
      </c>
      <c r="C93" s="14" t="s">
        <v>201</v>
      </c>
      <c r="D93" s="12" t="s">
        <v>71</v>
      </c>
      <c r="E93" s="13" t="str">
        <f>IFERROR(VLOOKUP(D93,Sheet1!$B$1:$C$45,2,0),"")</f>
        <v>TE</v>
      </c>
      <c r="F93" s="12" t="s">
        <v>179</v>
      </c>
      <c r="G93" s="13" t="str">
        <f t="shared" si="3"/>
        <v>Palangkaraya</v>
      </c>
      <c r="H93" s="15" t="str">
        <f>IFERROR(VLOOKUP(A93,Sheet1!$E$3:$F$27,2,),"")</f>
        <v>Corrective</v>
      </c>
      <c r="I93" s="16" t="str">
        <f>IFERROR(VLOOKUP(A93,Sheet1!$E$3:$G$27,3,0),"")</f>
        <v>Replace Jumper,antena/RRU</v>
      </c>
      <c r="J93" s="12" t="s">
        <v>112</v>
      </c>
      <c r="K93" s="17">
        <v>3698431.0</v>
      </c>
      <c r="L93" s="17">
        <v>3698431.0</v>
      </c>
      <c r="M93" s="12" t="s">
        <v>109</v>
      </c>
      <c r="N93" s="23"/>
      <c r="O93" s="22"/>
      <c r="P93" s="22"/>
    </row>
    <row r="94" ht="22.5" customHeight="1">
      <c r="A94" s="12" t="s">
        <v>10</v>
      </c>
      <c r="B94" s="20" t="str">
        <f>IFERROR(VLOOKUP(A94,Sheet1!$E$3:$H$27,4,0),"")</f>
        <v>P1</v>
      </c>
      <c r="C94" s="14" t="s">
        <v>201</v>
      </c>
      <c r="D94" s="12" t="s">
        <v>69</v>
      </c>
      <c r="E94" s="13" t="str">
        <f>IFERROR(VLOOKUP(D94,Sheet1!$B$1:$C$45,2,0),"")</f>
        <v>TE</v>
      </c>
      <c r="F94" s="12" t="s">
        <v>179</v>
      </c>
      <c r="G94" s="13" t="str">
        <f t="shared" si="3"/>
        <v>Palangkaraya</v>
      </c>
      <c r="H94" s="15" t="str">
        <f>IFERROR(VLOOKUP(A94,Sheet1!$E$3:$F$27,2,),"")</f>
        <v>Corrective</v>
      </c>
      <c r="I94" s="16" t="str">
        <f>IFERROR(VLOOKUP(A94,Sheet1!$E$3:$G$27,3,0),"")</f>
        <v>Replace Jumper,antena/RRU</v>
      </c>
      <c r="J94" s="12" t="s">
        <v>112</v>
      </c>
      <c r="K94" s="17">
        <v>3698431.0</v>
      </c>
      <c r="L94" s="17">
        <v>3698431.0</v>
      </c>
      <c r="M94" s="12" t="s">
        <v>109</v>
      </c>
      <c r="N94" s="23"/>
      <c r="O94" s="22"/>
      <c r="P94" s="22"/>
    </row>
    <row r="95" ht="22.5" customHeight="1">
      <c r="A95" s="12" t="s">
        <v>14</v>
      </c>
      <c r="B95" s="20" t="str">
        <f>IFERROR(VLOOKUP(A95,Sheet1!$E$3:$H$27,4,0),"")</f>
        <v>P1</v>
      </c>
      <c r="C95" s="14" t="s">
        <v>202</v>
      </c>
      <c r="D95" s="12" t="s">
        <v>91</v>
      </c>
      <c r="E95" s="13" t="str">
        <f>IFERROR(VLOOKUP(D95,Sheet1!$B$1:$C$45,2,0),"")</f>
        <v>TE</v>
      </c>
      <c r="F95" s="12" t="s">
        <v>179</v>
      </c>
      <c r="G95" s="13" t="str">
        <f t="shared" si="3"/>
        <v>Palangkaraya</v>
      </c>
      <c r="H95" s="15" t="str">
        <f>IFERROR(VLOOKUP(A95,Sheet1!$E$3:$F$27,2,),"")</f>
        <v>Corrective</v>
      </c>
      <c r="I95" s="16" t="str">
        <f>IFERROR(VLOOKUP(A95,Sheet1!$E$3:$G$27,3,0),"")</f>
        <v>Pemadaman,MCB Trip,Transmisi problem</v>
      </c>
      <c r="J95" s="12" t="s">
        <v>112</v>
      </c>
      <c r="K95" s="17">
        <v>3698431.0</v>
      </c>
      <c r="L95" s="17">
        <v>3698431.0</v>
      </c>
      <c r="M95" s="12" t="s">
        <v>109</v>
      </c>
      <c r="N95" s="23"/>
      <c r="O95" s="22"/>
      <c r="P95" s="22"/>
    </row>
    <row r="96" ht="22.5" customHeight="1">
      <c r="A96" s="12" t="s">
        <v>33</v>
      </c>
      <c r="B96" s="20" t="str">
        <f>IFERROR(VLOOKUP(A96,Sheet1!$E$3:$H$27,4,0),"")</f>
        <v>P2</v>
      </c>
      <c r="C96" s="14" t="s">
        <v>203</v>
      </c>
      <c r="D96" s="12" t="s">
        <v>58</v>
      </c>
      <c r="E96" s="13" t="str">
        <f>IFERROR(VLOOKUP(D96,Sheet1!$B$1:$C$45,2,0),"")</f>
        <v>TE</v>
      </c>
      <c r="F96" s="12" t="s">
        <v>179</v>
      </c>
      <c r="G96" s="13" t="str">
        <f t="shared" si="3"/>
        <v>Palangkaraya</v>
      </c>
      <c r="H96" s="15" t="str">
        <f>IFERROR(VLOOKUP(A96,Sheet1!$E$3:$F$27,2,),"")</f>
        <v>Preventive</v>
      </c>
      <c r="I96" s="16" t="str">
        <f>IFERROR(VLOOKUP(A96,Sheet1!$E$3:$G$27,3,0),"")</f>
        <v>Pengukuran dan pengambilan data log serta input Gdoc BBT</v>
      </c>
      <c r="J96" s="12" t="s">
        <v>112</v>
      </c>
      <c r="K96" s="17">
        <v>3698431.0</v>
      </c>
      <c r="L96" s="17">
        <v>3698431.0</v>
      </c>
      <c r="M96" s="12" t="s">
        <v>122</v>
      </c>
      <c r="N96" s="23"/>
      <c r="O96" s="22"/>
      <c r="P96" s="22"/>
    </row>
    <row r="97" ht="22.5" customHeight="1">
      <c r="A97" s="12" t="s">
        <v>22</v>
      </c>
      <c r="B97" s="20" t="str">
        <f>IFERROR(VLOOKUP(A97,Sheet1!$E$3:$H$27,4,0),"")</f>
        <v>P2</v>
      </c>
      <c r="C97" s="14" t="s">
        <v>178</v>
      </c>
      <c r="D97" s="12" t="s">
        <v>83</v>
      </c>
      <c r="E97" s="13" t="str">
        <f>IFERROR(VLOOKUP(D97,Sheet1!$B$1:$C$45,2,0),"")</f>
        <v>PM</v>
      </c>
      <c r="F97" s="12" t="s">
        <v>179</v>
      </c>
      <c r="G97" s="13" t="str">
        <f t="shared" si="3"/>
        <v>Palangkaraya</v>
      </c>
      <c r="H97" s="15" t="str">
        <f>IFERROR(VLOOKUP(A97,Sheet1!$E$3:$F$27,2,),"")</f>
        <v>Preventive</v>
      </c>
      <c r="I97" s="16" t="str">
        <f>IFERROR(VLOOKUP(A97,Sheet1!$E$3:$G$27,3,0),"")</f>
        <v>Preventive Maintenance</v>
      </c>
      <c r="J97" s="12" t="s">
        <v>112</v>
      </c>
      <c r="K97" s="17">
        <v>3698431.0</v>
      </c>
      <c r="L97" s="17">
        <v>3698431.0</v>
      </c>
      <c r="M97" s="12" t="s">
        <v>109</v>
      </c>
      <c r="N97" s="23"/>
      <c r="O97" s="22"/>
      <c r="P97" s="22"/>
    </row>
    <row r="98" ht="22.5" customHeight="1">
      <c r="A98" s="12" t="s">
        <v>22</v>
      </c>
      <c r="B98" s="20" t="str">
        <f>IFERROR(VLOOKUP(A98,Sheet1!$E$3:$H$27,4,0),"")</f>
        <v>P2</v>
      </c>
      <c r="C98" s="14" t="s">
        <v>204</v>
      </c>
      <c r="D98" s="12" t="s">
        <v>82</v>
      </c>
      <c r="E98" s="13" t="str">
        <f>IFERROR(VLOOKUP(D98,Sheet1!$B$1:$C$45,2,0),"")</f>
        <v>PM</v>
      </c>
      <c r="F98" s="12" t="s">
        <v>179</v>
      </c>
      <c r="G98" s="13" t="str">
        <f t="shared" si="3"/>
        <v>Palangkaraya</v>
      </c>
      <c r="H98" s="15" t="str">
        <f>IFERROR(VLOOKUP(A98,Sheet1!$E$3:$F$27,2,),"")</f>
        <v>Preventive</v>
      </c>
      <c r="I98" s="16" t="str">
        <f>IFERROR(VLOOKUP(A98,Sheet1!$E$3:$G$27,3,0),"")</f>
        <v>Preventive Maintenance</v>
      </c>
      <c r="J98" s="12" t="s">
        <v>112</v>
      </c>
      <c r="K98" s="17">
        <v>3698431.0</v>
      </c>
      <c r="L98" s="17">
        <v>3698431.0</v>
      </c>
      <c r="M98" s="12" t="s">
        <v>122</v>
      </c>
      <c r="N98" s="23"/>
      <c r="O98" s="22"/>
      <c r="P98" s="22"/>
    </row>
    <row r="99" ht="22.5" customHeight="1">
      <c r="A99" s="12" t="s">
        <v>22</v>
      </c>
      <c r="B99" s="20" t="str">
        <f>IFERROR(VLOOKUP(A99,Sheet1!$E$3:$H$27,4,0),"")</f>
        <v>P2</v>
      </c>
      <c r="C99" s="14" t="s">
        <v>205</v>
      </c>
      <c r="D99" s="12" t="s">
        <v>81</v>
      </c>
      <c r="E99" s="13" t="str">
        <f>IFERROR(VLOOKUP(D99,Sheet1!$B$1:$C$45,2,0),"")</f>
        <v>PM</v>
      </c>
      <c r="F99" s="12" t="s">
        <v>179</v>
      </c>
      <c r="G99" s="13" t="str">
        <f t="shared" si="3"/>
        <v>Palangkaraya</v>
      </c>
      <c r="H99" s="15" t="str">
        <f>IFERROR(VLOOKUP(A99,Sheet1!$E$3:$F$27,2,),"")</f>
        <v>Preventive</v>
      </c>
      <c r="I99" s="16" t="str">
        <f>IFERROR(VLOOKUP(A99,Sheet1!$E$3:$G$27,3,0),"")</f>
        <v>Preventive Maintenance</v>
      </c>
      <c r="J99" s="12" t="s">
        <v>112</v>
      </c>
      <c r="K99" s="17">
        <v>3698431.0</v>
      </c>
      <c r="L99" s="17">
        <v>3698431.0</v>
      </c>
      <c r="M99" s="12" t="s">
        <v>109</v>
      </c>
      <c r="N99" s="23"/>
      <c r="O99" s="22"/>
      <c r="P99" s="22"/>
    </row>
    <row r="100" ht="22.5" customHeight="1">
      <c r="A100" s="12" t="s">
        <v>65</v>
      </c>
      <c r="B100" s="20" t="str">
        <f>IFERROR(VLOOKUP(A100,Sheet1!$E$3:$H$27,4,0),"")</f>
        <v>P3</v>
      </c>
      <c r="C100" s="15"/>
      <c r="D100" s="12" t="s">
        <v>75</v>
      </c>
      <c r="E100" s="13" t="str">
        <f>IFERROR(VLOOKUP(D100,Sheet1!$B$1:$C$45,2,0),"")</f>
        <v>CME</v>
      </c>
      <c r="F100" s="12" t="s">
        <v>179</v>
      </c>
      <c r="G100" s="13" t="str">
        <f t="shared" si="3"/>
        <v>Palangkaraya</v>
      </c>
      <c r="H100" s="15" t="str">
        <f>IFERROR(VLOOKUP(A100,Sheet1!$E$3:$F$27,2,),"")</f>
        <v>Standby</v>
      </c>
      <c r="I100" s="16" t="str">
        <f>IFERROR(VLOOKUP(A100,Sheet1!$E$3:$G$27,3,0),"")</f>
        <v>Standby On Call</v>
      </c>
      <c r="J100" s="12" t="s">
        <v>66</v>
      </c>
      <c r="K100" s="17">
        <v>3698431.0</v>
      </c>
      <c r="L100" s="17">
        <v>3698431.0</v>
      </c>
      <c r="M100" s="12" t="s">
        <v>137</v>
      </c>
      <c r="N100" s="23"/>
      <c r="O100" s="22"/>
      <c r="P100" s="22"/>
    </row>
    <row r="101" ht="22.5" customHeight="1">
      <c r="A101" s="12" t="s">
        <v>65</v>
      </c>
      <c r="B101" s="20" t="str">
        <f>IFERROR(VLOOKUP(A101,Sheet1!$E$3:$H$27,4,0),"")</f>
        <v>P3</v>
      </c>
      <c r="C101" s="15"/>
      <c r="D101" s="12" t="s">
        <v>35</v>
      </c>
      <c r="E101" s="13" t="str">
        <f>IFERROR(VLOOKUP(D101,Sheet1!$B$1:$C$45,2,0),"")</f>
        <v>MBP</v>
      </c>
      <c r="F101" s="12" t="s">
        <v>179</v>
      </c>
      <c r="G101" s="13" t="str">
        <f t="shared" si="3"/>
        <v>Palangkaraya</v>
      </c>
      <c r="H101" s="15" t="str">
        <f>IFERROR(VLOOKUP(A101,Sheet1!$E$3:$F$27,2,),"")</f>
        <v>Standby</v>
      </c>
      <c r="I101" s="16" t="str">
        <f>IFERROR(VLOOKUP(A101,Sheet1!$E$3:$G$27,3,0),"")</f>
        <v>Standby On Call</v>
      </c>
      <c r="J101" s="12" t="s">
        <v>66</v>
      </c>
      <c r="K101" s="17">
        <v>3698431.0</v>
      </c>
      <c r="L101" s="17">
        <v>3698431.0</v>
      </c>
      <c r="M101" s="12" t="s">
        <v>137</v>
      </c>
      <c r="N101" s="23"/>
      <c r="O101" s="22"/>
      <c r="P101" s="22"/>
    </row>
    <row r="102" ht="22.5" customHeight="1">
      <c r="A102" s="12" t="s">
        <v>65</v>
      </c>
      <c r="B102" s="20" t="str">
        <f>IFERROR(VLOOKUP(A102,Sheet1!$E$3:$H$27,4,0),"")</f>
        <v>P3</v>
      </c>
      <c r="C102" s="15"/>
      <c r="D102" s="12" t="s">
        <v>48</v>
      </c>
      <c r="E102" s="13" t="str">
        <f>IFERROR(VLOOKUP(D102,Sheet1!$B$1:$C$45,2,0),"")</f>
        <v>MBP</v>
      </c>
      <c r="F102" s="12" t="s">
        <v>179</v>
      </c>
      <c r="G102" s="13" t="str">
        <f t="shared" si="3"/>
        <v>Palangkaraya</v>
      </c>
      <c r="H102" s="15" t="str">
        <f>IFERROR(VLOOKUP(A102,Sheet1!$E$3:$F$27,2,),"")</f>
        <v>Standby</v>
      </c>
      <c r="I102" s="16" t="str">
        <f>IFERROR(VLOOKUP(A102,Sheet1!$E$3:$G$27,3,0),"")</f>
        <v>Standby On Call</v>
      </c>
      <c r="J102" s="12" t="s">
        <v>66</v>
      </c>
      <c r="K102" s="17">
        <v>3698431.0</v>
      </c>
      <c r="L102" s="17">
        <v>3698431.0</v>
      </c>
      <c r="M102" s="12" t="s">
        <v>137</v>
      </c>
      <c r="N102" s="23"/>
      <c r="O102" s="22"/>
      <c r="P102" s="22"/>
    </row>
    <row r="103" ht="22.5" customHeight="1">
      <c r="A103" s="12" t="s">
        <v>65</v>
      </c>
      <c r="B103" s="20" t="str">
        <f>IFERROR(VLOOKUP(A103,Sheet1!$E$3:$H$27,4,0),"")</f>
        <v>P3</v>
      </c>
      <c r="C103" s="15"/>
      <c r="D103" s="12" t="s">
        <v>45</v>
      </c>
      <c r="E103" s="13" t="str">
        <f>IFERROR(VLOOKUP(D103,Sheet1!$B$1:$C$45,2,0),"")</f>
        <v>MBP</v>
      </c>
      <c r="F103" s="12" t="s">
        <v>179</v>
      </c>
      <c r="G103" s="13" t="str">
        <f t="shared" si="3"/>
        <v>Palangkaraya</v>
      </c>
      <c r="H103" s="15" t="str">
        <f>IFERROR(VLOOKUP(A103,Sheet1!$E$3:$F$27,2,),"")</f>
        <v>Standby</v>
      </c>
      <c r="I103" s="16" t="str">
        <f>IFERROR(VLOOKUP(A103,Sheet1!$E$3:$G$27,3,0),"")</f>
        <v>Standby On Call</v>
      </c>
      <c r="J103" s="12" t="s">
        <v>66</v>
      </c>
      <c r="K103" s="17">
        <v>3698431.0</v>
      </c>
      <c r="L103" s="17">
        <v>3698431.0</v>
      </c>
      <c r="M103" s="12" t="s">
        <v>137</v>
      </c>
      <c r="N103" s="23"/>
      <c r="O103" s="22"/>
      <c r="P103" s="22"/>
    </row>
    <row r="104" ht="22.5" customHeight="1">
      <c r="A104" s="12" t="s">
        <v>65</v>
      </c>
      <c r="B104" s="20" t="str">
        <f>IFERROR(VLOOKUP(A104,Sheet1!$E$3:$H$27,4,0),"")</f>
        <v>P3</v>
      </c>
      <c r="C104" s="15"/>
      <c r="D104" s="12" t="s">
        <v>64</v>
      </c>
      <c r="E104" s="13" t="str">
        <f>IFERROR(VLOOKUP(D104,Sheet1!$B$1:$C$45,2,0),"")</f>
        <v>TE</v>
      </c>
      <c r="F104" s="12" t="s">
        <v>179</v>
      </c>
      <c r="G104" s="13" t="str">
        <f t="shared" si="3"/>
        <v>Palangkaraya</v>
      </c>
      <c r="H104" s="15" t="str">
        <f>IFERROR(VLOOKUP(A104,Sheet1!$E$3:$F$27,2,),"")</f>
        <v>Standby</v>
      </c>
      <c r="I104" s="16" t="str">
        <f>IFERROR(VLOOKUP(A104,Sheet1!$E$3:$G$27,3,0),"")</f>
        <v>Standby On Call</v>
      </c>
      <c r="J104" s="12" t="s">
        <v>66</v>
      </c>
      <c r="K104" s="17">
        <v>3698431.0</v>
      </c>
      <c r="L104" s="17">
        <v>3698431.0</v>
      </c>
      <c r="M104" s="12" t="s">
        <v>137</v>
      </c>
      <c r="N104" s="23"/>
      <c r="O104" s="22"/>
      <c r="P104" s="22"/>
    </row>
    <row r="105" ht="22.5" customHeight="1">
      <c r="A105" s="12" t="s">
        <v>65</v>
      </c>
      <c r="B105" s="20" t="str">
        <f>IFERROR(VLOOKUP(A105,Sheet1!$E$3:$H$27,4,0),"")</f>
        <v>P3</v>
      </c>
      <c r="C105" s="15"/>
      <c r="D105" s="12" t="s">
        <v>67</v>
      </c>
      <c r="E105" s="12" t="s">
        <v>1</v>
      </c>
      <c r="F105" s="12" t="s">
        <v>179</v>
      </c>
      <c r="G105" s="13" t="str">
        <f t="shared" si="3"/>
        <v>Palangkaraya</v>
      </c>
      <c r="H105" s="15" t="str">
        <f>IFERROR(VLOOKUP(A105,Sheet1!$E$3:$F$27,2,),"")</f>
        <v>Standby</v>
      </c>
      <c r="I105" s="16" t="str">
        <f>IFERROR(VLOOKUP(A105,Sheet1!$E$3:$G$27,3,0),"")</f>
        <v>Standby On Call</v>
      </c>
      <c r="J105" s="12" t="s">
        <v>66</v>
      </c>
      <c r="K105" s="17">
        <v>3698431.0</v>
      </c>
      <c r="L105" s="17">
        <v>3698431.0</v>
      </c>
      <c r="M105" s="12" t="s">
        <v>137</v>
      </c>
      <c r="N105" s="23"/>
      <c r="O105" s="22"/>
      <c r="P105" s="22"/>
    </row>
    <row r="106" ht="22.5" customHeight="1">
      <c r="A106" s="12" t="s">
        <v>68</v>
      </c>
      <c r="B106" s="20" t="str">
        <f>IFERROR(VLOOKUP(A106,Sheet1!$E$3:$H$27,4,0),"")</f>
        <v>P3</v>
      </c>
      <c r="C106" s="15"/>
      <c r="D106" s="12" t="s">
        <v>56</v>
      </c>
      <c r="E106" s="13" t="str">
        <f>IFERROR(VLOOKUP(D106,Sheet1!$B$1:$C$45,2,0),"")</f>
        <v>TE</v>
      </c>
      <c r="F106" s="12" t="s">
        <v>179</v>
      </c>
      <c r="G106" s="13" t="str">
        <f t="shared" si="3"/>
        <v>Palangkaraya</v>
      </c>
      <c r="H106" s="15" t="str">
        <f>IFERROR(VLOOKUP(A106,Sheet1!$E$3:$F$27,2,),"")</f>
        <v>On Leave</v>
      </c>
      <c r="I106" s="16" t="str">
        <f>IFERROR(VLOOKUP(A106,Sheet1!$E$3:$G$27,3,0),"")</f>
        <v>On Leave</v>
      </c>
      <c r="J106" s="12" t="s">
        <v>66</v>
      </c>
      <c r="K106" s="17">
        <v>3698431.0</v>
      </c>
      <c r="L106" s="17">
        <v>3698431.0</v>
      </c>
      <c r="M106" s="12" t="s">
        <v>137</v>
      </c>
      <c r="N106" s="23"/>
      <c r="O106" s="22"/>
      <c r="P106" s="22"/>
    </row>
    <row r="107" ht="22.5" customHeight="1">
      <c r="A107" s="12" t="s">
        <v>65</v>
      </c>
      <c r="B107" s="20" t="str">
        <f>IFERROR(VLOOKUP(A107,Sheet1!$E$3:$H$27,4,0),"")</f>
        <v>P3</v>
      </c>
      <c r="C107" s="15"/>
      <c r="D107" s="12" t="s">
        <v>2</v>
      </c>
      <c r="E107" s="13" t="str">
        <f>IFERROR(VLOOKUP(D107,Sheet1!$B$1:$C$45,2,0),"")</f>
        <v>CME</v>
      </c>
      <c r="F107" s="12" t="s">
        <v>108</v>
      </c>
      <c r="G107" s="13" t="str">
        <f t="shared" si="3"/>
        <v>Barito Raya</v>
      </c>
      <c r="H107" s="15" t="str">
        <f>IFERROR(VLOOKUP(A107,Sheet1!$E$3:$F$27,2,),"")</f>
        <v>Standby</v>
      </c>
      <c r="I107" s="16" t="str">
        <f>IFERROR(VLOOKUP(A107,Sheet1!$E$3:$G$27,3,0),"")</f>
        <v>Standby On Call</v>
      </c>
      <c r="J107" s="12" t="s">
        <v>66</v>
      </c>
      <c r="K107" s="17">
        <v>46007.0</v>
      </c>
      <c r="L107" s="17">
        <v>46007.0</v>
      </c>
      <c r="M107" s="12" t="s">
        <v>137</v>
      </c>
      <c r="N107" s="23"/>
      <c r="O107" s="22"/>
      <c r="P107" s="22"/>
    </row>
    <row r="108" ht="22.5" customHeight="1">
      <c r="A108" s="12" t="s">
        <v>65</v>
      </c>
      <c r="B108" s="20" t="str">
        <f>IFERROR(VLOOKUP(A108,Sheet1!$E$3:$H$27,4,0),"")</f>
        <v>P3</v>
      </c>
      <c r="C108" s="15"/>
      <c r="D108" s="12" t="s">
        <v>4</v>
      </c>
      <c r="E108" s="13" t="str">
        <f>IFERROR(VLOOKUP(D108,Sheet1!$B$1:$C$45,2,0),"")</f>
        <v>CME</v>
      </c>
      <c r="F108" s="12" t="s">
        <v>108</v>
      </c>
      <c r="G108" s="13" t="str">
        <f t="shared" si="3"/>
        <v>Barito Raya</v>
      </c>
      <c r="H108" s="15" t="str">
        <f>IFERROR(VLOOKUP(A108,Sheet1!$E$3:$F$27,2,),"")</f>
        <v>Standby</v>
      </c>
      <c r="I108" s="16" t="str">
        <f>IFERROR(VLOOKUP(A108,Sheet1!$E$3:$G$27,3,0),"")</f>
        <v>Standby On Call</v>
      </c>
      <c r="J108" s="12" t="s">
        <v>66</v>
      </c>
      <c r="K108" s="17">
        <v>46007.0</v>
      </c>
      <c r="L108" s="17">
        <v>46007.0</v>
      </c>
      <c r="M108" s="12" t="s">
        <v>137</v>
      </c>
      <c r="N108" s="23"/>
      <c r="O108" s="22"/>
      <c r="P108" s="22"/>
    </row>
    <row r="109" ht="22.5" customHeight="1">
      <c r="A109" s="12" t="s">
        <v>65</v>
      </c>
      <c r="B109" s="20" t="str">
        <f>IFERROR(VLOOKUP(A109,Sheet1!$E$3:$H$27,4,0),"")</f>
        <v>P3</v>
      </c>
      <c r="C109" s="15"/>
      <c r="D109" s="12" t="s">
        <v>9</v>
      </c>
      <c r="E109" s="13" t="str">
        <f>IFERROR(VLOOKUP(D109,Sheet1!$B$1:$C$45,2,0),"")</f>
        <v>MBP</v>
      </c>
      <c r="F109" s="12" t="s">
        <v>108</v>
      </c>
      <c r="G109" s="13" t="str">
        <f t="shared" si="3"/>
        <v>Barito Raya</v>
      </c>
      <c r="H109" s="15" t="str">
        <f>IFERROR(VLOOKUP(A109,Sheet1!$E$3:$F$27,2,),"")</f>
        <v>Standby</v>
      </c>
      <c r="I109" s="16" t="str">
        <f>IFERROR(VLOOKUP(A109,Sheet1!$E$3:$G$27,3,0),"")</f>
        <v>Standby On Call</v>
      </c>
      <c r="J109" s="12" t="s">
        <v>66</v>
      </c>
      <c r="K109" s="17">
        <v>46007.0</v>
      </c>
      <c r="L109" s="17">
        <v>46007.0</v>
      </c>
      <c r="M109" s="12" t="s">
        <v>137</v>
      </c>
      <c r="N109" s="23"/>
      <c r="O109" s="22"/>
      <c r="P109" s="22"/>
    </row>
    <row r="110" ht="22.5" customHeight="1">
      <c r="A110" s="12" t="s">
        <v>65</v>
      </c>
      <c r="B110" s="20" t="str">
        <f>IFERROR(VLOOKUP(A110,Sheet1!$E$3:$H$27,4,0),"")</f>
        <v>P3</v>
      </c>
      <c r="C110" s="15"/>
      <c r="D110" s="12" t="s">
        <v>87</v>
      </c>
      <c r="E110" s="13" t="str">
        <f>IFERROR(VLOOKUP(D110,Sheet1!$B$1:$C$45,2,0),"")</f>
        <v>MBP</v>
      </c>
      <c r="F110" s="12" t="s">
        <v>108</v>
      </c>
      <c r="G110" s="13" t="str">
        <f t="shared" si="3"/>
        <v>Barito Raya</v>
      </c>
      <c r="H110" s="15" t="str">
        <f>IFERROR(VLOOKUP(A110,Sheet1!$E$3:$F$27,2,),"")</f>
        <v>Standby</v>
      </c>
      <c r="I110" s="16" t="str">
        <f>IFERROR(VLOOKUP(A110,Sheet1!$E$3:$G$27,3,0),"")</f>
        <v>Standby On Call</v>
      </c>
      <c r="J110" s="12" t="s">
        <v>66</v>
      </c>
      <c r="K110" s="17">
        <v>46007.0</v>
      </c>
      <c r="L110" s="17">
        <v>46007.0</v>
      </c>
      <c r="M110" s="12" t="s">
        <v>137</v>
      </c>
      <c r="N110" s="23"/>
      <c r="O110" s="22"/>
      <c r="P110" s="22"/>
    </row>
    <row r="111" ht="22.5" customHeight="1">
      <c r="A111" s="12" t="s">
        <v>65</v>
      </c>
      <c r="B111" s="20" t="str">
        <f>IFERROR(VLOOKUP(A111,Sheet1!$E$3:$H$27,4,0),"")</f>
        <v>P3</v>
      </c>
      <c r="C111" s="15"/>
      <c r="D111" s="12" t="s">
        <v>24</v>
      </c>
      <c r="E111" s="13" t="str">
        <f>IFERROR(VLOOKUP(D111,Sheet1!$B$1:$C$45,2,0),"")</f>
        <v>MBP</v>
      </c>
      <c r="F111" s="12" t="s">
        <v>108</v>
      </c>
      <c r="G111" s="13" t="str">
        <f t="shared" si="3"/>
        <v>Barito Raya</v>
      </c>
      <c r="H111" s="15" t="str">
        <f>IFERROR(VLOOKUP(A111,Sheet1!$E$3:$F$27,2,),"")</f>
        <v>Standby</v>
      </c>
      <c r="I111" s="16" t="str">
        <f>IFERROR(VLOOKUP(A111,Sheet1!$E$3:$G$27,3,0),"")</f>
        <v>Standby On Call</v>
      </c>
      <c r="J111" s="12" t="s">
        <v>66</v>
      </c>
      <c r="K111" s="17">
        <v>46007.0</v>
      </c>
      <c r="L111" s="17">
        <v>46007.0</v>
      </c>
      <c r="M111" s="12" t="s">
        <v>137</v>
      </c>
      <c r="N111" s="23"/>
      <c r="O111" s="22"/>
      <c r="P111" s="22"/>
    </row>
    <row r="112" ht="22.5" customHeight="1">
      <c r="A112" s="12" t="s">
        <v>33</v>
      </c>
      <c r="B112" s="20" t="str">
        <f>IFERROR(VLOOKUP(A112,Sheet1!$E$3:$H$27,4,0),"")</f>
        <v>P2</v>
      </c>
      <c r="C112" s="14" t="s">
        <v>206</v>
      </c>
      <c r="D112" s="12" t="s">
        <v>0</v>
      </c>
      <c r="E112" s="13" t="str">
        <f>IFERROR(VLOOKUP(D112,Sheet1!$B$1:$C$45,2,0),"")</f>
        <v>MBP</v>
      </c>
      <c r="F112" s="12" t="s">
        <v>108</v>
      </c>
      <c r="G112" s="13" t="str">
        <f t="shared" si="3"/>
        <v>Barito Raya</v>
      </c>
      <c r="H112" s="15" t="str">
        <f>IFERROR(VLOOKUP(A112,Sheet1!$E$3:$F$27,2,),"")</f>
        <v>Preventive</v>
      </c>
      <c r="I112" s="16" t="str">
        <f>IFERROR(VLOOKUP(A112,Sheet1!$E$3:$G$27,3,0),"")</f>
        <v>Pengukuran dan pengambilan data log serta input Gdoc BBT</v>
      </c>
      <c r="J112" s="12" t="s">
        <v>112</v>
      </c>
      <c r="K112" s="17">
        <v>46007.0</v>
      </c>
      <c r="L112" s="17">
        <v>46007.0</v>
      </c>
      <c r="M112" s="12" t="s">
        <v>109</v>
      </c>
      <c r="N112" s="23"/>
      <c r="O112" s="22"/>
      <c r="P112" s="22"/>
    </row>
    <row r="113" ht="22.5" customHeight="1">
      <c r="A113" s="12" t="s">
        <v>33</v>
      </c>
      <c r="B113" s="20" t="str">
        <f>IFERROR(VLOOKUP(A113,Sheet1!$E$3:$H$27,4,0),"")</f>
        <v>P2</v>
      </c>
      <c r="C113" s="14" t="s">
        <v>206</v>
      </c>
      <c r="D113" s="12" t="s">
        <v>60</v>
      </c>
      <c r="E113" s="13" t="str">
        <f>IFERROR(VLOOKUP(D113,Sheet1!$B$1:$C$45,2,0),"")</f>
        <v>TE</v>
      </c>
      <c r="F113" s="12" t="s">
        <v>108</v>
      </c>
      <c r="G113" s="13" t="str">
        <f t="shared" si="3"/>
        <v>Barito Raya</v>
      </c>
      <c r="H113" s="15" t="str">
        <f>IFERROR(VLOOKUP(A113,Sheet1!$E$3:$F$27,2,),"")</f>
        <v>Preventive</v>
      </c>
      <c r="I113" s="16" t="str">
        <f>IFERROR(VLOOKUP(A113,Sheet1!$E$3:$G$27,3,0),"")</f>
        <v>Pengukuran dan pengambilan data log serta input Gdoc BBT</v>
      </c>
      <c r="J113" s="12" t="s">
        <v>112</v>
      </c>
      <c r="K113" s="17">
        <v>46007.0</v>
      </c>
      <c r="L113" s="17">
        <v>46007.0</v>
      </c>
      <c r="M113" s="12" t="s">
        <v>109</v>
      </c>
      <c r="N113" s="23"/>
      <c r="O113" s="22"/>
      <c r="P113" s="22"/>
    </row>
    <row r="114" ht="22.5" customHeight="1">
      <c r="A114" s="12" t="s">
        <v>46</v>
      </c>
      <c r="B114" s="20" t="str">
        <f>IFERROR(VLOOKUP(A114,Sheet1!$E$3:$H$27,4,0),"")</f>
        <v>P2</v>
      </c>
      <c r="C114" s="14" t="s">
        <v>207</v>
      </c>
      <c r="D114" s="12" t="s">
        <v>62</v>
      </c>
      <c r="E114" s="13" t="str">
        <f>IFERROR(VLOOKUP(D114,Sheet1!$B$1:$C$45,2,0),"")</f>
        <v>TE</v>
      </c>
      <c r="F114" s="12" t="s">
        <v>108</v>
      </c>
      <c r="G114" s="13" t="str">
        <f t="shared" si="3"/>
        <v>Barito Raya</v>
      </c>
      <c r="H114" s="15" t="str">
        <f>IFERROR(VLOOKUP(A114,Sheet1!$E$3:$F$27,2,),"")</f>
        <v>Preventive</v>
      </c>
      <c r="I114" s="16" t="str">
        <f>IFERROR(VLOOKUP(A114,Sheet1!$E$3:$G$27,3,0),"")</f>
        <v>Instalasi Battery</v>
      </c>
      <c r="J114" s="12" t="s">
        <v>112</v>
      </c>
      <c r="K114" s="17">
        <v>46007.0</v>
      </c>
      <c r="L114" s="17">
        <v>46007.0</v>
      </c>
      <c r="M114" s="12" t="s">
        <v>109</v>
      </c>
      <c r="N114" s="23"/>
      <c r="O114" s="22"/>
      <c r="P114" s="22"/>
    </row>
    <row r="115" ht="22.5" customHeight="1">
      <c r="A115" s="12" t="s">
        <v>22</v>
      </c>
      <c r="B115" s="20" t="str">
        <f>IFERROR(VLOOKUP(A115,Sheet1!$E$3:$H$27,4,0),"")</f>
        <v>P2</v>
      </c>
      <c r="C115" s="14" t="s">
        <v>208</v>
      </c>
      <c r="D115" s="12" t="s">
        <v>85</v>
      </c>
      <c r="E115" s="13" t="str">
        <f>IFERROR(VLOOKUP(D115,Sheet1!$B$1:$C$45,2,0),"")</f>
        <v>PM</v>
      </c>
      <c r="F115" s="12" t="s">
        <v>108</v>
      </c>
      <c r="G115" s="13" t="str">
        <f t="shared" si="3"/>
        <v>Barito Raya</v>
      </c>
      <c r="H115" s="15" t="str">
        <f>IFERROR(VLOOKUP(A115,Sheet1!$E$3:$F$27,2,),"")</f>
        <v>Preventive</v>
      </c>
      <c r="I115" s="16" t="str">
        <f>IFERROR(VLOOKUP(A115,Sheet1!$E$3:$G$27,3,0),"")</f>
        <v>Preventive Maintenance</v>
      </c>
      <c r="J115" s="12" t="s">
        <v>112</v>
      </c>
      <c r="K115" s="17">
        <v>46007.0</v>
      </c>
      <c r="L115" s="17">
        <v>46007.0</v>
      </c>
      <c r="M115" s="12" t="s">
        <v>109</v>
      </c>
      <c r="N115" s="23"/>
      <c r="O115" s="22"/>
      <c r="P115" s="22"/>
    </row>
    <row r="116" ht="22.5" customHeight="1">
      <c r="A116" s="12" t="s">
        <v>22</v>
      </c>
      <c r="B116" s="20" t="str">
        <f>IFERROR(VLOOKUP(A116,Sheet1!$E$3:$H$27,4,0),"")</f>
        <v>P2</v>
      </c>
      <c r="C116" s="14" t="s">
        <v>185</v>
      </c>
      <c r="D116" s="12" t="s">
        <v>84</v>
      </c>
      <c r="E116" s="13" t="str">
        <f>IFERROR(VLOOKUP(D116,Sheet1!$B$1:$C$45,2,0),"")</f>
        <v>MBP</v>
      </c>
      <c r="F116" s="12" t="s">
        <v>108</v>
      </c>
      <c r="G116" s="13" t="str">
        <f t="shared" si="3"/>
        <v>Barito Raya</v>
      </c>
      <c r="H116" s="15" t="str">
        <f>IFERROR(VLOOKUP(A116,Sheet1!$E$3:$F$27,2,),"")</f>
        <v>Preventive</v>
      </c>
      <c r="I116" s="16" t="str">
        <f>IFERROR(VLOOKUP(A116,Sheet1!$E$3:$G$27,3,0),"")</f>
        <v>Preventive Maintenance</v>
      </c>
      <c r="J116" s="12" t="s">
        <v>112</v>
      </c>
      <c r="K116" s="17">
        <v>46007.0</v>
      </c>
      <c r="L116" s="17">
        <v>46007.0</v>
      </c>
      <c r="M116" s="12" t="s">
        <v>109</v>
      </c>
      <c r="N116" s="23"/>
      <c r="O116" s="22"/>
      <c r="P116" s="22"/>
    </row>
    <row r="117" ht="22.5" customHeight="1">
      <c r="A117" s="12" t="s">
        <v>22</v>
      </c>
      <c r="B117" s="20" t="str">
        <f>IFERROR(VLOOKUP(A117,Sheet1!$E$3:$H$27,4,0),"")</f>
        <v>P2</v>
      </c>
      <c r="C117" s="14" t="s">
        <v>209</v>
      </c>
      <c r="D117" s="12" t="s">
        <v>86</v>
      </c>
      <c r="E117" s="13" t="str">
        <f>IFERROR(VLOOKUP(D117,Sheet1!$B$1:$C$45,2,0),"")</f>
        <v>PM</v>
      </c>
      <c r="F117" s="12" t="s">
        <v>108</v>
      </c>
      <c r="G117" s="13" t="str">
        <f t="shared" si="3"/>
        <v>Barito Raya</v>
      </c>
      <c r="H117" s="15" t="str">
        <f>IFERROR(VLOOKUP(A117,Sheet1!$E$3:$F$27,2,),"")</f>
        <v>Preventive</v>
      </c>
      <c r="I117" s="16" t="str">
        <f>IFERROR(VLOOKUP(A117,Sheet1!$E$3:$G$27,3,0),"")</f>
        <v>Preventive Maintenance</v>
      </c>
      <c r="J117" s="12" t="s">
        <v>112</v>
      </c>
      <c r="K117" s="17">
        <v>46007.0</v>
      </c>
      <c r="L117" s="17">
        <v>46007.0</v>
      </c>
      <c r="M117" s="12" t="s">
        <v>109</v>
      </c>
      <c r="N117" s="23"/>
      <c r="O117" s="22"/>
      <c r="P117" s="22"/>
    </row>
    <row r="118" ht="22.5" customHeight="1">
      <c r="A118" s="12" t="s">
        <v>65</v>
      </c>
      <c r="B118" s="20" t="str">
        <f>IFERROR(VLOOKUP(A118,Sheet1!$E$3:$H$27,4,0),"")</f>
        <v>P3</v>
      </c>
      <c r="C118" s="15"/>
      <c r="D118" s="12" t="s">
        <v>90</v>
      </c>
      <c r="E118" s="13" t="str">
        <f>IFERROR(VLOOKUP(D118,Sheet1!$B$1:$C$45,2,0),"")</f>
        <v>MBP</v>
      </c>
      <c r="F118" s="12" t="s">
        <v>108</v>
      </c>
      <c r="G118" s="13" t="str">
        <f t="shared" si="3"/>
        <v>Barito Raya</v>
      </c>
      <c r="H118" s="15" t="str">
        <f>IFERROR(VLOOKUP(A118,Sheet1!$E$3:$F$27,2,),"")</f>
        <v>Standby</v>
      </c>
      <c r="I118" s="16" t="str">
        <f>IFERROR(VLOOKUP(A118,Sheet1!$E$3:$G$27,3,0),"")</f>
        <v>Standby On Call</v>
      </c>
      <c r="J118" s="12" t="s">
        <v>66</v>
      </c>
      <c r="K118" s="17">
        <v>46007.0</v>
      </c>
      <c r="L118" s="17">
        <v>46007.0</v>
      </c>
      <c r="M118" s="12" t="s">
        <v>137</v>
      </c>
      <c r="N118" s="18" t="s">
        <v>210</v>
      </c>
      <c r="O118" s="19"/>
      <c r="P118" s="19"/>
    </row>
    <row r="119" ht="22.5" customHeight="1">
      <c r="A119" s="12" t="s">
        <v>33</v>
      </c>
      <c r="B119" s="20" t="str">
        <f>IFERROR(VLOOKUP(A119,Sheet1!$E$3:$H$27,4,0),"")</f>
        <v>P2</v>
      </c>
      <c r="C119" s="14" t="s">
        <v>211</v>
      </c>
      <c r="D119" s="12" t="s">
        <v>16</v>
      </c>
      <c r="E119" s="13" t="str">
        <f>IFERROR(VLOOKUP(D119,Sheet1!$B$1:$C$45,2,0),"")</f>
        <v>TE</v>
      </c>
      <c r="F119" s="12" t="s">
        <v>108</v>
      </c>
      <c r="G119" s="13" t="str">
        <f t="shared" si="3"/>
        <v>Barito Raya</v>
      </c>
      <c r="H119" s="15" t="str">
        <f>IFERROR(VLOOKUP(A119,Sheet1!$E$3:$F$27,2,),"")</f>
        <v>Preventive</v>
      </c>
      <c r="I119" s="16" t="str">
        <f>IFERROR(VLOOKUP(A119,Sheet1!$E$3:$G$27,3,0),"")</f>
        <v>Pengukuran dan pengambilan data log serta input Gdoc BBT</v>
      </c>
      <c r="J119" s="12" t="s">
        <v>112</v>
      </c>
      <c r="K119" s="17">
        <v>46007.0</v>
      </c>
      <c r="L119" s="17">
        <v>46007.0</v>
      </c>
      <c r="M119" s="12" t="s">
        <v>109</v>
      </c>
      <c r="N119" s="23"/>
      <c r="O119" s="22"/>
      <c r="P119" s="22"/>
    </row>
    <row r="120" ht="22.5" customHeight="1">
      <c r="A120" s="12" t="s">
        <v>10</v>
      </c>
      <c r="B120" s="20" t="str">
        <f>IFERROR(VLOOKUP(A120,Sheet1!$E$3:$H$27,4,0),"")</f>
        <v>P1</v>
      </c>
      <c r="C120" s="14" t="s">
        <v>212</v>
      </c>
      <c r="D120" s="12" t="s">
        <v>21</v>
      </c>
      <c r="E120" s="13" t="str">
        <f>IFERROR(VLOOKUP(D120,Sheet1!$B$1:$C$45,2,0),"")</f>
        <v>TE</v>
      </c>
      <c r="F120" s="12" t="s">
        <v>108</v>
      </c>
      <c r="G120" s="13" t="str">
        <f t="shared" si="3"/>
        <v>Barito Raya</v>
      </c>
      <c r="H120" s="15" t="str">
        <f>IFERROR(VLOOKUP(A120,Sheet1!$E$3:$F$27,2,),"")</f>
        <v>Corrective</v>
      </c>
      <c r="I120" s="16" t="str">
        <f>IFERROR(VLOOKUP(A120,Sheet1!$E$3:$G$27,3,0),"")</f>
        <v>Replace Jumper,antena/RRU</v>
      </c>
      <c r="J120" s="12" t="s">
        <v>112</v>
      </c>
      <c r="K120" s="17">
        <v>46007.0</v>
      </c>
      <c r="L120" s="17">
        <v>46007.0</v>
      </c>
      <c r="M120" s="12" t="s">
        <v>122</v>
      </c>
      <c r="N120" s="23"/>
      <c r="O120" s="22"/>
      <c r="P120" s="22"/>
    </row>
    <row r="121" ht="22.5" customHeight="1">
      <c r="A121" s="12" t="s">
        <v>10</v>
      </c>
      <c r="B121" s="20" t="str">
        <f>IFERROR(VLOOKUP(A121,Sheet1!$E$3:$H$27,4,0),"")</f>
        <v>P1</v>
      </c>
      <c r="C121" s="14" t="s">
        <v>196</v>
      </c>
      <c r="D121" s="12" t="s">
        <v>26</v>
      </c>
      <c r="E121" s="13" t="str">
        <f>IFERROR(VLOOKUP(D121,Sheet1!$B$1:$C$45,2,0),"")</f>
        <v>TE</v>
      </c>
      <c r="F121" s="12" t="s">
        <v>108</v>
      </c>
      <c r="G121" s="13" t="str">
        <f t="shared" si="3"/>
        <v>Barito Raya</v>
      </c>
      <c r="H121" s="15" t="str">
        <f>IFERROR(VLOOKUP(A121,Sheet1!$E$3:$F$27,2,),"")</f>
        <v>Corrective</v>
      </c>
      <c r="I121" s="16" t="str">
        <f>IFERROR(VLOOKUP(A121,Sheet1!$E$3:$G$27,3,0),"")</f>
        <v>Replace Jumper,antena/RRU</v>
      </c>
      <c r="J121" s="12" t="s">
        <v>112</v>
      </c>
      <c r="K121" s="17">
        <v>46007.0</v>
      </c>
      <c r="L121" s="17">
        <v>46007.0</v>
      </c>
      <c r="M121" s="12" t="s">
        <v>109</v>
      </c>
      <c r="N121" s="23"/>
      <c r="O121" s="22"/>
      <c r="P121" s="22"/>
    </row>
    <row r="122" ht="22.5" customHeight="1">
      <c r="A122" s="12" t="s">
        <v>10</v>
      </c>
      <c r="B122" s="20" t="str">
        <f>IFERROR(VLOOKUP(A122,Sheet1!$E$3:$H$27,4,0),"")</f>
        <v>P1</v>
      </c>
      <c r="C122" s="14" t="s">
        <v>196</v>
      </c>
      <c r="D122" s="12" t="s">
        <v>88</v>
      </c>
      <c r="E122" s="13" t="str">
        <f>IFERROR(VLOOKUP(D122,Sheet1!$B$1:$C$45,2,0),"")</f>
        <v>TE</v>
      </c>
      <c r="F122" s="12" t="s">
        <v>108</v>
      </c>
      <c r="G122" s="13" t="str">
        <f t="shared" si="3"/>
        <v>Barito Raya</v>
      </c>
      <c r="H122" s="15" t="str">
        <f>IFERROR(VLOOKUP(A122,Sheet1!$E$3:$F$27,2,),"")</f>
        <v>Corrective</v>
      </c>
      <c r="I122" s="16" t="str">
        <f>IFERROR(VLOOKUP(A122,Sheet1!$E$3:$G$27,3,0),"")</f>
        <v>Replace Jumper,antena/RRU</v>
      </c>
      <c r="J122" s="12" t="s">
        <v>112</v>
      </c>
      <c r="K122" s="17">
        <v>46007.0</v>
      </c>
      <c r="L122" s="17">
        <v>46007.0</v>
      </c>
      <c r="M122" s="12" t="s">
        <v>109</v>
      </c>
      <c r="N122" s="23"/>
      <c r="O122" s="22"/>
      <c r="P122" s="22"/>
    </row>
    <row r="123" ht="22.5" customHeight="1">
      <c r="A123" s="12" t="s">
        <v>5</v>
      </c>
      <c r="B123" s="20" t="str">
        <f>IFERROR(VLOOKUP(A123,Sheet1!$E$3:$H$27,4,0),"")</f>
        <v>P1</v>
      </c>
      <c r="C123" s="14" t="s">
        <v>213</v>
      </c>
      <c r="D123" s="12" t="s">
        <v>74</v>
      </c>
      <c r="E123" s="13" t="str">
        <f>IFERROR(VLOOKUP(D123,Sheet1!$B$1:$C$45,2,0),"")</f>
        <v>TE</v>
      </c>
      <c r="F123" s="12" t="s">
        <v>108</v>
      </c>
      <c r="G123" s="13" t="str">
        <f t="shared" si="3"/>
        <v>Barito Raya</v>
      </c>
      <c r="H123" s="15" t="str">
        <f>IFERROR(VLOOKUP(A123,Sheet1!$E$3:$F$27,2,),"")</f>
        <v>Corrective</v>
      </c>
      <c r="I123" s="16" t="str">
        <f>IFERROR(VLOOKUP(A123,Sheet1!$E$3:$G$27,3,0),"")</f>
        <v>Replace Optik,RRU/Soket Power/Replace GPS</v>
      </c>
      <c r="J123" s="12" t="s">
        <v>112</v>
      </c>
      <c r="K123" s="17">
        <v>46007.0</v>
      </c>
      <c r="L123" s="17">
        <v>46007.0</v>
      </c>
      <c r="M123" s="12" t="s">
        <v>109</v>
      </c>
      <c r="N123" s="23"/>
      <c r="O123" s="22"/>
      <c r="P123" s="22"/>
    </row>
    <row r="124" ht="22.5" customHeight="1">
      <c r="A124" s="12" t="s">
        <v>5</v>
      </c>
      <c r="B124" s="20" t="str">
        <f>IFERROR(VLOOKUP(A124,Sheet1!$E$3:$H$27,4,0),"")</f>
        <v>P1</v>
      </c>
      <c r="C124" s="14" t="s">
        <v>213</v>
      </c>
      <c r="D124" s="12" t="s">
        <v>78</v>
      </c>
      <c r="E124" s="13" t="str">
        <f>IFERROR(VLOOKUP(D124,Sheet1!$B$1:$C$45,2,0),"")</f>
        <v>TE</v>
      </c>
      <c r="F124" s="12" t="s">
        <v>108</v>
      </c>
      <c r="G124" s="13" t="str">
        <f t="shared" si="3"/>
        <v>Barito Raya</v>
      </c>
      <c r="H124" s="15" t="str">
        <f>IFERROR(VLOOKUP(A124,Sheet1!$E$3:$F$27,2,),"")</f>
        <v>Corrective</v>
      </c>
      <c r="I124" s="16" t="str">
        <f>IFERROR(VLOOKUP(A124,Sheet1!$E$3:$G$27,3,0),"")</f>
        <v>Replace Optik,RRU/Soket Power/Replace GPS</v>
      </c>
      <c r="J124" s="12" t="s">
        <v>112</v>
      </c>
      <c r="K124" s="17">
        <v>46007.0</v>
      </c>
      <c r="L124" s="17">
        <v>46007.0</v>
      </c>
      <c r="M124" s="12" t="s">
        <v>109</v>
      </c>
      <c r="N124" s="23"/>
      <c r="O124" s="22"/>
      <c r="P124" s="22"/>
    </row>
    <row r="125" ht="22.5" customHeight="1">
      <c r="A125" s="12" t="s">
        <v>5</v>
      </c>
      <c r="B125" s="20" t="str">
        <f>IFERROR(VLOOKUP(A125,Sheet1!$E$3:$H$27,4,0),"")</f>
        <v>P1</v>
      </c>
      <c r="C125" s="14" t="s">
        <v>213</v>
      </c>
      <c r="D125" s="12" t="s">
        <v>80</v>
      </c>
      <c r="E125" s="13" t="str">
        <f>IFERROR(VLOOKUP(D125,Sheet1!$B$1:$C$45,2,0),"")</f>
        <v>TE</v>
      </c>
      <c r="F125" s="12" t="s">
        <v>108</v>
      </c>
      <c r="G125" s="13" t="str">
        <f t="shared" si="3"/>
        <v>Barito Raya</v>
      </c>
      <c r="H125" s="15" t="str">
        <f>IFERROR(VLOOKUP(A125,Sheet1!$E$3:$F$27,2,),"")</f>
        <v>Corrective</v>
      </c>
      <c r="I125" s="16" t="str">
        <f>IFERROR(VLOOKUP(A125,Sheet1!$E$3:$G$27,3,0),"")</f>
        <v>Replace Optik,RRU/Soket Power/Replace GPS</v>
      </c>
      <c r="J125" s="12" t="s">
        <v>112</v>
      </c>
      <c r="K125" s="17">
        <v>46007.0</v>
      </c>
      <c r="L125" s="17">
        <v>46007.0</v>
      </c>
      <c r="M125" s="12" t="s">
        <v>109</v>
      </c>
      <c r="N125" s="23"/>
      <c r="O125" s="22"/>
      <c r="P125" s="22"/>
    </row>
    <row r="126" ht="22.5" customHeight="1">
      <c r="A126" s="12" t="s">
        <v>5</v>
      </c>
      <c r="B126" s="20" t="str">
        <f>IFERROR(VLOOKUP(A126,Sheet1!$E$3:$H$27,4,0),"")</f>
        <v>P1</v>
      </c>
      <c r="C126" s="14" t="s">
        <v>214</v>
      </c>
      <c r="D126" s="12" t="s">
        <v>91</v>
      </c>
      <c r="E126" s="13" t="str">
        <f>IFERROR(VLOOKUP(D126,Sheet1!$B$1:$C$45,2,0),"")</f>
        <v>TE</v>
      </c>
      <c r="F126" s="12" t="s">
        <v>179</v>
      </c>
      <c r="G126" s="13" t="str">
        <f t="shared" si="3"/>
        <v>Palangkaraya</v>
      </c>
      <c r="H126" s="15" t="str">
        <f>IFERROR(VLOOKUP(A126,Sheet1!$E$3:$F$27,2,),"")</f>
        <v>Corrective</v>
      </c>
      <c r="I126" s="16" t="str">
        <f>IFERROR(VLOOKUP(A126,Sheet1!$E$3:$G$27,3,0),"")</f>
        <v>Replace Optik,RRU/Soket Power/Replace GPS</v>
      </c>
      <c r="J126" s="12" t="s">
        <v>112</v>
      </c>
      <c r="K126" s="17">
        <v>46007.0</v>
      </c>
      <c r="L126" s="17">
        <v>46007.0</v>
      </c>
      <c r="M126" s="12" t="s">
        <v>122</v>
      </c>
      <c r="N126" s="23"/>
      <c r="O126" s="22"/>
      <c r="P126" s="22"/>
    </row>
    <row r="127" ht="22.5" customHeight="1">
      <c r="A127" s="12" t="s">
        <v>33</v>
      </c>
      <c r="B127" s="20" t="str">
        <f>IFERROR(VLOOKUP(A127,Sheet1!$E$3:$H$27,4,0),"")</f>
        <v>P2</v>
      </c>
      <c r="C127" s="14" t="s">
        <v>215</v>
      </c>
      <c r="D127" s="12" t="s">
        <v>58</v>
      </c>
      <c r="E127" s="13" t="str">
        <f>IFERROR(VLOOKUP(D127,Sheet1!$B$1:$C$45,2,0),"")</f>
        <v>TE</v>
      </c>
      <c r="F127" s="12" t="s">
        <v>179</v>
      </c>
      <c r="G127" s="13" t="str">
        <f t="shared" si="3"/>
        <v>Palangkaraya</v>
      </c>
      <c r="H127" s="15" t="str">
        <f>IFERROR(VLOOKUP(A127,Sheet1!$E$3:$F$27,2,),"")</f>
        <v>Preventive</v>
      </c>
      <c r="I127" s="16" t="str">
        <f>IFERROR(VLOOKUP(A127,Sheet1!$E$3:$G$27,3,0),"")</f>
        <v>Pengukuran dan pengambilan data log serta input Gdoc BBT</v>
      </c>
      <c r="J127" s="12" t="s">
        <v>112</v>
      </c>
      <c r="K127" s="17">
        <v>46007.0</v>
      </c>
      <c r="L127" s="17">
        <v>46007.0</v>
      </c>
      <c r="M127" s="12" t="s">
        <v>122</v>
      </c>
      <c r="N127" s="23"/>
      <c r="O127" s="22"/>
      <c r="P127" s="22"/>
    </row>
    <row r="128" ht="22.5" customHeight="1">
      <c r="A128" s="12" t="s">
        <v>25</v>
      </c>
      <c r="B128" s="20" t="str">
        <f>IFERROR(VLOOKUP(A128,Sheet1!$E$3:$H$27,4,0),"")</f>
        <v>P2</v>
      </c>
      <c r="C128" s="14" t="s">
        <v>216</v>
      </c>
      <c r="D128" s="12" t="s">
        <v>42</v>
      </c>
      <c r="E128" s="13" t="str">
        <f>IFERROR(VLOOKUP(D128,Sheet1!$B$1:$C$45,2,0),"")</f>
        <v>TE</v>
      </c>
      <c r="F128" s="12" t="s">
        <v>179</v>
      </c>
      <c r="G128" s="13" t="str">
        <f t="shared" si="3"/>
        <v>Palangkaraya</v>
      </c>
      <c r="H128" s="15" t="str">
        <f>IFERROR(VLOOKUP(A128,Sheet1!$E$3:$F$27,2,),"")</f>
        <v>Corrective</v>
      </c>
      <c r="I128" s="16" t="str">
        <f>IFERROR(VLOOKUP(A128,Sheet1!$E$3:$G$27,3,0),"")</f>
        <v>Support Event</v>
      </c>
      <c r="J128" s="12" t="s">
        <v>112</v>
      </c>
      <c r="K128" s="17">
        <v>46007.0</v>
      </c>
      <c r="L128" s="17">
        <v>46007.0</v>
      </c>
      <c r="M128" s="12" t="s">
        <v>109</v>
      </c>
      <c r="N128" s="23"/>
      <c r="O128" s="22"/>
      <c r="P128" s="22"/>
    </row>
    <row r="129" ht="22.5" customHeight="1">
      <c r="A129" s="12" t="s">
        <v>25</v>
      </c>
      <c r="B129" s="20" t="str">
        <f>IFERROR(VLOOKUP(A129,Sheet1!$E$3:$H$27,4,0),"")</f>
        <v>P2</v>
      </c>
      <c r="C129" s="14" t="s">
        <v>216</v>
      </c>
      <c r="D129" s="12" t="s">
        <v>77</v>
      </c>
      <c r="E129" s="13" t="str">
        <f>IFERROR(VLOOKUP(D129,Sheet1!$B$1:$C$45,2,0),"")</f>
        <v>TE</v>
      </c>
      <c r="F129" s="12" t="s">
        <v>179</v>
      </c>
      <c r="G129" s="13" t="str">
        <f t="shared" si="3"/>
        <v>Palangkaraya</v>
      </c>
      <c r="H129" s="15" t="str">
        <f>IFERROR(VLOOKUP(A129,Sheet1!$E$3:$F$27,2,),"")</f>
        <v>Corrective</v>
      </c>
      <c r="I129" s="16" t="str">
        <f>IFERROR(VLOOKUP(A129,Sheet1!$E$3:$G$27,3,0),"")</f>
        <v>Support Event</v>
      </c>
      <c r="J129" s="12" t="s">
        <v>112</v>
      </c>
      <c r="K129" s="17">
        <v>46007.0</v>
      </c>
      <c r="L129" s="17">
        <v>46007.0</v>
      </c>
      <c r="M129" s="12" t="s">
        <v>109</v>
      </c>
      <c r="N129" s="23"/>
      <c r="O129" s="22"/>
      <c r="P129" s="22"/>
    </row>
    <row r="130" ht="22.5" customHeight="1">
      <c r="A130" s="12" t="s">
        <v>5</v>
      </c>
      <c r="B130" s="20" t="str">
        <f>IFERROR(VLOOKUP(A130,Sheet1!$E$3:$H$27,4,0),"")</f>
        <v>P1</v>
      </c>
      <c r="C130" s="14" t="s">
        <v>199</v>
      </c>
      <c r="D130" s="12" t="s">
        <v>37</v>
      </c>
      <c r="E130" s="13" t="str">
        <f>IFERROR(VLOOKUP(D130,Sheet1!$B$1:$C$45,2,0),"")</f>
        <v>TE</v>
      </c>
      <c r="F130" s="12" t="s">
        <v>179</v>
      </c>
      <c r="G130" s="13" t="str">
        <f t="shared" si="3"/>
        <v>Palangkaraya</v>
      </c>
      <c r="H130" s="15" t="str">
        <f>IFERROR(VLOOKUP(A130,Sheet1!$E$3:$F$27,2,),"")</f>
        <v>Corrective</v>
      </c>
      <c r="I130" s="16" t="str">
        <f>IFERROR(VLOOKUP(A130,Sheet1!$E$3:$G$27,3,0),"")</f>
        <v>Replace Optik,RRU/Soket Power/Replace GPS</v>
      </c>
      <c r="J130" s="12" t="s">
        <v>112</v>
      </c>
      <c r="K130" s="17">
        <v>46007.0</v>
      </c>
      <c r="L130" s="17">
        <v>46007.0</v>
      </c>
      <c r="M130" s="12" t="s">
        <v>122</v>
      </c>
      <c r="N130" s="23"/>
      <c r="O130" s="22"/>
      <c r="P130" s="22"/>
    </row>
    <row r="131" ht="22.5" customHeight="1">
      <c r="A131" s="12" t="s">
        <v>5</v>
      </c>
      <c r="B131" s="20" t="str">
        <f>IFERROR(VLOOKUP(A131,Sheet1!$E$3:$H$27,4,0),"")</f>
        <v>P1</v>
      </c>
      <c r="C131" s="14" t="s">
        <v>199</v>
      </c>
      <c r="D131" s="12" t="s">
        <v>76</v>
      </c>
      <c r="E131" s="13" t="str">
        <f>IFERROR(VLOOKUP(D131,Sheet1!$B$1:$C$45,2,0),"")</f>
        <v>TE</v>
      </c>
      <c r="F131" s="12" t="s">
        <v>179</v>
      </c>
      <c r="G131" s="13" t="str">
        <f t="shared" si="3"/>
        <v>Palangkaraya</v>
      </c>
      <c r="H131" s="15" t="str">
        <f>IFERROR(VLOOKUP(A131,Sheet1!$E$3:$F$27,2,),"")</f>
        <v>Corrective</v>
      </c>
      <c r="I131" s="16" t="str">
        <f>IFERROR(VLOOKUP(A131,Sheet1!$E$3:$G$27,3,0),"")</f>
        <v>Replace Optik,RRU/Soket Power/Replace GPS</v>
      </c>
      <c r="J131" s="12" t="s">
        <v>112</v>
      </c>
      <c r="K131" s="17">
        <v>46007.0</v>
      </c>
      <c r="L131" s="17">
        <v>46007.0</v>
      </c>
      <c r="M131" s="12" t="s">
        <v>122</v>
      </c>
      <c r="N131" s="23"/>
      <c r="O131" s="22"/>
      <c r="P131" s="22"/>
    </row>
    <row r="132" ht="22.5" customHeight="1">
      <c r="A132" s="12" t="s">
        <v>33</v>
      </c>
      <c r="B132" s="20" t="str">
        <f>IFERROR(VLOOKUP(A132,Sheet1!$E$3:$H$27,4,0),"")</f>
        <v>P2</v>
      </c>
      <c r="C132" s="14" t="s">
        <v>200</v>
      </c>
      <c r="D132" s="12" t="s">
        <v>51</v>
      </c>
      <c r="E132" s="13" t="str">
        <f>IFERROR(VLOOKUP(D132,Sheet1!$B$1:$C$45,2,0),"")</f>
        <v>TE</v>
      </c>
      <c r="F132" s="12" t="s">
        <v>179</v>
      </c>
      <c r="G132" s="13" t="str">
        <f t="shared" si="3"/>
        <v>Palangkaraya</v>
      </c>
      <c r="H132" s="15" t="str">
        <f>IFERROR(VLOOKUP(A132,Sheet1!$E$3:$F$27,2,),"")</f>
        <v>Preventive</v>
      </c>
      <c r="I132" s="16" t="str">
        <f>IFERROR(VLOOKUP(A132,Sheet1!$E$3:$G$27,3,0),"")</f>
        <v>Pengukuran dan pengambilan data log serta input Gdoc BBT</v>
      </c>
      <c r="J132" s="12" t="s">
        <v>112</v>
      </c>
      <c r="K132" s="17">
        <v>46007.0</v>
      </c>
      <c r="L132" s="17">
        <v>46007.0</v>
      </c>
      <c r="M132" s="12" t="s">
        <v>122</v>
      </c>
      <c r="N132" s="23"/>
      <c r="O132" s="22"/>
      <c r="P132" s="22"/>
    </row>
    <row r="133" ht="22.5" customHeight="1">
      <c r="A133" s="12" t="s">
        <v>14</v>
      </c>
      <c r="B133" s="20" t="str">
        <f>IFERROR(VLOOKUP(A133,Sheet1!$E$3:$H$27,4,0),"")</f>
        <v>P1</v>
      </c>
      <c r="C133" s="14" t="s">
        <v>182</v>
      </c>
      <c r="D133" s="12" t="s">
        <v>79</v>
      </c>
      <c r="E133" s="13" t="str">
        <f>IFERROR(VLOOKUP(D133,Sheet1!$B$1:$C$45,2,0),"")</f>
        <v>TE</v>
      </c>
      <c r="F133" s="12" t="s">
        <v>179</v>
      </c>
      <c r="G133" s="13" t="str">
        <f t="shared" si="3"/>
        <v>Palangkaraya</v>
      </c>
      <c r="H133" s="15" t="str">
        <f>IFERROR(VLOOKUP(A133,Sheet1!$E$3:$F$27,2,),"")</f>
        <v>Corrective</v>
      </c>
      <c r="I133" s="16" t="str">
        <f>IFERROR(VLOOKUP(A133,Sheet1!$E$3:$G$27,3,0),"")</f>
        <v>Pemadaman,MCB Trip,Transmisi problem</v>
      </c>
      <c r="J133" s="12" t="s">
        <v>112</v>
      </c>
      <c r="K133" s="17">
        <v>46007.0</v>
      </c>
      <c r="L133" s="17">
        <v>46007.0</v>
      </c>
      <c r="M133" s="12" t="s">
        <v>122</v>
      </c>
      <c r="N133" s="23"/>
      <c r="O133" s="22"/>
      <c r="P133" s="22"/>
    </row>
    <row r="134" ht="22.5" customHeight="1">
      <c r="A134" s="12" t="s">
        <v>22</v>
      </c>
      <c r="B134" s="20" t="str">
        <f>IFERROR(VLOOKUP(A134,Sheet1!$E$3:$H$27,4,0),"")</f>
        <v>P2</v>
      </c>
      <c r="C134" s="14" t="s">
        <v>217</v>
      </c>
      <c r="D134" s="12" t="s">
        <v>83</v>
      </c>
      <c r="E134" s="13" t="str">
        <f>IFERROR(VLOOKUP(D134,Sheet1!$B$1:$C$45,2,0),"")</f>
        <v>PM</v>
      </c>
      <c r="F134" s="12" t="s">
        <v>179</v>
      </c>
      <c r="G134" s="13" t="str">
        <f t="shared" si="3"/>
        <v>Palangkaraya</v>
      </c>
      <c r="H134" s="15" t="str">
        <f>IFERROR(VLOOKUP(A134,Sheet1!$E$3:$F$27,2,),"")</f>
        <v>Preventive</v>
      </c>
      <c r="I134" s="16" t="str">
        <f>IFERROR(VLOOKUP(A134,Sheet1!$E$3:$G$27,3,0),"")</f>
        <v>Preventive Maintenance</v>
      </c>
      <c r="J134" s="12" t="s">
        <v>112</v>
      </c>
      <c r="K134" s="17">
        <v>46007.0</v>
      </c>
      <c r="L134" s="17">
        <v>46007.0</v>
      </c>
      <c r="M134" s="12" t="s">
        <v>109</v>
      </c>
      <c r="N134" s="23"/>
      <c r="O134" s="22"/>
      <c r="P134" s="22"/>
    </row>
    <row r="135" ht="22.5" customHeight="1">
      <c r="A135" s="12" t="s">
        <v>22</v>
      </c>
      <c r="B135" s="20" t="str">
        <f>IFERROR(VLOOKUP(A135,Sheet1!$E$3:$H$27,4,0),"")</f>
        <v>P2</v>
      </c>
      <c r="C135" s="14" t="s">
        <v>218</v>
      </c>
      <c r="D135" s="12" t="s">
        <v>82</v>
      </c>
      <c r="E135" s="13" t="str">
        <f>IFERROR(VLOOKUP(D135,Sheet1!$B$1:$C$45,2,0),"")</f>
        <v>PM</v>
      </c>
      <c r="F135" s="12" t="s">
        <v>179</v>
      </c>
      <c r="G135" s="13" t="str">
        <f t="shared" si="3"/>
        <v>Palangkaraya</v>
      </c>
      <c r="H135" s="15" t="str">
        <f>IFERROR(VLOOKUP(A135,Sheet1!$E$3:$F$27,2,),"")</f>
        <v>Preventive</v>
      </c>
      <c r="I135" s="16" t="str">
        <f>IFERROR(VLOOKUP(A135,Sheet1!$E$3:$G$27,3,0),"")</f>
        <v>Preventive Maintenance</v>
      </c>
      <c r="J135" s="12" t="s">
        <v>112</v>
      </c>
      <c r="K135" s="17">
        <v>46007.0</v>
      </c>
      <c r="L135" s="17">
        <v>46007.0</v>
      </c>
      <c r="M135" s="12" t="s">
        <v>109</v>
      </c>
      <c r="N135" s="23"/>
      <c r="O135" s="22"/>
      <c r="P135" s="22"/>
    </row>
    <row r="136" ht="22.5" customHeight="1">
      <c r="A136" s="12" t="s">
        <v>22</v>
      </c>
      <c r="B136" s="20" t="str">
        <f>IFERROR(VLOOKUP(A136,Sheet1!$E$3:$H$27,4,0),"")</f>
        <v>P2</v>
      </c>
      <c r="C136" s="14" t="s">
        <v>219</v>
      </c>
      <c r="D136" s="12" t="s">
        <v>81</v>
      </c>
      <c r="E136" s="13" t="str">
        <f>IFERROR(VLOOKUP(D136,Sheet1!$B$1:$C$45,2,0),"")</f>
        <v>PM</v>
      </c>
      <c r="F136" s="12" t="s">
        <v>179</v>
      </c>
      <c r="G136" s="13" t="str">
        <f t="shared" si="3"/>
        <v>Palangkaraya</v>
      </c>
      <c r="H136" s="15" t="str">
        <f>IFERROR(VLOOKUP(A136,Sheet1!$E$3:$F$27,2,),"")</f>
        <v>Preventive</v>
      </c>
      <c r="I136" s="16" t="str">
        <f>IFERROR(VLOOKUP(A136,Sheet1!$E$3:$G$27,3,0),"")</f>
        <v>Preventive Maintenance</v>
      </c>
      <c r="J136" s="12" t="s">
        <v>112</v>
      </c>
      <c r="K136" s="17">
        <v>46007.0</v>
      </c>
      <c r="L136" s="17">
        <v>46007.0</v>
      </c>
      <c r="M136" s="12" t="s">
        <v>109</v>
      </c>
      <c r="N136" s="23"/>
      <c r="O136" s="22"/>
      <c r="P136" s="22"/>
    </row>
    <row r="137" ht="22.5" customHeight="1">
      <c r="A137" s="12" t="s">
        <v>65</v>
      </c>
      <c r="B137" s="20" t="str">
        <f>IFERROR(VLOOKUP(A137,Sheet1!$E$3:$H$27,4,0),"")</f>
        <v>P3</v>
      </c>
      <c r="C137" s="15"/>
      <c r="D137" s="12" t="s">
        <v>35</v>
      </c>
      <c r="E137" s="13" t="str">
        <f>IFERROR(VLOOKUP(D137,Sheet1!$B$1:$C$45,2,0),"")</f>
        <v>MBP</v>
      </c>
      <c r="F137" s="12" t="s">
        <v>179</v>
      </c>
      <c r="G137" s="13" t="str">
        <f t="shared" si="3"/>
        <v>Palangkaraya</v>
      </c>
      <c r="H137" s="15" t="str">
        <f>IFERROR(VLOOKUP(A137,Sheet1!$E$3:$F$27,2,),"")</f>
        <v>Standby</v>
      </c>
      <c r="I137" s="16" t="str">
        <f>IFERROR(VLOOKUP(A137,Sheet1!$E$3:$G$27,3,0),"")</f>
        <v>Standby On Call</v>
      </c>
      <c r="J137" s="12" t="s">
        <v>66</v>
      </c>
      <c r="K137" s="17">
        <v>46007.0</v>
      </c>
      <c r="L137" s="17">
        <v>46007.0</v>
      </c>
      <c r="M137" s="12" t="s">
        <v>137</v>
      </c>
      <c r="N137" s="23"/>
      <c r="O137" s="22"/>
      <c r="P137" s="22"/>
    </row>
    <row r="138" ht="22.5" customHeight="1">
      <c r="A138" s="12" t="s">
        <v>65</v>
      </c>
      <c r="B138" s="20" t="str">
        <f>IFERROR(VLOOKUP(A138,Sheet1!$E$3:$H$27,4,0),"")</f>
        <v>P3</v>
      </c>
      <c r="C138" s="15"/>
      <c r="D138" s="12" t="s">
        <v>75</v>
      </c>
      <c r="E138" s="13" t="str">
        <f>IFERROR(VLOOKUP(D138,Sheet1!$B$1:$C$45,2,0),"")</f>
        <v>CME</v>
      </c>
      <c r="F138" s="12" t="s">
        <v>179</v>
      </c>
      <c r="G138" s="13" t="str">
        <f t="shared" si="3"/>
        <v>Palangkaraya</v>
      </c>
      <c r="H138" s="15" t="str">
        <f>IFERROR(VLOOKUP(A138,Sheet1!$E$3:$F$27,2,),"")</f>
        <v>Standby</v>
      </c>
      <c r="I138" s="16" t="str">
        <f>IFERROR(VLOOKUP(A138,Sheet1!$E$3:$G$27,3,0),"")</f>
        <v>Standby On Call</v>
      </c>
      <c r="J138" s="12" t="s">
        <v>66</v>
      </c>
      <c r="K138" s="17">
        <v>46007.0</v>
      </c>
      <c r="L138" s="17">
        <v>46007.0</v>
      </c>
      <c r="M138" s="12" t="s">
        <v>137</v>
      </c>
      <c r="N138" s="23"/>
      <c r="O138" s="22"/>
      <c r="P138" s="22"/>
    </row>
    <row r="139" ht="22.5" customHeight="1">
      <c r="A139" s="12" t="s">
        <v>65</v>
      </c>
      <c r="B139" s="20" t="str">
        <f>IFERROR(VLOOKUP(A139,Sheet1!$E$3:$H$27,4,0),"")</f>
        <v>P3</v>
      </c>
      <c r="C139" s="15"/>
      <c r="D139" s="12" t="s">
        <v>64</v>
      </c>
      <c r="E139" s="13" t="str">
        <f>IFERROR(VLOOKUP(D139,Sheet1!$B$1:$C$45,2,0),"")</f>
        <v>TE</v>
      </c>
      <c r="F139" s="12" t="s">
        <v>179</v>
      </c>
      <c r="G139" s="13" t="str">
        <f t="shared" si="3"/>
        <v>Palangkaraya</v>
      </c>
      <c r="H139" s="15" t="str">
        <f>IFERROR(VLOOKUP(A139,Sheet1!$E$3:$F$27,2,),"")</f>
        <v>Standby</v>
      </c>
      <c r="I139" s="16" t="str">
        <f>IFERROR(VLOOKUP(A139,Sheet1!$E$3:$G$27,3,0),"")</f>
        <v>Standby On Call</v>
      </c>
      <c r="J139" s="12" t="s">
        <v>66</v>
      </c>
      <c r="K139" s="17">
        <v>46007.0</v>
      </c>
      <c r="L139" s="17">
        <v>46007.0</v>
      </c>
      <c r="M139" s="12" t="s">
        <v>137</v>
      </c>
      <c r="N139" s="23"/>
      <c r="O139" s="22"/>
      <c r="P139" s="22"/>
    </row>
    <row r="140" ht="22.5" customHeight="1">
      <c r="A140" s="12" t="s">
        <v>65</v>
      </c>
      <c r="B140" s="20" t="str">
        <f>IFERROR(VLOOKUP(A140,Sheet1!$E$3:$H$27,4,0),"")</f>
        <v>P3</v>
      </c>
      <c r="C140" s="15"/>
      <c r="D140" s="12" t="s">
        <v>48</v>
      </c>
      <c r="E140" s="13" t="str">
        <f>IFERROR(VLOOKUP(D140,Sheet1!$B$1:$C$45,2,0),"")</f>
        <v>MBP</v>
      </c>
      <c r="F140" s="12" t="s">
        <v>179</v>
      </c>
      <c r="G140" s="13" t="str">
        <f t="shared" si="3"/>
        <v>Palangkaraya</v>
      </c>
      <c r="H140" s="15" t="str">
        <f>IFERROR(VLOOKUP(A140,Sheet1!$E$3:$F$27,2,),"")</f>
        <v>Standby</v>
      </c>
      <c r="I140" s="16" t="str">
        <f>IFERROR(VLOOKUP(A140,Sheet1!$E$3:$G$27,3,0),"")</f>
        <v>Standby On Call</v>
      </c>
      <c r="J140" s="12" t="s">
        <v>66</v>
      </c>
      <c r="K140" s="17">
        <v>46007.0</v>
      </c>
      <c r="L140" s="17">
        <v>46007.0</v>
      </c>
      <c r="M140" s="12" t="s">
        <v>137</v>
      </c>
      <c r="N140" s="23"/>
      <c r="O140" s="22"/>
      <c r="P140" s="22"/>
    </row>
    <row r="141" ht="22.5" customHeight="1">
      <c r="A141" s="12" t="s">
        <v>65</v>
      </c>
      <c r="B141" s="20" t="str">
        <f>IFERROR(VLOOKUP(A141,Sheet1!$E$3:$H$27,4,0),"")</f>
        <v>P3</v>
      </c>
      <c r="C141" s="15"/>
      <c r="D141" s="12" t="s">
        <v>45</v>
      </c>
      <c r="E141" s="13" t="str">
        <f>IFERROR(VLOOKUP(D141,Sheet1!$B$1:$C$45,2,0),"")</f>
        <v>MBP</v>
      </c>
      <c r="F141" s="12" t="s">
        <v>179</v>
      </c>
      <c r="G141" s="13" t="str">
        <f t="shared" si="3"/>
        <v>Palangkaraya</v>
      </c>
      <c r="H141" s="15" t="str">
        <f>IFERROR(VLOOKUP(A141,Sheet1!$E$3:$F$27,2,),"")</f>
        <v>Standby</v>
      </c>
      <c r="I141" s="16" t="str">
        <f>IFERROR(VLOOKUP(A141,Sheet1!$E$3:$G$27,3,0),"")</f>
        <v>Standby On Call</v>
      </c>
      <c r="J141" s="12" t="s">
        <v>66</v>
      </c>
      <c r="K141" s="17">
        <v>46007.0</v>
      </c>
      <c r="L141" s="17">
        <v>46007.0</v>
      </c>
      <c r="M141" s="12" t="s">
        <v>137</v>
      </c>
      <c r="N141" s="23"/>
      <c r="O141" s="22"/>
      <c r="P141" s="22"/>
    </row>
    <row r="142" ht="22.5" customHeight="1">
      <c r="A142" s="12" t="s">
        <v>65</v>
      </c>
      <c r="B142" s="20" t="str">
        <f>IFERROR(VLOOKUP(A142,Sheet1!$E$3:$H$27,4,0),"")</f>
        <v>P3</v>
      </c>
      <c r="C142" s="15"/>
      <c r="D142" s="12" t="s">
        <v>67</v>
      </c>
      <c r="E142" s="12" t="s">
        <v>1</v>
      </c>
      <c r="F142" s="12" t="s">
        <v>179</v>
      </c>
      <c r="G142" s="13" t="str">
        <f t="shared" si="3"/>
        <v>Palangkaraya</v>
      </c>
      <c r="H142" s="15" t="str">
        <f>IFERROR(VLOOKUP(A142,Sheet1!$E$3:$F$27,2,),"")</f>
        <v>Standby</v>
      </c>
      <c r="I142" s="16" t="str">
        <f>IFERROR(VLOOKUP(A142,Sheet1!$E$3:$G$27,3,0),"")</f>
        <v>Standby On Call</v>
      </c>
      <c r="J142" s="12" t="s">
        <v>66</v>
      </c>
      <c r="K142" s="17">
        <v>46007.0</v>
      </c>
      <c r="L142" s="17">
        <v>46007.0</v>
      </c>
      <c r="M142" s="12" t="s">
        <v>137</v>
      </c>
      <c r="N142" s="23"/>
      <c r="O142" s="22"/>
      <c r="P142" s="22"/>
    </row>
    <row r="143" ht="22.5" customHeight="1">
      <c r="A143" s="12" t="s">
        <v>68</v>
      </c>
      <c r="B143" s="20" t="str">
        <f>IFERROR(VLOOKUP(A143,Sheet1!$E$3:$H$27,4,0),"")</f>
        <v>P3</v>
      </c>
      <c r="C143" s="15"/>
      <c r="D143" s="12" t="s">
        <v>56</v>
      </c>
      <c r="E143" s="13" t="str">
        <f>IFERROR(VLOOKUP(D143,Sheet1!$B$1:$C$45,2,0),"")</f>
        <v>TE</v>
      </c>
      <c r="F143" s="12" t="s">
        <v>179</v>
      </c>
      <c r="G143" s="13" t="str">
        <f t="shared" si="3"/>
        <v>Palangkaraya</v>
      </c>
      <c r="H143" s="15" t="str">
        <f>IFERROR(VLOOKUP(A143,Sheet1!$E$3:$F$27,2,),"")</f>
        <v>On Leave</v>
      </c>
      <c r="I143" s="16" t="str">
        <f>IFERROR(VLOOKUP(A143,Sheet1!$E$3:$G$27,3,0),"")</f>
        <v>On Leave</v>
      </c>
      <c r="J143" s="12" t="s">
        <v>66</v>
      </c>
      <c r="K143" s="17">
        <v>46007.0</v>
      </c>
      <c r="L143" s="17">
        <v>46007.0</v>
      </c>
      <c r="M143" s="12" t="s">
        <v>137</v>
      </c>
      <c r="N143" s="23"/>
      <c r="O143" s="22"/>
      <c r="P143" s="22"/>
    </row>
    <row r="144" ht="22.5" customHeight="1">
      <c r="A144" s="12" t="s">
        <v>5</v>
      </c>
      <c r="B144" s="20" t="str">
        <f>IFERROR(VLOOKUP(A144,Sheet1!$E$3:$H$27,4,0),"")</f>
        <v>P1</v>
      </c>
      <c r="C144" s="14" t="s">
        <v>199</v>
      </c>
      <c r="D144" s="12" t="s">
        <v>39</v>
      </c>
      <c r="E144" s="13" t="str">
        <f>IFERROR(VLOOKUP(D144,Sheet1!$B$1:$C$45,2,0),"")</f>
        <v>TE</v>
      </c>
      <c r="F144" s="12" t="s">
        <v>179</v>
      </c>
      <c r="G144" s="13" t="str">
        <f t="shared" si="3"/>
        <v>Palangkaraya</v>
      </c>
      <c r="H144" s="15" t="str">
        <f>IFERROR(VLOOKUP(A144,Sheet1!$E$3:$F$27,2,),"")</f>
        <v>Corrective</v>
      </c>
      <c r="I144" s="16" t="str">
        <f>IFERROR(VLOOKUP(A144,Sheet1!$E$3:$G$27,3,0),"")</f>
        <v>Replace Optik,RRU/Soket Power/Replace GPS</v>
      </c>
      <c r="J144" s="12" t="s">
        <v>112</v>
      </c>
      <c r="K144" s="17">
        <v>46008.0</v>
      </c>
      <c r="L144" s="17">
        <v>46008.0</v>
      </c>
      <c r="M144" s="12" t="s">
        <v>122</v>
      </c>
      <c r="N144" s="18" t="s">
        <v>220</v>
      </c>
      <c r="O144" s="19"/>
      <c r="P144" s="19"/>
    </row>
    <row r="145" ht="22.5" customHeight="1">
      <c r="A145" s="12" t="s">
        <v>30</v>
      </c>
      <c r="B145" s="20" t="str">
        <f>IFERROR(VLOOKUP(A145,Sheet1!$E$3:$H$27,4,0),"")</f>
        <v>P3</v>
      </c>
      <c r="C145" s="14" t="s">
        <v>204</v>
      </c>
      <c r="D145" s="12" t="s">
        <v>42</v>
      </c>
      <c r="E145" s="13" t="str">
        <f>IFERROR(VLOOKUP(D145,Sheet1!$B$1:$C$45,2,0),"")</f>
        <v>TE</v>
      </c>
      <c r="F145" s="12" t="s">
        <v>179</v>
      </c>
      <c r="G145" s="13" t="str">
        <f t="shared" si="3"/>
        <v>Palangkaraya</v>
      </c>
      <c r="H145" s="15" t="str">
        <f>IFERROR(VLOOKUP(A145,Sheet1!$E$3:$F$27,2,),"")</f>
        <v>Preventive</v>
      </c>
      <c r="I145" s="16" t="str">
        <f>IFERROR(VLOOKUP(A145,Sheet1!$E$3:$G$27,3,0),"")</f>
        <v>Pengawalan akses Vendor</v>
      </c>
      <c r="J145" s="12" t="s">
        <v>112</v>
      </c>
      <c r="K145" s="17">
        <v>46008.0</v>
      </c>
      <c r="L145" s="17">
        <v>46008.0</v>
      </c>
      <c r="M145" s="12" t="s">
        <v>109</v>
      </c>
      <c r="N145" s="18" t="s">
        <v>221</v>
      </c>
      <c r="O145" s="19"/>
      <c r="P145" s="19"/>
    </row>
    <row r="146" ht="22.5" customHeight="1">
      <c r="A146" s="12" t="s">
        <v>10</v>
      </c>
      <c r="B146" s="20" t="str">
        <f>IFERROR(VLOOKUP(A146,Sheet1!$E$3:$H$27,4,0),"")</f>
        <v>P1</v>
      </c>
      <c r="C146" s="14" t="s">
        <v>222</v>
      </c>
      <c r="D146" s="12" t="s">
        <v>76</v>
      </c>
      <c r="E146" s="13" t="str">
        <f>IFERROR(VLOOKUP(D146,Sheet1!$B$1:$C$45,2,0),"")</f>
        <v>TE</v>
      </c>
      <c r="F146" s="12" t="s">
        <v>179</v>
      </c>
      <c r="G146" s="13" t="str">
        <f t="shared" si="3"/>
        <v>Palangkaraya</v>
      </c>
      <c r="H146" s="15" t="str">
        <f>IFERROR(VLOOKUP(A146,Sheet1!$E$3:$F$27,2,),"")</f>
        <v>Corrective</v>
      </c>
      <c r="I146" s="16" t="str">
        <f>IFERROR(VLOOKUP(A146,Sheet1!$E$3:$G$27,3,0),"")</f>
        <v>Replace Jumper,antena/RRU</v>
      </c>
      <c r="J146" s="12" t="s">
        <v>112</v>
      </c>
      <c r="K146" s="17">
        <v>46008.0</v>
      </c>
      <c r="L146" s="17">
        <v>46008.0</v>
      </c>
      <c r="M146" s="12" t="s">
        <v>122</v>
      </c>
      <c r="N146" s="18" t="s">
        <v>223</v>
      </c>
      <c r="O146" s="19"/>
      <c r="P146" s="19"/>
    </row>
    <row r="147" ht="22.5" customHeight="1">
      <c r="A147" s="12" t="s">
        <v>25</v>
      </c>
      <c r="B147" s="20" t="str">
        <f>IFERROR(VLOOKUP(A147,Sheet1!$E$3:$H$27,4,0),"")</f>
        <v>P2</v>
      </c>
      <c r="C147" s="14" t="s">
        <v>224</v>
      </c>
      <c r="D147" s="12" t="s">
        <v>37</v>
      </c>
      <c r="E147" s="13" t="str">
        <f>IFERROR(VLOOKUP(D147,Sheet1!$B$1:$C$45,2,0),"")</f>
        <v>TE</v>
      </c>
      <c r="F147" s="12" t="s">
        <v>179</v>
      </c>
      <c r="G147" s="13" t="str">
        <f t="shared" si="3"/>
        <v>Palangkaraya</v>
      </c>
      <c r="H147" s="15" t="str">
        <f>IFERROR(VLOOKUP(A147,Sheet1!$E$3:$F$27,2,),"")</f>
        <v>Corrective</v>
      </c>
      <c r="I147" s="16" t="str">
        <f>IFERROR(VLOOKUP(A147,Sheet1!$E$3:$G$27,3,0),"")</f>
        <v>Support Event</v>
      </c>
      <c r="J147" s="12" t="s">
        <v>112</v>
      </c>
      <c r="K147" s="17">
        <v>46008.0</v>
      </c>
      <c r="L147" s="17">
        <v>46008.0</v>
      </c>
      <c r="M147" s="12" t="s">
        <v>109</v>
      </c>
      <c r="N147" s="18" t="s">
        <v>225</v>
      </c>
      <c r="O147" s="19"/>
      <c r="P147" s="19"/>
    </row>
    <row r="148" ht="22.5" customHeight="1">
      <c r="A148" s="12" t="s">
        <v>25</v>
      </c>
      <c r="B148" s="20" t="str">
        <f>IFERROR(VLOOKUP(A148,Sheet1!$E$3:$H$27,4,0),"")</f>
        <v>P2</v>
      </c>
      <c r="C148" s="14" t="s">
        <v>226</v>
      </c>
      <c r="D148" s="12" t="s">
        <v>77</v>
      </c>
      <c r="E148" s="13" t="str">
        <f>IFERROR(VLOOKUP(D148,Sheet1!$B$1:$C$45,2,0),"")</f>
        <v>TE</v>
      </c>
      <c r="F148" s="12" t="s">
        <v>179</v>
      </c>
      <c r="G148" s="13" t="str">
        <f t="shared" si="3"/>
        <v>Palangkaraya</v>
      </c>
      <c r="H148" s="15" t="str">
        <f>IFERROR(VLOOKUP(A148,Sheet1!$E$3:$F$27,2,),"")</f>
        <v>Corrective</v>
      </c>
      <c r="I148" s="16" t="str">
        <f>IFERROR(VLOOKUP(A148,Sheet1!$E$3:$G$27,3,0),"")</f>
        <v>Support Event</v>
      </c>
      <c r="J148" s="12" t="s">
        <v>112</v>
      </c>
      <c r="K148" s="17">
        <v>46008.0</v>
      </c>
      <c r="L148" s="17">
        <v>46008.0</v>
      </c>
      <c r="M148" s="12" t="s">
        <v>109</v>
      </c>
      <c r="N148" s="18" t="s">
        <v>225</v>
      </c>
      <c r="O148" s="19"/>
      <c r="P148" s="19"/>
    </row>
    <row r="149" ht="22.5" customHeight="1">
      <c r="A149" s="12" t="s">
        <v>25</v>
      </c>
      <c r="B149" s="20" t="str">
        <f>IFERROR(VLOOKUP(A149,Sheet1!$E$3:$H$27,4,0),"")</f>
        <v>P2</v>
      </c>
      <c r="C149" s="14" t="s">
        <v>198</v>
      </c>
      <c r="D149" s="12" t="s">
        <v>80</v>
      </c>
      <c r="E149" s="13" t="str">
        <f>IFERROR(VLOOKUP(D149,Sheet1!$B$1:$C$45,2,0),"")</f>
        <v>TE</v>
      </c>
      <c r="F149" s="12" t="s">
        <v>179</v>
      </c>
      <c r="G149" s="13" t="str">
        <f t="shared" si="3"/>
        <v>Palangkaraya</v>
      </c>
      <c r="H149" s="15" t="str">
        <f>IFERROR(VLOOKUP(A149,Sheet1!$E$3:$F$27,2,),"")</f>
        <v>Corrective</v>
      </c>
      <c r="I149" s="16" t="str">
        <f>IFERROR(VLOOKUP(A149,Sheet1!$E$3:$G$27,3,0),"")</f>
        <v>Support Event</v>
      </c>
      <c r="J149" s="12" t="s">
        <v>112</v>
      </c>
      <c r="K149" s="17">
        <v>46008.0</v>
      </c>
      <c r="L149" s="17">
        <v>46008.0</v>
      </c>
      <c r="M149" s="12" t="s">
        <v>109</v>
      </c>
      <c r="N149" s="18" t="s">
        <v>227</v>
      </c>
      <c r="O149" s="19"/>
      <c r="P149" s="19"/>
    </row>
    <row r="150" ht="22.5" customHeight="1">
      <c r="A150" s="12" t="s">
        <v>5</v>
      </c>
      <c r="B150" s="20" t="str">
        <f>IFERROR(VLOOKUP(A150,Sheet1!$E$3:$H$27,4,0),"")</f>
        <v>P1</v>
      </c>
      <c r="C150" s="14" t="s">
        <v>228</v>
      </c>
      <c r="D150" s="12" t="s">
        <v>78</v>
      </c>
      <c r="E150" s="13" t="str">
        <f>IFERROR(VLOOKUP(D150,Sheet1!$B$1:$C$45,2,0),"")</f>
        <v>TE</v>
      </c>
      <c r="F150" s="12" t="s">
        <v>179</v>
      </c>
      <c r="G150" s="13" t="str">
        <f t="shared" si="3"/>
        <v>Palangkaraya</v>
      </c>
      <c r="H150" s="15" t="str">
        <f>IFERROR(VLOOKUP(A150,Sheet1!$E$3:$F$27,2,),"")</f>
        <v>Corrective</v>
      </c>
      <c r="I150" s="16" t="str">
        <f>IFERROR(VLOOKUP(A150,Sheet1!$E$3:$G$27,3,0),"")</f>
        <v>Replace Optik,RRU/Soket Power/Replace GPS</v>
      </c>
      <c r="J150" s="12" t="s">
        <v>112</v>
      </c>
      <c r="K150" s="17">
        <v>46008.0</v>
      </c>
      <c r="L150" s="17">
        <v>46008.0</v>
      </c>
      <c r="M150" s="12" t="s">
        <v>109</v>
      </c>
      <c r="N150" s="18" t="s">
        <v>229</v>
      </c>
      <c r="O150" s="19"/>
      <c r="P150" s="19"/>
    </row>
    <row r="151" ht="22.5" customHeight="1">
      <c r="A151" s="12" t="s">
        <v>33</v>
      </c>
      <c r="B151" s="20" t="str">
        <f>IFERROR(VLOOKUP(A151,Sheet1!$E$3:$H$27,4,0),"")</f>
        <v>P2</v>
      </c>
      <c r="C151" s="14" t="s">
        <v>200</v>
      </c>
      <c r="D151" s="12" t="s">
        <v>51</v>
      </c>
      <c r="E151" s="13" t="str">
        <f>IFERROR(VLOOKUP(D151,Sheet1!$B$1:$C$45,2,0),"")</f>
        <v>TE</v>
      </c>
      <c r="F151" s="12" t="s">
        <v>179</v>
      </c>
      <c r="G151" s="13" t="str">
        <f t="shared" si="3"/>
        <v>Palangkaraya</v>
      </c>
      <c r="H151" s="15" t="str">
        <f>IFERROR(VLOOKUP(A151,Sheet1!$E$3:$F$27,2,),"")</f>
        <v>Preventive</v>
      </c>
      <c r="I151" s="16" t="str">
        <f>IFERROR(VLOOKUP(A151,Sheet1!$E$3:$G$27,3,0),"")</f>
        <v>Pengukuran dan pengambilan data log serta input Gdoc BBT</v>
      </c>
      <c r="J151" s="12" t="s">
        <v>112</v>
      </c>
      <c r="K151" s="17">
        <v>46008.0</v>
      </c>
      <c r="L151" s="17">
        <v>46008.0</v>
      </c>
      <c r="M151" s="12" t="s">
        <v>122</v>
      </c>
      <c r="N151" s="18" t="s">
        <v>230</v>
      </c>
      <c r="O151" s="19"/>
      <c r="P151" s="19"/>
    </row>
    <row r="152" ht="22.5" customHeight="1">
      <c r="A152" s="12" t="s">
        <v>33</v>
      </c>
      <c r="B152" s="20" t="str">
        <f>IFERROR(VLOOKUP(A152,Sheet1!$E$3:$H$27,4,0),"")</f>
        <v>P2</v>
      </c>
      <c r="C152" s="14" t="s">
        <v>231</v>
      </c>
      <c r="D152" s="12" t="s">
        <v>79</v>
      </c>
      <c r="E152" s="13" t="str">
        <f>IFERROR(VLOOKUP(D152,Sheet1!$B$1:$C$45,2,0),"")</f>
        <v>TE</v>
      </c>
      <c r="F152" s="12" t="s">
        <v>179</v>
      </c>
      <c r="G152" s="13" t="str">
        <f t="shared" si="3"/>
        <v>Palangkaraya</v>
      </c>
      <c r="H152" s="15" t="str">
        <f>IFERROR(VLOOKUP(A152,Sheet1!$E$3:$F$27,2,),"")</f>
        <v>Preventive</v>
      </c>
      <c r="I152" s="16" t="str">
        <f>IFERROR(VLOOKUP(A152,Sheet1!$E$3:$G$27,3,0),"")</f>
        <v>Pengukuran dan pengambilan data log serta input Gdoc BBT</v>
      </c>
      <c r="J152" s="12" t="s">
        <v>112</v>
      </c>
      <c r="K152" s="17">
        <v>46008.0</v>
      </c>
      <c r="L152" s="17">
        <v>46008.0</v>
      </c>
      <c r="M152" s="12" t="s">
        <v>122</v>
      </c>
      <c r="N152" s="18" t="s">
        <v>230</v>
      </c>
      <c r="O152" s="19"/>
      <c r="P152" s="19"/>
    </row>
    <row r="153" ht="22.5" customHeight="1">
      <c r="A153" s="12" t="s">
        <v>5</v>
      </c>
      <c r="B153" s="20" t="str">
        <f>IFERROR(VLOOKUP(A153,Sheet1!$E$3:$H$27,4,0),"")</f>
        <v>P1</v>
      </c>
      <c r="C153" s="14" t="s">
        <v>214</v>
      </c>
      <c r="D153" s="12" t="s">
        <v>91</v>
      </c>
      <c r="E153" s="13" t="str">
        <f>IFERROR(VLOOKUP(D153,Sheet1!$B$1:$C$45,2,0),"")</f>
        <v>TE</v>
      </c>
      <c r="F153" s="12" t="s">
        <v>179</v>
      </c>
      <c r="G153" s="13" t="str">
        <f t="shared" si="3"/>
        <v>Palangkaraya</v>
      </c>
      <c r="H153" s="15" t="str">
        <f>IFERROR(VLOOKUP(A153,Sheet1!$E$3:$F$27,2,),"")</f>
        <v>Corrective</v>
      </c>
      <c r="I153" s="16" t="str">
        <f>IFERROR(VLOOKUP(A153,Sheet1!$E$3:$G$27,3,0),"")</f>
        <v>Replace Optik,RRU/Soket Power/Replace GPS</v>
      </c>
      <c r="J153" s="12" t="s">
        <v>112</v>
      </c>
      <c r="K153" s="17">
        <v>46008.0</v>
      </c>
      <c r="L153" s="17">
        <v>46008.0</v>
      </c>
      <c r="M153" s="12" t="s">
        <v>122</v>
      </c>
      <c r="N153" s="18" t="s">
        <v>232</v>
      </c>
      <c r="O153" s="19"/>
      <c r="P153" s="19"/>
    </row>
    <row r="154" ht="22.5" customHeight="1">
      <c r="A154" s="12" t="s">
        <v>33</v>
      </c>
      <c r="B154" s="20" t="str">
        <f>IFERROR(VLOOKUP(A154,Sheet1!$E$3:$H$27,4,0),"")</f>
        <v>P2</v>
      </c>
      <c r="C154" s="14" t="s">
        <v>215</v>
      </c>
      <c r="D154" s="12" t="s">
        <v>58</v>
      </c>
      <c r="E154" s="13" t="str">
        <f>IFERROR(VLOOKUP(D154,Sheet1!$B$1:$C$45,2,0),"")</f>
        <v>TE</v>
      </c>
      <c r="F154" s="12" t="s">
        <v>179</v>
      </c>
      <c r="G154" s="13" t="str">
        <f t="shared" si="3"/>
        <v>Palangkaraya</v>
      </c>
      <c r="H154" s="15" t="str">
        <f>IFERROR(VLOOKUP(A154,Sheet1!$E$3:$F$27,2,),"")</f>
        <v>Preventive</v>
      </c>
      <c r="I154" s="16" t="str">
        <f>IFERROR(VLOOKUP(A154,Sheet1!$E$3:$G$27,3,0),"")</f>
        <v>Pengukuran dan pengambilan data log serta input Gdoc BBT</v>
      </c>
      <c r="J154" s="12" t="s">
        <v>112</v>
      </c>
      <c r="K154" s="17">
        <v>46008.0</v>
      </c>
      <c r="L154" s="17">
        <v>46008.0</v>
      </c>
      <c r="M154" s="12" t="s">
        <v>109</v>
      </c>
      <c r="N154" s="18" t="s">
        <v>230</v>
      </c>
      <c r="O154" s="19"/>
      <c r="P154" s="19"/>
    </row>
    <row r="155" ht="22.5" customHeight="1">
      <c r="A155" s="12" t="s">
        <v>68</v>
      </c>
      <c r="B155" s="20" t="str">
        <f>IFERROR(VLOOKUP(A155,Sheet1!$E$3:$H$27,4,0),"")</f>
        <v>P3</v>
      </c>
      <c r="C155" s="15"/>
      <c r="D155" s="12" t="s">
        <v>56</v>
      </c>
      <c r="E155" s="13" t="str">
        <f>IFERROR(VLOOKUP(D155,Sheet1!$B$1:$C$45,2,0),"")</f>
        <v>TE</v>
      </c>
      <c r="F155" s="12" t="s">
        <v>179</v>
      </c>
      <c r="G155" s="13" t="str">
        <f t="shared" si="3"/>
        <v>Palangkaraya</v>
      </c>
      <c r="H155" s="15" t="str">
        <f>IFERROR(VLOOKUP(A155,Sheet1!$E$3:$F$27,2,),"")</f>
        <v>On Leave</v>
      </c>
      <c r="I155" s="16" t="str">
        <f>IFERROR(VLOOKUP(A155,Sheet1!$E$3:$G$27,3,0),"")</f>
        <v>On Leave</v>
      </c>
      <c r="J155" s="12" t="s">
        <v>66</v>
      </c>
      <c r="K155" s="17">
        <v>46008.0</v>
      </c>
      <c r="L155" s="17">
        <v>46008.0</v>
      </c>
      <c r="M155" s="12" t="s">
        <v>109</v>
      </c>
      <c r="N155" s="18"/>
      <c r="O155" s="19"/>
      <c r="P155" s="19"/>
    </row>
    <row r="156" ht="22.5" customHeight="1">
      <c r="A156" s="12" t="s">
        <v>22</v>
      </c>
      <c r="B156" s="20" t="str">
        <f>IFERROR(VLOOKUP(A156,Sheet1!$E$3:$H$27,4,0),"")</f>
        <v>P2</v>
      </c>
      <c r="C156" s="14" t="s">
        <v>217</v>
      </c>
      <c r="D156" s="12" t="s">
        <v>83</v>
      </c>
      <c r="E156" s="13" t="str">
        <f>IFERROR(VLOOKUP(D156,Sheet1!$B$1:$C$45,2,0),"")</f>
        <v>PM</v>
      </c>
      <c r="F156" s="12" t="s">
        <v>179</v>
      </c>
      <c r="G156" s="13" t="str">
        <f t="shared" si="3"/>
        <v>Palangkaraya</v>
      </c>
      <c r="H156" s="15" t="str">
        <f>IFERROR(VLOOKUP(A156,Sheet1!$E$3:$F$27,2,),"")</f>
        <v>Preventive</v>
      </c>
      <c r="I156" s="16" t="str">
        <f>IFERROR(VLOOKUP(A156,Sheet1!$E$3:$G$27,3,0),"")</f>
        <v>Preventive Maintenance</v>
      </c>
      <c r="J156" s="12" t="s">
        <v>112</v>
      </c>
      <c r="K156" s="17">
        <v>46008.0</v>
      </c>
      <c r="L156" s="17">
        <v>46008.0</v>
      </c>
      <c r="M156" s="12" t="s">
        <v>109</v>
      </c>
      <c r="N156" s="18" t="s">
        <v>138</v>
      </c>
      <c r="O156" s="19"/>
      <c r="P156" s="19"/>
    </row>
    <row r="157" ht="22.5" customHeight="1">
      <c r="A157" s="12" t="s">
        <v>22</v>
      </c>
      <c r="B157" s="20" t="str">
        <f>IFERROR(VLOOKUP(A157,Sheet1!$E$3:$H$27,4,0),"")</f>
        <v>P2</v>
      </c>
      <c r="C157" s="14" t="s">
        <v>233</v>
      </c>
      <c r="D157" s="12" t="s">
        <v>82</v>
      </c>
      <c r="E157" s="13" t="str">
        <f>IFERROR(VLOOKUP(D157,Sheet1!$B$1:$C$45,2,0),"")</f>
        <v>PM</v>
      </c>
      <c r="F157" s="12" t="s">
        <v>179</v>
      </c>
      <c r="G157" s="13" t="str">
        <f t="shared" si="3"/>
        <v>Palangkaraya</v>
      </c>
      <c r="H157" s="15" t="str">
        <f>IFERROR(VLOOKUP(A157,Sheet1!$E$3:$F$27,2,),"")</f>
        <v>Preventive</v>
      </c>
      <c r="I157" s="16" t="str">
        <f>IFERROR(VLOOKUP(A157,Sheet1!$E$3:$G$27,3,0),"")</f>
        <v>Preventive Maintenance</v>
      </c>
      <c r="J157" s="12" t="s">
        <v>112</v>
      </c>
      <c r="K157" s="17">
        <v>46008.0</v>
      </c>
      <c r="L157" s="17">
        <v>46008.0</v>
      </c>
      <c r="M157" s="12" t="s">
        <v>109</v>
      </c>
      <c r="N157" s="18" t="s">
        <v>135</v>
      </c>
      <c r="O157" s="19"/>
      <c r="P157" s="19"/>
    </row>
    <row r="158" ht="22.5" customHeight="1">
      <c r="A158" s="12" t="s">
        <v>22</v>
      </c>
      <c r="B158" s="20" t="str">
        <f>IFERROR(VLOOKUP(A158,Sheet1!$E$3:$H$27,4,0),"")</f>
        <v>P2</v>
      </c>
      <c r="C158" s="14" t="s">
        <v>234</v>
      </c>
      <c r="D158" s="12" t="s">
        <v>81</v>
      </c>
      <c r="E158" s="13" t="str">
        <f>IFERROR(VLOOKUP(D158,Sheet1!$B$1:$C$45,2,0),"")</f>
        <v>PM</v>
      </c>
      <c r="F158" s="12" t="s">
        <v>179</v>
      </c>
      <c r="G158" s="13" t="str">
        <f t="shared" si="3"/>
        <v>Palangkaraya</v>
      </c>
      <c r="H158" s="15" t="str">
        <f>IFERROR(VLOOKUP(A158,Sheet1!$E$3:$F$27,2,),"")</f>
        <v>Preventive</v>
      </c>
      <c r="I158" s="16" t="str">
        <f>IFERROR(VLOOKUP(A158,Sheet1!$E$3:$G$27,3,0),"")</f>
        <v>Preventive Maintenance</v>
      </c>
      <c r="J158" s="12" t="s">
        <v>112</v>
      </c>
      <c r="K158" s="17">
        <v>46008.0</v>
      </c>
      <c r="L158" s="17">
        <v>46008.0</v>
      </c>
      <c r="M158" s="12" t="s">
        <v>109</v>
      </c>
      <c r="N158" s="18" t="s">
        <v>135</v>
      </c>
      <c r="O158" s="19"/>
      <c r="P158" s="19"/>
    </row>
    <row r="159" ht="22.5" customHeight="1">
      <c r="A159" s="12" t="s">
        <v>5</v>
      </c>
      <c r="B159" s="20" t="str">
        <f>IFERROR(VLOOKUP(A159,Sheet1!$E$3:$H$27,4,0),"")</f>
        <v>P1</v>
      </c>
      <c r="C159" s="14" t="s">
        <v>235</v>
      </c>
      <c r="D159" s="12" t="s">
        <v>71</v>
      </c>
      <c r="E159" s="13" t="str">
        <f>IFERROR(VLOOKUP(D159,Sheet1!$B$1:$C$45,2,0),"")</f>
        <v>TE</v>
      </c>
      <c r="F159" s="12" t="s">
        <v>179</v>
      </c>
      <c r="G159" s="13" t="str">
        <f t="shared" si="3"/>
        <v>Palangkaraya</v>
      </c>
      <c r="H159" s="15" t="str">
        <f>IFERROR(VLOOKUP(A159,Sheet1!$E$3:$F$27,2,),"")</f>
        <v>Corrective</v>
      </c>
      <c r="I159" s="16" t="str">
        <f>IFERROR(VLOOKUP(A159,Sheet1!$E$3:$G$27,3,0),"")</f>
        <v>Replace Optik,RRU/Soket Power/Replace GPS</v>
      </c>
      <c r="J159" s="12" t="s">
        <v>112</v>
      </c>
      <c r="K159" s="17">
        <v>46008.0</v>
      </c>
      <c r="L159" s="17">
        <v>46008.0</v>
      </c>
      <c r="M159" s="12" t="s">
        <v>122</v>
      </c>
      <c r="N159" s="18" t="s">
        <v>236</v>
      </c>
      <c r="O159" s="19"/>
      <c r="P159" s="19"/>
    </row>
    <row r="160" ht="22.5" customHeight="1">
      <c r="A160" s="12" t="s">
        <v>5</v>
      </c>
      <c r="B160" s="20" t="str">
        <f>IFERROR(VLOOKUP(A160,Sheet1!$E$3:$H$27,4,0),"")</f>
        <v>P1</v>
      </c>
      <c r="C160" s="14" t="s">
        <v>235</v>
      </c>
      <c r="D160" s="12" t="s">
        <v>69</v>
      </c>
      <c r="E160" s="13" t="str">
        <f>IFERROR(VLOOKUP(D160,Sheet1!$B$1:$C$45,2,0),"")</f>
        <v>TE</v>
      </c>
      <c r="F160" s="12" t="s">
        <v>179</v>
      </c>
      <c r="G160" s="13" t="str">
        <f t="shared" si="3"/>
        <v>Palangkaraya</v>
      </c>
      <c r="H160" s="15" t="str">
        <f>IFERROR(VLOOKUP(A160,Sheet1!$E$3:$F$27,2,),"")</f>
        <v>Corrective</v>
      </c>
      <c r="I160" s="16" t="str">
        <f>IFERROR(VLOOKUP(A160,Sheet1!$E$3:$G$27,3,0),"")</f>
        <v>Replace Optik,RRU/Soket Power/Replace GPS</v>
      </c>
      <c r="J160" s="12" t="s">
        <v>112</v>
      </c>
      <c r="K160" s="17">
        <v>46008.0</v>
      </c>
      <c r="L160" s="17">
        <v>46008.0</v>
      </c>
      <c r="M160" s="12" t="s">
        <v>122</v>
      </c>
      <c r="N160" s="18" t="s">
        <v>236</v>
      </c>
      <c r="O160" s="19"/>
      <c r="P160" s="19"/>
    </row>
    <row r="161" ht="22.5" customHeight="1">
      <c r="A161" s="12" t="s">
        <v>65</v>
      </c>
      <c r="B161" s="20" t="str">
        <f>IFERROR(VLOOKUP(A161,Sheet1!$E$3:$H$27,4,0),"")</f>
        <v>P3</v>
      </c>
      <c r="C161" s="15"/>
      <c r="D161" s="12" t="s">
        <v>75</v>
      </c>
      <c r="E161" s="13" t="str">
        <f>IFERROR(VLOOKUP(D161,Sheet1!$B$1:$C$45,2,0),"")</f>
        <v>CME</v>
      </c>
      <c r="F161" s="12" t="s">
        <v>179</v>
      </c>
      <c r="G161" s="13" t="str">
        <f t="shared" si="3"/>
        <v>Palangkaraya</v>
      </c>
      <c r="H161" s="15" t="str">
        <f>IFERROR(VLOOKUP(A161,Sheet1!$E$3:$F$27,2,),"")</f>
        <v>Standby</v>
      </c>
      <c r="I161" s="16" t="str">
        <f>IFERROR(VLOOKUP(A161,Sheet1!$E$3:$G$27,3,0),"")</f>
        <v>Standby On Call</v>
      </c>
      <c r="J161" s="12" t="s">
        <v>66</v>
      </c>
      <c r="K161" s="17">
        <v>46008.0</v>
      </c>
      <c r="L161" s="17">
        <v>46008.0</v>
      </c>
      <c r="M161" s="12" t="s">
        <v>137</v>
      </c>
      <c r="N161" s="23"/>
      <c r="O161" s="22"/>
      <c r="P161" s="22"/>
    </row>
    <row r="162" ht="22.5" customHeight="1">
      <c r="A162" s="12" t="s">
        <v>65</v>
      </c>
      <c r="B162" s="20" t="str">
        <f>IFERROR(VLOOKUP(A162,Sheet1!$E$3:$H$27,4,0),"")</f>
        <v>P3</v>
      </c>
      <c r="C162" s="15"/>
      <c r="D162" s="12" t="s">
        <v>35</v>
      </c>
      <c r="E162" s="13" t="str">
        <f>IFERROR(VLOOKUP(D162,Sheet1!$B$1:$C$45,2,0),"")</f>
        <v>MBP</v>
      </c>
      <c r="F162" s="12" t="s">
        <v>179</v>
      </c>
      <c r="G162" s="13" t="str">
        <f t="shared" si="3"/>
        <v>Palangkaraya</v>
      </c>
      <c r="H162" s="15" t="str">
        <f>IFERROR(VLOOKUP(A162,Sheet1!$E$3:$F$27,2,),"")</f>
        <v>Standby</v>
      </c>
      <c r="I162" s="16" t="str">
        <f>IFERROR(VLOOKUP(A162,Sheet1!$E$3:$G$27,3,0),"")</f>
        <v>Standby On Call</v>
      </c>
      <c r="J162" s="12" t="s">
        <v>66</v>
      </c>
      <c r="K162" s="17">
        <v>46008.0</v>
      </c>
      <c r="L162" s="17">
        <v>46008.0</v>
      </c>
      <c r="M162" s="12" t="s">
        <v>137</v>
      </c>
      <c r="N162" s="23"/>
      <c r="O162" s="22"/>
      <c r="P162" s="22"/>
    </row>
    <row r="163" ht="22.5" customHeight="1">
      <c r="A163" s="12" t="s">
        <v>65</v>
      </c>
      <c r="B163" s="20" t="str">
        <f>IFERROR(VLOOKUP(A163,Sheet1!$E$3:$H$27,4,0),"")</f>
        <v>P3</v>
      </c>
      <c r="C163" s="15"/>
      <c r="D163" s="12" t="s">
        <v>48</v>
      </c>
      <c r="E163" s="13" t="str">
        <f>IFERROR(VLOOKUP(D163,Sheet1!$B$1:$C$45,2,0),"")</f>
        <v>MBP</v>
      </c>
      <c r="F163" s="12" t="s">
        <v>179</v>
      </c>
      <c r="G163" s="13" t="str">
        <f t="shared" si="3"/>
        <v>Palangkaraya</v>
      </c>
      <c r="H163" s="15" t="str">
        <f>IFERROR(VLOOKUP(A163,Sheet1!$E$3:$F$27,2,),"")</f>
        <v>Standby</v>
      </c>
      <c r="I163" s="16" t="str">
        <f>IFERROR(VLOOKUP(A163,Sheet1!$E$3:$G$27,3,0),"")</f>
        <v>Standby On Call</v>
      </c>
      <c r="J163" s="12" t="s">
        <v>66</v>
      </c>
      <c r="K163" s="17">
        <v>46008.0</v>
      </c>
      <c r="L163" s="17">
        <v>46008.0</v>
      </c>
      <c r="M163" s="12" t="s">
        <v>137</v>
      </c>
      <c r="N163" s="23"/>
      <c r="O163" s="22"/>
      <c r="P163" s="22"/>
    </row>
    <row r="164" ht="22.5" customHeight="1">
      <c r="A164" s="12" t="s">
        <v>65</v>
      </c>
      <c r="B164" s="20" t="str">
        <f>IFERROR(VLOOKUP(A164,Sheet1!$E$3:$H$27,4,0),"")</f>
        <v>P3</v>
      </c>
      <c r="C164" s="15"/>
      <c r="D164" s="12" t="s">
        <v>45</v>
      </c>
      <c r="E164" s="13" t="str">
        <f>IFERROR(VLOOKUP(D164,Sheet1!$B$1:$C$45,2,0),"")</f>
        <v>MBP</v>
      </c>
      <c r="F164" s="12" t="s">
        <v>179</v>
      </c>
      <c r="G164" s="13" t="str">
        <f t="shared" si="3"/>
        <v>Palangkaraya</v>
      </c>
      <c r="H164" s="15" t="str">
        <f>IFERROR(VLOOKUP(A164,Sheet1!$E$3:$F$27,2,),"")</f>
        <v>Standby</v>
      </c>
      <c r="I164" s="16" t="str">
        <f>IFERROR(VLOOKUP(A164,Sheet1!$E$3:$G$27,3,0),"")</f>
        <v>Standby On Call</v>
      </c>
      <c r="J164" s="12" t="s">
        <v>66</v>
      </c>
      <c r="K164" s="17">
        <v>46008.0</v>
      </c>
      <c r="L164" s="17">
        <v>46008.0</v>
      </c>
      <c r="M164" s="12" t="s">
        <v>137</v>
      </c>
      <c r="N164" s="23"/>
      <c r="O164" s="22"/>
      <c r="P164" s="22"/>
    </row>
    <row r="165" ht="22.5" customHeight="1">
      <c r="A165" s="12" t="s">
        <v>65</v>
      </c>
      <c r="B165" s="20" t="str">
        <f>IFERROR(VLOOKUP(A165,Sheet1!$E$3:$H$27,4,0),"")</f>
        <v>P3</v>
      </c>
      <c r="C165" s="15"/>
      <c r="D165" s="12" t="s">
        <v>64</v>
      </c>
      <c r="E165" s="12" t="s">
        <v>1</v>
      </c>
      <c r="F165" s="12" t="s">
        <v>179</v>
      </c>
      <c r="G165" s="13" t="str">
        <f t="shared" si="3"/>
        <v>Palangkaraya</v>
      </c>
      <c r="H165" s="15" t="str">
        <f>IFERROR(VLOOKUP(A165,Sheet1!$E$3:$F$27,2,),"")</f>
        <v>Standby</v>
      </c>
      <c r="I165" s="16" t="str">
        <f>IFERROR(VLOOKUP(A165,Sheet1!$E$3:$G$27,3,0),"")</f>
        <v>Standby On Call</v>
      </c>
      <c r="J165" s="12" t="s">
        <v>66</v>
      </c>
      <c r="K165" s="17">
        <v>46008.0</v>
      </c>
      <c r="L165" s="17">
        <v>46008.0</v>
      </c>
      <c r="M165" s="12" t="s">
        <v>137</v>
      </c>
      <c r="N165" s="23"/>
      <c r="O165" s="22"/>
      <c r="P165" s="22"/>
    </row>
    <row r="166" ht="22.5" customHeight="1">
      <c r="A166" s="12" t="s">
        <v>65</v>
      </c>
      <c r="B166" s="20" t="str">
        <f>IFERROR(VLOOKUP(A166,Sheet1!$E$3:$H$27,4,0),"")</f>
        <v>P3</v>
      </c>
      <c r="C166" s="15"/>
      <c r="D166" s="12" t="s">
        <v>54</v>
      </c>
      <c r="E166" s="13" t="str">
        <f>IFERROR(VLOOKUP(D166,Sheet1!$B$1:$C$45,2,0),"")</f>
        <v>MBP</v>
      </c>
      <c r="F166" s="12" t="s">
        <v>179</v>
      </c>
      <c r="G166" s="13" t="str">
        <f t="shared" si="3"/>
        <v>Palangkaraya</v>
      </c>
      <c r="H166" s="15" t="str">
        <f>IFERROR(VLOOKUP(A166,Sheet1!$E$3:$F$27,2,),"")</f>
        <v>Standby</v>
      </c>
      <c r="I166" s="16" t="str">
        <f>IFERROR(VLOOKUP(A166,Sheet1!$E$3:$G$27,3,0),"")</f>
        <v>Standby On Call</v>
      </c>
      <c r="J166" s="12" t="s">
        <v>66</v>
      </c>
      <c r="K166" s="17">
        <v>46008.0</v>
      </c>
      <c r="L166" s="17">
        <v>46008.0</v>
      </c>
      <c r="M166" s="12" t="s">
        <v>137</v>
      </c>
      <c r="N166" s="23"/>
      <c r="O166" s="22"/>
      <c r="P166" s="22"/>
    </row>
    <row r="167" ht="22.5" customHeight="1">
      <c r="A167" s="12" t="s">
        <v>33</v>
      </c>
      <c r="B167" s="20" t="str">
        <f>IFERROR(VLOOKUP(A167,Sheet1!$E$3:$H$27,4,0),"")</f>
        <v>P2</v>
      </c>
      <c r="C167" s="14" t="s">
        <v>237</v>
      </c>
      <c r="D167" s="12" t="s">
        <v>12</v>
      </c>
      <c r="E167" s="13" t="str">
        <f>IFERROR(VLOOKUP(D167,Sheet1!$B$1:$C$45,2,0),"")</f>
        <v>TE</v>
      </c>
      <c r="F167" s="12" t="s">
        <v>108</v>
      </c>
      <c r="G167" s="13" t="str">
        <f t="shared" si="3"/>
        <v>Barito Raya</v>
      </c>
      <c r="H167" s="15" t="str">
        <f>IFERROR(VLOOKUP(A167,Sheet1!$E$3:$F$27,2,),"")</f>
        <v>Preventive</v>
      </c>
      <c r="I167" s="16" t="str">
        <f>IFERROR(VLOOKUP(A167,Sheet1!$E$3:$G$27,3,0),"")</f>
        <v>Pengukuran dan pengambilan data log serta input Gdoc BBT</v>
      </c>
      <c r="J167" s="12" t="s">
        <v>112</v>
      </c>
      <c r="K167" s="17">
        <v>46008.0</v>
      </c>
      <c r="L167" s="17">
        <v>46008.0</v>
      </c>
      <c r="M167" s="12" t="s">
        <v>109</v>
      </c>
      <c r="N167" s="23"/>
      <c r="O167" s="22"/>
      <c r="P167" s="22"/>
    </row>
    <row r="168" ht="22.5" customHeight="1">
      <c r="A168" s="12" t="s">
        <v>33</v>
      </c>
      <c r="B168" s="20" t="str">
        <f>IFERROR(VLOOKUP(A168,Sheet1!$E$3:$H$27,4,0),"")</f>
        <v>P2</v>
      </c>
      <c r="C168" s="14" t="s">
        <v>238</v>
      </c>
      <c r="D168" s="12" t="s">
        <v>16</v>
      </c>
      <c r="E168" s="13" t="str">
        <f>IFERROR(VLOOKUP(D168,Sheet1!$B$1:$C$45,2,0),"")</f>
        <v>TE</v>
      </c>
      <c r="F168" s="12" t="s">
        <v>108</v>
      </c>
      <c r="G168" s="13" t="str">
        <f t="shared" si="3"/>
        <v>Barito Raya</v>
      </c>
      <c r="H168" s="15" t="str">
        <f>IFERROR(VLOOKUP(A168,Sheet1!$E$3:$F$27,2,),"")</f>
        <v>Preventive</v>
      </c>
      <c r="I168" s="16" t="str">
        <f>IFERROR(VLOOKUP(A168,Sheet1!$E$3:$G$27,3,0),"")</f>
        <v>Pengukuran dan pengambilan data log serta input Gdoc BBT</v>
      </c>
      <c r="J168" s="12" t="s">
        <v>112</v>
      </c>
      <c r="K168" s="17">
        <v>46008.0</v>
      </c>
      <c r="L168" s="17">
        <v>46008.0</v>
      </c>
      <c r="M168" s="12" t="s">
        <v>109</v>
      </c>
      <c r="N168" s="23"/>
      <c r="O168" s="22"/>
      <c r="P168" s="22"/>
    </row>
    <row r="169" ht="22.5" customHeight="1">
      <c r="A169" s="12" t="s">
        <v>10</v>
      </c>
      <c r="B169" s="20" t="str">
        <f>IFERROR(VLOOKUP(A169,Sheet1!$E$3:$H$27,4,0),"")</f>
        <v>P1</v>
      </c>
      <c r="C169" s="14" t="s">
        <v>212</v>
      </c>
      <c r="D169" s="12" t="s">
        <v>21</v>
      </c>
      <c r="E169" s="13" t="str">
        <f>IFERROR(VLOOKUP(D169,Sheet1!$B$1:$C$45,2,0),"")</f>
        <v>TE</v>
      </c>
      <c r="F169" s="12" t="s">
        <v>108</v>
      </c>
      <c r="G169" s="13" t="str">
        <f t="shared" si="3"/>
        <v>Barito Raya</v>
      </c>
      <c r="H169" s="15" t="str">
        <f>IFERROR(VLOOKUP(A169,Sheet1!$E$3:$F$27,2,),"")</f>
        <v>Corrective</v>
      </c>
      <c r="I169" s="16" t="str">
        <f>IFERROR(VLOOKUP(A169,Sheet1!$E$3:$G$27,3,0),"")</f>
        <v>Replace Jumper,antena/RRU</v>
      </c>
      <c r="J169" s="12" t="s">
        <v>112</v>
      </c>
      <c r="K169" s="17">
        <v>46008.0</v>
      </c>
      <c r="L169" s="17">
        <v>46008.0</v>
      </c>
      <c r="M169" s="12" t="s">
        <v>122</v>
      </c>
      <c r="N169" s="18" t="s">
        <v>239</v>
      </c>
      <c r="O169" s="19"/>
      <c r="P169" s="19"/>
    </row>
    <row r="170" ht="22.5" customHeight="1">
      <c r="A170" s="12" t="s">
        <v>33</v>
      </c>
      <c r="B170" s="20" t="str">
        <f>IFERROR(VLOOKUP(A170,Sheet1!$E$3:$H$27,4,0),"")</f>
        <v>P2</v>
      </c>
      <c r="C170" s="14" t="s">
        <v>240</v>
      </c>
      <c r="D170" s="12" t="s">
        <v>26</v>
      </c>
      <c r="E170" s="13" t="str">
        <f>IFERROR(VLOOKUP(D170,Sheet1!$B$1:$C$45,2,0),"")</f>
        <v>TE</v>
      </c>
      <c r="F170" s="12" t="s">
        <v>108</v>
      </c>
      <c r="G170" s="13" t="str">
        <f t="shared" si="3"/>
        <v>Barito Raya</v>
      </c>
      <c r="H170" s="15" t="str">
        <f>IFERROR(VLOOKUP(A170,Sheet1!$E$3:$F$27,2,),"")</f>
        <v>Preventive</v>
      </c>
      <c r="I170" s="16" t="str">
        <f>IFERROR(VLOOKUP(A170,Sheet1!$E$3:$G$27,3,0),"")</f>
        <v>Pengukuran dan pengambilan data log serta input Gdoc BBT</v>
      </c>
      <c r="J170" s="12" t="s">
        <v>112</v>
      </c>
      <c r="K170" s="17">
        <v>46008.0</v>
      </c>
      <c r="L170" s="17">
        <v>46008.0</v>
      </c>
      <c r="M170" s="12" t="s">
        <v>122</v>
      </c>
      <c r="N170" s="18" t="s">
        <v>241</v>
      </c>
      <c r="O170" s="19"/>
      <c r="P170" s="19"/>
    </row>
    <row r="171" ht="22.5" customHeight="1">
      <c r="A171" s="12" t="s">
        <v>33</v>
      </c>
      <c r="B171" s="20" t="str">
        <f>IFERROR(VLOOKUP(A171,Sheet1!$E$3:$H$27,4,0),"")</f>
        <v>P2</v>
      </c>
      <c r="C171" s="14" t="s">
        <v>242</v>
      </c>
      <c r="D171" s="12" t="s">
        <v>88</v>
      </c>
      <c r="E171" s="13" t="str">
        <f>IFERROR(VLOOKUP(D171,Sheet1!$B$1:$C$45,2,0),"")</f>
        <v>TE</v>
      </c>
      <c r="F171" s="12" t="s">
        <v>108</v>
      </c>
      <c r="G171" s="13" t="str">
        <f t="shared" si="3"/>
        <v>Barito Raya</v>
      </c>
      <c r="H171" s="15" t="str">
        <f>IFERROR(VLOOKUP(A171,Sheet1!$E$3:$F$27,2,),"")</f>
        <v>Preventive</v>
      </c>
      <c r="I171" s="16" t="str">
        <f>IFERROR(VLOOKUP(A171,Sheet1!$E$3:$G$27,3,0),"")</f>
        <v>Pengukuran dan pengambilan data log serta input Gdoc BBT</v>
      </c>
      <c r="J171" s="12" t="s">
        <v>112</v>
      </c>
      <c r="K171" s="17">
        <v>46008.0</v>
      </c>
      <c r="L171" s="17">
        <v>46008.0</v>
      </c>
      <c r="M171" s="12" t="s">
        <v>109</v>
      </c>
      <c r="N171" s="23"/>
      <c r="O171" s="22"/>
      <c r="P171" s="22"/>
    </row>
    <row r="172" ht="22.5" customHeight="1">
      <c r="A172" s="12" t="s">
        <v>14</v>
      </c>
      <c r="B172" s="20" t="str">
        <f>IFERROR(VLOOKUP(A172,Sheet1!$E$3:$H$27,4,0),"")</f>
        <v>P1</v>
      </c>
      <c r="C172" s="14" t="s">
        <v>243</v>
      </c>
      <c r="D172" s="12" t="s">
        <v>32</v>
      </c>
      <c r="E172" s="13" t="str">
        <f>IFERROR(VLOOKUP(D172,Sheet1!$B$1:$C$45,2,0),"")</f>
        <v>TE</v>
      </c>
      <c r="F172" s="12" t="s">
        <v>108</v>
      </c>
      <c r="G172" s="13" t="str">
        <f t="shared" si="3"/>
        <v>Barito Raya</v>
      </c>
      <c r="H172" s="15" t="str">
        <f>IFERROR(VLOOKUP(A172,Sheet1!$E$3:$F$27,2,),"")</f>
        <v>Corrective</v>
      </c>
      <c r="I172" s="16" t="str">
        <f>IFERROR(VLOOKUP(A172,Sheet1!$E$3:$G$27,3,0),"")</f>
        <v>Pemadaman,MCB Trip,Transmisi problem</v>
      </c>
      <c r="J172" s="12" t="s">
        <v>112</v>
      </c>
      <c r="K172" s="17">
        <v>46008.0</v>
      </c>
      <c r="L172" s="17">
        <v>46008.0</v>
      </c>
      <c r="M172" s="12" t="s">
        <v>109</v>
      </c>
      <c r="N172" s="18" t="s">
        <v>244</v>
      </c>
      <c r="O172" s="19"/>
      <c r="P172" s="19"/>
    </row>
    <row r="173" ht="22.5" customHeight="1">
      <c r="A173" s="12" t="s">
        <v>33</v>
      </c>
      <c r="B173" s="20" t="str">
        <f>IFERROR(VLOOKUP(A173,Sheet1!$E$3:$H$27,4,0),"")</f>
        <v>P2</v>
      </c>
      <c r="C173" s="14" t="s">
        <v>245</v>
      </c>
      <c r="D173" s="12" t="s">
        <v>60</v>
      </c>
      <c r="E173" s="13" t="str">
        <f>IFERROR(VLOOKUP(D173,Sheet1!$B$1:$C$45,2,0),"")</f>
        <v>TE</v>
      </c>
      <c r="F173" s="12" t="s">
        <v>108</v>
      </c>
      <c r="G173" s="13" t="str">
        <f t="shared" si="3"/>
        <v>Barito Raya</v>
      </c>
      <c r="H173" s="15" t="str">
        <f>IFERROR(VLOOKUP(A173,Sheet1!$E$3:$F$27,2,),"")</f>
        <v>Preventive</v>
      </c>
      <c r="I173" s="16" t="str">
        <f>IFERROR(VLOOKUP(A173,Sheet1!$E$3:$G$27,3,0),"")</f>
        <v>Pengukuran dan pengambilan data log serta input Gdoc BBT</v>
      </c>
      <c r="J173" s="12" t="s">
        <v>112</v>
      </c>
      <c r="K173" s="17">
        <v>46008.0</v>
      </c>
      <c r="L173" s="17">
        <v>46008.0</v>
      </c>
      <c r="M173" s="12" t="s">
        <v>109</v>
      </c>
      <c r="N173" s="23"/>
      <c r="O173" s="22"/>
      <c r="P173" s="22"/>
    </row>
    <row r="174" ht="22.5" customHeight="1">
      <c r="A174" s="12" t="s">
        <v>33</v>
      </c>
      <c r="B174" s="20" t="str">
        <f>IFERROR(VLOOKUP(A174,Sheet1!$E$3:$H$27,4,0),"")</f>
        <v>P2</v>
      </c>
      <c r="C174" s="14" t="s">
        <v>246</v>
      </c>
      <c r="D174" s="12" t="s">
        <v>62</v>
      </c>
      <c r="E174" s="13" t="str">
        <f>IFERROR(VLOOKUP(D174,Sheet1!$B$1:$C$45,2,0),"")</f>
        <v>TE</v>
      </c>
      <c r="F174" s="12" t="s">
        <v>108</v>
      </c>
      <c r="G174" s="13" t="str">
        <f t="shared" si="3"/>
        <v>Barito Raya</v>
      </c>
      <c r="H174" s="15" t="str">
        <f>IFERROR(VLOOKUP(A174,Sheet1!$E$3:$F$27,2,),"")</f>
        <v>Preventive</v>
      </c>
      <c r="I174" s="16" t="str">
        <f>IFERROR(VLOOKUP(A174,Sheet1!$E$3:$G$27,3,0),"")</f>
        <v>Pengukuran dan pengambilan data log serta input Gdoc BBT</v>
      </c>
      <c r="J174" s="12" t="s">
        <v>112</v>
      </c>
      <c r="K174" s="17">
        <v>46008.0</v>
      </c>
      <c r="L174" s="17">
        <v>46008.0</v>
      </c>
      <c r="M174" s="12" t="s">
        <v>122</v>
      </c>
      <c r="N174" s="18" t="s">
        <v>241</v>
      </c>
      <c r="O174" s="19"/>
      <c r="P174" s="19"/>
    </row>
    <row r="175" ht="22.5" customHeight="1">
      <c r="A175" s="12" t="s">
        <v>14</v>
      </c>
      <c r="B175" s="20" t="str">
        <f>IFERROR(VLOOKUP(A175,Sheet1!$E$3:$H$27,4,0),"")</f>
        <v>P1</v>
      </c>
      <c r="C175" s="14" t="s">
        <v>247</v>
      </c>
      <c r="D175" s="12" t="s">
        <v>74</v>
      </c>
      <c r="E175" s="13" t="str">
        <f>IFERROR(VLOOKUP(D175,Sheet1!$B$1:$C$45,2,0),"")</f>
        <v>TE</v>
      </c>
      <c r="F175" s="12" t="s">
        <v>108</v>
      </c>
      <c r="G175" s="13" t="str">
        <f t="shared" si="3"/>
        <v>Barito Raya</v>
      </c>
      <c r="H175" s="15" t="str">
        <f>IFERROR(VLOOKUP(A175,Sheet1!$E$3:$F$27,2,),"")</f>
        <v>Corrective</v>
      </c>
      <c r="I175" s="16" t="str">
        <f>IFERROR(VLOOKUP(A175,Sheet1!$E$3:$G$27,3,0),"")</f>
        <v>Pemadaman,MCB Trip,Transmisi problem</v>
      </c>
      <c r="J175" s="12" t="s">
        <v>112</v>
      </c>
      <c r="K175" s="17">
        <v>46008.0</v>
      </c>
      <c r="L175" s="17">
        <v>46008.0</v>
      </c>
      <c r="M175" s="12" t="s">
        <v>109</v>
      </c>
      <c r="N175" s="18" t="s">
        <v>248</v>
      </c>
      <c r="O175" s="19"/>
      <c r="P175" s="19"/>
    </row>
    <row r="176" ht="22.5" customHeight="1">
      <c r="A176" s="12" t="s">
        <v>22</v>
      </c>
      <c r="B176" s="20" t="str">
        <f>IFERROR(VLOOKUP(A176,Sheet1!$E$3:$H$27,4,0),"")</f>
        <v>P2</v>
      </c>
      <c r="C176" s="14" t="s">
        <v>249</v>
      </c>
      <c r="D176" s="12" t="s">
        <v>85</v>
      </c>
      <c r="E176" s="13" t="str">
        <f>IFERROR(VLOOKUP(D176,Sheet1!$B$1:$C$45,2,0),"")</f>
        <v>PM</v>
      </c>
      <c r="F176" s="12" t="s">
        <v>108</v>
      </c>
      <c r="G176" s="13" t="str">
        <f t="shared" si="3"/>
        <v>Barito Raya</v>
      </c>
      <c r="H176" s="15" t="str">
        <f>IFERROR(VLOOKUP(A176,Sheet1!$E$3:$F$27,2,),"")</f>
        <v>Preventive</v>
      </c>
      <c r="I176" s="16" t="str">
        <f>IFERROR(VLOOKUP(A176,Sheet1!$E$3:$G$27,3,0),"")</f>
        <v>Preventive Maintenance</v>
      </c>
      <c r="J176" s="12" t="s">
        <v>112</v>
      </c>
      <c r="K176" s="17">
        <v>46008.0</v>
      </c>
      <c r="L176" s="17">
        <v>46008.0</v>
      </c>
      <c r="M176" s="12" t="s">
        <v>109</v>
      </c>
      <c r="N176" s="23"/>
      <c r="O176" s="22"/>
      <c r="P176" s="22"/>
    </row>
    <row r="177" ht="22.5" customHeight="1">
      <c r="A177" s="12" t="s">
        <v>22</v>
      </c>
      <c r="B177" s="20" t="str">
        <f>IFERROR(VLOOKUP(A177,Sheet1!$E$3:$H$27,4,0),"")</f>
        <v>P2</v>
      </c>
      <c r="C177" s="14" t="s">
        <v>188</v>
      </c>
      <c r="D177" s="12" t="s">
        <v>84</v>
      </c>
      <c r="E177" s="13" t="str">
        <f>IFERROR(VLOOKUP(D177,Sheet1!$B$1:$C$45,2,0),"")</f>
        <v>MBP</v>
      </c>
      <c r="F177" s="12" t="s">
        <v>108</v>
      </c>
      <c r="G177" s="13" t="str">
        <f t="shared" si="3"/>
        <v>Barito Raya</v>
      </c>
      <c r="H177" s="15" t="str">
        <f>IFERROR(VLOOKUP(A177,Sheet1!$E$3:$F$27,2,),"")</f>
        <v>Preventive</v>
      </c>
      <c r="I177" s="16" t="str">
        <f>IFERROR(VLOOKUP(A177,Sheet1!$E$3:$G$27,3,0),"")</f>
        <v>Preventive Maintenance</v>
      </c>
      <c r="J177" s="12" t="s">
        <v>112</v>
      </c>
      <c r="K177" s="17">
        <v>46008.0</v>
      </c>
      <c r="L177" s="24"/>
      <c r="M177" s="12" t="s">
        <v>109</v>
      </c>
      <c r="N177" s="23"/>
      <c r="O177" s="22"/>
      <c r="P177" s="22"/>
    </row>
    <row r="178" ht="22.5" customHeight="1">
      <c r="A178" s="12" t="s">
        <v>22</v>
      </c>
      <c r="B178" s="20" t="str">
        <f>IFERROR(VLOOKUP(A178,Sheet1!$E$3:$H$27,4,0),"")</f>
        <v>P2</v>
      </c>
      <c r="C178" s="14" t="s">
        <v>209</v>
      </c>
      <c r="D178" s="12" t="s">
        <v>86</v>
      </c>
      <c r="E178" s="13" t="str">
        <f>IFERROR(VLOOKUP(D178,Sheet1!$B$1:$C$45,2,0),"")</f>
        <v>PM</v>
      </c>
      <c r="F178" s="12" t="s">
        <v>108</v>
      </c>
      <c r="G178" s="13" t="str">
        <f t="shared" si="3"/>
        <v>Barito Raya</v>
      </c>
      <c r="H178" s="15" t="str">
        <f>IFERROR(VLOOKUP(A178,Sheet1!$E$3:$F$27,2,),"")</f>
        <v>Preventive</v>
      </c>
      <c r="I178" s="16" t="str">
        <f>IFERROR(VLOOKUP(A178,Sheet1!$E$3:$G$27,3,0),"")</f>
        <v>Preventive Maintenance</v>
      </c>
      <c r="J178" s="12" t="s">
        <v>112</v>
      </c>
      <c r="K178" s="17">
        <v>46008.0</v>
      </c>
      <c r="L178" s="24"/>
      <c r="M178" s="12" t="s">
        <v>109</v>
      </c>
      <c r="N178" s="23"/>
      <c r="O178" s="22"/>
      <c r="P178" s="22"/>
    </row>
    <row r="179" ht="22.5" customHeight="1">
      <c r="A179" s="12" t="s">
        <v>5</v>
      </c>
      <c r="B179" s="20" t="str">
        <f>IFERROR(VLOOKUP(A179,Sheet1!$E$3:$H$27,4,0),"")</f>
        <v>P1</v>
      </c>
      <c r="C179" s="14" t="s">
        <v>250</v>
      </c>
      <c r="D179" s="12" t="s">
        <v>71</v>
      </c>
      <c r="E179" s="13" t="str">
        <f>IFERROR(VLOOKUP(D179,Sheet1!$B$1:$C$45,2,0),"")</f>
        <v>TE</v>
      </c>
      <c r="F179" s="12" t="s">
        <v>108</v>
      </c>
      <c r="G179" s="13" t="str">
        <f t="shared" si="3"/>
        <v>Barito Raya</v>
      </c>
      <c r="H179" s="15" t="str">
        <f>IFERROR(VLOOKUP(A179,Sheet1!$E$3:$F$27,2,),"")</f>
        <v>Corrective</v>
      </c>
      <c r="I179" s="16" t="str">
        <f>IFERROR(VLOOKUP(A179,Sheet1!$E$3:$G$27,3,0),"")</f>
        <v>Replace Optik,RRU/Soket Power/Replace GPS</v>
      </c>
      <c r="J179" s="12" t="s">
        <v>112</v>
      </c>
      <c r="K179" s="17">
        <v>46008.0</v>
      </c>
      <c r="L179" s="17">
        <v>46008.0</v>
      </c>
      <c r="M179" s="12" t="s">
        <v>109</v>
      </c>
      <c r="N179" s="18" t="s">
        <v>251</v>
      </c>
      <c r="O179" s="19"/>
      <c r="P179" s="19"/>
    </row>
    <row r="180" ht="22.5" customHeight="1">
      <c r="A180" s="12" t="s">
        <v>65</v>
      </c>
      <c r="B180" s="20" t="str">
        <f>IFERROR(VLOOKUP(A180,Sheet1!$E$3:$H$27,4,0),"")</f>
        <v>P3</v>
      </c>
      <c r="C180" s="15"/>
      <c r="D180" s="12" t="s">
        <v>4</v>
      </c>
      <c r="E180" s="13" t="str">
        <f>IFERROR(VLOOKUP(D180,Sheet1!$B$1:$C$45,2,0),"")</f>
        <v>CME</v>
      </c>
      <c r="F180" s="12" t="s">
        <v>108</v>
      </c>
      <c r="G180" s="13" t="str">
        <f t="shared" si="3"/>
        <v>Barito Raya</v>
      </c>
      <c r="H180" s="15" t="str">
        <f>IFERROR(VLOOKUP(A180,Sheet1!$E$3:$F$27,2,),"")</f>
        <v>Standby</v>
      </c>
      <c r="I180" s="16" t="str">
        <f>IFERROR(VLOOKUP(A180,Sheet1!$E$3:$G$27,3,0),"")</f>
        <v>Standby On Call</v>
      </c>
      <c r="J180" s="12" t="s">
        <v>66</v>
      </c>
      <c r="K180" s="17">
        <v>46008.0</v>
      </c>
      <c r="L180" s="17">
        <v>46008.0</v>
      </c>
      <c r="M180" s="12"/>
      <c r="N180" s="23"/>
      <c r="O180" s="22"/>
      <c r="P180" s="22"/>
    </row>
    <row r="181" ht="22.5" customHeight="1">
      <c r="A181" s="12" t="s">
        <v>65</v>
      </c>
      <c r="B181" s="20" t="str">
        <f>IFERROR(VLOOKUP(A181,Sheet1!$E$3:$H$27,4,0),"")</f>
        <v>P3</v>
      </c>
      <c r="C181" s="15"/>
      <c r="D181" s="12" t="s">
        <v>24</v>
      </c>
      <c r="E181" s="13" t="str">
        <f>IFERROR(VLOOKUP(D181,Sheet1!$B$1:$C$45,2,0),"")</f>
        <v>MBP</v>
      </c>
      <c r="F181" s="12" t="s">
        <v>108</v>
      </c>
      <c r="G181" s="13" t="str">
        <f t="shared" si="3"/>
        <v>Barito Raya</v>
      </c>
      <c r="H181" s="15" t="str">
        <f>IFERROR(VLOOKUP(A181,Sheet1!$E$3:$F$27,2,),"")</f>
        <v>Standby</v>
      </c>
      <c r="I181" s="16" t="str">
        <f>IFERROR(VLOOKUP(A181,Sheet1!$E$3:$G$27,3,0),"")</f>
        <v>Standby On Call</v>
      </c>
      <c r="J181" s="12" t="s">
        <v>66</v>
      </c>
      <c r="K181" s="17">
        <v>46008.0</v>
      </c>
      <c r="L181" s="17">
        <v>46008.0</v>
      </c>
      <c r="M181" s="12"/>
      <c r="N181" s="23"/>
      <c r="O181" s="22"/>
      <c r="P181" s="22"/>
    </row>
    <row r="182" ht="22.5" customHeight="1">
      <c r="A182" s="12" t="s">
        <v>65</v>
      </c>
      <c r="B182" s="20" t="str">
        <f>IFERROR(VLOOKUP(A182,Sheet1!$E$3:$H$27,4,0),"")</f>
        <v>P3</v>
      </c>
      <c r="C182" s="15"/>
      <c r="D182" s="12" t="s">
        <v>87</v>
      </c>
      <c r="E182" s="13" t="str">
        <f>IFERROR(VLOOKUP(D182,Sheet1!$B$1:$C$45,2,0),"")</f>
        <v>MBP</v>
      </c>
      <c r="F182" s="12" t="s">
        <v>108</v>
      </c>
      <c r="G182" s="13" t="str">
        <f t="shared" si="3"/>
        <v>Barito Raya</v>
      </c>
      <c r="H182" s="15" t="str">
        <f>IFERROR(VLOOKUP(A182,Sheet1!$E$3:$F$27,2,),"")</f>
        <v>Standby</v>
      </c>
      <c r="I182" s="16" t="str">
        <f>IFERROR(VLOOKUP(A182,Sheet1!$E$3:$G$27,3,0),"")</f>
        <v>Standby On Call</v>
      </c>
      <c r="J182" s="12" t="s">
        <v>66</v>
      </c>
      <c r="K182" s="17">
        <v>46008.0</v>
      </c>
      <c r="L182" s="17">
        <v>46008.0</v>
      </c>
      <c r="M182" s="12"/>
      <c r="N182" s="23"/>
      <c r="O182" s="22"/>
      <c r="P182" s="22"/>
    </row>
    <row r="183" ht="22.5" customHeight="1">
      <c r="A183" s="12" t="s">
        <v>65</v>
      </c>
      <c r="B183" s="20" t="str">
        <f>IFERROR(VLOOKUP(A183,Sheet1!$E$3:$H$27,4,0),"")</f>
        <v>P3</v>
      </c>
      <c r="C183" s="15"/>
      <c r="D183" s="12" t="s">
        <v>29</v>
      </c>
      <c r="E183" s="13" t="str">
        <f>IFERROR(VLOOKUP(D183,Sheet1!$B$1:$C$45,2,0),"")</f>
        <v>MBP</v>
      </c>
      <c r="F183" s="12" t="s">
        <v>108</v>
      </c>
      <c r="G183" s="13" t="str">
        <f t="shared" si="3"/>
        <v>Barito Raya</v>
      </c>
      <c r="H183" s="15" t="str">
        <f>IFERROR(VLOOKUP(A183,Sheet1!$E$3:$F$27,2,),"")</f>
        <v>Standby</v>
      </c>
      <c r="I183" s="16" t="str">
        <f>IFERROR(VLOOKUP(A183,Sheet1!$E$3:$G$27,3,0),"")</f>
        <v>Standby On Call</v>
      </c>
      <c r="J183" s="12" t="s">
        <v>66</v>
      </c>
      <c r="K183" s="17">
        <v>46008.0</v>
      </c>
      <c r="L183" s="17">
        <v>46008.0</v>
      </c>
      <c r="M183" s="12"/>
      <c r="N183" s="23"/>
      <c r="O183" s="22"/>
      <c r="P183" s="22"/>
    </row>
    <row r="184" ht="22.5" customHeight="1">
      <c r="A184" s="12" t="s">
        <v>72</v>
      </c>
      <c r="B184" s="20" t="str">
        <f>IFERROR(VLOOKUP(A184,Sheet1!$E$3:$H$27,4,0),"")</f>
        <v>P1</v>
      </c>
      <c r="C184" s="14" t="s">
        <v>185</v>
      </c>
      <c r="D184" s="12" t="s">
        <v>2</v>
      </c>
      <c r="E184" s="13" t="str">
        <f>IFERROR(VLOOKUP(D184,Sheet1!$B$1:$C$45,2,0),"")</f>
        <v>CME</v>
      </c>
      <c r="F184" s="12" t="s">
        <v>108</v>
      </c>
      <c r="G184" s="13" t="str">
        <f t="shared" si="3"/>
        <v>Barito Raya</v>
      </c>
      <c r="H184" s="15" t="str">
        <f>IFERROR(VLOOKUP(A184,Sheet1!$E$3:$F$27,2,),"")</f>
        <v>Corrective</v>
      </c>
      <c r="I184" s="16" t="str">
        <f>IFERROR(VLOOKUP(A184,Sheet1!$E$3:$G$27,3,0),"")</f>
        <v>Perbaikan Auto,pergantian relay,timer, yang berhubungan genset</v>
      </c>
      <c r="J184" s="12" t="s">
        <v>112</v>
      </c>
      <c r="K184" s="17">
        <v>46008.0</v>
      </c>
      <c r="L184" s="17">
        <v>46008.0</v>
      </c>
      <c r="M184" s="12" t="s">
        <v>109</v>
      </c>
      <c r="N184" s="18" t="s">
        <v>252</v>
      </c>
      <c r="O184" s="19"/>
      <c r="P184" s="19"/>
    </row>
    <row r="185" ht="22.5" customHeight="1">
      <c r="A185" s="12" t="s">
        <v>65</v>
      </c>
      <c r="B185" s="20" t="str">
        <f>IFERROR(VLOOKUP(A185,Sheet1!$E$3:$H$27,4,0),"")</f>
        <v>P3</v>
      </c>
      <c r="C185" s="15"/>
      <c r="D185" s="12" t="s">
        <v>0</v>
      </c>
      <c r="E185" s="13" t="str">
        <f>IFERROR(VLOOKUP(D185,Sheet1!$B$1:$C$45,2,0),"")</f>
        <v>MBP</v>
      </c>
      <c r="F185" s="12" t="s">
        <v>108</v>
      </c>
      <c r="G185" s="13" t="str">
        <f t="shared" si="3"/>
        <v>Barito Raya</v>
      </c>
      <c r="H185" s="15" t="str">
        <f>IFERROR(VLOOKUP(A185,Sheet1!$E$3:$F$27,2,),"")</f>
        <v>Standby</v>
      </c>
      <c r="I185" s="16" t="str">
        <f>IFERROR(VLOOKUP(A185,Sheet1!$E$3:$G$27,3,0),"")</f>
        <v>Standby On Call</v>
      </c>
      <c r="J185" s="12" t="s">
        <v>66</v>
      </c>
      <c r="K185" s="17">
        <v>46008.0</v>
      </c>
      <c r="L185" s="17">
        <v>46008.0</v>
      </c>
      <c r="M185" s="12"/>
      <c r="N185" s="23"/>
      <c r="O185" s="22"/>
      <c r="P185" s="22"/>
    </row>
    <row r="186" ht="22.5" customHeight="1">
      <c r="A186" s="12" t="s">
        <v>33</v>
      </c>
      <c r="B186" s="20" t="str">
        <f>IFERROR(VLOOKUP(A186,Sheet1!$E$3:$H$27,4,0),"")</f>
        <v>P2</v>
      </c>
      <c r="C186" s="14" t="s">
        <v>253</v>
      </c>
      <c r="D186" s="12" t="s">
        <v>12</v>
      </c>
      <c r="E186" s="13" t="str">
        <f>IFERROR(VLOOKUP(D186,Sheet1!$B$1:$C$45,2,0),"")</f>
        <v>TE</v>
      </c>
      <c r="F186" s="12" t="s">
        <v>108</v>
      </c>
      <c r="G186" s="13" t="str">
        <f t="shared" si="3"/>
        <v>Barito Raya</v>
      </c>
      <c r="H186" s="15" t="str">
        <f>IFERROR(VLOOKUP(A186,Sheet1!$E$3:$F$27,2,),"")</f>
        <v>Preventive</v>
      </c>
      <c r="I186" s="16" t="str">
        <f>IFERROR(VLOOKUP(A186,Sheet1!$E$3:$G$27,3,0),"")</f>
        <v>Pengukuran dan pengambilan data log serta input Gdoc BBT</v>
      </c>
      <c r="J186" s="12" t="s">
        <v>112</v>
      </c>
      <c r="K186" s="17">
        <v>46009.0</v>
      </c>
      <c r="L186" s="17">
        <v>46009.0</v>
      </c>
      <c r="M186" s="12" t="s">
        <v>109</v>
      </c>
      <c r="N186" s="23"/>
      <c r="O186" s="22"/>
      <c r="P186" s="22"/>
    </row>
    <row r="187" ht="22.5" customHeight="1">
      <c r="A187" s="12" t="s">
        <v>33</v>
      </c>
      <c r="B187" s="20" t="str">
        <f>IFERROR(VLOOKUP(A187,Sheet1!$E$3:$H$27,4,0),"")</f>
        <v>P2</v>
      </c>
      <c r="C187" s="14" t="s">
        <v>254</v>
      </c>
      <c r="D187" s="12" t="s">
        <v>16</v>
      </c>
      <c r="E187" s="13" t="str">
        <f>IFERROR(VLOOKUP(D187,Sheet1!$B$1:$C$45,2,0),"")</f>
        <v>TE</v>
      </c>
      <c r="F187" s="12" t="s">
        <v>108</v>
      </c>
      <c r="G187" s="13" t="str">
        <f t="shared" si="3"/>
        <v>Barito Raya</v>
      </c>
      <c r="H187" s="15" t="str">
        <f>IFERROR(VLOOKUP(A187,Sheet1!$E$3:$F$27,2,),"")</f>
        <v>Preventive</v>
      </c>
      <c r="I187" s="16" t="str">
        <f>IFERROR(VLOOKUP(A187,Sheet1!$E$3:$G$27,3,0),"")</f>
        <v>Pengukuran dan pengambilan data log serta input Gdoc BBT</v>
      </c>
      <c r="J187" s="12" t="s">
        <v>112</v>
      </c>
      <c r="K187" s="17">
        <v>46009.0</v>
      </c>
      <c r="L187" s="17">
        <v>46009.0</v>
      </c>
      <c r="M187" s="12" t="s">
        <v>109</v>
      </c>
      <c r="N187" s="23"/>
      <c r="O187" s="22"/>
      <c r="P187" s="22"/>
    </row>
    <row r="188" ht="22.5" customHeight="1">
      <c r="A188" s="12" t="s">
        <v>27</v>
      </c>
      <c r="B188" s="20" t="str">
        <f>IFERROR(VLOOKUP(A188,Sheet1!$E$3:$H$27,4,0),"")</f>
        <v>P2</v>
      </c>
      <c r="C188" s="14" t="s">
        <v>255</v>
      </c>
      <c r="D188" s="12" t="s">
        <v>21</v>
      </c>
      <c r="E188" s="13" t="str">
        <f>IFERROR(VLOOKUP(D188,Sheet1!$B$1:$C$45,2,0),"")</f>
        <v>TE</v>
      </c>
      <c r="F188" s="12" t="s">
        <v>108</v>
      </c>
      <c r="G188" s="13" t="str">
        <f t="shared" si="3"/>
        <v>Barito Raya</v>
      </c>
      <c r="H188" s="15" t="str">
        <f>IFERROR(VLOOKUP(A188,Sheet1!$E$3:$F$27,2,),"")</f>
        <v>Preventive</v>
      </c>
      <c r="I188" s="16" t="str">
        <f>IFERROR(VLOOKUP(A188,Sheet1!$E$3:$G$27,3,0),"")</f>
        <v>Akses/Hub Site problem metro</v>
      </c>
      <c r="J188" s="12" t="s">
        <v>112</v>
      </c>
      <c r="K188" s="17">
        <v>46009.0</v>
      </c>
      <c r="L188" s="17">
        <v>46009.0</v>
      </c>
      <c r="M188" s="12" t="s">
        <v>109</v>
      </c>
      <c r="N188" s="18" t="s">
        <v>256</v>
      </c>
      <c r="O188" s="19"/>
      <c r="P188" s="19"/>
    </row>
    <row r="189" ht="22.5" customHeight="1">
      <c r="A189" s="12" t="s">
        <v>5</v>
      </c>
      <c r="B189" s="20" t="str">
        <f>IFERROR(VLOOKUP(A189,Sheet1!$E$3:$H$27,4,0),"")</f>
        <v>P1</v>
      </c>
      <c r="C189" s="14" t="s">
        <v>257</v>
      </c>
      <c r="D189" s="12" t="s">
        <v>26</v>
      </c>
      <c r="E189" s="13" t="str">
        <f>IFERROR(VLOOKUP(D189,Sheet1!$B$1:$C$45,2,0),"")</f>
        <v>TE</v>
      </c>
      <c r="F189" s="12" t="s">
        <v>108</v>
      </c>
      <c r="G189" s="13" t="str">
        <f t="shared" si="3"/>
        <v>Barito Raya</v>
      </c>
      <c r="H189" s="15" t="str">
        <f>IFERROR(VLOOKUP(A189,Sheet1!$E$3:$F$27,2,),"")</f>
        <v>Corrective</v>
      </c>
      <c r="I189" s="16" t="str">
        <f>IFERROR(VLOOKUP(A189,Sheet1!$E$3:$G$27,3,0),"")</f>
        <v>Replace Optik,RRU/Soket Power/Replace GPS</v>
      </c>
      <c r="J189" s="12" t="s">
        <v>112</v>
      </c>
      <c r="K189" s="17">
        <v>46009.0</v>
      </c>
      <c r="L189" s="17">
        <v>46009.0</v>
      </c>
      <c r="M189" s="12" t="s">
        <v>109</v>
      </c>
      <c r="N189" s="23"/>
      <c r="O189" s="22"/>
      <c r="P189" s="22"/>
    </row>
    <row r="190" ht="22.5" customHeight="1">
      <c r="A190" s="12" t="s">
        <v>5</v>
      </c>
      <c r="B190" s="20" t="str">
        <f>IFERROR(VLOOKUP(A190,Sheet1!$E$3:$H$27,4,0),"")</f>
        <v>P1</v>
      </c>
      <c r="C190" s="14" t="s">
        <v>257</v>
      </c>
      <c r="D190" s="12" t="s">
        <v>88</v>
      </c>
      <c r="E190" s="13" t="str">
        <f>IFERROR(VLOOKUP(D190,Sheet1!$B$1:$C$45,2,0),"")</f>
        <v>TE</v>
      </c>
      <c r="F190" s="12" t="s">
        <v>108</v>
      </c>
      <c r="G190" s="13" t="str">
        <f t="shared" si="3"/>
        <v>Barito Raya</v>
      </c>
      <c r="H190" s="15" t="str">
        <f>IFERROR(VLOOKUP(A190,Sheet1!$E$3:$F$27,2,),"")</f>
        <v>Corrective</v>
      </c>
      <c r="I190" s="16" t="str">
        <f>IFERROR(VLOOKUP(A190,Sheet1!$E$3:$G$27,3,0),"")</f>
        <v>Replace Optik,RRU/Soket Power/Replace GPS</v>
      </c>
      <c r="J190" s="12" t="s">
        <v>112</v>
      </c>
      <c r="K190" s="17">
        <v>46009.0</v>
      </c>
      <c r="L190" s="17">
        <v>46009.0</v>
      </c>
      <c r="M190" s="12" t="s">
        <v>109</v>
      </c>
      <c r="N190" s="23"/>
      <c r="O190" s="22"/>
      <c r="P190" s="22"/>
    </row>
    <row r="191" ht="22.5" customHeight="1">
      <c r="A191" s="12" t="s">
        <v>258</v>
      </c>
      <c r="B191" s="20" t="str">
        <f>IFERROR(VLOOKUP(A191,Sheet1!$E$3:$H$27,4,0),"")</f>
        <v>P1</v>
      </c>
      <c r="C191" s="14" t="s">
        <v>259</v>
      </c>
      <c r="D191" s="12" t="s">
        <v>32</v>
      </c>
      <c r="E191" s="13" t="str">
        <f>IFERROR(VLOOKUP(D191,Sheet1!$B$1:$C$45,2,0),"")</f>
        <v>TE</v>
      </c>
      <c r="F191" s="12" t="s">
        <v>108</v>
      </c>
      <c r="G191" s="13" t="str">
        <f t="shared" si="3"/>
        <v>Barito Raya</v>
      </c>
      <c r="H191" s="15" t="str">
        <f>IFERROR(VLOOKUP(A191,Sheet1!$E$3:$F$27,2,),"")</f>
        <v>Corrective</v>
      </c>
      <c r="I191" s="16" t="str">
        <f>IFERROR(VLOOKUP(A191,Sheet1!$E$3:$G$27,3,0),"")</f>
        <v>Replace Optik,RRU/Soket Power/Replace GPS</v>
      </c>
      <c r="J191" s="12" t="s">
        <v>112</v>
      </c>
      <c r="K191" s="17">
        <v>46009.0</v>
      </c>
      <c r="L191" s="17">
        <v>46009.0</v>
      </c>
      <c r="M191" s="12" t="s">
        <v>122</v>
      </c>
      <c r="N191" s="18" t="s">
        <v>260</v>
      </c>
      <c r="O191" s="19"/>
      <c r="P191" s="19"/>
    </row>
    <row r="192" ht="22.5" customHeight="1">
      <c r="A192" s="12" t="s">
        <v>261</v>
      </c>
      <c r="B192" s="20" t="str">
        <f>IFERROR(VLOOKUP(A192,Sheet1!$E$3:$H$27,4,0),"")</f>
        <v>P2</v>
      </c>
      <c r="C192" s="14" t="s">
        <v>262</v>
      </c>
      <c r="D192" s="12" t="s">
        <v>60</v>
      </c>
      <c r="E192" s="13" t="str">
        <f>IFERROR(VLOOKUP(D192,Sheet1!$B$1:$C$45,2,0),"")</f>
        <v>TE</v>
      </c>
      <c r="F192" s="12" t="s">
        <v>108</v>
      </c>
      <c r="G192" s="13" t="str">
        <f t="shared" si="3"/>
        <v>Barito Raya</v>
      </c>
      <c r="H192" s="15" t="str">
        <f>IFERROR(VLOOKUP(A192,Sheet1!$E$3:$F$27,2,),"")</f>
        <v>Preventive</v>
      </c>
      <c r="I192" s="16" t="str">
        <f>IFERROR(VLOOKUP(A192,Sheet1!$E$3:$G$27,3,0),"")</f>
        <v>Preventive Maintenance</v>
      </c>
      <c r="J192" s="12" t="s">
        <v>112</v>
      </c>
      <c r="K192" s="17">
        <v>46009.0</v>
      </c>
      <c r="L192" s="17">
        <v>46009.0</v>
      </c>
      <c r="M192" s="12" t="s">
        <v>109</v>
      </c>
      <c r="N192" s="23"/>
      <c r="O192" s="22"/>
      <c r="P192" s="22"/>
    </row>
    <row r="193" ht="22.5" customHeight="1">
      <c r="A193" s="12" t="s">
        <v>33</v>
      </c>
      <c r="B193" s="20" t="str">
        <f>IFERROR(VLOOKUP(A193,Sheet1!$E$3:$H$27,4,0),"")</f>
        <v>P2</v>
      </c>
      <c r="C193" s="14" t="s">
        <v>246</v>
      </c>
      <c r="D193" s="12" t="s">
        <v>62</v>
      </c>
      <c r="E193" s="13" t="str">
        <f>IFERROR(VLOOKUP(D193,Sheet1!$B$1:$C$45,2,0),"")</f>
        <v>TE</v>
      </c>
      <c r="F193" s="12" t="s">
        <v>108</v>
      </c>
      <c r="G193" s="13" t="str">
        <f t="shared" si="3"/>
        <v>Barito Raya</v>
      </c>
      <c r="H193" s="15" t="str">
        <f>IFERROR(VLOOKUP(A193,Sheet1!$E$3:$F$27,2,),"")</f>
        <v>Preventive</v>
      </c>
      <c r="I193" s="16" t="str">
        <f>IFERROR(VLOOKUP(A193,Sheet1!$E$3:$G$27,3,0),"")</f>
        <v>Pengukuran dan pengambilan data log serta input Gdoc BBT</v>
      </c>
      <c r="J193" s="12" t="s">
        <v>112</v>
      </c>
      <c r="K193" s="17">
        <v>46009.0</v>
      </c>
      <c r="L193" s="17">
        <v>46009.0</v>
      </c>
      <c r="M193" s="12" t="s">
        <v>109</v>
      </c>
      <c r="N193" s="23"/>
      <c r="O193" s="22"/>
      <c r="P193" s="22"/>
    </row>
    <row r="194" ht="22.5" customHeight="1">
      <c r="A194" s="12" t="s">
        <v>27</v>
      </c>
      <c r="B194" s="20" t="str">
        <f>IFERROR(VLOOKUP(A194,Sheet1!$E$3:$H$27,4,0),"")</f>
        <v>P2</v>
      </c>
      <c r="C194" s="14" t="s">
        <v>263</v>
      </c>
      <c r="D194" s="12" t="s">
        <v>74</v>
      </c>
      <c r="E194" s="13" t="str">
        <f>IFERROR(VLOOKUP(D194,Sheet1!$B$1:$C$45,2,0),"")</f>
        <v>TE</v>
      </c>
      <c r="F194" s="12" t="s">
        <v>108</v>
      </c>
      <c r="G194" s="13" t="str">
        <f t="shared" si="3"/>
        <v>Barito Raya</v>
      </c>
      <c r="H194" s="15" t="str">
        <f>IFERROR(VLOOKUP(A194,Sheet1!$E$3:$F$27,2,),"")</f>
        <v>Preventive</v>
      </c>
      <c r="I194" s="16" t="str">
        <f>IFERROR(VLOOKUP(A194,Sheet1!$E$3:$G$27,3,0),"")</f>
        <v>Akses/Hub Site problem metro</v>
      </c>
      <c r="J194" s="12" t="s">
        <v>112</v>
      </c>
      <c r="K194" s="17">
        <v>46009.0</v>
      </c>
      <c r="L194" s="17">
        <v>46009.0</v>
      </c>
      <c r="M194" s="12" t="s">
        <v>109</v>
      </c>
      <c r="N194" s="23"/>
      <c r="O194" s="22"/>
      <c r="P194" s="22"/>
    </row>
    <row r="195" ht="22.5" customHeight="1">
      <c r="A195" s="12" t="s">
        <v>65</v>
      </c>
      <c r="B195" s="20" t="str">
        <f>IFERROR(VLOOKUP(A195,Sheet1!$E$3:$H$27,4,0),"")</f>
        <v>P3</v>
      </c>
      <c r="C195" s="15"/>
      <c r="D195" s="12" t="s">
        <v>9</v>
      </c>
      <c r="E195" s="13" t="str">
        <f>IFERROR(VLOOKUP(D195,Sheet1!$B$1:$C$45,2,0),"")</f>
        <v>MBP</v>
      </c>
      <c r="F195" s="12" t="s">
        <v>108</v>
      </c>
      <c r="G195" s="13" t="str">
        <f t="shared" si="3"/>
        <v>Barito Raya</v>
      </c>
      <c r="H195" s="15" t="str">
        <f>IFERROR(VLOOKUP(A195,Sheet1!$E$3:$F$27,2,),"")</f>
        <v>Standby</v>
      </c>
      <c r="I195" s="16" t="str">
        <f>IFERROR(VLOOKUP(A195,Sheet1!$E$3:$G$27,3,0),"")</f>
        <v>Standby On Call</v>
      </c>
      <c r="J195" s="20"/>
      <c r="K195" s="17">
        <v>46009.0</v>
      </c>
      <c r="L195" s="17">
        <v>46009.0</v>
      </c>
      <c r="M195" s="13"/>
      <c r="N195" s="23"/>
      <c r="O195" s="22"/>
      <c r="P195" s="22"/>
    </row>
    <row r="196" ht="22.5" customHeight="1">
      <c r="A196" s="12" t="s">
        <v>52</v>
      </c>
      <c r="B196" s="20" t="str">
        <f>IFERROR(VLOOKUP(A196,Sheet1!$E$3:$H$27,4,0),"")</f>
        <v>P1</v>
      </c>
      <c r="C196" s="14" t="s">
        <v>255</v>
      </c>
      <c r="D196" s="12" t="s">
        <v>4</v>
      </c>
      <c r="E196" s="13" t="str">
        <f>IFERROR(VLOOKUP(D196,Sheet1!$B$1:$C$45,2,0),"")</f>
        <v>CME</v>
      </c>
      <c r="F196" s="12" t="s">
        <v>108</v>
      </c>
      <c r="G196" s="13" t="str">
        <f t="shared" si="3"/>
        <v>Barito Raya</v>
      </c>
      <c r="H196" s="15" t="str">
        <f>IFERROR(VLOOKUP(A196,Sheet1!$E$3:$F$27,2,),"")</f>
        <v>Preventive</v>
      </c>
      <c r="I196" s="16" t="str">
        <f>IFERROR(VLOOKUP(A196,Sheet1!$E$3:$G$27,3,0),"")</f>
        <v>MCB trip/Power upnormal</v>
      </c>
      <c r="J196" s="12" t="s">
        <v>112</v>
      </c>
      <c r="K196" s="17">
        <v>46009.0</v>
      </c>
      <c r="L196" s="17">
        <v>46009.0</v>
      </c>
      <c r="M196" s="12" t="s">
        <v>109</v>
      </c>
      <c r="N196" s="18" t="s">
        <v>264</v>
      </c>
      <c r="O196" s="19"/>
      <c r="P196" s="19"/>
    </row>
    <row r="197" ht="22.5" customHeight="1">
      <c r="A197" s="12" t="s">
        <v>65</v>
      </c>
      <c r="B197" s="20" t="str">
        <f>IFERROR(VLOOKUP(A197,Sheet1!$E$3:$H$27,4,0),"")</f>
        <v>P3</v>
      </c>
      <c r="C197" s="15"/>
      <c r="D197" s="12" t="s">
        <v>87</v>
      </c>
      <c r="E197" s="13" t="str">
        <f>IFERROR(VLOOKUP(D197,Sheet1!$B$1:$C$45,2,0),"")</f>
        <v>MBP</v>
      </c>
      <c r="F197" s="12" t="s">
        <v>108</v>
      </c>
      <c r="G197" s="13" t="str">
        <f t="shared" si="3"/>
        <v>Barito Raya</v>
      </c>
      <c r="H197" s="15" t="str">
        <f>IFERROR(VLOOKUP(A197,Sheet1!$E$3:$F$27,2,),"")</f>
        <v>Standby</v>
      </c>
      <c r="I197" s="16" t="str">
        <f>IFERROR(VLOOKUP(A197,Sheet1!$E$3:$G$27,3,0),"")</f>
        <v>Standby On Call</v>
      </c>
      <c r="J197" s="20"/>
      <c r="K197" s="17">
        <v>46009.0</v>
      </c>
      <c r="L197" s="17">
        <v>46009.0</v>
      </c>
      <c r="M197" s="13"/>
      <c r="N197" s="23"/>
      <c r="O197" s="22"/>
      <c r="P197" s="22"/>
    </row>
    <row r="198" ht="22.5" customHeight="1">
      <c r="A198" s="12" t="s">
        <v>65</v>
      </c>
      <c r="B198" s="20" t="str">
        <f>IFERROR(VLOOKUP(A198,Sheet1!$E$3:$H$27,4,0),"")</f>
        <v>P3</v>
      </c>
      <c r="C198" s="15"/>
      <c r="D198" s="12" t="s">
        <v>24</v>
      </c>
      <c r="E198" s="13" t="str">
        <f>IFERROR(VLOOKUP(D198,Sheet1!$B$1:$C$45,2,0),"")</f>
        <v>MBP</v>
      </c>
      <c r="F198" s="12" t="s">
        <v>108</v>
      </c>
      <c r="G198" s="13" t="str">
        <f t="shared" si="3"/>
        <v>Barito Raya</v>
      </c>
      <c r="H198" s="15" t="str">
        <f>IFERROR(VLOOKUP(A198,Sheet1!$E$3:$F$27,2,),"")</f>
        <v>Standby</v>
      </c>
      <c r="I198" s="16" t="str">
        <f>IFERROR(VLOOKUP(A198,Sheet1!$E$3:$G$27,3,0),"")</f>
        <v>Standby On Call</v>
      </c>
      <c r="J198" s="20"/>
      <c r="K198" s="17">
        <v>46009.0</v>
      </c>
      <c r="L198" s="17">
        <v>46009.0</v>
      </c>
      <c r="M198" s="13"/>
      <c r="N198" s="23"/>
      <c r="O198" s="22"/>
      <c r="P198" s="22"/>
    </row>
    <row r="199" ht="22.5" customHeight="1">
      <c r="A199" s="12" t="s">
        <v>52</v>
      </c>
      <c r="B199" s="20" t="str">
        <f>IFERROR(VLOOKUP(A199,Sheet1!$E$3:$H$27,4,0),"")</f>
        <v>P1</v>
      </c>
      <c r="C199" s="14" t="s">
        <v>265</v>
      </c>
      <c r="D199" s="12" t="s">
        <v>29</v>
      </c>
      <c r="E199" s="13" t="str">
        <f>IFERROR(VLOOKUP(D199,Sheet1!$B$1:$C$45,2,0),"")</f>
        <v>MBP</v>
      </c>
      <c r="F199" s="12" t="s">
        <v>108</v>
      </c>
      <c r="G199" s="13" t="str">
        <f t="shared" si="3"/>
        <v>Barito Raya</v>
      </c>
      <c r="H199" s="15" t="str">
        <f>IFERROR(VLOOKUP(A199,Sheet1!$E$3:$F$27,2,),"")</f>
        <v>Preventive</v>
      </c>
      <c r="I199" s="16" t="str">
        <f>IFERROR(VLOOKUP(A199,Sheet1!$E$3:$G$27,3,0),"")</f>
        <v>MCB trip/Power upnormal</v>
      </c>
      <c r="J199" s="12" t="s">
        <v>112</v>
      </c>
      <c r="K199" s="17">
        <v>46009.0</v>
      </c>
      <c r="L199" s="17">
        <v>46009.0</v>
      </c>
      <c r="M199" s="12" t="s">
        <v>109</v>
      </c>
      <c r="N199" s="23"/>
      <c r="O199" s="22"/>
      <c r="P199" s="22"/>
    </row>
    <row r="200" ht="22.5" customHeight="1">
      <c r="A200" s="12" t="s">
        <v>65</v>
      </c>
      <c r="B200" s="20" t="str">
        <f>IFERROR(VLOOKUP(A200,Sheet1!$E$3:$H$27,4,0),"")</f>
        <v>P3</v>
      </c>
      <c r="C200" s="15"/>
      <c r="D200" s="12" t="s">
        <v>0</v>
      </c>
      <c r="E200" s="13" t="str">
        <f>IFERROR(VLOOKUP(D200,Sheet1!$B$1:$C$45,2,0),"")</f>
        <v>MBP</v>
      </c>
      <c r="F200" s="12" t="s">
        <v>108</v>
      </c>
      <c r="G200" s="13" t="str">
        <f t="shared" si="3"/>
        <v>Barito Raya</v>
      </c>
      <c r="H200" s="15" t="str">
        <f>IFERROR(VLOOKUP(A200,Sheet1!$E$3:$F$27,2,),"")</f>
        <v>Standby</v>
      </c>
      <c r="I200" s="16" t="str">
        <f>IFERROR(VLOOKUP(A200,Sheet1!$E$3:$G$27,3,0),"")</f>
        <v>Standby On Call</v>
      </c>
      <c r="J200" s="20"/>
      <c r="K200" s="17">
        <v>46009.0</v>
      </c>
      <c r="L200" s="17">
        <v>46009.0</v>
      </c>
      <c r="M200" s="13"/>
      <c r="N200" s="23"/>
      <c r="O200" s="22"/>
      <c r="P200" s="22"/>
    </row>
    <row r="201" ht="22.5" customHeight="1">
      <c r="A201" s="12" t="s">
        <v>65</v>
      </c>
      <c r="B201" s="20" t="str">
        <f>IFERROR(VLOOKUP(A201,Sheet1!$E$3:$H$27,4,0),"")</f>
        <v>P3</v>
      </c>
      <c r="C201" s="15"/>
      <c r="D201" s="12" t="s">
        <v>2</v>
      </c>
      <c r="E201" s="13" t="str">
        <f>IFERROR(VLOOKUP(D201,Sheet1!$B$1:$C$45,2,0),"")</f>
        <v>CME</v>
      </c>
      <c r="F201" s="12" t="s">
        <v>108</v>
      </c>
      <c r="G201" s="13" t="str">
        <f t="shared" si="3"/>
        <v>Barito Raya</v>
      </c>
      <c r="H201" s="15" t="str">
        <f>IFERROR(VLOOKUP(A201,Sheet1!$E$3:$F$27,2,),"")</f>
        <v>Standby</v>
      </c>
      <c r="I201" s="16" t="str">
        <f>IFERROR(VLOOKUP(A201,Sheet1!$E$3:$G$27,3,0),"")</f>
        <v>Standby On Call</v>
      </c>
      <c r="J201" s="20"/>
      <c r="K201" s="17">
        <v>46009.0</v>
      </c>
      <c r="L201" s="17">
        <v>46009.0</v>
      </c>
      <c r="M201" s="13"/>
      <c r="N201" s="23"/>
      <c r="O201" s="22"/>
      <c r="P201" s="22"/>
    </row>
    <row r="202" ht="22.5" customHeight="1">
      <c r="A202" s="12" t="s">
        <v>5</v>
      </c>
      <c r="B202" s="20" t="str">
        <f>IFERROR(VLOOKUP(A202,Sheet1!$E$3:$H$27,4,0),"")</f>
        <v>P1</v>
      </c>
      <c r="C202" s="14" t="s">
        <v>199</v>
      </c>
      <c r="D202" s="12" t="s">
        <v>37</v>
      </c>
      <c r="E202" s="13" t="str">
        <f>IFERROR(VLOOKUP(D202,Sheet1!$B$1:$C$45,2,0),"")</f>
        <v>TE</v>
      </c>
      <c r="F202" s="12" t="s">
        <v>179</v>
      </c>
      <c r="G202" s="13" t="str">
        <f t="shared" si="3"/>
        <v>Palangkaraya</v>
      </c>
      <c r="H202" s="15" t="str">
        <f>IFERROR(VLOOKUP(A202,Sheet1!$E$3:$F$27,2,),"")</f>
        <v>Corrective</v>
      </c>
      <c r="I202" s="16" t="str">
        <f>IFERROR(VLOOKUP(A202,Sheet1!$E$3:$G$27,3,0),"")</f>
        <v>Replace Optik,RRU/Soket Power/Replace GPS</v>
      </c>
      <c r="J202" s="12" t="s">
        <v>112</v>
      </c>
      <c r="K202" s="17">
        <v>46009.0</v>
      </c>
      <c r="L202" s="24"/>
      <c r="M202" s="12" t="s">
        <v>137</v>
      </c>
      <c r="N202" s="23"/>
      <c r="O202" s="22"/>
      <c r="P202" s="22"/>
    </row>
    <row r="203" ht="22.5" customHeight="1">
      <c r="A203" s="12" t="s">
        <v>5</v>
      </c>
      <c r="B203" s="20" t="str">
        <f>IFERROR(VLOOKUP(A203,Sheet1!$E$3:$H$27,4,0),"")</f>
        <v>P1</v>
      </c>
      <c r="C203" s="14" t="s">
        <v>199</v>
      </c>
      <c r="D203" s="12" t="s">
        <v>80</v>
      </c>
      <c r="E203" s="13" t="str">
        <f>IFERROR(VLOOKUP(D203,Sheet1!$B$1:$C$45,2,0),"")</f>
        <v>TE</v>
      </c>
      <c r="F203" s="12" t="s">
        <v>179</v>
      </c>
      <c r="G203" s="13" t="str">
        <f t="shared" si="3"/>
        <v>Palangkaraya</v>
      </c>
      <c r="H203" s="15" t="str">
        <f>IFERROR(VLOOKUP(A203,Sheet1!$E$3:$F$27,2,),"")</f>
        <v>Corrective</v>
      </c>
      <c r="I203" s="16" t="str">
        <f>IFERROR(VLOOKUP(A203,Sheet1!$E$3:$G$27,3,0),"")</f>
        <v>Replace Optik,RRU/Soket Power/Replace GPS</v>
      </c>
      <c r="J203" s="12" t="s">
        <v>112</v>
      </c>
      <c r="K203" s="17">
        <v>46009.0</v>
      </c>
      <c r="L203" s="24"/>
      <c r="M203" s="12" t="s">
        <v>137</v>
      </c>
      <c r="N203" s="23"/>
      <c r="O203" s="22"/>
      <c r="P203" s="22"/>
    </row>
    <row r="204" ht="22.5" customHeight="1">
      <c r="A204" s="12" t="s">
        <v>10</v>
      </c>
      <c r="B204" s="20" t="str">
        <f>IFERROR(VLOOKUP(A204,Sheet1!$E$3:$H$27,4,0),"")</f>
        <v>P1</v>
      </c>
      <c r="C204" s="14" t="s">
        <v>222</v>
      </c>
      <c r="D204" s="12" t="s">
        <v>76</v>
      </c>
      <c r="E204" s="13" t="str">
        <f>IFERROR(VLOOKUP(D204,Sheet1!$B$1:$C$45,2,0),"")</f>
        <v>TE</v>
      </c>
      <c r="F204" s="12" t="s">
        <v>179</v>
      </c>
      <c r="G204" s="13" t="str">
        <f t="shared" si="3"/>
        <v>Palangkaraya</v>
      </c>
      <c r="H204" s="15" t="str">
        <f>IFERROR(VLOOKUP(A204,Sheet1!$E$3:$F$27,2,),"")</f>
        <v>Corrective</v>
      </c>
      <c r="I204" s="16" t="str">
        <f>IFERROR(VLOOKUP(A204,Sheet1!$E$3:$G$27,3,0),"")</f>
        <v>Replace Jumper,antena/RRU</v>
      </c>
      <c r="J204" s="12" t="s">
        <v>112</v>
      </c>
      <c r="K204" s="17">
        <v>46009.0</v>
      </c>
      <c r="L204" s="24"/>
      <c r="M204" s="12" t="s">
        <v>137</v>
      </c>
      <c r="N204" s="23"/>
      <c r="O204" s="22"/>
      <c r="P204" s="22"/>
    </row>
    <row r="205" ht="22.5" customHeight="1">
      <c r="A205" s="12" t="s">
        <v>5</v>
      </c>
      <c r="B205" s="20" t="str">
        <f>IFERROR(VLOOKUP(A205,Sheet1!$E$3:$H$27,4,0),"")</f>
        <v>P1</v>
      </c>
      <c r="C205" s="14" t="s">
        <v>228</v>
      </c>
      <c r="D205" s="12" t="s">
        <v>78</v>
      </c>
      <c r="E205" s="13" t="str">
        <f>IFERROR(VLOOKUP(D205,Sheet1!$B$1:$C$45,2,0),"")</f>
        <v>TE</v>
      </c>
      <c r="F205" s="12" t="s">
        <v>179</v>
      </c>
      <c r="G205" s="13" t="str">
        <f t="shared" si="3"/>
        <v>Palangkaraya</v>
      </c>
      <c r="H205" s="15" t="str">
        <f>IFERROR(VLOOKUP(A205,Sheet1!$E$3:$F$27,2,),"")</f>
        <v>Corrective</v>
      </c>
      <c r="I205" s="16" t="str">
        <f>IFERROR(VLOOKUP(A205,Sheet1!$E$3:$G$27,3,0),"")</f>
        <v>Replace Optik,RRU/Soket Power/Replace GPS</v>
      </c>
      <c r="J205" s="12" t="s">
        <v>112</v>
      </c>
      <c r="K205" s="17">
        <v>46009.0</v>
      </c>
      <c r="L205" s="24"/>
      <c r="M205" s="12" t="s">
        <v>137</v>
      </c>
      <c r="N205" s="23"/>
      <c r="O205" s="22"/>
      <c r="P205" s="22"/>
    </row>
    <row r="206" ht="22.5" customHeight="1">
      <c r="A206" s="12" t="s">
        <v>10</v>
      </c>
      <c r="B206" s="20" t="str">
        <f>IFERROR(VLOOKUP(A206,Sheet1!$E$3:$H$27,4,0),"")</f>
        <v>P1</v>
      </c>
      <c r="C206" s="14" t="s">
        <v>222</v>
      </c>
      <c r="D206" s="12" t="s">
        <v>77</v>
      </c>
      <c r="E206" s="13" t="str">
        <f>IFERROR(VLOOKUP(D206,Sheet1!$B$1:$C$45,2,0),"")</f>
        <v>TE</v>
      </c>
      <c r="F206" s="12" t="s">
        <v>179</v>
      </c>
      <c r="G206" s="13" t="str">
        <f t="shared" si="3"/>
        <v>Palangkaraya</v>
      </c>
      <c r="H206" s="15" t="str">
        <f>IFERROR(VLOOKUP(A206,Sheet1!$E$3:$F$27,2,),"")</f>
        <v>Corrective</v>
      </c>
      <c r="I206" s="16" t="str">
        <f>IFERROR(VLOOKUP(A206,Sheet1!$E$3:$G$27,3,0),"")</f>
        <v>Replace Jumper,antena/RRU</v>
      </c>
      <c r="J206" s="12" t="s">
        <v>112</v>
      </c>
      <c r="K206" s="17">
        <v>46009.0</v>
      </c>
      <c r="L206" s="24"/>
      <c r="M206" s="12" t="s">
        <v>137</v>
      </c>
      <c r="N206" s="23"/>
      <c r="O206" s="22"/>
      <c r="P206" s="22"/>
    </row>
    <row r="207" ht="22.5" customHeight="1">
      <c r="A207" s="12" t="s">
        <v>40</v>
      </c>
      <c r="B207" s="20" t="str">
        <f>IFERROR(VLOOKUP(A207,Sheet1!$E$3:$H$27,4,0),"")</f>
        <v>P2</v>
      </c>
      <c r="C207" s="14" t="s">
        <v>266</v>
      </c>
      <c r="D207" s="12" t="s">
        <v>39</v>
      </c>
      <c r="E207" s="13" t="str">
        <f>IFERROR(VLOOKUP(D207,Sheet1!$B$1:$C$45,2,0),"")</f>
        <v>TE</v>
      </c>
      <c r="F207" s="12" t="s">
        <v>179</v>
      </c>
      <c r="G207" s="13" t="str">
        <f t="shared" si="3"/>
        <v>Palangkaraya</v>
      </c>
      <c r="H207" s="15" t="str">
        <f>IFERROR(VLOOKUP(A207,Sheet1!$E$3:$F$27,2,),"")</f>
        <v>Corrective</v>
      </c>
      <c r="I207" s="16" t="str">
        <f>IFERROR(VLOOKUP(A207,Sheet1!$E$3:$G$27,3,0),"")</f>
        <v>Add New Sector antena/rru</v>
      </c>
      <c r="J207" s="12" t="s">
        <v>112</v>
      </c>
      <c r="K207" s="17">
        <v>46009.0</v>
      </c>
      <c r="L207" s="24"/>
      <c r="M207" s="12" t="s">
        <v>137</v>
      </c>
      <c r="N207" s="23"/>
      <c r="O207" s="22"/>
      <c r="P207" s="22"/>
    </row>
    <row r="208" ht="22.5" customHeight="1">
      <c r="A208" s="12" t="s">
        <v>40</v>
      </c>
      <c r="B208" s="20" t="str">
        <f>IFERROR(VLOOKUP(A208,Sheet1!$E$3:$H$27,4,0),"")</f>
        <v>P2</v>
      </c>
      <c r="C208" s="14" t="s">
        <v>266</v>
      </c>
      <c r="D208" s="12" t="s">
        <v>42</v>
      </c>
      <c r="E208" s="13" t="str">
        <f>IFERROR(VLOOKUP(D208,Sheet1!$B$1:$C$45,2,0),"")</f>
        <v>TE</v>
      </c>
      <c r="F208" s="12" t="s">
        <v>179</v>
      </c>
      <c r="G208" s="13" t="str">
        <f t="shared" si="3"/>
        <v>Palangkaraya</v>
      </c>
      <c r="H208" s="15" t="str">
        <f>IFERROR(VLOOKUP(A208,Sheet1!$E$3:$F$27,2,),"")</f>
        <v>Corrective</v>
      </c>
      <c r="I208" s="16" t="str">
        <f>IFERROR(VLOOKUP(A208,Sheet1!$E$3:$G$27,3,0),"")</f>
        <v>Add New Sector antena/rru</v>
      </c>
      <c r="J208" s="12" t="s">
        <v>112</v>
      </c>
      <c r="K208" s="17">
        <v>46009.0</v>
      </c>
      <c r="L208" s="24"/>
      <c r="M208" s="12" t="s">
        <v>137</v>
      </c>
      <c r="N208" s="23"/>
      <c r="O208" s="22"/>
      <c r="P208" s="22"/>
    </row>
    <row r="209" ht="22.5" customHeight="1">
      <c r="A209" s="12" t="s">
        <v>10</v>
      </c>
      <c r="B209" s="20" t="str">
        <f>IFERROR(VLOOKUP(A209,Sheet1!$E$3:$H$27,4,0),"")</f>
        <v>P1</v>
      </c>
      <c r="C209" s="14" t="s">
        <v>267</v>
      </c>
      <c r="D209" s="12" t="s">
        <v>71</v>
      </c>
      <c r="E209" s="13" t="str">
        <f>IFERROR(VLOOKUP(D209,Sheet1!$B$1:$C$45,2,0),"")</f>
        <v>TE</v>
      </c>
      <c r="F209" s="12" t="s">
        <v>179</v>
      </c>
      <c r="G209" s="13" t="str">
        <f t="shared" si="3"/>
        <v>Palangkaraya</v>
      </c>
      <c r="H209" s="15" t="str">
        <f>IFERROR(VLOOKUP(A209,Sheet1!$E$3:$F$27,2,),"")</f>
        <v>Corrective</v>
      </c>
      <c r="I209" s="16" t="str">
        <f>IFERROR(VLOOKUP(A209,Sheet1!$E$3:$G$27,3,0),"")</f>
        <v>Replace Jumper,antena/RRU</v>
      </c>
      <c r="J209" s="12" t="s">
        <v>112</v>
      </c>
      <c r="K209" s="17">
        <v>46009.0</v>
      </c>
      <c r="L209" s="24"/>
      <c r="M209" s="12" t="s">
        <v>137</v>
      </c>
      <c r="N209" s="23"/>
      <c r="O209" s="22"/>
      <c r="P209" s="22"/>
    </row>
    <row r="210" ht="22.5" customHeight="1">
      <c r="A210" s="12" t="s">
        <v>10</v>
      </c>
      <c r="B210" s="20" t="str">
        <f>IFERROR(VLOOKUP(A210,Sheet1!$E$3:$H$27,4,0),"")</f>
        <v>P1</v>
      </c>
      <c r="C210" s="14" t="s">
        <v>267</v>
      </c>
      <c r="D210" s="12" t="s">
        <v>69</v>
      </c>
      <c r="E210" s="13" t="str">
        <f>IFERROR(VLOOKUP(D210,Sheet1!$B$1:$C$45,2,0),"")</f>
        <v>TE</v>
      </c>
      <c r="F210" s="12" t="s">
        <v>179</v>
      </c>
      <c r="G210" s="13" t="str">
        <f t="shared" si="3"/>
        <v>Palangkaraya</v>
      </c>
      <c r="H210" s="15" t="str">
        <f>IFERROR(VLOOKUP(A210,Sheet1!$E$3:$F$27,2,),"")</f>
        <v>Corrective</v>
      </c>
      <c r="I210" s="16" t="str">
        <f>IFERROR(VLOOKUP(A210,Sheet1!$E$3:$G$27,3,0),"")</f>
        <v>Replace Jumper,antena/RRU</v>
      </c>
      <c r="J210" s="12" t="s">
        <v>112</v>
      </c>
      <c r="K210" s="17">
        <v>46009.0</v>
      </c>
      <c r="L210" s="24"/>
      <c r="M210" s="12" t="s">
        <v>137</v>
      </c>
      <c r="N210" s="23"/>
      <c r="O210" s="22"/>
      <c r="P210" s="22"/>
    </row>
    <row r="211" ht="22.5" customHeight="1">
      <c r="A211" s="12" t="s">
        <v>33</v>
      </c>
      <c r="B211" s="20" t="str">
        <f>IFERROR(VLOOKUP(A211,Sheet1!$E$3:$H$27,4,0),"")</f>
        <v>P2</v>
      </c>
      <c r="C211" s="14" t="s">
        <v>231</v>
      </c>
      <c r="D211" s="12" t="s">
        <v>79</v>
      </c>
      <c r="E211" s="13" t="str">
        <f>IFERROR(VLOOKUP(D211,Sheet1!$B$1:$C$45,2,0),"")</f>
        <v>TE</v>
      </c>
      <c r="F211" s="12" t="s">
        <v>179</v>
      </c>
      <c r="G211" s="13" t="str">
        <f t="shared" si="3"/>
        <v>Palangkaraya</v>
      </c>
      <c r="H211" s="15" t="str">
        <f>IFERROR(VLOOKUP(A211,Sheet1!$E$3:$F$27,2,),"")</f>
        <v>Preventive</v>
      </c>
      <c r="I211" s="16" t="str">
        <f>IFERROR(VLOOKUP(A211,Sheet1!$E$3:$G$27,3,0),"")</f>
        <v>Pengukuran dan pengambilan data log serta input Gdoc BBT</v>
      </c>
      <c r="J211" s="12" t="s">
        <v>112</v>
      </c>
      <c r="K211" s="17">
        <v>46009.0</v>
      </c>
      <c r="L211" s="24"/>
      <c r="M211" s="12" t="s">
        <v>137</v>
      </c>
      <c r="N211" s="23"/>
      <c r="O211" s="22"/>
      <c r="P211" s="22"/>
    </row>
    <row r="212" ht="22.5" customHeight="1">
      <c r="A212" s="12" t="s">
        <v>33</v>
      </c>
      <c r="B212" s="20" t="str">
        <f>IFERROR(VLOOKUP(A212,Sheet1!$E$3:$H$27,4,0),"")</f>
        <v>P2</v>
      </c>
      <c r="C212" s="14" t="s">
        <v>200</v>
      </c>
      <c r="D212" s="12" t="s">
        <v>51</v>
      </c>
      <c r="E212" s="13" t="str">
        <f>IFERROR(VLOOKUP(D212,Sheet1!$B$1:$C$45,2,0),"")</f>
        <v>TE</v>
      </c>
      <c r="F212" s="12" t="s">
        <v>179</v>
      </c>
      <c r="G212" s="13" t="str">
        <f t="shared" si="3"/>
        <v>Palangkaraya</v>
      </c>
      <c r="H212" s="15" t="str">
        <f>IFERROR(VLOOKUP(A212,Sheet1!$E$3:$F$27,2,),"")</f>
        <v>Preventive</v>
      </c>
      <c r="I212" s="16" t="str">
        <f>IFERROR(VLOOKUP(A212,Sheet1!$E$3:$G$27,3,0),"")</f>
        <v>Pengukuran dan pengambilan data log serta input Gdoc BBT</v>
      </c>
      <c r="J212" s="12" t="s">
        <v>112</v>
      </c>
      <c r="K212" s="17">
        <v>46009.0</v>
      </c>
      <c r="L212" s="24"/>
      <c r="M212" s="12" t="s">
        <v>137</v>
      </c>
      <c r="N212" s="23"/>
      <c r="O212" s="22"/>
      <c r="P212" s="22"/>
    </row>
    <row r="213" ht="22.5" customHeight="1">
      <c r="A213" s="12" t="s">
        <v>5</v>
      </c>
      <c r="B213" s="20" t="str">
        <f>IFERROR(VLOOKUP(A213,Sheet1!$E$3:$H$27,4,0),"")</f>
        <v>P1</v>
      </c>
      <c r="C213" s="14" t="s">
        <v>214</v>
      </c>
      <c r="D213" s="12" t="s">
        <v>91</v>
      </c>
      <c r="E213" s="13" t="str">
        <f>IFERROR(VLOOKUP(D213,Sheet1!$B$1:$C$45,2,0),"")</f>
        <v>TE</v>
      </c>
      <c r="F213" s="12" t="s">
        <v>179</v>
      </c>
      <c r="G213" s="13" t="str">
        <f t="shared" si="3"/>
        <v>Palangkaraya</v>
      </c>
      <c r="H213" s="15" t="str">
        <f>IFERROR(VLOOKUP(A213,Sheet1!$E$3:$F$27,2,),"")</f>
        <v>Corrective</v>
      </c>
      <c r="I213" s="16" t="str">
        <f>IFERROR(VLOOKUP(A213,Sheet1!$E$3:$G$27,3,0),"")</f>
        <v>Replace Optik,RRU/Soket Power/Replace GPS</v>
      </c>
      <c r="J213" s="12" t="s">
        <v>112</v>
      </c>
      <c r="K213" s="17">
        <v>46009.0</v>
      </c>
      <c r="L213" s="24"/>
      <c r="M213" s="12" t="s">
        <v>137</v>
      </c>
      <c r="N213" s="23"/>
      <c r="O213" s="22"/>
      <c r="P213" s="22"/>
    </row>
    <row r="214" ht="22.5" customHeight="1">
      <c r="A214" s="12" t="s">
        <v>5</v>
      </c>
      <c r="B214" s="20" t="str">
        <f>IFERROR(VLOOKUP(A214,Sheet1!$E$3:$H$27,4,0),"")</f>
        <v>P1</v>
      </c>
      <c r="C214" s="14" t="s">
        <v>268</v>
      </c>
      <c r="D214" s="12" t="s">
        <v>58</v>
      </c>
      <c r="E214" s="13" t="str">
        <f>IFERROR(VLOOKUP(D214,Sheet1!$B$1:$C$45,2,0),"")</f>
        <v>TE</v>
      </c>
      <c r="F214" s="12" t="s">
        <v>179</v>
      </c>
      <c r="G214" s="13" t="str">
        <f t="shared" si="3"/>
        <v>Palangkaraya</v>
      </c>
      <c r="H214" s="15" t="str">
        <f>IFERROR(VLOOKUP(A214,Sheet1!$E$3:$F$27,2,),"")</f>
        <v>Corrective</v>
      </c>
      <c r="I214" s="16" t="str">
        <f>IFERROR(VLOOKUP(A214,Sheet1!$E$3:$G$27,3,0),"")</f>
        <v>Replace Optik,RRU/Soket Power/Replace GPS</v>
      </c>
      <c r="J214" s="12" t="s">
        <v>112</v>
      </c>
      <c r="K214" s="17">
        <v>46009.0</v>
      </c>
      <c r="L214" s="24"/>
      <c r="M214" s="12" t="s">
        <v>137</v>
      </c>
      <c r="N214" s="23"/>
      <c r="O214" s="22"/>
      <c r="P214" s="22"/>
    </row>
    <row r="215" ht="22.5" customHeight="1">
      <c r="A215" s="12" t="s">
        <v>68</v>
      </c>
      <c r="B215" s="20" t="str">
        <f>IFERROR(VLOOKUP(A215,Sheet1!$E$3:$H$27,4,0),"")</f>
        <v>P3</v>
      </c>
      <c r="C215" s="15"/>
      <c r="D215" s="12" t="s">
        <v>56</v>
      </c>
      <c r="E215" s="13" t="str">
        <f>IFERROR(VLOOKUP(D215,Sheet1!$B$1:$C$45,2,0),"")</f>
        <v>TE</v>
      </c>
      <c r="F215" s="12" t="s">
        <v>179</v>
      </c>
      <c r="G215" s="13" t="str">
        <f t="shared" si="3"/>
        <v>Palangkaraya</v>
      </c>
      <c r="H215" s="15" t="str">
        <f>IFERROR(VLOOKUP(A215,Sheet1!$E$3:$F$27,2,),"")</f>
        <v>On Leave</v>
      </c>
      <c r="I215" s="16" t="str">
        <f>IFERROR(VLOOKUP(A215,Sheet1!$E$3:$G$27,3,0),"")</f>
        <v>On Leave</v>
      </c>
      <c r="J215" s="12" t="s">
        <v>66</v>
      </c>
      <c r="K215" s="17">
        <v>46009.0</v>
      </c>
      <c r="L215" s="24"/>
      <c r="M215" s="12" t="s">
        <v>137</v>
      </c>
      <c r="N215" s="23"/>
      <c r="O215" s="22"/>
      <c r="P215" s="22"/>
    </row>
    <row r="216" ht="22.5" customHeight="1">
      <c r="A216" s="12" t="s">
        <v>22</v>
      </c>
      <c r="B216" s="20" t="str">
        <f>IFERROR(VLOOKUP(A216,Sheet1!$E$3:$H$27,4,0),"")</f>
        <v>P2</v>
      </c>
      <c r="C216" s="14" t="s">
        <v>269</v>
      </c>
      <c r="D216" s="12" t="s">
        <v>83</v>
      </c>
      <c r="E216" s="13" t="str">
        <f>IFERROR(VLOOKUP(D216,Sheet1!$B$1:$C$45,2,0),"")</f>
        <v>PM</v>
      </c>
      <c r="F216" s="12" t="s">
        <v>179</v>
      </c>
      <c r="G216" s="13" t="str">
        <f t="shared" si="3"/>
        <v>Palangkaraya</v>
      </c>
      <c r="H216" s="15" t="str">
        <f>IFERROR(VLOOKUP(A216,Sheet1!$E$3:$F$27,2,),"")</f>
        <v>Preventive</v>
      </c>
      <c r="I216" s="16" t="str">
        <f>IFERROR(VLOOKUP(A216,Sheet1!$E$3:$G$27,3,0),"")</f>
        <v>Preventive Maintenance</v>
      </c>
      <c r="J216" s="12" t="s">
        <v>112</v>
      </c>
      <c r="K216" s="17">
        <v>46009.0</v>
      </c>
      <c r="L216" s="24"/>
      <c r="M216" s="12" t="s">
        <v>137</v>
      </c>
      <c r="N216" s="23"/>
      <c r="O216" s="22"/>
      <c r="P216" s="22"/>
    </row>
    <row r="217" ht="22.5" customHeight="1">
      <c r="A217" s="12" t="s">
        <v>22</v>
      </c>
      <c r="B217" s="20" t="str">
        <f>IFERROR(VLOOKUP(A217,Sheet1!$E$3:$H$27,4,0),"")</f>
        <v>P2</v>
      </c>
      <c r="C217" s="14" t="s">
        <v>270</v>
      </c>
      <c r="D217" s="12" t="s">
        <v>82</v>
      </c>
      <c r="E217" s="13" t="str">
        <f>IFERROR(VLOOKUP(D217,Sheet1!$B$1:$C$45,2,0),"")</f>
        <v>PM</v>
      </c>
      <c r="F217" s="12" t="s">
        <v>179</v>
      </c>
      <c r="G217" s="13" t="str">
        <f t="shared" si="3"/>
        <v>Palangkaraya</v>
      </c>
      <c r="H217" s="15" t="str">
        <f>IFERROR(VLOOKUP(A217,Sheet1!$E$3:$F$27,2,),"")</f>
        <v>Preventive</v>
      </c>
      <c r="I217" s="16" t="str">
        <f>IFERROR(VLOOKUP(A217,Sheet1!$E$3:$G$27,3,0),"")</f>
        <v>Preventive Maintenance</v>
      </c>
      <c r="J217" s="12" t="s">
        <v>112</v>
      </c>
      <c r="K217" s="17">
        <v>46009.0</v>
      </c>
      <c r="L217" s="24"/>
      <c r="M217" s="12" t="s">
        <v>137</v>
      </c>
      <c r="N217" s="23"/>
      <c r="O217" s="22"/>
      <c r="P217" s="22"/>
    </row>
    <row r="218" ht="22.5" customHeight="1">
      <c r="A218" s="12" t="s">
        <v>22</v>
      </c>
      <c r="B218" s="20" t="str">
        <f>IFERROR(VLOOKUP(A218,Sheet1!$E$3:$H$27,4,0),"")</f>
        <v>P2</v>
      </c>
      <c r="C218" s="14" t="s">
        <v>271</v>
      </c>
      <c r="D218" s="12" t="s">
        <v>81</v>
      </c>
      <c r="E218" s="13" t="str">
        <f>IFERROR(VLOOKUP(D218,Sheet1!$B$1:$C$45,2,0),"")</f>
        <v>PM</v>
      </c>
      <c r="F218" s="12" t="s">
        <v>179</v>
      </c>
      <c r="G218" s="13" t="str">
        <f t="shared" si="3"/>
        <v>Palangkaraya</v>
      </c>
      <c r="H218" s="15" t="str">
        <f>IFERROR(VLOOKUP(A218,Sheet1!$E$3:$F$27,2,),"")</f>
        <v>Preventive</v>
      </c>
      <c r="I218" s="16" t="str">
        <f>IFERROR(VLOOKUP(A218,Sheet1!$E$3:$G$27,3,0),"")</f>
        <v>Preventive Maintenance</v>
      </c>
      <c r="J218" s="12" t="s">
        <v>112</v>
      </c>
      <c r="K218" s="17">
        <v>46009.0</v>
      </c>
      <c r="L218" s="24"/>
      <c r="M218" s="12" t="s">
        <v>137</v>
      </c>
      <c r="N218" s="23"/>
      <c r="O218" s="22"/>
      <c r="P218" s="22"/>
    </row>
    <row r="219" ht="22.5" customHeight="1">
      <c r="A219" s="12" t="s">
        <v>22</v>
      </c>
      <c r="B219" s="20" t="str">
        <f>IFERROR(VLOOKUP(A219,Sheet1!$E$3:$H$27,4,0),"")</f>
        <v>P2</v>
      </c>
      <c r="C219" s="14" t="s">
        <v>272</v>
      </c>
      <c r="D219" s="12" t="s">
        <v>35</v>
      </c>
      <c r="E219" s="13" t="str">
        <f>IFERROR(VLOOKUP(D219,Sheet1!$B$1:$C$45,2,0),"")</f>
        <v>MBP</v>
      </c>
      <c r="F219" s="12" t="s">
        <v>179</v>
      </c>
      <c r="G219" s="13" t="str">
        <f t="shared" si="3"/>
        <v>Palangkaraya</v>
      </c>
      <c r="H219" s="15" t="str">
        <f>IFERROR(VLOOKUP(A219,Sheet1!$E$3:$F$27,2,),"")</f>
        <v>Preventive</v>
      </c>
      <c r="I219" s="16" t="str">
        <f>IFERROR(VLOOKUP(A219,Sheet1!$E$3:$G$27,3,0),"")</f>
        <v>Preventive Maintenance</v>
      </c>
      <c r="J219" s="12" t="s">
        <v>112</v>
      </c>
      <c r="K219" s="17">
        <v>46009.0</v>
      </c>
      <c r="L219" s="24"/>
      <c r="M219" s="12" t="s">
        <v>137</v>
      </c>
      <c r="N219" s="23"/>
      <c r="O219" s="22"/>
      <c r="P219" s="22"/>
    </row>
    <row r="220" ht="22.5" customHeight="1">
      <c r="A220" s="12" t="s">
        <v>65</v>
      </c>
      <c r="B220" s="20" t="str">
        <f>IFERROR(VLOOKUP(A220,Sheet1!$E$3:$H$27,4,0),"")</f>
        <v>P3</v>
      </c>
      <c r="C220" s="15"/>
      <c r="D220" s="12" t="s">
        <v>45</v>
      </c>
      <c r="E220" s="13" t="str">
        <f>IFERROR(VLOOKUP(D220,Sheet1!$B$1:$C$45,2,0),"")</f>
        <v>MBP</v>
      </c>
      <c r="F220" s="12" t="s">
        <v>179</v>
      </c>
      <c r="G220" s="13" t="str">
        <f t="shared" si="3"/>
        <v>Palangkaraya</v>
      </c>
      <c r="H220" s="15" t="str">
        <f>IFERROR(VLOOKUP(A220,Sheet1!$E$3:$F$27,2,),"")</f>
        <v>Standby</v>
      </c>
      <c r="I220" s="16" t="str">
        <f>IFERROR(VLOOKUP(A220,Sheet1!$E$3:$G$27,3,0),"")</f>
        <v>Standby On Call</v>
      </c>
      <c r="J220" s="12" t="s">
        <v>66</v>
      </c>
      <c r="K220" s="17">
        <v>46009.0</v>
      </c>
      <c r="L220" s="24"/>
      <c r="M220" s="12" t="s">
        <v>137</v>
      </c>
      <c r="N220" s="23"/>
      <c r="O220" s="22"/>
      <c r="P220" s="22"/>
    </row>
    <row r="221" ht="22.5" customHeight="1">
      <c r="A221" s="12" t="s">
        <v>65</v>
      </c>
      <c r="B221" s="20" t="str">
        <f>IFERROR(VLOOKUP(A221,Sheet1!$E$3:$H$27,4,0),"")</f>
        <v>P3</v>
      </c>
      <c r="C221" s="15"/>
      <c r="D221" s="12" t="s">
        <v>48</v>
      </c>
      <c r="E221" s="13" t="str">
        <f>IFERROR(VLOOKUP(D221,Sheet1!$B$1:$C$45,2,0),"")</f>
        <v>MBP</v>
      </c>
      <c r="F221" s="12" t="s">
        <v>179</v>
      </c>
      <c r="G221" s="13" t="str">
        <f t="shared" si="3"/>
        <v>Palangkaraya</v>
      </c>
      <c r="H221" s="15" t="str">
        <f>IFERROR(VLOOKUP(A221,Sheet1!$E$3:$F$27,2,),"")</f>
        <v>Standby</v>
      </c>
      <c r="I221" s="16" t="str">
        <f>IFERROR(VLOOKUP(A221,Sheet1!$E$3:$G$27,3,0),"")</f>
        <v>Standby On Call</v>
      </c>
      <c r="J221" s="12" t="s">
        <v>66</v>
      </c>
      <c r="K221" s="17">
        <v>46009.0</v>
      </c>
      <c r="L221" s="24"/>
      <c r="M221" s="12" t="s">
        <v>137</v>
      </c>
      <c r="N221" s="23"/>
      <c r="O221" s="22"/>
      <c r="P221" s="22"/>
    </row>
    <row r="222" ht="22.5" customHeight="1">
      <c r="A222" s="12" t="s">
        <v>65</v>
      </c>
      <c r="B222" s="20" t="str">
        <f>IFERROR(VLOOKUP(A222,Sheet1!$E$3:$H$27,4,0),"")</f>
        <v>P3</v>
      </c>
      <c r="C222" s="15"/>
      <c r="D222" s="12" t="s">
        <v>64</v>
      </c>
      <c r="E222" s="13" t="str">
        <f>IFERROR(VLOOKUP(D222,Sheet1!$B$1:$C$45,2,0),"")</f>
        <v>TE</v>
      </c>
      <c r="F222" s="12" t="s">
        <v>179</v>
      </c>
      <c r="G222" s="13" t="str">
        <f t="shared" si="3"/>
        <v>Palangkaraya</v>
      </c>
      <c r="H222" s="15" t="str">
        <f>IFERROR(VLOOKUP(A222,Sheet1!$E$3:$F$27,2,),"")</f>
        <v>Standby</v>
      </c>
      <c r="I222" s="16" t="str">
        <f>IFERROR(VLOOKUP(A222,Sheet1!$E$3:$G$27,3,0),"")</f>
        <v>Standby On Call</v>
      </c>
      <c r="J222" s="12" t="s">
        <v>66</v>
      </c>
      <c r="K222" s="17">
        <v>46009.0</v>
      </c>
      <c r="L222" s="24"/>
      <c r="M222" s="12" t="s">
        <v>137</v>
      </c>
      <c r="N222" s="23"/>
      <c r="O222" s="22"/>
      <c r="P222" s="22"/>
    </row>
    <row r="223" ht="22.5" customHeight="1">
      <c r="A223" s="12" t="s">
        <v>65</v>
      </c>
      <c r="B223" s="20" t="str">
        <f>IFERROR(VLOOKUP(A223,Sheet1!$E$3:$H$27,4,0),"")</f>
        <v>P3</v>
      </c>
      <c r="C223" s="15"/>
      <c r="D223" s="12" t="s">
        <v>75</v>
      </c>
      <c r="E223" s="13" t="str">
        <f>IFERROR(VLOOKUP(D223,Sheet1!$B$1:$C$45,2,0),"")</f>
        <v>CME</v>
      </c>
      <c r="F223" s="12" t="s">
        <v>179</v>
      </c>
      <c r="G223" s="13" t="str">
        <f t="shared" si="3"/>
        <v>Palangkaraya</v>
      </c>
      <c r="H223" s="15" t="str">
        <f>IFERROR(VLOOKUP(A223,Sheet1!$E$3:$F$27,2,),"")</f>
        <v>Standby</v>
      </c>
      <c r="I223" s="16" t="str">
        <f>IFERROR(VLOOKUP(A223,Sheet1!$E$3:$G$27,3,0),"")</f>
        <v>Standby On Call</v>
      </c>
      <c r="J223" s="12" t="s">
        <v>66</v>
      </c>
      <c r="K223" s="17">
        <v>46009.0</v>
      </c>
      <c r="L223" s="24"/>
      <c r="M223" s="12" t="s">
        <v>137</v>
      </c>
      <c r="N223" s="23"/>
      <c r="O223" s="22"/>
      <c r="P223" s="22"/>
    </row>
    <row r="224" ht="22.5" customHeight="1">
      <c r="A224" s="12" t="s">
        <v>65</v>
      </c>
      <c r="B224" s="20" t="str">
        <f>IFERROR(VLOOKUP(A224,Sheet1!$E$3:$H$27,4,0),"")</f>
        <v>P3</v>
      </c>
      <c r="C224" s="15"/>
      <c r="D224" s="12" t="s">
        <v>67</v>
      </c>
      <c r="E224" s="12" t="s">
        <v>1</v>
      </c>
      <c r="F224" s="12" t="s">
        <v>179</v>
      </c>
      <c r="G224" s="13" t="str">
        <f t="shared" si="3"/>
        <v>Palangkaraya</v>
      </c>
      <c r="H224" s="15" t="str">
        <f>IFERROR(VLOOKUP(A224,Sheet1!$E$3:$F$27,2,),"")</f>
        <v>Standby</v>
      </c>
      <c r="I224" s="16" t="str">
        <f>IFERROR(VLOOKUP(A224,Sheet1!$E$3:$G$27,3,0),"")</f>
        <v>Standby On Call</v>
      </c>
      <c r="J224" s="12" t="s">
        <v>66</v>
      </c>
      <c r="K224" s="17">
        <v>46009.0</v>
      </c>
      <c r="L224" s="24"/>
      <c r="M224" s="12" t="s">
        <v>137</v>
      </c>
      <c r="N224" s="23"/>
      <c r="O224" s="22"/>
      <c r="P224" s="22"/>
    </row>
    <row r="225" ht="22.5" customHeight="1">
      <c r="A225" s="12" t="s">
        <v>65</v>
      </c>
      <c r="B225" s="20" t="str">
        <f>IFERROR(VLOOKUP(A225,Sheet1!$E$3:$H$27,4,0),"")</f>
        <v>P3</v>
      </c>
      <c r="C225" s="15"/>
      <c r="D225" s="12" t="s">
        <v>54</v>
      </c>
      <c r="E225" s="13" t="str">
        <f>IFERROR(VLOOKUP(D225,Sheet1!$B$1:$C$45,2,0),"")</f>
        <v>MBP</v>
      </c>
      <c r="F225" s="12" t="s">
        <v>179</v>
      </c>
      <c r="G225" s="13" t="str">
        <f t="shared" si="3"/>
        <v>Palangkaraya</v>
      </c>
      <c r="H225" s="15" t="str">
        <f>IFERROR(VLOOKUP(A225,Sheet1!$E$3:$F$27,2,),"")</f>
        <v>Standby</v>
      </c>
      <c r="I225" s="16" t="str">
        <f>IFERROR(VLOOKUP(A225,Sheet1!$E$3:$G$27,3,0),"")</f>
        <v>Standby On Call</v>
      </c>
      <c r="J225" s="12" t="s">
        <v>66</v>
      </c>
      <c r="K225" s="17">
        <v>46009.0</v>
      </c>
      <c r="L225" s="24"/>
      <c r="M225" s="12" t="s">
        <v>137</v>
      </c>
      <c r="N225" s="23"/>
      <c r="O225" s="22"/>
      <c r="P225" s="22"/>
    </row>
    <row r="226" ht="22.5" customHeight="1">
      <c r="A226" s="12" t="s">
        <v>22</v>
      </c>
      <c r="B226" s="20" t="str">
        <f>IFERROR(VLOOKUP(A226,Sheet1!$E$3:$H$27,4,0),"")</f>
        <v>P2</v>
      </c>
      <c r="C226" s="14" t="s">
        <v>183</v>
      </c>
      <c r="D226" s="12" t="s">
        <v>85</v>
      </c>
      <c r="E226" s="13" t="str">
        <f>IFERROR(VLOOKUP(D226,Sheet1!$B$1:$C$45,2,0),"")</f>
        <v>PM</v>
      </c>
      <c r="F226" s="12" t="s">
        <v>108</v>
      </c>
      <c r="G226" s="13" t="str">
        <f t="shared" si="3"/>
        <v>Barito Raya</v>
      </c>
      <c r="H226" s="15" t="str">
        <f>IFERROR(VLOOKUP(A226,Sheet1!$E$3:$F$27,2,),"")</f>
        <v>Preventive</v>
      </c>
      <c r="I226" s="16" t="str">
        <f>IFERROR(VLOOKUP(A226,Sheet1!$E$3:$G$27,3,0),"")</f>
        <v>Preventive Maintenance</v>
      </c>
      <c r="J226" s="12" t="s">
        <v>112</v>
      </c>
      <c r="K226" s="17">
        <v>46009.0</v>
      </c>
      <c r="L226" s="17">
        <v>46009.0</v>
      </c>
      <c r="M226" s="12" t="s">
        <v>109</v>
      </c>
      <c r="N226" s="23"/>
      <c r="O226" s="22"/>
      <c r="P226" s="22"/>
    </row>
    <row r="227" ht="22.5" customHeight="1">
      <c r="A227" s="12" t="s">
        <v>22</v>
      </c>
      <c r="B227" s="20" t="str">
        <f>IFERROR(VLOOKUP(A227,Sheet1!$E$3:$H$27,4,0),"")</f>
        <v>P2</v>
      </c>
      <c r="C227" s="14" t="s">
        <v>273</v>
      </c>
      <c r="D227" s="12" t="s">
        <v>84</v>
      </c>
      <c r="E227" s="13" t="str">
        <f>IFERROR(VLOOKUP(D227,Sheet1!$B$1:$C$45,2,0),"")</f>
        <v>MBP</v>
      </c>
      <c r="F227" s="12" t="s">
        <v>108</v>
      </c>
      <c r="G227" s="13" t="str">
        <f t="shared" si="3"/>
        <v>Barito Raya</v>
      </c>
      <c r="H227" s="15" t="str">
        <f>IFERROR(VLOOKUP(A227,Sheet1!$E$3:$F$27,2,),"")</f>
        <v>Preventive</v>
      </c>
      <c r="I227" s="16" t="str">
        <f>IFERROR(VLOOKUP(A227,Sheet1!$E$3:$G$27,3,0),"")</f>
        <v>Preventive Maintenance</v>
      </c>
      <c r="J227" s="12" t="s">
        <v>112</v>
      </c>
      <c r="K227" s="17">
        <v>46009.0</v>
      </c>
      <c r="L227" s="17">
        <v>46009.0</v>
      </c>
      <c r="M227" s="12" t="s">
        <v>109</v>
      </c>
      <c r="N227" s="23"/>
      <c r="O227" s="22"/>
      <c r="P227" s="22"/>
    </row>
    <row r="228" ht="22.5" customHeight="1">
      <c r="A228" s="12" t="s">
        <v>22</v>
      </c>
      <c r="B228" s="20" t="str">
        <f>IFERROR(VLOOKUP(A228,Sheet1!$E$3:$H$27,4,0),"")</f>
        <v>P2</v>
      </c>
      <c r="C228" s="14" t="s">
        <v>274</v>
      </c>
      <c r="D228" s="12" t="s">
        <v>86</v>
      </c>
      <c r="E228" s="13" t="str">
        <f>IFERROR(VLOOKUP(D228,Sheet1!$B$1:$C$45,2,0),"")</f>
        <v>PM</v>
      </c>
      <c r="F228" s="12" t="s">
        <v>108</v>
      </c>
      <c r="G228" s="13" t="str">
        <f t="shared" si="3"/>
        <v>Barito Raya</v>
      </c>
      <c r="H228" s="15" t="str">
        <f>IFERROR(VLOOKUP(A228,Sheet1!$E$3:$F$27,2,),"")</f>
        <v>Preventive</v>
      </c>
      <c r="I228" s="16" t="str">
        <f>IFERROR(VLOOKUP(A228,Sheet1!$E$3:$G$27,3,0),"")</f>
        <v>Preventive Maintenance</v>
      </c>
      <c r="J228" s="12" t="s">
        <v>112</v>
      </c>
      <c r="K228" s="17">
        <v>46009.0</v>
      </c>
      <c r="L228" s="17">
        <v>46009.0</v>
      </c>
      <c r="M228" s="12" t="s">
        <v>109</v>
      </c>
      <c r="N228" s="23"/>
      <c r="O228" s="22"/>
      <c r="P228" s="22"/>
    </row>
    <row r="229" ht="22.5" customHeight="1">
      <c r="A229" s="12" t="s">
        <v>33</v>
      </c>
      <c r="B229" s="20" t="str">
        <f>IFERROR(VLOOKUP(A229,Sheet1!$E$3:$H$27,4,0),"")</f>
        <v>P2</v>
      </c>
      <c r="C229" s="14" t="s">
        <v>273</v>
      </c>
      <c r="D229" s="12" t="s">
        <v>12</v>
      </c>
      <c r="E229" s="13" t="str">
        <f>IFERROR(VLOOKUP(D229,Sheet1!$B$1:$C$45,2,0),"")</f>
        <v>TE</v>
      </c>
      <c r="F229" s="12" t="s">
        <v>108</v>
      </c>
      <c r="G229" s="13" t="str">
        <f t="shared" si="3"/>
        <v>Barito Raya</v>
      </c>
      <c r="H229" s="15" t="str">
        <f>IFERROR(VLOOKUP(A229,Sheet1!$E$3:$F$27,2,),"")</f>
        <v>Preventive</v>
      </c>
      <c r="I229" s="16" t="str">
        <f>IFERROR(VLOOKUP(A229,Sheet1!$E$3:$G$27,3,0),"")</f>
        <v>Pengukuran dan pengambilan data log serta input Gdoc BBT</v>
      </c>
      <c r="J229" s="12" t="s">
        <v>112</v>
      </c>
      <c r="K229" s="17">
        <v>46010.0</v>
      </c>
      <c r="L229" s="17">
        <v>46010.0</v>
      </c>
      <c r="M229" s="12" t="s">
        <v>109</v>
      </c>
      <c r="N229" s="23"/>
      <c r="O229" s="22"/>
      <c r="P229" s="22"/>
    </row>
    <row r="230" ht="22.5" customHeight="1">
      <c r="A230" s="12" t="s">
        <v>33</v>
      </c>
      <c r="B230" s="20" t="str">
        <f>IFERROR(VLOOKUP(A230,Sheet1!$E$3:$H$27,4,0),"")</f>
        <v>P2</v>
      </c>
      <c r="C230" s="14" t="s">
        <v>275</v>
      </c>
      <c r="D230" s="12" t="s">
        <v>16</v>
      </c>
      <c r="E230" s="13" t="str">
        <f>IFERROR(VLOOKUP(D230,Sheet1!$B$1:$C$45,2,0),"")</f>
        <v>TE</v>
      </c>
      <c r="F230" s="12" t="s">
        <v>108</v>
      </c>
      <c r="G230" s="13" t="str">
        <f t="shared" si="3"/>
        <v>Barito Raya</v>
      </c>
      <c r="H230" s="15" t="str">
        <f>IFERROR(VLOOKUP(A230,Sheet1!$E$3:$F$27,2,),"")</f>
        <v>Preventive</v>
      </c>
      <c r="I230" s="16" t="str">
        <f>IFERROR(VLOOKUP(A230,Sheet1!$E$3:$G$27,3,0),"")</f>
        <v>Pengukuran dan pengambilan data log serta input Gdoc BBT</v>
      </c>
      <c r="J230" s="12" t="s">
        <v>112</v>
      </c>
      <c r="K230" s="17">
        <v>46010.0</v>
      </c>
      <c r="L230" s="17">
        <v>46010.0</v>
      </c>
      <c r="M230" s="12" t="s">
        <v>109</v>
      </c>
      <c r="N230" s="23"/>
      <c r="O230" s="22"/>
      <c r="P230" s="22"/>
    </row>
    <row r="231" ht="22.5" customHeight="1">
      <c r="A231" s="12" t="s">
        <v>33</v>
      </c>
      <c r="B231" s="20" t="str">
        <f>IFERROR(VLOOKUP(A231,Sheet1!$E$3:$H$27,4,0),"")</f>
        <v>P2</v>
      </c>
      <c r="C231" s="14" t="s">
        <v>276</v>
      </c>
      <c r="D231" s="12" t="s">
        <v>21</v>
      </c>
      <c r="E231" s="13" t="str">
        <f>IFERROR(VLOOKUP(D231,Sheet1!$B$1:$C$45,2,0),"")</f>
        <v>TE</v>
      </c>
      <c r="F231" s="12" t="s">
        <v>108</v>
      </c>
      <c r="G231" s="13" t="str">
        <f t="shared" si="3"/>
        <v>Barito Raya</v>
      </c>
      <c r="H231" s="15" t="str">
        <f>IFERROR(VLOOKUP(A231,Sheet1!$E$3:$F$27,2,),"")</f>
        <v>Preventive</v>
      </c>
      <c r="I231" s="16" t="str">
        <f>IFERROR(VLOOKUP(A231,Sheet1!$E$3:$G$27,3,0),"")</f>
        <v>Pengukuran dan pengambilan data log serta input Gdoc BBT</v>
      </c>
      <c r="J231" s="12" t="s">
        <v>112</v>
      </c>
      <c r="K231" s="17">
        <v>46010.0</v>
      </c>
      <c r="L231" s="17">
        <v>46010.0</v>
      </c>
      <c r="M231" s="12" t="s">
        <v>109</v>
      </c>
      <c r="N231" s="23"/>
      <c r="O231" s="22"/>
      <c r="P231" s="22"/>
    </row>
    <row r="232" ht="22.5" customHeight="1">
      <c r="A232" s="12" t="s">
        <v>52</v>
      </c>
      <c r="B232" s="20" t="str">
        <f>IFERROR(VLOOKUP(A232,Sheet1!$E$3:$H$27,4,0),"")</f>
        <v>P1</v>
      </c>
      <c r="C232" s="14" t="s">
        <v>277</v>
      </c>
      <c r="D232" s="12" t="s">
        <v>26</v>
      </c>
      <c r="E232" s="13" t="str">
        <f>IFERROR(VLOOKUP(D232,Sheet1!$B$1:$C$45,2,0),"")</f>
        <v>TE</v>
      </c>
      <c r="F232" s="12" t="s">
        <v>108</v>
      </c>
      <c r="G232" s="13" t="str">
        <f t="shared" si="3"/>
        <v>Barito Raya</v>
      </c>
      <c r="H232" s="15" t="str">
        <f>IFERROR(VLOOKUP(A232,Sheet1!$E$3:$F$27,2,),"")</f>
        <v>Preventive</v>
      </c>
      <c r="I232" s="16" t="str">
        <f>IFERROR(VLOOKUP(A232,Sheet1!$E$3:$G$27,3,0),"")</f>
        <v>MCB trip/Power upnormal</v>
      </c>
      <c r="J232" s="12" t="s">
        <v>112</v>
      </c>
      <c r="K232" s="17">
        <v>46010.0</v>
      </c>
      <c r="L232" s="17">
        <v>46010.0</v>
      </c>
      <c r="M232" s="12" t="s">
        <v>109</v>
      </c>
      <c r="N232" s="23"/>
      <c r="O232" s="22"/>
      <c r="P232" s="22"/>
    </row>
    <row r="233" ht="22.5" customHeight="1">
      <c r="A233" s="12" t="s">
        <v>52</v>
      </c>
      <c r="B233" s="20" t="str">
        <f>IFERROR(VLOOKUP(A233,Sheet1!$E$3:$H$27,4,0),"")</f>
        <v>P1</v>
      </c>
      <c r="C233" s="14" t="s">
        <v>115</v>
      </c>
      <c r="D233" s="12" t="s">
        <v>88</v>
      </c>
      <c r="E233" s="13" t="str">
        <f>IFERROR(VLOOKUP(D233,Sheet1!$B$1:$C$45,2,0),"")</f>
        <v>TE</v>
      </c>
      <c r="F233" s="12" t="s">
        <v>108</v>
      </c>
      <c r="G233" s="13" t="str">
        <f t="shared" si="3"/>
        <v>Barito Raya</v>
      </c>
      <c r="H233" s="15" t="str">
        <f>IFERROR(VLOOKUP(A233,Sheet1!$E$3:$F$27,2,),"")</f>
        <v>Preventive</v>
      </c>
      <c r="I233" s="16" t="str">
        <f>IFERROR(VLOOKUP(A233,Sheet1!$E$3:$G$27,3,0),"")</f>
        <v>MCB trip/Power upnormal</v>
      </c>
      <c r="J233" s="12" t="s">
        <v>112</v>
      </c>
      <c r="K233" s="17">
        <v>46010.0</v>
      </c>
      <c r="L233" s="17">
        <v>46010.0</v>
      </c>
      <c r="M233" s="12" t="s">
        <v>109</v>
      </c>
      <c r="N233" s="23"/>
      <c r="O233" s="22"/>
      <c r="P233" s="22"/>
    </row>
    <row r="234" ht="22.5" customHeight="1">
      <c r="A234" s="12" t="s">
        <v>5</v>
      </c>
      <c r="B234" s="20" t="str">
        <f>IFERROR(VLOOKUP(A234,Sheet1!$E$3:$H$27,4,0),"")</f>
        <v>P1</v>
      </c>
      <c r="C234" s="14" t="s">
        <v>278</v>
      </c>
      <c r="D234" s="12" t="s">
        <v>32</v>
      </c>
      <c r="E234" s="13" t="str">
        <f>IFERROR(VLOOKUP(D234,Sheet1!$B$1:$C$45,2,0),"")</f>
        <v>TE</v>
      </c>
      <c r="F234" s="12" t="s">
        <v>108</v>
      </c>
      <c r="G234" s="13" t="str">
        <f t="shared" si="3"/>
        <v>Barito Raya</v>
      </c>
      <c r="H234" s="15" t="str">
        <f>IFERROR(VLOOKUP(A234,Sheet1!$E$3:$F$27,2,),"")</f>
        <v>Corrective</v>
      </c>
      <c r="I234" s="16" t="str">
        <f>IFERROR(VLOOKUP(A234,Sheet1!$E$3:$G$27,3,0),"")</f>
        <v>Replace Optik,RRU/Soket Power/Replace GPS</v>
      </c>
      <c r="J234" s="12" t="s">
        <v>112</v>
      </c>
      <c r="K234" s="17">
        <v>46010.0</v>
      </c>
      <c r="L234" s="17">
        <v>46010.0</v>
      </c>
      <c r="M234" s="12" t="s">
        <v>109</v>
      </c>
      <c r="N234" s="23"/>
      <c r="O234" s="22"/>
      <c r="P234" s="22"/>
    </row>
    <row r="235" ht="22.5" customHeight="1">
      <c r="A235" s="12" t="s">
        <v>52</v>
      </c>
      <c r="B235" s="20" t="str">
        <f>IFERROR(VLOOKUP(A235,Sheet1!$E$3:$H$27,4,0),"")</f>
        <v>P1</v>
      </c>
      <c r="C235" s="14" t="s">
        <v>279</v>
      </c>
      <c r="D235" s="12" t="s">
        <v>74</v>
      </c>
      <c r="E235" s="13" t="str">
        <f>IFERROR(VLOOKUP(D235,Sheet1!$B$1:$C$45,2,0),"")</f>
        <v>TE</v>
      </c>
      <c r="F235" s="12" t="s">
        <v>108</v>
      </c>
      <c r="G235" s="13" t="str">
        <f t="shared" si="3"/>
        <v>Barito Raya</v>
      </c>
      <c r="H235" s="15" t="str">
        <f>IFERROR(VLOOKUP(A235,Sheet1!$E$3:$F$27,2,),"")</f>
        <v>Preventive</v>
      </c>
      <c r="I235" s="16" t="str">
        <f>IFERROR(VLOOKUP(A235,Sheet1!$E$3:$G$27,3,0),"")</f>
        <v>MCB trip/Power upnormal</v>
      </c>
      <c r="J235" s="12" t="s">
        <v>112</v>
      </c>
      <c r="K235" s="17">
        <v>46010.0</v>
      </c>
      <c r="L235" s="17">
        <v>46010.0</v>
      </c>
      <c r="M235" s="12" t="s">
        <v>109</v>
      </c>
      <c r="N235" s="23"/>
      <c r="O235" s="22"/>
      <c r="P235" s="22"/>
    </row>
    <row r="236" ht="22.5" customHeight="1">
      <c r="A236" s="12" t="s">
        <v>22</v>
      </c>
      <c r="B236" s="20" t="str">
        <f>IFERROR(VLOOKUP(A236,Sheet1!$E$3:$H$27,4,0),"")</f>
        <v>P2</v>
      </c>
      <c r="C236" s="14" t="s">
        <v>280</v>
      </c>
      <c r="D236" s="12" t="s">
        <v>60</v>
      </c>
      <c r="E236" s="13" t="str">
        <f>IFERROR(VLOOKUP(D236,Sheet1!$B$1:$C$45,2,0),"")</f>
        <v>TE</v>
      </c>
      <c r="F236" s="12" t="s">
        <v>108</v>
      </c>
      <c r="G236" s="13" t="str">
        <f t="shared" si="3"/>
        <v>Barito Raya</v>
      </c>
      <c r="H236" s="15" t="str">
        <f>IFERROR(VLOOKUP(A236,Sheet1!$E$3:$F$27,2,),"")</f>
        <v>Preventive</v>
      </c>
      <c r="I236" s="16" t="str">
        <f>IFERROR(VLOOKUP(A236,Sheet1!$E$3:$G$27,3,0),"")</f>
        <v>Preventive Maintenance</v>
      </c>
      <c r="J236" s="12" t="s">
        <v>112</v>
      </c>
      <c r="K236" s="17">
        <v>46010.0</v>
      </c>
      <c r="L236" s="17">
        <v>46010.0</v>
      </c>
      <c r="M236" s="12" t="s">
        <v>109</v>
      </c>
      <c r="N236" s="23"/>
      <c r="O236" s="22"/>
      <c r="P236" s="22"/>
    </row>
    <row r="237" ht="22.5" customHeight="1">
      <c r="A237" s="12" t="s">
        <v>5</v>
      </c>
      <c r="B237" s="20" t="str">
        <f>IFERROR(VLOOKUP(A237,Sheet1!$E$3:$H$27,4,0),"")</f>
        <v>P1</v>
      </c>
      <c r="C237" s="14" t="s">
        <v>281</v>
      </c>
      <c r="D237" s="12" t="s">
        <v>62</v>
      </c>
      <c r="E237" s="13" t="str">
        <f>IFERROR(VLOOKUP(D237,Sheet1!$B$1:$C$45,2,0),"")</f>
        <v>TE</v>
      </c>
      <c r="F237" s="12" t="s">
        <v>108</v>
      </c>
      <c r="G237" s="13" t="str">
        <f t="shared" si="3"/>
        <v>Barito Raya</v>
      </c>
      <c r="H237" s="15" t="str">
        <f>IFERROR(VLOOKUP(A237,Sheet1!$E$3:$F$27,2,),"")</f>
        <v>Corrective</v>
      </c>
      <c r="I237" s="16" t="str">
        <f>IFERROR(VLOOKUP(A237,Sheet1!$E$3:$G$27,3,0),"")</f>
        <v>Replace Optik,RRU/Soket Power/Replace GPS</v>
      </c>
      <c r="J237" s="12" t="s">
        <v>112</v>
      </c>
      <c r="K237" s="17">
        <v>46010.0</v>
      </c>
      <c r="L237" s="17">
        <v>46010.0</v>
      </c>
      <c r="M237" s="12" t="s">
        <v>109</v>
      </c>
      <c r="N237" s="23"/>
      <c r="O237" s="22"/>
      <c r="P237" s="22"/>
    </row>
    <row r="238" ht="22.5" customHeight="1">
      <c r="A238" s="12" t="s">
        <v>65</v>
      </c>
      <c r="B238" s="20" t="str">
        <f>IFERROR(VLOOKUP(A238,Sheet1!$E$3:$H$27,4,0),"")</f>
        <v>P3</v>
      </c>
      <c r="C238" s="15"/>
      <c r="D238" s="12" t="s">
        <v>0</v>
      </c>
      <c r="E238" s="13" t="str">
        <f>IFERROR(VLOOKUP(D238,Sheet1!$B$1:$C$45,2,0),"")</f>
        <v>MBP</v>
      </c>
      <c r="F238" s="12" t="s">
        <v>108</v>
      </c>
      <c r="G238" s="13" t="str">
        <f t="shared" si="3"/>
        <v>Barito Raya</v>
      </c>
      <c r="H238" s="15" t="str">
        <f>IFERROR(VLOOKUP(A238,Sheet1!$E$3:$F$27,2,),"")</f>
        <v>Standby</v>
      </c>
      <c r="I238" s="16" t="str">
        <f>IFERROR(VLOOKUP(A238,Sheet1!$E$3:$G$27,3,0),"")</f>
        <v>Standby On Call</v>
      </c>
      <c r="J238" s="20"/>
      <c r="K238" s="17">
        <v>46010.0</v>
      </c>
      <c r="L238" s="17">
        <v>46010.0</v>
      </c>
      <c r="M238" s="13"/>
      <c r="N238" s="23"/>
      <c r="O238" s="22"/>
      <c r="P238" s="22"/>
    </row>
    <row r="239" ht="22.5" customHeight="1">
      <c r="A239" s="12" t="s">
        <v>65</v>
      </c>
      <c r="B239" s="20" t="str">
        <f>IFERROR(VLOOKUP(A239,Sheet1!$E$3:$H$27,4,0),"")</f>
        <v>P3</v>
      </c>
      <c r="C239" s="15"/>
      <c r="D239" s="12" t="s">
        <v>2</v>
      </c>
      <c r="E239" s="13" t="str">
        <f>IFERROR(VLOOKUP(D239,Sheet1!$B$1:$C$45,2,0),"")</f>
        <v>CME</v>
      </c>
      <c r="F239" s="12" t="s">
        <v>108</v>
      </c>
      <c r="G239" s="13" t="str">
        <f t="shared" si="3"/>
        <v>Barito Raya</v>
      </c>
      <c r="H239" s="15" t="str">
        <f>IFERROR(VLOOKUP(A239,Sheet1!$E$3:$F$27,2,),"")</f>
        <v>Standby</v>
      </c>
      <c r="I239" s="16" t="str">
        <f>IFERROR(VLOOKUP(A239,Sheet1!$E$3:$G$27,3,0),"")</f>
        <v>Standby On Call</v>
      </c>
      <c r="J239" s="20"/>
      <c r="K239" s="17">
        <v>46010.0</v>
      </c>
      <c r="L239" s="17">
        <v>46010.0</v>
      </c>
      <c r="M239" s="13"/>
      <c r="N239" s="23"/>
      <c r="O239" s="22"/>
      <c r="P239" s="22"/>
    </row>
    <row r="240" ht="22.5" customHeight="1">
      <c r="A240" s="12" t="s">
        <v>52</v>
      </c>
      <c r="B240" s="20" t="str">
        <f>IFERROR(VLOOKUP(A240,Sheet1!$E$3:$H$27,4,0),"")</f>
        <v>P1</v>
      </c>
      <c r="C240" s="14" t="s">
        <v>161</v>
      </c>
      <c r="D240" s="12" t="s">
        <v>4</v>
      </c>
      <c r="E240" s="13" t="str">
        <f>IFERROR(VLOOKUP(D240,Sheet1!$B$1:$C$45,2,0),"")</f>
        <v>CME</v>
      </c>
      <c r="F240" s="12" t="s">
        <v>108</v>
      </c>
      <c r="G240" s="13" t="str">
        <f t="shared" si="3"/>
        <v>Barito Raya</v>
      </c>
      <c r="H240" s="15" t="str">
        <f>IFERROR(VLOOKUP(A240,Sheet1!$E$3:$F$27,2,),"")</f>
        <v>Preventive</v>
      </c>
      <c r="I240" s="16" t="str">
        <f>IFERROR(VLOOKUP(A240,Sheet1!$E$3:$G$27,3,0),"")</f>
        <v>MCB trip/Power upnormal</v>
      </c>
      <c r="J240" s="12" t="s">
        <v>112</v>
      </c>
      <c r="K240" s="17">
        <v>46010.0</v>
      </c>
      <c r="L240" s="17">
        <v>46010.0</v>
      </c>
      <c r="M240" s="12" t="s">
        <v>109</v>
      </c>
      <c r="N240" s="23"/>
      <c r="O240" s="22"/>
      <c r="P240" s="22"/>
    </row>
    <row r="241" ht="22.5" customHeight="1">
      <c r="A241" s="12" t="s">
        <v>65</v>
      </c>
      <c r="B241" s="20" t="str">
        <f>IFERROR(VLOOKUP(A241,Sheet1!$E$3:$H$27,4,0),"")</f>
        <v>P3</v>
      </c>
      <c r="C241" s="15"/>
      <c r="D241" s="12" t="s">
        <v>9</v>
      </c>
      <c r="E241" s="13" t="str">
        <f>IFERROR(VLOOKUP(D241,Sheet1!$B$1:$C$45,2,0),"")</f>
        <v>MBP</v>
      </c>
      <c r="F241" s="12" t="s">
        <v>108</v>
      </c>
      <c r="G241" s="13" t="str">
        <f t="shared" si="3"/>
        <v>Barito Raya</v>
      </c>
      <c r="H241" s="15" t="str">
        <f>IFERROR(VLOOKUP(A241,Sheet1!$E$3:$F$27,2,),"")</f>
        <v>Standby</v>
      </c>
      <c r="I241" s="16" t="str">
        <f>IFERROR(VLOOKUP(A241,Sheet1!$E$3:$G$27,3,0),"")</f>
        <v>Standby On Call</v>
      </c>
      <c r="J241" s="20"/>
      <c r="K241" s="17">
        <v>46010.0</v>
      </c>
      <c r="L241" s="17">
        <v>46010.0</v>
      </c>
      <c r="M241" s="13"/>
      <c r="N241" s="23"/>
      <c r="O241" s="22"/>
      <c r="P241" s="22"/>
    </row>
    <row r="242" ht="22.5" customHeight="1">
      <c r="A242" s="12" t="s">
        <v>65</v>
      </c>
      <c r="B242" s="20" t="str">
        <f>IFERROR(VLOOKUP(A242,Sheet1!$E$3:$H$27,4,0),"")</f>
        <v>P3</v>
      </c>
      <c r="C242" s="15"/>
      <c r="D242" s="12" t="s">
        <v>24</v>
      </c>
      <c r="E242" s="13" t="str">
        <f>IFERROR(VLOOKUP(D242,Sheet1!$B$1:$C$45,2,0),"")</f>
        <v>MBP</v>
      </c>
      <c r="F242" s="12" t="s">
        <v>108</v>
      </c>
      <c r="G242" s="13" t="str">
        <f t="shared" si="3"/>
        <v>Barito Raya</v>
      </c>
      <c r="H242" s="15" t="str">
        <f>IFERROR(VLOOKUP(A242,Sheet1!$E$3:$F$27,2,),"")</f>
        <v>Standby</v>
      </c>
      <c r="I242" s="16" t="str">
        <f>IFERROR(VLOOKUP(A242,Sheet1!$E$3:$G$27,3,0),"")</f>
        <v>Standby On Call</v>
      </c>
      <c r="J242" s="20"/>
      <c r="K242" s="17">
        <v>46010.0</v>
      </c>
      <c r="L242" s="17">
        <v>46010.0</v>
      </c>
      <c r="M242" s="13"/>
      <c r="N242" s="23"/>
      <c r="O242" s="22"/>
      <c r="P242" s="22"/>
    </row>
    <row r="243" ht="22.5" customHeight="1">
      <c r="A243" s="12" t="s">
        <v>65</v>
      </c>
      <c r="B243" s="20" t="str">
        <f>IFERROR(VLOOKUP(A243,Sheet1!$E$3:$H$27,4,0),"")</f>
        <v>P3</v>
      </c>
      <c r="C243" s="15"/>
      <c r="D243" s="12" t="s">
        <v>87</v>
      </c>
      <c r="E243" s="13" t="str">
        <f>IFERROR(VLOOKUP(D243,Sheet1!$B$1:$C$45,2,0),"")</f>
        <v>MBP</v>
      </c>
      <c r="F243" s="12" t="s">
        <v>108</v>
      </c>
      <c r="G243" s="13" t="str">
        <f t="shared" si="3"/>
        <v>Barito Raya</v>
      </c>
      <c r="H243" s="15" t="str">
        <f>IFERROR(VLOOKUP(A243,Sheet1!$E$3:$F$27,2,),"")</f>
        <v>Standby</v>
      </c>
      <c r="I243" s="16" t="str">
        <f>IFERROR(VLOOKUP(A243,Sheet1!$E$3:$G$27,3,0),"")</f>
        <v>Standby On Call</v>
      </c>
      <c r="J243" s="20"/>
      <c r="K243" s="17">
        <v>46010.0</v>
      </c>
      <c r="L243" s="17">
        <v>46010.0</v>
      </c>
      <c r="M243" s="13"/>
      <c r="N243" s="23"/>
      <c r="O243" s="22"/>
      <c r="P243" s="22"/>
    </row>
    <row r="244" ht="22.5" customHeight="1">
      <c r="A244" s="12" t="s">
        <v>65</v>
      </c>
      <c r="B244" s="20" t="str">
        <f>IFERROR(VLOOKUP(A244,Sheet1!$E$3:$H$27,4,0),"")</f>
        <v>P3</v>
      </c>
      <c r="C244" s="15"/>
      <c r="D244" s="12" t="s">
        <v>29</v>
      </c>
      <c r="E244" s="13" t="str">
        <f>IFERROR(VLOOKUP(D244,Sheet1!$B$1:$C$45,2,0),"")</f>
        <v>MBP</v>
      </c>
      <c r="F244" s="12" t="s">
        <v>108</v>
      </c>
      <c r="G244" s="13" t="str">
        <f t="shared" si="3"/>
        <v>Barito Raya</v>
      </c>
      <c r="H244" s="15" t="str">
        <f>IFERROR(VLOOKUP(A244,Sheet1!$E$3:$F$27,2,),"")</f>
        <v>Standby</v>
      </c>
      <c r="I244" s="16" t="str">
        <f>IFERROR(VLOOKUP(A244,Sheet1!$E$3:$G$27,3,0),"")</f>
        <v>Standby On Call</v>
      </c>
      <c r="J244" s="20"/>
      <c r="K244" s="17">
        <v>46010.0</v>
      </c>
      <c r="L244" s="17">
        <v>46010.0</v>
      </c>
      <c r="M244" s="13"/>
      <c r="N244" s="23"/>
      <c r="O244" s="22"/>
      <c r="P244" s="22"/>
    </row>
    <row r="245" ht="22.5" customHeight="1">
      <c r="A245" s="12" t="s">
        <v>22</v>
      </c>
      <c r="B245" s="20" t="str">
        <f>IFERROR(VLOOKUP(A245,Sheet1!$E$3:$H$27,4,0),"")</f>
        <v>P2</v>
      </c>
      <c r="C245" s="14" t="s">
        <v>282</v>
      </c>
      <c r="D245" s="12" t="s">
        <v>85</v>
      </c>
      <c r="E245" s="13" t="str">
        <f>IFERROR(VLOOKUP(D245,Sheet1!$B$1:$C$45,2,0),"")</f>
        <v>PM</v>
      </c>
      <c r="F245" s="12" t="s">
        <v>108</v>
      </c>
      <c r="G245" s="13" t="str">
        <f t="shared" si="3"/>
        <v>Barito Raya</v>
      </c>
      <c r="H245" s="15" t="str">
        <f>IFERROR(VLOOKUP(A245,Sheet1!$E$3:$F$27,2,),"")</f>
        <v>Preventive</v>
      </c>
      <c r="I245" s="16" t="str">
        <f>IFERROR(VLOOKUP(A245,Sheet1!$E$3:$G$27,3,0),"")</f>
        <v>Preventive Maintenance</v>
      </c>
      <c r="J245" s="12" t="s">
        <v>112</v>
      </c>
      <c r="K245" s="17">
        <v>46010.0</v>
      </c>
      <c r="L245" s="17">
        <v>46010.0</v>
      </c>
      <c r="M245" s="12" t="s">
        <v>109</v>
      </c>
      <c r="N245" s="23"/>
      <c r="O245" s="22"/>
      <c r="P245" s="22"/>
    </row>
    <row r="246" ht="22.5" customHeight="1">
      <c r="A246" s="12" t="s">
        <v>22</v>
      </c>
      <c r="B246" s="20" t="str">
        <f>IFERROR(VLOOKUP(A246,Sheet1!$E$3:$H$27,4,0),"")</f>
        <v>P2</v>
      </c>
      <c r="C246" s="14" t="s">
        <v>283</v>
      </c>
      <c r="D246" s="12" t="s">
        <v>84</v>
      </c>
      <c r="E246" s="13" t="str">
        <f>IFERROR(VLOOKUP(D246,Sheet1!$B$1:$C$45,2,0),"")</f>
        <v>MBP</v>
      </c>
      <c r="F246" s="12" t="s">
        <v>108</v>
      </c>
      <c r="G246" s="13" t="str">
        <f t="shared" si="3"/>
        <v>Barito Raya</v>
      </c>
      <c r="H246" s="15" t="str">
        <f>IFERROR(VLOOKUP(A246,Sheet1!$E$3:$F$27,2,),"")</f>
        <v>Preventive</v>
      </c>
      <c r="I246" s="16" t="str">
        <f>IFERROR(VLOOKUP(A246,Sheet1!$E$3:$G$27,3,0),"")</f>
        <v>Preventive Maintenance</v>
      </c>
      <c r="J246" s="12" t="s">
        <v>112</v>
      </c>
      <c r="K246" s="17">
        <v>46010.0</v>
      </c>
      <c r="L246" s="17">
        <v>46010.0</v>
      </c>
      <c r="M246" s="12" t="s">
        <v>109</v>
      </c>
      <c r="N246" s="23"/>
      <c r="O246" s="22"/>
      <c r="P246" s="22"/>
    </row>
    <row r="247" ht="22.5" hidden="1" customHeight="1">
      <c r="A247" s="12" t="s">
        <v>22</v>
      </c>
      <c r="B247" s="20" t="str">
        <f>IFERROR(VLOOKUP(A247,Sheet1!$E$3:$H$27,4,0),"")</f>
        <v>P2</v>
      </c>
      <c r="C247" s="14" t="s">
        <v>284</v>
      </c>
      <c r="D247" s="12" t="s">
        <v>86</v>
      </c>
      <c r="E247" s="13" t="str">
        <f>IFERROR(VLOOKUP(D247,Sheet1!$B$1:$C$45,2,0),"")</f>
        <v>PM</v>
      </c>
      <c r="F247" s="12" t="s">
        <v>108</v>
      </c>
      <c r="G247" s="13" t="str">
        <f t="shared" si="3"/>
        <v>Barito Raya</v>
      </c>
      <c r="H247" s="15" t="str">
        <f>IFERROR(VLOOKUP(A247,Sheet1!$E$3:$F$27,2,),"")</f>
        <v>Preventive</v>
      </c>
      <c r="I247" s="16" t="str">
        <f>IFERROR(VLOOKUP(A247,Sheet1!$E$3:$G$27,3,0),"")</f>
        <v>Preventive Maintenance</v>
      </c>
      <c r="J247" s="12" t="s">
        <v>112</v>
      </c>
      <c r="K247" s="17">
        <v>46010.0</v>
      </c>
      <c r="L247" s="17">
        <v>46010.0</v>
      </c>
      <c r="M247" s="12" t="s">
        <v>109</v>
      </c>
      <c r="N247" s="23"/>
      <c r="O247" s="22"/>
      <c r="P247" s="22"/>
    </row>
    <row r="248" ht="22.5" customHeight="1">
      <c r="A248" s="12" t="s">
        <v>33</v>
      </c>
      <c r="B248" s="20" t="str">
        <f>IFERROR(VLOOKUP(A248,Sheet1!$E$3:$H$27,4,0),"")</f>
        <v>P2</v>
      </c>
      <c r="C248" s="14" t="s">
        <v>285</v>
      </c>
      <c r="D248" s="12" t="s">
        <v>12</v>
      </c>
      <c r="E248" s="13" t="str">
        <f>IFERROR(VLOOKUP(D248,Sheet1!$B$1:$C$45,2,0),"")</f>
        <v>TE</v>
      </c>
      <c r="F248" s="12" t="s">
        <v>108</v>
      </c>
      <c r="G248" s="13" t="str">
        <f t="shared" si="3"/>
        <v>Barito Raya</v>
      </c>
      <c r="H248" s="15" t="str">
        <f>IFERROR(VLOOKUP(A248,Sheet1!$E$3:$F$27,2,),"")</f>
        <v>Preventive</v>
      </c>
      <c r="I248" s="16" t="str">
        <f>IFERROR(VLOOKUP(A248,Sheet1!$E$3:$G$27,3,0),"")</f>
        <v>Pengukuran dan pengambilan data log serta input Gdoc BBT</v>
      </c>
      <c r="J248" s="12" t="s">
        <v>112</v>
      </c>
      <c r="K248" s="17">
        <v>46013.0</v>
      </c>
      <c r="L248" s="17">
        <v>46013.0</v>
      </c>
      <c r="M248" s="12" t="s">
        <v>109</v>
      </c>
      <c r="N248" s="23"/>
      <c r="O248" s="22"/>
      <c r="P248" s="22"/>
    </row>
    <row r="249" ht="22.5" customHeight="1">
      <c r="A249" s="12" t="s">
        <v>72</v>
      </c>
      <c r="B249" s="20" t="str">
        <f>IFERROR(VLOOKUP(A249,Sheet1!$E$3:$H$27,4,0),"")</f>
        <v>P1</v>
      </c>
      <c r="C249" s="14" t="s">
        <v>286</v>
      </c>
      <c r="D249" s="12" t="s">
        <v>16</v>
      </c>
      <c r="E249" s="13" t="str">
        <f>IFERROR(VLOOKUP(D249,Sheet1!$B$1:$C$45,2,0),"")</f>
        <v>TE</v>
      </c>
      <c r="F249" s="12" t="s">
        <v>108</v>
      </c>
      <c r="G249" s="13" t="str">
        <f t="shared" si="3"/>
        <v>Barito Raya</v>
      </c>
      <c r="H249" s="15" t="str">
        <f>IFERROR(VLOOKUP(A249,Sheet1!$E$3:$F$27,2,),"")</f>
        <v>Corrective</v>
      </c>
      <c r="I249" s="16" t="str">
        <f>IFERROR(VLOOKUP(A249,Sheet1!$E$3:$G$27,3,0),"")</f>
        <v>Perbaikan Auto,pergantian relay,timer, yang berhubungan genset</v>
      </c>
      <c r="J249" s="12" t="s">
        <v>112</v>
      </c>
      <c r="K249" s="17">
        <v>46013.0</v>
      </c>
      <c r="L249" s="17">
        <v>46013.0</v>
      </c>
      <c r="M249" s="12" t="s">
        <v>109</v>
      </c>
      <c r="N249" s="23"/>
      <c r="O249" s="22"/>
      <c r="P249" s="22"/>
    </row>
    <row r="250" ht="22.5" customHeight="1">
      <c r="A250" s="12" t="s">
        <v>52</v>
      </c>
      <c r="B250" s="20" t="str">
        <f>IFERROR(VLOOKUP(A250,Sheet1!$E$3:$H$27,4,0),"")</f>
        <v>P1</v>
      </c>
      <c r="C250" s="14" t="s">
        <v>287</v>
      </c>
      <c r="D250" s="12" t="s">
        <v>21</v>
      </c>
      <c r="E250" s="13" t="str">
        <f>IFERROR(VLOOKUP(D250,Sheet1!$B$1:$C$45,2,0),"")</f>
        <v>TE</v>
      </c>
      <c r="F250" s="12" t="s">
        <v>108</v>
      </c>
      <c r="G250" s="13" t="str">
        <f t="shared" si="3"/>
        <v>Barito Raya</v>
      </c>
      <c r="H250" s="15" t="str">
        <f>IFERROR(VLOOKUP(A250,Sheet1!$E$3:$F$27,2,),"")</f>
        <v>Preventive</v>
      </c>
      <c r="I250" s="16" t="str">
        <f>IFERROR(VLOOKUP(A250,Sheet1!$E$3:$G$27,3,0),"")</f>
        <v>MCB trip/Power upnormal</v>
      </c>
      <c r="J250" s="12" t="s">
        <v>112</v>
      </c>
      <c r="K250" s="17">
        <v>46013.0</v>
      </c>
      <c r="L250" s="17">
        <v>46013.0</v>
      </c>
      <c r="M250" s="12" t="s">
        <v>109</v>
      </c>
      <c r="N250" s="23"/>
      <c r="O250" s="22"/>
      <c r="P250" s="22"/>
    </row>
    <row r="251" ht="22.5" customHeight="1">
      <c r="A251" s="12" t="s">
        <v>33</v>
      </c>
      <c r="B251" s="20" t="str">
        <f>IFERROR(VLOOKUP(A251,Sheet1!$E$3:$H$27,4,0),"")</f>
        <v>P2</v>
      </c>
      <c r="C251" s="14" t="s">
        <v>288</v>
      </c>
      <c r="D251" s="12" t="s">
        <v>26</v>
      </c>
      <c r="E251" s="13" t="str">
        <f>IFERROR(VLOOKUP(D251,Sheet1!$B$1:$C$45,2,0),"")</f>
        <v>TE</v>
      </c>
      <c r="F251" s="12" t="s">
        <v>108</v>
      </c>
      <c r="G251" s="13" t="str">
        <f t="shared" si="3"/>
        <v>Barito Raya</v>
      </c>
      <c r="H251" s="15" t="str">
        <f>IFERROR(VLOOKUP(A251,Sheet1!$E$3:$F$27,2,),"")</f>
        <v>Preventive</v>
      </c>
      <c r="I251" s="16" t="str">
        <f>IFERROR(VLOOKUP(A251,Sheet1!$E$3:$G$27,3,0),"")</f>
        <v>Pengukuran dan pengambilan data log serta input Gdoc BBT</v>
      </c>
      <c r="J251" s="12" t="s">
        <v>112</v>
      </c>
      <c r="K251" s="17">
        <v>46013.0</v>
      </c>
      <c r="L251" s="17">
        <v>46013.0</v>
      </c>
      <c r="M251" s="12" t="s">
        <v>109</v>
      </c>
      <c r="N251" s="23"/>
      <c r="O251" s="22"/>
      <c r="P251" s="22"/>
    </row>
    <row r="252" ht="22.5" customHeight="1">
      <c r="A252" s="12" t="s">
        <v>65</v>
      </c>
      <c r="B252" s="20" t="str">
        <f>IFERROR(VLOOKUP(A252,Sheet1!$E$3:$H$27,4,0),"")</f>
        <v>P3</v>
      </c>
      <c r="C252" s="15"/>
      <c r="D252" s="12" t="s">
        <v>88</v>
      </c>
      <c r="E252" s="13" t="str">
        <f>IFERROR(VLOOKUP(D252,Sheet1!$B$1:$C$45,2,0),"")</f>
        <v>TE</v>
      </c>
      <c r="F252" s="12" t="s">
        <v>108</v>
      </c>
      <c r="G252" s="13" t="str">
        <f t="shared" si="3"/>
        <v>Barito Raya</v>
      </c>
      <c r="H252" s="15" t="str">
        <f>IFERROR(VLOOKUP(A252,Sheet1!$E$3:$F$27,2,),"")</f>
        <v>Standby</v>
      </c>
      <c r="I252" s="16" t="str">
        <f>IFERROR(VLOOKUP(A252,Sheet1!$E$3:$G$27,3,0),"")</f>
        <v>Standby On Call</v>
      </c>
      <c r="J252" s="20"/>
      <c r="K252" s="17">
        <v>46013.0</v>
      </c>
      <c r="L252" s="17">
        <v>46013.0</v>
      </c>
      <c r="M252" s="13"/>
      <c r="N252" s="23"/>
      <c r="O252" s="22"/>
      <c r="P252" s="22"/>
    </row>
    <row r="253" ht="22.5" customHeight="1">
      <c r="A253" s="12" t="s">
        <v>33</v>
      </c>
      <c r="B253" s="20" t="str">
        <f>IFERROR(VLOOKUP(A253,Sheet1!$E$3:$H$27,4,0),"")</f>
        <v>P2</v>
      </c>
      <c r="C253" s="14" t="s">
        <v>289</v>
      </c>
      <c r="D253" s="12" t="s">
        <v>32</v>
      </c>
      <c r="E253" s="13" t="str">
        <f>IFERROR(VLOOKUP(D253,Sheet1!$B$1:$C$45,2,0),"")</f>
        <v>TE</v>
      </c>
      <c r="F253" s="12" t="s">
        <v>108</v>
      </c>
      <c r="G253" s="13" t="str">
        <f t="shared" si="3"/>
        <v>Barito Raya</v>
      </c>
      <c r="H253" s="15" t="str">
        <f>IFERROR(VLOOKUP(A253,Sheet1!$E$3:$F$27,2,),"")</f>
        <v>Preventive</v>
      </c>
      <c r="I253" s="16" t="str">
        <f>IFERROR(VLOOKUP(A253,Sheet1!$E$3:$G$27,3,0),"")</f>
        <v>Pengukuran dan pengambilan data log serta input Gdoc BBT</v>
      </c>
      <c r="J253" s="12" t="s">
        <v>112</v>
      </c>
      <c r="K253" s="17">
        <v>46013.0</v>
      </c>
      <c r="L253" s="17">
        <v>46013.0</v>
      </c>
      <c r="M253" s="12" t="s">
        <v>109</v>
      </c>
      <c r="N253" s="23"/>
      <c r="O253" s="22"/>
      <c r="P253" s="22"/>
    </row>
    <row r="254" ht="22.5" customHeight="1">
      <c r="A254" s="12" t="s">
        <v>22</v>
      </c>
      <c r="B254" s="20" t="str">
        <f>IFERROR(VLOOKUP(A254,Sheet1!$E$3:$H$27,4,0),"")</f>
        <v>P2</v>
      </c>
      <c r="C254" s="14" t="s">
        <v>290</v>
      </c>
      <c r="D254" s="12" t="s">
        <v>60</v>
      </c>
      <c r="E254" s="13" t="str">
        <f>IFERROR(VLOOKUP(D254,Sheet1!$B$1:$C$45,2,0),"")</f>
        <v>TE</v>
      </c>
      <c r="F254" s="12" t="s">
        <v>108</v>
      </c>
      <c r="G254" s="13" t="str">
        <f t="shared" si="3"/>
        <v>Barito Raya</v>
      </c>
      <c r="H254" s="15" t="str">
        <f>IFERROR(VLOOKUP(A254,Sheet1!$E$3:$F$27,2,),"")</f>
        <v>Preventive</v>
      </c>
      <c r="I254" s="16" t="str">
        <f>IFERROR(VLOOKUP(A254,Sheet1!$E$3:$G$27,3,0),"")</f>
        <v>Preventive Maintenance</v>
      </c>
      <c r="J254" s="12" t="s">
        <v>112</v>
      </c>
      <c r="K254" s="17">
        <v>46013.0</v>
      </c>
      <c r="L254" s="17">
        <v>46013.0</v>
      </c>
      <c r="M254" s="12" t="s">
        <v>109</v>
      </c>
      <c r="N254" s="23"/>
      <c r="O254" s="22"/>
      <c r="P254" s="22"/>
    </row>
    <row r="255" ht="22.5" customHeight="1">
      <c r="A255" s="12" t="s">
        <v>5</v>
      </c>
      <c r="B255" s="20" t="str">
        <f>IFERROR(VLOOKUP(A255,Sheet1!$E$3:$H$27,4,0),"")</f>
        <v>P1</v>
      </c>
      <c r="C255" s="14" t="s">
        <v>291</v>
      </c>
      <c r="D255" s="12" t="s">
        <v>62</v>
      </c>
      <c r="E255" s="13" t="str">
        <f>IFERROR(VLOOKUP(D255,Sheet1!$B$1:$C$45,2,0),"")</f>
        <v>TE</v>
      </c>
      <c r="F255" s="12" t="s">
        <v>108</v>
      </c>
      <c r="G255" s="13" t="str">
        <f t="shared" si="3"/>
        <v>Barito Raya</v>
      </c>
      <c r="H255" s="15" t="str">
        <f>IFERROR(VLOOKUP(A255,Sheet1!$E$3:$F$27,2,),"")</f>
        <v>Corrective</v>
      </c>
      <c r="I255" s="16" t="str">
        <f>IFERROR(VLOOKUP(A255,Sheet1!$E$3:$G$27,3,0),"")</f>
        <v>Replace Optik,RRU/Soket Power/Replace GPS</v>
      </c>
      <c r="J255" s="12" t="s">
        <v>112</v>
      </c>
      <c r="K255" s="17">
        <v>46013.0</v>
      </c>
      <c r="L255" s="17">
        <v>46013.0</v>
      </c>
      <c r="M255" s="12" t="s">
        <v>109</v>
      </c>
      <c r="N255" s="23"/>
      <c r="O255" s="22"/>
      <c r="P255" s="22"/>
    </row>
    <row r="256" ht="22.5" customHeight="1">
      <c r="A256" s="12" t="s">
        <v>65</v>
      </c>
      <c r="B256" s="20" t="str">
        <f>IFERROR(VLOOKUP(A256,Sheet1!$E$3:$H$27,4,0),"")</f>
        <v>P3</v>
      </c>
      <c r="C256" s="15"/>
      <c r="D256" s="12" t="s">
        <v>74</v>
      </c>
      <c r="E256" s="13" t="str">
        <f>IFERROR(VLOOKUP(D256,Sheet1!$B$1:$C$45,2,0),"")</f>
        <v>TE</v>
      </c>
      <c r="F256" s="12" t="s">
        <v>108</v>
      </c>
      <c r="G256" s="13" t="str">
        <f t="shared" si="3"/>
        <v>Barito Raya</v>
      </c>
      <c r="H256" s="15" t="str">
        <f>IFERROR(VLOOKUP(A256,Sheet1!$E$3:$F$27,2,),"")</f>
        <v>Standby</v>
      </c>
      <c r="I256" s="16" t="str">
        <f>IFERROR(VLOOKUP(A256,Sheet1!$E$3:$G$27,3,0),"")</f>
        <v>Standby On Call</v>
      </c>
      <c r="J256" s="12" t="s">
        <v>112</v>
      </c>
      <c r="K256" s="17">
        <v>46013.0</v>
      </c>
      <c r="L256" s="17">
        <v>46013.0</v>
      </c>
      <c r="M256" s="12"/>
      <c r="N256" s="23"/>
      <c r="O256" s="22"/>
      <c r="P256" s="22"/>
    </row>
    <row r="257" ht="22.5" customHeight="1">
      <c r="A257" s="12" t="s">
        <v>72</v>
      </c>
      <c r="B257" s="20" t="str">
        <f>IFERROR(VLOOKUP(A257,Sheet1!$E$3:$H$27,4,0),"")</f>
        <v>P1</v>
      </c>
      <c r="C257" s="14" t="s">
        <v>286</v>
      </c>
      <c r="D257" s="12" t="s">
        <v>9</v>
      </c>
      <c r="E257" s="13" t="str">
        <f>IFERROR(VLOOKUP(D257,Sheet1!$B$1:$C$45,2,0),"")</f>
        <v>MBP</v>
      </c>
      <c r="F257" s="12" t="s">
        <v>108</v>
      </c>
      <c r="G257" s="13" t="str">
        <f t="shared" si="3"/>
        <v>Barito Raya</v>
      </c>
      <c r="H257" s="15" t="str">
        <f>IFERROR(VLOOKUP(A257,Sheet1!$E$3:$F$27,2,),"")</f>
        <v>Corrective</v>
      </c>
      <c r="I257" s="16" t="str">
        <f>IFERROR(VLOOKUP(A257,Sheet1!$E$3:$G$27,3,0),"")</f>
        <v>Perbaikan Auto,pergantian relay,timer, yang berhubungan genset</v>
      </c>
      <c r="J257" s="12" t="s">
        <v>112</v>
      </c>
      <c r="K257" s="17">
        <v>46013.0</v>
      </c>
      <c r="L257" s="17">
        <v>46013.0</v>
      </c>
      <c r="M257" s="12" t="s">
        <v>109</v>
      </c>
      <c r="N257" s="23"/>
      <c r="O257" s="22"/>
      <c r="P257" s="22"/>
    </row>
    <row r="258" ht="22.5" customHeight="1">
      <c r="A258" s="12" t="s">
        <v>52</v>
      </c>
      <c r="B258" s="20" t="str">
        <f>IFERROR(VLOOKUP(A258,Sheet1!$E$3:$H$27,4,0),"")</f>
        <v>P1</v>
      </c>
      <c r="C258" s="14" t="s">
        <v>287</v>
      </c>
      <c r="D258" s="12" t="s">
        <v>4</v>
      </c>
      <c r="E258" s="13" t="str">
        <f>IFERROR(VLOOKUP(D258,Sheet1!$B$1:$C$45,2,0),"")</f>
        <v>CME</v>
      </c>
      <c r="F258" s="12" t="s">
        <v>108</v>
      </c>
      <c r="G258" s="13" t="str">
        <f t="shared" si="3"/>
        <v>Barito Raya</v>
      </c>
      <c r="H258" s="15" t="str">
        <f>IFERROR(VLOOKUP(A258,Sheet1!$E$3:$F$27,2,),"")</f>
        <v>Preventive</v>
      </c>
      <c r="I258" s="16" t="str">
        <f>IFERROR(VLOOKUP(A258,Sheet1!$E$3:$G$27,3,0),"")</f>
        <v>MCB trip/Power upnormal</v>
      </c>
      <c r="J258" s="12" t="s">
        <v>112</v>
      </c>
      <c r="K258" s="17">
        <v>46013.0</v>
      </c>
      <c r="L258" s="17">
        <v>46013.0</v>
      </c>
      <c r="M258" s="12" t="s">
        <v>109</v>
      </c>
      <c r="N258" s="23"/>
      <c r="O258" s="22"/>
      <c r="P258" s="22"/>
    </row>
    <row r="259" ht="22.5" customHeight="1">
      <c r="A259" s="12" t="s">
        <v>65</v>
      </c>
      <c r="B259" s="20" t="str">
        <f>IFERROR(VLOOKUP(A259,Sheet1!$E$3:$H$27,4,0),"")</f>
        <v>P3</v>
      </c>
      <c r="C259" s="15"/>
      <c r="D259" s="12" t="s">
        <v>87</v>
      </c>
      <c r="E259" s="13" t="str">
        <f>IFERROR(VLOOKUP(D259,Sheet1!$B$1:$C$45,2,0),"")</f>
        <v>MBP</v>
      </c>
      <c r="F259" s="12" t="s">
        <v>108</v>
      </c>
      <c r="G259" s="13" t="str">
        <f t="shared" si="3"/>
        <v>Barito Raya</v>
      </c>
      <c r="H259" s="15" t="str">
        <f>IFERROR(VLOOKUP(A259,Sheet1!$E$3:$F$27,2,),"")</f>
        <v>Standby</v>
      </c>
      <c r="I259" s="16" t="str">
        <f>IFERROR(VLOOKUP(A259,Sheet1!$E$3:$G$27,3,0),"")</f>
        <v>Standby On Call</v>
      </c>
      <c r="J259" s="20"/>
      <c r="K259" s="17">
        <v>46013.0</v>
      </c>
      <c r="L259" s="17">
        <v>46013.0</v>
      </c>
      <c r="M259" s="13"/>
      <c r="N259" s="23"/>
      <c r="O259" s="22"/>
      <c r="P259" s="22"/>
    </row>
    <row r="260" ht="22.5" customHeight="1">
      <c r="A260" s="12" t="s">
        <v>65</v>
      </c>
      <c r="B260" s="20" t="str">
        <f>IFERROR(VLOOKUP(A260,Sheet1!$E$3:$H$27,4,0),"")</f>
        <v>P3</v>
      </c>
      <c r="C260" s="15"/>
      <c r="D260" s="12" t="s">
        <v>24</v>
      </c>
      <c r="E260" s="13" t="str">
        <f>IFERROR(VLOOKUP(D260,Sheet1!$B$1:$C$45,2,0),"")</f>
        <v>MBP</v>
      </c>
      <c r="F260" s="12" t="s">
        <v>108</v>
      </c>
      <c r="G260" s="13" t="str">
        <f t="shared" si="3"/>
        <v>Barito Raya</v>
      </c>
      <c r="H260" s="15" t="str">
        <f>IFERROR(VLOOKUP(A260,Sheet1!$E$3:$F$27,2,),"")</f>
        <v>Standby</v>
      </c>
      <c r="I260" s="16" t="str">
        <f>IFERROR(VLOOKUP(A260,Sheet1!$E$3:$G$27,3,0),"")</f>
        <v>Standby On Call</v>
      </c>
      <c r="J260" s="20"/>
      <c r="K260" s="17">
        <v>46013.0</v>
      </c>
      <c r="L260" s="17">
        <v>46013.0</v>
      </c>
      <c r="M260" s="13"/>
      <c r="N260" s="23"/>
      <c r="O260" s="22"/>
      <c r="P260" s="22"/>
    </row>
    <row r="261" ht="22.5" customHeight="1">
      <c r="A261" s="12" t="s">
        <v>65</v>
      </c>
      <c r="B261" s="20" t="str">
        <f>IFERROR(VLOOKUP(A261,Sheet1!$E$3:$H$27,4,0),"")</f>
        <v>P3</v>
      </c>
      <c r="C261" s="15"/>
      <c r="D261" s="12" t="s">
        <v>29</v>
      </c>
      <c r="E261" s="13" t="str">
        <f>IFERROR(VLOOKUP(D261,Sheet1!$B$1:$C$45,2,0),"")</f>
        <v>MBP</v>
      </c>
      <c r="F261" s="12" t="s">
        <v>108</v>
      </c>
      <c r="G261" s="13" t="str">
        <f t="shared" si="3"/>
        <v>Barito Raya</v>
      </c>
      <c r="H261" s="15" t="str">
        <f>IFERROR(VLOOKUP(A261,Sheet1!$E$3:$F$27,2,),"")</f>
        <v>Standby</v>
      </c>
      <c r="I261" s="16" t="str">
        <f>IFERROR(VLOOKUP(A261,Sheet1!$E$3:$G$27,3,0),"")</f>
        <v>Standby On Call</v>
      </c>
      <c r="J261" s="20"/>
      <c r="K261" s="17">
        <v>46013.0</v>
      </c>
      <c r="L261" s="17">
        <v>46013.0</v>
      </c>
      <c r="M261" s="13"/>
      <c r="N261" s="23"/>
      <c r="O261" s="22"/>
      <c r="P261" s="22"/>
    </row>
    <row r="262" ht="22.5" customHeight="1">
      <c r="A262" s="12" t="s">
        <v>65</v>
      </c>
      <c r="B262" s="20" t="str">
        <f>IFERROR(VLOOKUP(A262,Sheet1!$E$3:$H$27,4,0),"")</f>
        <v>P3</v>
      </c>
      <c r="C262" s="15"/>
      <c r="D262" s="12" t="s">
        <v>2</v>
      </c>
      <c r="E262" s="13" t="str">
        <f>IFERROR(VLOOKUP(D262,Sheet1!$B$1:$C$45,2,0),"")</f>
        <v>CME</v>
      </c>
      <c r="F262" s="12" t="s">
        <v>108</v>
      </c>
      <c r="G262" s="13" t="str">
        <f t="shared" si="3"/>
        <v>Barito Raya</v>
      </c>
      <c r="H262" s="15" t="str">
        <f>IFERROR(VLOOKUP(A262,Sheet1!$E$3:$F$27,2,),"")</f>
        <v>Standby</v>
      </c>
      <c r="I262" s="16" t="str">
        <f>IFERROR(VLOOKUP(A262,Sheet1!$E$3:$G$27,3,0),"")</f>
        <v>Standby On Call</v>
      </c>
      <c r="J262" s="20"/>
      <c r="K262" s="17">
        <v>46013.0</v>
      </c>
      <c r="L262" s="17">
        <v>46013.0</v>
      </c>
      <c r="M262" s="13"/>
      <c r="N262" s="23"/>
      <c r="O262" s="22"/>
      <c r="P262" s="22"/>
    </row>
    <row r="263" ht="22.5" customHeight="1">
      <c r="A263" s="12" t="s">
        <v>65</v>
      </c>
      <c r="B263" s="20" t="str">
        <f>IFERROR(VLOOKUP(A263,Sheet1!$E$3:$H$27,4,0),"")</f>
        <v>P3</v>
      </c>
      <c r="C263" s="15"/>
      <c r="D263" s="12" t="s">
        <v>0</v>
      </c>
      <c r="E263" s="13" t="str">
        <f>IFERROR(VLOOKUP(D263,Sheet1!$B$1:$C$45,2,0),"")</f>
        <v>MBP</v>
      </c>
      <c r="F263" s="12" t="s">
        <v>108</v>
      </c>
      <c r="G263" s="13" t="str">
        <f t="shared" si="3"/>
        <v>Barito Raya</v>
      </c>
      <c r="H263" s="15" t="str">
        <f>IFERROR(VLOOKUP(A263,Sheet1!$E$3:$F$27,2,),"")</f>
        <v>Standby</v>
      </c>
      <c r="I263" s="16" t="str">
        <f>IFERROR(VLOOKUP(A263,Sheet1!$E$3:$G$27,3,0),"")</f>
        <v>Standby On Call</v>
      </c>
      <c r="J263" s="20"/>
      <c r="K263" s="17">
        <v>46013.0</v>
      </c>
      <c r="L263" s="17">
        <v>46013.0</v>
      </c>
      <c r="M263" s="13"/>
      <c r="N263" s="23"/>
      <c r="O263" s="22"/>
      <c r="P263" s="22"/>
    </row>
    <row r="264" ht="22.5" customHeight="1">
      <c r="A264" s="12" t="s">
        <v>22</v>
      </c>
      <c r="B264" s="20" t="str">
        <f>IFERROR(VLOOKUP(A264,Sheet1!$E$3:$H$27,4,0),"")</f>
        <v>P2</v>
      </c>
      <c r="C264" s="14" t="s">
        <v>282</v>
      </c>
      <c r="D264" s="12" t="s">
        <v>85</v>
      </c>
      <c r="E264" s="13" t="str">
        <f>IFERROR(VLOOKUP(D264,Sheet1!$B$1:$C$45,2,0),"")</f>
        <v>PM</v>
      </c>
      <c r="F264" s="12" t="s">
        <v>108</v>
      </c>
      <c r="G264" s="13" t="str">
        <f t="shared" si="3"/>
        <v>Barito Raya</v>
      </c>
      <c r="H264" s="15" t="str">
        <f>IFERROR(VLOOKUP(A264,Sheet1!$E$3:$F$27,2,),"")</f>
        <v>Preventive</v>
      </c>
      <c r="I264" s="16" t="str">
        <f>IFERROR(VLOOKUP(A264,Sheet1!$E$3:$G$27,3,0),"")</f>
        <v>Preventive Maintenance</v>
      </c>
      <c r="J264" s="12" t="s">
        <v>112</v>
      </c>
      <c r="K264" s="17">
        <v>46013.0</v>
      </c>
      <c r="L264" s="17">
        <v>46013.0</v>
      </c>
      <c r="M264" s="12" t="s">
        <v>122</v>
      </c>
      <c r="N264" s="18" t="s">
        <v>292</v>
      </c>
      <c r="O264" s="19"/>
      <c r="P264" s="19"/>
    </row>
    <row r="265" ht="22.5" customHeight="1">
      <c r="A265" s="12" t="s">
        <v>22</v>
      </c>
      <c r="B265" s="20" t="str">
        <f>IFERROR(VLOOKUP(A265,Sheet1!$E$3:$H$27,4,0),"")</f>
        <v>P2</v>
      </c>
      <c r="C265" s="14" t="s">
        <v>293</v>
      </c>
      <c r="D265" s="12" t="s">
        <v>84</v>
      </c>
      <c r="E265" s="13" t="str">
        <f>IFERROR(VLOOKUP(D265,Sheet1!$B$1:$C$45,2,0),"")</f>
        <v>MBP</v>
      </c>
      <c r="F265" s="12" t="s">
        <v>108</v>
      </c>
      <c r="G265" s="13" t="str">
        <f t="shared" si="3"/>
        <v>Barito Raya</v>
      </c>
      <c r="H265" s="15" t="str">
        <f>IFERROR(VLOOKUP(A265,Sheet1!$E$3:$F$27,2,),"")</f>
        <v>Preventive</v>
      </c>
      <c r="I265" s="16" t="str">
        <f>IFERROR(VLOOKUP(A265,Sheet1!$E$3:$G$27,3,0),"")</f>
        <v>Preventive Maintenance</v>
      </c>
      <c r="J265" s="12" t="s">
        <v>112</v>
      </c>
      <c r="K265" s="17">
        <v>46013.0</v>
      </c>
      <c r="L265" s="17">
        <v>46013.0</v>
      </c>
      <c r="M265" s="12" t="s">
        <v>122</v>
      </c>
      <c r="N265" s="18" t="s">
        <v>292</v>
      </c>
      <c r="O265" s="19"/>
      <c r="P265" s="19"/>
    </row>
    <row r="266" ht="22.5" customHeight="1">
      <c r="A266" s="12" t="s">
        <v>22</v>
      </c>
      <c r="B266" s="20" t="str">
        <f>IFERROR(VLOOKUP(A266,Sheet1!$E$3:$H$27,4,0),"")</f>
        <v>P2</v>
      </c>
      <c r="C266" s="14" t="s">
        <v>294</v>
      </c>
      <c r="D266" s="12" t="s">
        <v>86</v>
      </c>
      <c r="E266" s="13" t="str">
        <f>IFERROR(VLOOKUP(D266,Sheet1!$B$1:$C$45,2,0),"")</f>
        <v>PM</v>
      </c>
      <c r="F266" s="12" t="s">
        <v>108</v>
      </c>
      <c r="G266" s="13" t="str">
        <f t="shared" si="3"/>
        <v>Barito Raya</v>
      </c>
      <c r="H266" s="15" t="str">
        <f>IFERROR(VLOOKUP(A266,Sheet1!$E$3:$F$27,2,),"")</f>
        <v>Preventive</v>
      </c>
      <c r="I266" s="16" t="str">
        <f>IFERROR(VLOOKUP(A266,Sheet1!$E$3:$G$27,3,0),"")</f>
        <v>Preventive Maintenance</v>
      </c>
      <c r="J266" s="12" t="s">
        <v>112</v>
      </c>
      <c r="K266" s="17">
        <v>46013.0</v>
      </c>
      <c r="L266" s="17">
        <v>46013.0</v>
      </c>
      <c r="M266" s="12" t="s">
        <v>109</v>
      </c>
      <c r="N266" s="23"/>
      <c r="O266" s="22"/>
      <c r="P266" s="22"/>
    </row>
    <row r="267" ht="22.5" customHeight="1">
      <c r="A267" s="12" t="s">
        <v>14</v>
      </c>
      <c r="B267" s="20" t="str">
        <f>IFERROR(VLOOKUP(A267,Sheet1!$E$3:$H$27,4,0),"")</f>
        <v>P1</v>
      </c>
      <c r="C267" s="14" t="s">
        <v>295</v>
      </c>
      <c r="D267" s="12" t="s">
        <v>76</v>
      </c>
      <c r="E267" s="13" t="str">
        <f>IFERROR(VLOOKUP(D267,Sheet1!$B$1:$C$45,2,0),"")</f>
        <v>TE</v>
      </c>
      <c r="F267" s="12" t="s">
        <v>179</v>
      </c>
      <c r="G267" s="13" t="str">
        <f t="shared" si="3"/>
        <v>Palangkaraya</v>
      </c>
      <c r="H267" s="15" t="str">
        <f>IFERROR(VLOOKUP(A267,Sheet1!$E$3:$F$27,2,),"")</f>
        <v>Corrective</v>
      </c>
      <c r="I267" s="16" t="str">
        <f>IFERROR(VLOOKUP(A267,Sheet1!$E$3:$G$27,3,0),"")</f>
        <v>Pemadaman,MCB Trip,Transmisi problem</v>
      </c>
      <c r="J267" s="12" t="s">
        <v>112</v>
      </c>
      <c r="K267" s="17">
        <v>46013.0</v>
      </c>
      <c r="L267" s="17">
        <v>46013.0</v>
      </c>
      <c r="M267" s="12" t="s">
        <v>109</v>
      </c>
      <c r="N267" s="23"/>
      <c r="O267" s="22"/>
      <c r="P267" s="22"/>
    </row>
    <row r="268" ht="22.5" customHeight="1">
      <c r="A268" s="12" t="s">
        <v>14</v>
      </c>
      <c r="B268" s="20" t="str">
        <f>IFERROR(VLOOKUP(A268,Sheet1!$E$3:$H$27,4,0),"")</f>
        <v>P1</v>
      </c>
      <c r="C268" s="14" t="s">
        <v>296</v>
      </c>
      <c r="D268" s="12" t="s">
        <v>42</v>
      </c>
      <c r="E268" s="13" t="str">
        <f>IFERROR(VLOOKUP(D268,Sheet1!$B$1:$C$45,2,0),"")</f>
        <v>TE</v>
      </c>
      <c r="F268" s="12" t="s">
        <v>179</v>
      </c>
      <c r="G268" s="13" t="str">
        <f t="shared" si="3"/>
        <v>Palangkaraya</v>
      </c>
      <c r="H268" s="15" t="str">
        <f>IFERROR(VLOOKUP(A268,Sheet1!$E$3:$F$27,2,),"")</f>
        <v>Corrective</v>
      </c>
      <c r="I268" s="16" t="str">
        <f>IFERROR(VLOOKUP(A268,Sheet1!$E$3:$G$27,3,0),"")</f>
        <v>Pemadaman,MCB Trip,Transmisi problem</v>
      </c>
      <c r="J268" s="12" t="s">
        <v>112</v>
      </c>
      <c r="K268" s="17">
        <v>46013.0</v>
      </c>
      <c r="L268" s="17">
        <v>46013.0</v>
      </c>
      <c r="M268" s="12" t="s">
        <v>109</v>
      </c>
      <c r="N268" s="23"/>
      <c r="O268" s="22"/>
      <c r="P268" s="22"/>
    </row>
    <row r="269" ht="22.5" customHeight="1">
      <c r="A269" s="12" t="s">
        <v>14</v>
      </c>
      <c r="B269" s="20" t="str">
        <f>IFERROR(VLOOKUP(A269,Sheet1!$E$3:$H$27,4,0),"")</f>
        <v>P1</v>
      </c>
      <c r="C269" s="14" t="s">
        <v>297</v>
      </c>
      <c r="D269" s="12" t="s">
        <v>76</v>
      </c>
      <c r="E269" s="13" t="str">
        <f>IFERROR(VLOOKUP(D269,Sheet1!$B$1:$C$45,2,0),"")</f>
        <v>TE</v>
      </c>
      <c r="F269" s="12" t="s">
        <v>179</v>
      </c>
      <c r="G269" s="13" t="str">
        <f t="shared" si="3"/>
        <v>Palangkaraya</v>
      </c>
      <c r="H269" s="15" t="str">
        <f>IFERROR(VLOOKUP(A269,Sheet1!$E$3:$F$27,2,),"")</f>
        <v>Corrective</v>
      </c>
      <c r="I269" s="16" t="str">
        <f>IFERROR(VLOOKUP(A269,Sheet1!$E$3:$G$27,3,0),"")</f>
        <v>Pemadaman,MCB Trip,Transmisi problem</v>
      </c>
      <c r="J269" s="12" t="s">
        <v>112</v>
      </c>
      <c r="K269" s="17">
        <v>46013.0</v>
      </c>
      <c r="L269" s="17">
        <v>46013.0</v>
      </c>
      <c r="M269" s="12" t="s">
        <v>109</v>
      </c>
      <c r="N269" s="23"/>
      <c r="O269" s="22"/>
      <c r="P269" s="22"/>
    </row>
    <row r="270" ht="22.5" customHeight="1">
      <c r="A270" s="12" t="s">
        <v>72</v>
      </c>
      <c r="B270" s="20" t="str">
        <f>IFERROR(VLOOKUP(A270,Sheet1!$E$3:$H$27,4,0),"")</f>
        <v>P1</v>
      </c>
      <c r="C270" s="14" t="s">
        <v>298</v>
      </c>
      <c r="D270" s="12" t="s">
        <v>80</v>
      </c>
      <c r="E270" s="13" t="str">
        <f>IFERROR(VLOOKUP(D270,Sheet1!$B$1:$C$45,2,0),"")</f>
        <v>TE</v>
      </c>
      <c r="F270" s="12" t="s">
        <v>108</v>
      </c>
      <c r="G270" s="13" t="str">
        <f t="shared" si="3"/>
        <v>Barito Raya</v>
      </c>
      <c r="H270" s="15" t="str">
        <f>IFERROR(VLOOKUP(A270,Sheet1!$E$3:$F$27,2,),"")</f>
        <v>Corrective</v>
      </c>
      <c r="I270" s="16" t="str">
        <f>IFERROR(VLOOKUP(A270,Sheet1!$E$3:$G$27,3,0),"")</f>
        <v>Perbaikan Auto,pergantian relay,timer, yang berhubungan genset</v>
      </c>
      <c r="J270" s="12" t="s">
        <v>112</v>
      </c>
      <c r="K270" s="17">
        <v>46013.0</v>
      </c>
      <c r="L270" s="17">
        <v>46013.0</v>
      </c>
      <c r="M270" s="12" t="s">
        <v>137</v>
      </c>
      <c r="N270" s="23"/>
      <c r="O270" s="22"/>
      <c r="P270" s="22"/>
    </row>
    <row r="271" ht="22.5" customHeight="1">
      <c r="A271" s="12" t="s">
        <v>10</v>
      </c>
      <c r="B271" s="20" t="str">
        <f>IFERROR(VLOOKUP(A271,Sheet1!$E$3:$H$27,4,0),"")</f>
        <v>P1</v>
      </c>
      <c r="C271" s="14" t="s">
        <v>222</v>
      </c>
      <c r="D271" s="12" t="s">
        <v>77</v>
      </c>
      <c r="E271" s="13" t="str">
        <f>IFERROR(VLOOKUP(D271,Sheet1!$B$1:$C$45,2,0),"")</f>
        <v>TE</v>
      </c>
      <c r="F271" s="12" t="s">
        <v>179</v>
      </c>
      <c r="G271" s="13" t="str">
        <f t="shared" si="3"/>
        <v>Palangkaraya</v>
      </c>
      <c r="H271" s="15" t="str">
        <f>IFERROR(VLOOKUP(A271,Sheet1!$E$3:$F$27,2,),"")</f>
        <v>Corrective</v>
      </c>
      <c r="I271" s="16" t="str">
        <f>IFERROR(VLOOKUP(A271,Sheet1!$E$3:$G$27,3,0),"")</f>
        <v>Replace Jumper,antena/RRU</v>
      </c>
      <c r="J271" s="12" t="s">
        <v>112</v>
      </c>
      <c r="K271" s="17">
        <v>46013.0</v>
      </c>
      <c r="L271" s="17">
        <v>46013.0</v>
      </c>
      <c r="M271" s="12" t="s">
        <v>122</v>
      </c>
      <c r="N271" s="23"/>
      <c r="O271" s="22"/>
      <c r="P271" s="22"/>
    </row>
    <row r="272" ht="22.5" customHeight="1">
      <c r="A272" s="12" t="s">
        <v>5</v>
      </c>
      <c r="B272" s="20" t="str">
        <f>IFERROR(VLOOKUP(A272,Sheet1!$E$3:$H$27,4,0),"")</f>
        <v>P1</v>
      </c>
      <c r="C272" s="14" t="s">
        <v>299</v>
      </c>
      <c r="D272" s="12" t="s">
        <v>39</v>
      </c>
      <c r="E272" s="13" t="str">
        <f>IFERROR(VLOOKUP(D272,Sheet1!$B$1:$C$45,2,0),"")</f>
        <v>TE</v>
      </c>
      <c r="F272" s="12" t="s">
        <v>179</v>
      </c>
      <c r="G272" s="13" t="str">
        <f t="shared" si="3"/>
        <v>Palangkaraya</v>
      </c>
      <c r="H272" s="15" t="str">
        <f>IFERROR(VLOOKUP(A272,Sheet1!$E$3:$F$27,2,),"")</f>
        <v>Corrective</v>
      </c>
      <c r="I272" s="16" t="str">
        <f>IFERROR(VLOOKUP(A272,Sheet1!$E$3:$G$27,3,0),"")</f>
        <v>Replace Optik,RRU/Soket Power/Replace GPS</v>
      </c>
      <c r="J272" s="12" t="s">
        <v>112</v>
      </c>
      <c r="K272" s="17">
        <v>46013.0</v>
      </c>
      <c r="L272" s="17">
        <v>46013.0</v>
      </c>
      <c r="M272" s="12" t="s">
        <v>109</v>
      </c>
      <c r="N272" s="23"/>
      <c r="O272" s="22"/>
      <c r="P272" s="22"/>
    </row>
    <row r="273" ht="22.5" customHeight="1">
      <c r="A273" s="12" t="s">
        <v>72</v>
      </c>
      <c r="B273" s="20" t="str">
        <f>IFERROR(VLOOKUP(A273,Sheet1!$E$3:$H$27,4,0),"")</f>
        <v>P1</v>
      </c>
      <c r="C273" s="14" t="s">
        <v>298</v>
      </c>
      <c r="D273" s="12" t="s">
        <v>78</v>
      </c>
      <c r="E273" s="13" t="str">
        <f>IFERROR(VLOOKUP(D273,Sheet1!$B$1:$C$45,2,0),"")</f>
        <v>TE</v>
      </c>
      <c r="F273" s="12" t="s">
        <v>108</v>
      </c>
      <c r="G273" s="13" t="str">
        <f t="shared" si="3"/>
        <v>Barito Raya</v>
      </c>
      <c r="H273" s="15" t="str">
        <f>IFERROR(VLOOKUP(A273,Sheet1!$E$3:$F$27,2,),"")</f>
        <v>Corrective</v>
      </c>
      <c r="I273" s="16" t="str">
        <f>IFERROR(VLOOKUP(A273,Sheet1!$E$3:$G$27,3,0),"")</f>
        <v>Perbaikan Auto,pergantian relay,timer, yang berhubungan genset</v>
      </c>
      <c r="J273" s="12" t="s">
        <v>112</v>
      </c>
      <c r="K273" s="17">
        <v>46013.0</v>
      </c>
      <c r="L273" s="17">
        <v>46013.0</v>
      </c>
      <c r="M273" s="12" t="s">
        <v>137</v>
      </c>
      <c r="N273" s="23"/>
      <c r="O273" s="22"/>
      <c r="P273" s="22"/>
    </row>
    <row r="274" ht="22.5" customHeight="1">
      <c r="A274" s="12" t="s">
        <v>72</v>
      </c>
      <c r="B274" s="20" t="str">
        <f>IFERROR(VLOOKUP(A274,Sheet1!$E$3:$H$27,4,0),"")</f>
        <v>P1</v>
      </c>
      <c r="C274" s="14" t="s">
        <v>298</v>
      </c>
      <c r="D274" s="12" t="s">
        <v>37</v>
      </c>
      <c r="E274" s="13" t="str">
        <f>IFERROR(VLOOKUP(D274,Sheet1!$B$1:$C$45,2,0),"")</f>
        <v>TE</v>
      </c>
      <c r="F274" s="12" t="s">
        <v>108</v>
      </c>
      <c r="G274" s="13" t="str">
        <f t="shared" si="3"/>
        <v>Barito Raya</v>
      </c>
      <c r="H274" s="15" t="str">
        <f>IFERROR(VLOOKUP(A274,Sheet1!$E$3:$F$27,2,),"")</f>
        <v>Corrective</v>
      </c>
      <c r="I274" s="16" t="str">
        <f>IFERROR(VLOOKUP(A274,Sheet1!$E$3:$G$27,3,0),"")</f>
        <v>Perbaikan Auto,pergantian relay,timer, yang berhubungan genset</v>
      </c>
      <c r="J274" s="12" t="s">
        <v>112</v>
      </c>
      <c r="K274" s="17">
        <v>46013.0</v>
      </c>
      <c r="L274" s="17">
        <v>46013.0</v>
      </c>
      <c r="M274" s="12" t="s">
        <v>137</v>
      </c>
      <c r="N274" s="23"/>
      <c r="O274" s="22"/>
      <c r="P274" s="22"/>
    </row>
    <row r="275" ht="22.5" customHeight="1">
      <c r="A275" s="12" t="s">
        <v>52</v>
      </c>
      <c r="B275" s="20" t="str">
        <f>IFERROR(VLOOKUP(A275,Sheet1!$E$3:$H$27,4,0),"")</f>
        <v>P1</v>
      </c>
      <c r="C275" s="14" t="s">
        <v>300</v>
      </c>
      <c r="D275" s="12" t="s">
        <v>79</v>
      </c>
      <c r="E275" s="13" t="str">
        <f>IFERROR(VLOOKUP(D275,Sheet1!$B$1:$C$45,2,0),"")</f>
        <v>TE</v>
      </c>
      <c r="F275" s="12" t="s">
        <v>179</v>
      </c>
      <c r="G275" s="13" t="str">
        <f t="shared" si="3"/>
        <v>Palangkaraya</v>
      </c>
      <c r="H275" s="15" t="str">
        <f>IFERROR(VLOOKUP(A275,Sheet1!$E$3:$F$27,2,),"")</f>
        <v>Preventive</v>
      </c>
      <c r="I275" s="16" t="str">
        <f>IFERROR(VLOOKUP(A275,Sheet1!$E$3:$G$27,3,0),"")</f>
        <v>MCB trip/Power upnormal</v>
      </c>
      <c r="J275" s="12" t="s">
        <v>112</v>
      </c>
      <c r="K275" s="17">
        <v>46013.0</v>
      </c>
      <c r="L275" s="17">
        <v>46013.0</v>
      </c>
      <c r="M275" s="12" t="s">
        <v>122</v>
      </c>
      <c r="N275" s="23"/>
      <c r="O275" s="22"/>
      <c r="P275" s="22"/>
    </row>
    <row r="276" ht="22.5" customHeight="1">
      <c r="A276" s="12" t="s">
        <v>14</v>
      </c>
      <c r="B276" s="20" t="str">
        <f>IFERROR(VLOOKUP(A276,Sheet1!$E$3:$H$27,4,0),"")</f>
        <v>P1</v>
      </c>
      <c r="C276" s="14" t="s">
        <v>301</v>
      </c>
      <c r="D276" s="12" t="s">
        <v>51</v>
      </c>
      <c r="E276" s="13" t="str">
        <f>IFERROR(VLOOKUP(D276,Sheet1!$B$1:$C$45,2,0),"")</f>
        <v>TE</v>
      </c>
      <c r="F276" s="12" t="s">
        <v>179</v>
      </c>
      <c r="G276" s="13" t="str">
        <f t="shared" si="3"/>
        <v>Palangkaraya</v>
      </c>
      <c r="H276" s="15" t="str">
        <f>IFERROR(VLOOKUP(A276,Sheet1!$E$3:$F$27,2,),"")</f>
        <v>Corrective</v>
      </c>
      <c r="I276" s="16" t="str">
        <f>IFERROR(VLOOKUP(A276,Sheet1!$E$3:$G$27,3,0),"")</f>
        <v>Pemadaman,MCB Trip,Transmisi problem</v>
      </c>
      <c r="J276" s="12" t="s">
        <v>112</v>
      </c>
      <c r="K276" s="17">
        <v>46013.0</v>
      </c>
      <c r="L276" s="17">
        <v>46013.0</v>
      </c>
      <c r="M276" s="12" t="s">
        <v>122</v>
      </c>
      <c r="N276" s="23"/>
      <c r="O276" s="22"/>
      <c r="P276" s="22"/>
    </row>
    <row r="277" ht="22.5" customHeight="1">
      <c r="A277" s="12" t="s">
        <v>14</v>
      </c>
      <c r="B277" s="20" t="str">
        <f>IFERROR(VLOOKUP(A277,Sheet1!$E$3:$H$27,4,0),"")</f>
        <v>P1</v>
      </c>
      <c r="C277" s="14" t="s">
        <v>302</v>
      </c>
      <c r="D277" s="12" t="s">
        <v>71</v>
      </c>
      <c r="E277" s="13" t="str">
        <f>IFERROR(VLOOKUP(D277,Sheet1!$B$1:$C$45,2,0),"")</f>
        <v>TE</v>
      </c>
      <c r="F277" s="12" t="s">
        <v>179</v>
      </c>
      <c r="G277" s="13" t="str">
        <f t="shared" si="3"/>
        <v>Palangkaraya</v>
      </c>
      <c r="H277" s="15" t="str">
        <f>IFERROR(VLOOKUP(A277,Sheet1!$E$3:$F$27,2,),"")</f>
        <v>Corrective</v>
      </c>
      <c r="I277" s="16" t="str">
        <f>IFERROR(VLOOKUP(A277,Sheet1!$E$3:$G$27,3,0),"")</f>
        <v>Pemadaman,MCB Trip,Transmisi problem</v>
      </c>
      <c r="J277" s="12" t="s">
        <v>112</v>
      </c>
      <c r="K277" s="17">
        <v>46013.0</v>
      </c>
      <c r="L277" s="17">
        <v>46013.0</v>
      </c>
      <c r="M277" s="12" t="s">
        <v>122</v>
      </c>
      <c r="N277" s="23"/>
      <c r="O277" s="22"/>
      <c r="P277" s="22"/>
    </row>
    <row r="278" ht="22.5" customHeight="1">
      <c r="A278" s="12" t="s">
        <v>5</v>
      </c>
      <c r="B278" s="20" t="str">
        <f>IFERROR(VLOOKUP(A278,Sheet1!$E$3:$H$27,4,0),"")</f>
        <v>P1</v>
      </c>
      <c r="C278" s="14" t="s">
        <v>235</v>
      </c>
      <c r="D278" s="12" t="s">
        <v>69</v>
      </c>
      <c r="E278" s="13" t="str">
        <f>IFERROR(VLOOKUP(D278,Sheet1!$B$1:$C$45,2,0),"")</f>
        <v>TE</v>
      </c>
      <c r="F278" s="12" t="s">
        <v>179</v>
      </c>
      <c r="G278" s="13" t="str">
        <f t="shared" si="3"/>
        <v>Palangkaraya</v>
      </c>
      <c r="H278" s="15" t="str">
        <f>IFERROR(VLOOKUP(A278,Sheet1!$E$3:$F$27,2,),"")</f>
        <v>Corrective</v>
      </c>
      <c r="I278" s="16" t="str">
        <f>IFERROR(VLOOKUP(A278,Sheet1!$E$3:$G$27,3,0),"")</f>
        <v>Replace Optik,RRU/Soket Power/Replace GPS</v>
      </c>
      <c r="J278" s="12" t="s">
        <v>172</v>
      </c>
      <c r="K278" s="17">
        <v>46013.0</v>
      </c>
      <c r="L278" s="17">
        <v>46013.0</v>
      </c>
      <c r="M278" s="12" t="s">
        <v>122</v>
      </c>
      <c r="N278" s="23"/>
      <c r="O278" s="22"/>
      <c r="P278" s="22"/>
    </row>
    <row r="279" ht="22.5" customHeight="1">
      <c r="A279" s="12" t="s">
        <v>5</v>
      </c>
      <c r="B279" s="20" t="str">
        <f>IFERROR(VLOOKUP(A279,Sheet1!$E$3:$H$27,4,0),"")</f>
        <v>P1</v>
      </c>
      <c r="C279" s="14" t="s">
        <v>303</v>
      </c>
      <c r="D279" s="12" t="s">
        <v>91</v>
      </c>
      <c r="E279" s="13" t="str">
        <f>IFERROR(VLOOKUP(D279,Sheet1!$B$1:$C$45,2,0),"")</f>
        <v>TE</v>
      </c>
      <c r="F279" s="12" t="s">
        <v>179</v>
      </c>
      <c r="G279" s="13" t="str">
        <f t="shared" si="3"/>
        <v>Palangkaraya</v>
      </c>
      <c r="H279" s="15" t="str">
        <f>IFERROR(VLOOKUP(A279,Sheet1!$E$3:$F$27,2,),"")</f>
        <v>Corrective</v>
      </c>
      <c r="I279" s="16" t="str">
        <f>IFERROR(VLOOKUP(A279,Sheet1!$E$3:$G$27,3,0),"")</f>
        <v>Replace Optik,RRU/Soket Power/Replace GPS</v>
      </c>
      <c r="J279" s="12" t="s">
        <v>112</v>
      </c>
      <c r="K279" s="17">
        <v>46013.0</v>
      </c>
      <c r="L279" s="17">
        <v>46013.0</v>
      </c>
      <c r="M279" s="12" t="s">
        <v>122</v>
      </c>
      <c r="N279" s="23"/>
      <c r="O279" s="22"/>
      <c r="P279" s="22"/>
    </row>
    <row r="280" ht="22.5" customHeight="1">
      <c r="A280" s="12" t="s">
        <v>5</v>
      </c>
      <c r="B280" s="20" t="str">
        <f>IFERROR(VLOOKUP(A280,Sheet1!$E$3:$H$27,4,0),"")</f>
        <v>P1</v>
      </c>
      <c r="C280" s="14" t="s">
        <v>304</v>
      </c>
      <c r="D280" s="12" t="s">
        <v>58</v>
      </c>
      <c r="E280" s="13" t="str">
        <f>IFERROR(VLOOKUP(D280,Sheet1!$B$1:$C$45,2,0),"")</f>
        <v>TE</v>
      </c>
      <c r="F280" s="12" t="s">
        <v>179</v>
      </c>
      <c r="G280" s="13" t="str">
        <f t="shared" si="3"/>
        <v>Palangkaraya</v>
      </c>
      <c r="H280" s="15" t="str">
        <f>IFERROR(VLOOKUP(A280,Sheet1!$E$3:$F$27,2,),"")</f>
        <v>Corrective</v>
      </c>
      <c r="I280" s="16" t="str">
        <f>IFERROR(VLOOKUP(A280,Sheet1!$E$3:$G$27,3,0),"")</f>
        <v>Replace Optik,RRU/Soket Power/Replace GPS</v>
      </c>
      <c r="J280" s="12" t="s">
        <v>172</v>
      </c>
      <c r="K280" s="17">
        <v>46013.0</v>
      </c>
      <c r="L280" s="17">
        <v>46013.0</v>
      </c>
      <c r="M280" s="12" t="s">
        <v>122</v>
      </c>
      <c r="N280" s="23"/>
      <c r="O280" s="22"/>
      <c r="P280" s="22"/>
    </row>
    <row r="281" ht="22.5" customHeight="1">
      <c r="A281" s="12" t="s">
        <v>22</v>
      </c>
      <c r="B281" s="20" t="str">
        <f>IFERROR(VLOOKUP(A281,Sheet1!$E$3:$H$27,4,0),"")</f>
        <v>P2</v>
      </c>
      <c r="C281" s="14" t="s">
        <v>305</v>
      </c>
      <c r="D281" s="12" t="s">
        <v>83</v>
      </c>
      <c r="E281" s="13" t="str">
        <f>IFERROR(VLOOKUP(D281,Sheet1!$B$1:$C$45,2,0),"")</f>
        <v>PM</v>
      </c>
      <c r="F281" s="12" t="s">
        <v>179</v>
      </c>
      <c r="G281" s="13" t="str">
        <f t="shared" si="3"/>
        <v>Palangkaraya</v>
      </c>
      <c r="H281" s="15" t="str">
        <f>IFERROR(VLOOKUP(A281,Sheet1!$E$3:$F$27,2,),"")</f>
        <v>Preventive</v>
      </c>
      <c r="I281" s="16" t="str">
        <f>IFERROR(VLOOKUP(A281,Sheet1!$E$3:$G$27,3,0),"")</f>
        <v>Preventive Maintenance</v>
      </c>
      <c r="J281" s="12" t="s">
        <v>112</v>
      </c>
      <c r="K281" s="17">
        <v>46013.0</v>
      </c>
      <c r="L281" s="17">
        <v>46013.0</v>
      </c>
      <c r="M281" s="12" t="s">
        <v>109</v>
      </c>
      <c r="N281" s="23"/>
      <c r="O281" s="22"/>
      <c r="P281" s="22"/>
    </row>
    <row r="282" ht="22.5" customHeight="1">
      <c r="A282" s="12" t="s">
        <v>22</v>
      </c>
      <c r="B282" s="20" t="str">
        <f>IFERROR(VLOOKUP(A282,Sheet1!$E$3:$H$27,4,0),"")</f>
        <v>P2</v>
      </c>
      <c r="C282" s="14" t="s">
        <v>306</v>
      </c>
      <c r="D282" s="12" t="s">
        <v>82</v>
      </c>
      <c r="E282" s="13" t="str">
        <f>IFERROR(VLOOKUP(D282,Sheet1!$B$1:$C$45,2,0),"")</f>
        <v>PM</v>
      </c>
      <c r="F282" s="12" t="s">
        <v>179</v>
      </c>
      <c r="G282" s="13" t="str">
        <f t="shared" si="3"/>
        <v>Palangkaraya</v>
      </c>
      <c r="H282" s="15" t="str">
        <f>IFERROR(VLOOKUP(A282,Sheet1!$E$3:$F$27,2,),"")</f>
        <v>Preventive</v>
      </c>
      <c r="I282" s="16" t="str">
        <f>IFERROR(VLOOKUP(A282,Sheet1!$E$3:$G$27,3,0),"")</f>
        <v>Preventive Maintenance</v>
      </c>
      <c r="J282" s="12" t="s">
        <v>112</v>
      </c>
      <c r="K282" s="17">
        <v>46013.0</v>
      </c>
      <c r="L282" s="17">
        <v>46013.0</v>
      </c>
      <c r="M282" s="12" t="s">
        <v>109</v>
      </c>
      <c r="N282" s="23"/>
      <c r="O282" s="22"/>
      <c r="P282" s="22"/>
    </row>
    <row r="283" ht="22.5" customHeight="1">
      <c r="A283" s="12" t="s">
        <v>22</v>
      </c>
      <c r="B283" s="20" t="str">
        <f>IFERROR(VLOOKUP(A283,Sheet1!$E$3:$H$27,4,0),"")</f>
        <v>P2</v>
      </c>
      <c r="C283" s="14" t="s">
        <v>307</v>
      </c>
      <c r="D283" s="12" t="s">
        <v>81</v>
      </c>
      <c r="E283" s="13" t="str">
        <f>IFERROR(VLOOKUP(D283,Sheet1!$B$1:$C$45,2,0),"")</f>
        <v>PM</v>
      </c>
      <c r="F283" s="12" t="s">
        <v>179</v>
      </c>
      <c r="G283" s="13" t="str">
        <f t="shared" si="3"/>
        <v>Palangkaraya</v>
      </c>
      <c r="H283" s="15" t="str">
        <f>IFERROR(VLOOKUP(A283,Sheet1!$E$3:$F$27,2,),"")</f>
        <v>Preventive</v>
      </c>
      <c r="I283" s="16" t="str">
        <f>IFERROR(VLOOKUP(A283,Sheet1!$E$3:$G$27,3,0),"")</f>
        <v>Preventive Maintenance</v>
      </c>
      <c r="J283" s="12" t="s">
        <v>112</v>
      </c>
      <c r="K283" s="17">
        <v>46013.0</v>
      </c>
      <c r="L283" s="17">
        <v>46013.0</v>
      </c>
      <c r="M283" s="12" t="s">
        <v>109</v>
      </c>
      <c r="N283" s="23"/>
      <c r="O283" s="22"/>
      <c r="P283" s="22"/>
    </row>
    <row r="284" ht="22.5" customHeight="1">
      <c r="A284" s="12" t="s">
        <v>65</v>
      </c>
      <c r="B284" s="20" t="str">
        <f>IFERROR(VLOOKUP(A284,Sheet1!$E$3:$H$27,4,0),"")</f>
        <v>P3</v>
      </c>
      <c r="C284" s="15"/>
      <c r="D284" s="12" t="s">
        <v>35</v>
      </c>
      <c r="E284" s="13" t="str">
        <f>IFERROR(VLOOKUP(D284,Sheet1!$B$1:$C$45,2,0),"")</f>
        <v>MBP</v>
      </c>
      <c r="F284" s="12" t="s">
        <v>179</v>
      </c>
      <c r="G284" s="13" t="str">
        <f t="shared" si="3"/>
        <v>Palangkaraya</v>
      </c>
      <c r="H284" s="15" t="str">
        <f>IFERROR(VLOOKUP(A284,Sheet1!$E$3:$F$27,2,),"")</f>
        <v>Standby</v>
      </c>
      <c r="I284" s="16" t="str">
        <f>IFERROR(VLOOKUP(A284,Sheet1!$E$3:$G$27,3,0),"")</f>
        <v>Standby On Call</v>
      </c>
      <c r="J284" s="12" t="s">
        <v>66</v>
      </c>
      <c r="K284" s="17">
        <v>46013.0</v>
      </c>
      <c r="L284" s="17">
        <v>46013.0</v>
      </c>
      <c r="M284" s="12" t="s">
        <v>137</v>
      </c>
      <c r="N284" s="23"/>
      <c r="O284" s="22"/>
      <c r="P284" s="22"/>
    </row>
    <row r="285" ht="22.5" customHeight="1">
      <c r="A285" s="12" t="s">
        <v>65</v>
      </c>
      <c r="B285" s="20" t="str">
        <f>IFERROR(VLOOKUP(A285,Sheet1!$E$3:$H$27,4,0),"")</f>
        <v>P3</v>
      </c>
      <c r="C285" s="15"/>
      <c r="D285" s="12" t="s">
        <v>75</v>
      </c>
      <c r="E285" s="13" t="str">
        <f>IFERROR(VLOOKUP(D285,Sheet1!$B$1:$C$45,2,0),"")</f>
        <v>CME</v>
      </c>
      <c r="F285" s="12" t="s">
        <v>179</v>
      </c>
      <c r="G285" s="13" t="str">
        <f t="shared" si="3"/>
        <v>Palangkaraya</v>
      </c>
      <c r="H285" s="15" t="str">
        <f>IFERROR(VLOOKUP(A285,Sheet1!$E$3:$F$27,2,),"")</f>
        <v>Standby</v>
      </c>
      <c r="I285" s="16" t="str">
        <f>IFERROR(VLOOKUP(A285,Sheet1!$E$3:$G$27,3,0),"")</f>
        <v>Standby On Call</v>
      </c>
      <c r="J285" s="12" t="s">
        <v>66</v>
      </c>
      <c r="K285" s="17">
        <v>46013.0</v>
      </c>
      <c r="L285" s="17">
        <v>46013.0</v>
      </c>
      <c r="M285" s="12" t="s">
        <v>137</v>
      </c>
      <c r="N285" s="23"/>
      <c r="O285" s="22"/>
      <c r="P285" s="22"/>
    </row>
    <row r="286" ht="22.5" customHeight="1">
      <c r="A286" s="12" t="s">
        <v>65</v>
      </c>
      <c r="B286" s="20" t="str">
        <f>IFERROR(VLOOKUP(A286,Sheet1!$E$3:$H$27,4,0),"")</f>
        <v>P3</v>
      </c>
      <c r="C286" s="15"/>
      <c r="D286" s="12" t="s">
        <v>48</v>
      </c>
      <c r="E286" s="13" t="str">
        <f>IFERROR(VLOOKUP(D286,Sheet1!$B$1:$C$45,2,0),"")</f>
        <v>MBP</v>
      </c>
      <c r="F286" s="12" t="s">
        <v>179</v>
      </c>
      <c r="G286" s="13" t="str">
        <f t="shared" si="3"/>
        <v>Palangkaraya</v>
      </c>
      <c r="H286" s="15" t="str">
        <f>IFERROR(VLOOKUP(A286,Sheet1!$E$3:$F$27,2,),"")</f>
        <v>Standby</v>
      </c>
      <c r="I286" s="16" t="str">
        <f>IFERROR(VLOOKUP(A286,Sheet1!$E$3:$G$27,3,0),"")</f>
        <v>Standby On Call</v>
      </c>
      <c r="J286" s="12" t="s">
        <v>66</v>
      </c>
      <c r="K286" s="17">
        <v>46013.0</v>
      </c>
      <c r="L286" s="17">
        <v>46013.0</v>
      </c>
      <c r="M286" s="12" t="s">
        <v>137</v>
      </c>
      <c r="N286" s="23"/>
      <c r="O286" s="22"/>
      <c r="P286" s="22"/>
    </row>
    <row r="287" ht="22.5" customHeight="1">
      <c r="A287" s="12" t="s">
        <v>65</v>
      </c>
      <c r="B287" s="20" t="str">
        <f>IFERROR(VLOOKUP(A287,Sheet1!$E$3:$H$27,4,0),"")</f>
        <v>P3</v>
      </c>
      <c r="C287" s="15"/>
      <c r="D287" s="12" t="s">
        <v>45</v>
      </c>
      <c r="E287" s="13" t="str">
        <f>IFERROR(VLOOKUP(D287,Sheet1!$B$1:$C$45,2,0),"")</f>
        <v>MBP</v>
      </c>
      <c r="F287" s="12" t="s">
        <v>179</v>
      </c>
      <c r="G287" s="13" t="str">
        <f t="shared" si="3"/>
        <v>Palangkaraya</v>
      </c>
      <c r="H287" s="15" t="str">
        <f>IFERROR(VLOOKUP(A287,Sheet1!$E$3:$F$27,2,),"")</f>
        <v>Standby</v>
      </c>
      <c r="I287" s="16" t="str">
        <f>IFERROR(VLOOKUP(A287,Sheet1!$E$3:$G$27,3,0),"")</f>
        <v>Standby On Call</v>
      </c>
      <c r="J287" s="12" t="s">
        <v>66</v>
      </c>
      <c r="K287" s="17">
        <v>46013.0</v>
      </c>
      <c r="L287" s="17">
        <v>46013.0</v>
      </c>
      <c r="M287" s="12" t="s">
        <v>137</v>
      </c>
      <c r="N287" s="23"/>
      <c r="O287" s="22"/>
      <c r="P287" s="22"/>
    </row>
    <row r="288" ht="22.5" customHeight="1">
      <c r="A288" s="12" t="s">
        <v>65</v>
      </c>
      <c r="B288" s="20" t="str">
        <f>IFERROR(VLOOKUP(A288,Sheet1!$E$3:$H$27,4,0),"")</f>
        <v>P3</v>
      </c>
      <c r="C288" s="15"/>
      <c r="D288" s="12" t="s">
        <v>64</v>
      </c>
      <c r="E288" s="13" t="str">
        <f>IFERROR(VLOOKUP(D288,Sheet1!$B$1:$C$45,2,0),"")</f>
        <v>TE</v>
      </c>
      <c r="F288" s="12" t="s">
        <v>179</v>
      </c>
      <c r="G288" s="13" t="str">
        <f t="shared" si="3"/>
        <v>Palangkaraya</v>
      </c>
      <c r="H288" s="15" t="str">
        <f>IFERROR(VLOOKUP(A288,Sheet1!$E$3:$F$27,2,),"")</f>
        <v>Standby</v>
      </c>
      <c r="I288" s="16" t="str">
        <f>IFERROR(VLOOKUP(A288,Sheet1!$E$3:$G$27,3,0),"")</f>
        <v>Standby On Call</v>
      </c>
      <c r="J288" s="12" t="s">
        <v>66</v>
      </c>
      <c r="K288" s="17">
        <v>46013.0</v>
      </c>
      <c r="L288" s="17">
        <v>46013.0</v>
      </c>
      <c r="M288" s="12" t="s">
        <v>137</v>
      </c>
      <c r="N288" s="23"/>
      <c r="O288" s="22"/>
      <c r="P288" s="22"/>
    </row>
    <row r="289" ht="22.5" customHeight="1">
      <c r="A289" s="12" t="s">
        <v>65</v>
      </c>
      <c r="B289" s="20" t="str">
        <f>IFERROR(VLOOKUP(A289,Sheet1!$E$3:$H$27,4,0),"")</f>
        <v>P3</v>
      </c>
      <c r="C289" s="15"/>
      <c r="D289" s="12" t="s">
        <v>54</v>
      </c>
      <c r="E289" s="13" t="str">
        <f>IFERROR(VLOOKUP(D289,Sheet1!$B$1:$C$45,2,0),"")</f>
        <v>MBP</v>
      </c>
      <c r="F289" s="12" t="s">
        <v>179</v>
      </c>
      <c r="G289" s="13" t="str">
        <f t="shared" si="3"/>
        <v>Palangkaraya</v>
      </c>
      <c r="H289" s="15" t="str">
        <f>IFERROR(VLOOKUP(A289,Sheet1!$E$3:$F$27,2,),"")</f>
        <v>Standby</v>
      </c>
      <c r="I289" s="16" t="str">
        <f>IFERROR(VLOOKUP(A289,Sheet1!$E$3:$G$27,3,0),"")</f>
        <v>Standby On Call</v>
      </c>
      <c r="J289" s="12" t="s">
        <v>66</v>
      </c>
      <c r="K289" s="17">
        <v>46013.0</v>
      </c>
      <c r="L289" s="17">
        <v>46013.0</v>
      </c>
      <c r="M289" s="12" t="s">
        <v>137</v>
      </c>
      <c r="N289" s="23"/>
      <c r="O289" s="22"/>
      <c r="P289" s="22"/>
    </row>
    <row r="290" ht="22.5" hidden="1" customHeight="1">
      <c r="A290" s="12" t="s">
        <v>65</v>
      </c>
      <c r="B290" s="20" t="str">
        <f>IFERROR(VLOOKUP(A290,Sheet1!$E$3:$H$27,4,0),"")</f>
        <v>P3</v>
      </c>
      <c r="C290" s="15"/>
      <c r="D290" s="12" t="s">
        <v>67</v>
      </c>
      <c r="E290" s="12" t="s">
        <v>1</v>
      </c>
      <c r="F290" s="12" t="s">
        <v>179</v>
      </c>
      <c r="G290" s="13" t="str">
        <f t="shared" si="3"/>
        <v>Palangkaraya</v>
      </c>
      <c r="H290" s="15" t="str">
        <f>IFERROR(VLOOKUP(A290,Sheet1!$E$3:$F$27,2,),"")</f>
        <v>Standby</v>
      </c>
      <c r="I290" s="16" t="str">
        <f>IFERROR(VLOOKUP(A290,Sheet1!$E$3:$G$27,3,0),"")</f>
        <v>Standby On Call</v>
      </c>
      <c r="J290" s="12" t="s">
        <v>66</v>
      </c>
      <c r="K290" s="17">
        <v>46013.0</v>
      </c>
      <c r="L290" s="24"/>
      <c r="M290" s="12" t="s">
        <v>137</v>
      </c>
      <c r="N290" s="23"/>
      <c r="O290" s="22"/>
      <c r="P290" s="22"/>
    </row>
    <row r="291" ht="22.5" hidden="1" customHeight="1">
      <c r="A291" s="12" t="s">
        <v>68</v>
      </c>
      <c r="B291" s="20" t="str">
        <f>IFERROR(VLOOKUP(A291,Sheet1!$E$3:$H$27,4,0),"")</f>
        <v>P3</v>
      </c>
      <c r="C291" s="15"/>
      <c r="D291" s="12" t="s">
        <v>56</v>
      </c>
      <c r="E291" s="13" t="str">
        <f>IFERROR(VLOOKUP(D291,Sheet1!$B$1:$C$45,2,0),"")</f>
        <v>TE</v>
      </c>
      <c r="F291" s="12" t="s">
        <v>179</v>
      </c>
      <c r="G291" s="13" t="str">
        <f t="shared" si="3"/>
        <v>Palangkaraya</v>
      </c>
      <c r="H291" s="15" t="str">
        <f>IFERROR(VLOOKUP(A291,Sheet1!$E$3:$F$27,2,),"")</f>
        <v>On Leave</v>
      </c>
      <c r="I291" s="16" t="str">
        <f>IFERROR(VLOOKUP(A291,Sheet1!$E$3:$G$27,3,0),"")</f>
        <v>On Leave</v>
      </c>
      <c r="J291" s="12" t="s">
        <v>66</v>
      </c>
      <c r="K291" s="17">
        <v>46013.0</v>
      </c>
      <c r="L291" s="24"/>
      <c r="M291" s="12" t="s">
        <v>137</v>
      </c>
      <c r="N291" s="23"/>
      <c r="O291" s="22"/>
      <c r="P291" s="22"/>
    </row>
    <row r="292" ht="22.5" customHeight="1">
      <c r="A292" s="12" t="s">
        <v>33</v>
      </c>
      <c r="B292" s="20" t="str">
        <f>IFERROR(VLOOKUP(A292,Sheet1!$E$3:$H$27,4,0),"")</f>
        <v>P2</v>
      </c>
      <c r="C292" s="14" t="s">
        <v>285</v>
      </c>
      <c r="D292" s="12" t="s">
        <v>12</v>
      </c>
      <c r="E292" s="13" t="str">
        <f>IFERROR(VLOOKUP(D292,Sheet1!$B$1:$C$45,2,0),"")</f>
        <v>TE</v>
      </c>
      <c r="F292" s="12" t="s">
        <v>108</v>
      </c>
      <c r="G292" s="13" t="str">
        <f t="shared" si="3"/>
        <v>Barito Raya</v>
      </c>
      <c r="H292" s="15" t="str">
        <f>IFERROR(VLOOKUP(A292,Sheet1!$E$3:$F$27,2,),"")</f>
        <v>Preventive</v>
      </c>
      <c r="I292" s="16" t="str">
        <f>IFERROR(VLOOKUP(A292,Sheet1!$E$3:$G$27,3,0),"")</f>
        <v>Pengukuran dan pengambilan data log serta input Gdoc BBT</v>
      </c>
      <c r="J292" s="20"/>
      <c r="K292" s="17">
        <v>46014.0</v>
      </c>
      <c r="L292" s="17">
        <v>46014.0</v>
      </c>
      <c r="M292" s="12" t="s">
        <v>137</v>
      </c>
      <c r="N292" s="23"/>
      <c r="O292" s="22"/>
      <c r="P292" s="22"/>
    </row>
    <row r="293" ht="22.5" customHeight="1">
      <c r="A293" s="12" t="s">
        <v>52</v>
      </c>
      <c r="B293" s="20" t="str">
        <f>IFERROR(VLOOKUP(A293,Sheet1!$E$3:$H$27,4,0),"")</f>
        <v>P1</v>
      </c>
      <c r="C293" s="14" t="s">
        <v>308</v>
      </c>
      <c r="D293" s="12" t="s">
        <v>16</v>
      </c>
      <c r="E293" s="13" t="str">
        <f>IFERROR(VLOOKUP(D293,Sheet1!$B$1:$C$45,2,0),"")</f>
        <v>TE</v>
      </c>
      <c r="F293" s="12" t="s">
        <v>108</v>
      </c>
      <c r="G293" s="13" t="str">
        <f t="shared" si="3"/>
        <v>Barito Raya</v>
      </c>
      <c r="H293" s="15" t="str">
        <f>IFERROR(VLOOKUP(A293,Sheet1!$E$3:$F$27,2,),"")</f>
        <v>Preventive</v>
      </c>
      <c r="I293" s="16" t="str">
        <f>IFERROR(VLOOKUP(A293,Sheet1!$E$3:$G$27,3,0),"")</f>
        <v>MCB trip/Power upnormal</v>
      </c>
      <c r="J293" s="20"/>
      <c r="K293" s="17">
        <v>46014.0</v>
      </c>
      <c r="L293" s="17">
        <v>46014.0</v>
      </c>
      <c r="M293" s="12" t="s">
        <v>137</v>
      </c>
      <c r="N293" s="23"/>
      <c r="O293" s="22"/>
      <c r="P293" s="22"/>
    </row>
    <row r="294" ht="22.5" customHeight="1">
      <c r="A294" s="12" t="s">
        <v>27</v>
      </c>
      <c r="B294" s="20" t="str">
        <f>IFERROR(VLOOKUP(A294,Sheet1!$E$3:$H$27,4,0),"")</f>
        <v>P2</v>
      </c>
      <c r="C294" s="14" t="s">
        <v>255</v>
      </c>
      <c r="D294" s="12" t="s">
        <v>21</v>
      </c>
      <c r="E294" s="13" t="str">
        <f>IFERROR(VLOOKUP(D294,Sheet1!$B$1:$C$45,2,0),"")</f>
        <v>TE</v>
      </c>
      <c r="F294" s="12" t="s">
        <v>108</v>
      </c>
      <c r="G294" s="13" t="str">
        <f t="shared" si="3"/>
        <v>Barito Raya</v>
      </c>
      <c r="H294" s="15" t="str">
        <f>IFERROR(VLOOKUP(A294,Sheet1!$E$3:$F$27,2,),"")</f>
        <v>Preventive</v>
      </c>
      <c r="I294" s="16" t="str">
        <f>IFERROR(VLOOKUP(A294,Sheet1!$E$3:$G$27,3,0),"")</f>
        <v>Akses/Hub Site problem metro</v>
      </c>
      <c r="J294" s="20"/>
      <c r="K294" s="17">
        <v>46014.0</v>
      </c>
      <c r="L294" s="17">
        <v>46014.0</v>
      </c>
      <c r="M294" s="12" t="s">
        <v>137</v>
      </c>
      <c r="N294" s="23"/>
      <c r="O294" s="22"/>
      <c r="P294" s="22"/>
    </row>
    <row r="295" ht="22.5" customHeight="1">
      <c r="A295" s="12" t="s">
        <v>65</v>
      </c>
      <c r="B295" s="20" t="str">
        <f>IFERROR(VLOOKUP(A295,Sheet1!$E$3:$H$27,4,0),"")</f>
        <v>P3</v>
      </c>
      <c r="C295" s="15"/>
      <c r="D295" s="12" t="s">
        <v>26</v>
      </c>
      <c r="E295" s="13" t="str">
        <f>IFERROR(VLOOKUP(D295,Sheet1!$B$1:$C$45,2,0),"")</f>
        <v>TE</v>
      </c>
      <c r="F295" s="12" t="s">
        <v>108</v>
      </c>
      <c r="G295" s="13" t="str">
        <f t="shared" si="3"/>
        <v>Barito Raya</v>
      </c>
      <c r="H295" s="15" t="str">
        <f>IFERROR(VLOOKUP(A295,Sheet1!$E$3:$F$27,2,),"")</f>
        <v>Standby</v>
      </c>
      <c r="I295" s="16" t="str">
        <f>IFERROR(VLOOKUP(A295,Sheet1!$E$3:$G$27,3,0),"")</f>
        <v>Standby On Call</v>
      </c>
      <c r="J295" s="20"/>
      <c r="K295" s="17">
        <v>46014.0</v>
      </c>
      <c r="L295" s="17">
        <v>46014.0</v>
      </c>
      <c r="M295" s="13"/>
      <c r="N295" s="23"/>
      <c r="O295" s="22"/>
      <c r="P295" s="22"/>
    </row>
    <row r="296" ht="22.5" customHeight="1">
      <c r="A296" s="12" t="s">
        <v>65</v>
      </c>
      <c r="B296" s="20" t="str">
        <f>IFERROR(VLOOKUP(A296,Sheet1!$E$3:$H$27,4,0),"")</f>
        <v>P3</v>
      </c>
      <c r="C296" s="15"/>
      <c r="D296" s="12" t="s">
        <v>88</v>
      </c>
      <c r="E296" s="13" t="str">
        <f>IFERROR(VLOOKUP(D296,Sheet1!$B$1:$C$45,2,0),"")</f>
        <v>TE</v>
      </c>
      <c r="F296" s="12" t="s">
        <v>108</v>
      </c>
      <c r="G296" s="13" t="str">
        <f t="shared" si="3"/>
        <v>Barito Raya</v>
      </c>
      <c r="H296" s="15" t="str">
        <f>IFERROR(VLOOKUP(A296,Sheet1!$E$3:$F$27,2,),"")</f>
        <v>Standby</v>
      </c>
      <c r="I296" s="16" t="str">
        <f>IFERROR(VLOOKUP(A296,Sheet1!$E$3:$G$27,3,0),"")</f>
        <v>Standby On Call</v>
      </c>
      <c r="J296" s="20"/>
      <c r="K296" s="17">
        <v>46014.0</v>
      </c>
      <c r="L296" s="17">
        <v>46014.0</v>
      </c>
      <c r="M296" s="13"/>
      <c r="N296" s="23"/>
      <c r="O296" s="22"/>
      <c r="P296" s="22"/>
    </row>
    <row r="297" ht="22.5" customHeight="1">
      <c r="A297" s="12" t="s">
        <v>52</v>
      </c>
      <c r="B297" s="20" t="str">
        <f>IFERROR(VLOOKUP(A297,Sheet1!$E$3:$H$27,4,0),"")</f>
        <v>P1</v>
      </c>
      <c r="C297" s="14" t="s">
        <v>309</v>
      </c>
      <c r="D297" s="12" t="s">
        <v>32</v>
      </c>
      <c r="E297" s="13" t="str">
        <f>IFERROR(VLOOKUP(D297,Sheet1!$B$1:$C$45,2,0),"")</f>
        <v>TE</v>
      </c>
      <c r="F297" s="12" t="s">
        <v>108</v>
      </c>
      <c r="G297" s="13" t="str">
        <f t="shared" si="3"/>
        <v>Barito Raya</v>
      </c>
      <c r="H297" s="15" t="str">
        <f>IFERROR(VLOOKUP(A297,Sheet1!$E$3:$F$27,2,),"")</f>
        <v>Preventive</v>
      </c>
      <c r="I297" s="16" t="str">
        <f>IFERROR(VLOOKUP(A297,Sheet1!$E$3:$G$27,3,0),"")</f>
        <v>MCB trip/Power upnormal</v>
      </c>
      <c r="J297" s="20"/>
      <c r="K297" s="17">
        <v>46014.0</v>
      </c>
      <c r="L297" s="17">
        <v>46014.0</v>
      </c>
      <c r="M297" s="12" t="s">
        <v>137</v>
      </c>
      <c r="N297" s="23"/>
      <c r="O297" s="22"/>
      <c r="P297" s="22"/>
    </row>
    <row r="298" ht="22.5" customHeight="1">
      <c r="A298" s="12" t="s">
        <v>22</v>
      </c>
      <c r="B298" s="20" t="str">
        <f>IFERROR(VLOOKUP(A298,Sheet1!$E$3:$H$27,4,0),"")</f>
        <v>P2</v>
      </c>
      <c r="C298" s="14" t="s">
        <v>310</v>
      </c>
      <c r="D298" s="12" t="s">
        <v>60</v>
      </c>
      <c r="E298" s="13" t="str">
        <f>IFERROR(VLOOKUP(D298,Sheet1!$B$1:$C$45,2,0),"")</f>
        <v>TE</v>
      </c>
      <c r="F298" s="12" t="s">
        <v>108</v>
      </c>
      <c r="G298" s="13" t="str">
        <f t="shared" si="3"/>
        <v>Barito Raya</v>
      </c>
      <c r="H298" s="15" t="str">
        <f>IFERROR(VLOOKUP(A298,Sheet1!$E$3:$F$27,2,),"")</f>
        <v>Preventive</v>
      </c>
      <c r="I298" s="16" t="str">
        <f>IFERROR(VLOOKUP(A298,Sheet1!$E$3:$G$27,3,0),"")</f>
        <v>Preventive Maintenance</v>
      </c>
      <c r="J298" s="20"/>
      <c r="K298" s="17">
        <v>46014.0</v>
      </c>
      <c r="L298" s="17">
        <v>46014.0</v>
      </c>
      <c r="M298" s="12" t="s">
        <v>137</v>
      </c>
      <c r="N298" s="23"/>
      <c r="O298" s="22"/>
      <c r="P298" s="22"/>
    </row>
    <row r="299" ht="22.5" customHeight="1">
      <c r="A299" s="12" t="s">
        <v>27</v>
      </c>
      <c r="B299" s="20" t="str">
        <f>IFERROR(VLOOKUP(A299,Sheet1!$E$3:$H$27,4,0),"")</f>
        <v>P2</v>
      </c>
      <c r="C299" s="14" t="s">
        <v>311</v>
      </c>
      <c r="D299" s="12" t="s">
        <v>62</v>
      </c>
      <c r="E299" s="13" t="str">
        <f>IFERROR(VLOOKUP(D299,Sheet1!$B$1:$C$45,2,0),"")</f>
        <v>TE</v>
      </c>
      <c r="F299" s="12" t="s">
        <v>108</v>
      </c>
      <c r="G299" s="13" t="str">
        <f t="shared" si="3"/>
        <v>Barito Raya</v>
      </c>
      <c r="H299" s="15" t="str">
        <f>IFERROR(VLOOKUP(A299,Sheet1!$E$3:$F$27,2,),"")</f>
        <v>Preventive</v>
      </c>
      <c r="I299" s="16" t="str">
        <f>IFERROR(VLOOKUP(A299,Sheet1!$E$3:$G$27,3,0),"")</f>
        <v>Akses/Hub Site problem metro</v>
      </c>
      <c r="J299" s="20"/>
      <c r="K299" s="17">
        <v>46014.0</v>
      </c>
      <c r="L299" s="17">
        <v>46014.0</v>
      </c>
      <c r="M299" s="12" t="s">
        <v>137</v>
      </c>
      <c r="N299" s="23"/>
      <c r="O299" s="22"/>
      <c r="P299" s="22"/>
    </row>
    <row r="300" ht="22.5" customHeight="1">
      <c r="A300" s="12" t="s">
        <v>52</v>
      </c>
      <c r="B300" s="20" t="str">
        <f>IFERROR(VLOOKUP(A300,Sheet1!$E$3:$H$27,4,0),"")</f>
        <v>P1</v>
      </c>
      <c r="C300" s="14" t="s">
        <v>308</v>
      </c>
      <c r="D300" s="12" t="s">
        <v>9</v>
      </c>
      <c r="E300" s="13" t="str">
        <f>IFERROR(VLOOKUP(D300,Sheet1!$B$1:$C$45,2,0),"")</f>
        <v>MBP</v>
      </c>
      <c r="F300" s="12" t="s">
        <v>108</v>
      </c>
      <c r="G300" s="13" t="str">
        <f t="shared" si="3"/>
        <v>Barito Raya</v>
      </c>
      <c r="H300" s="15" t="str">
        <f>IFERROR(VLOOKUP(A300,Sheet1!$E$3:$F$27,2,),"")</f>
        <v>Preventive</v>
      </c>
      <c r="I300" s="16" t="str">
        <f>IFERROR(VLOOKUP(A300,Sheet1!$E$3:$G$27,3,0),"")</f>
        <v>MCB trip/Power upnormal</v>
      </c>
      <c r="J300" s="20"/>
      <c r="K300" s="17">
        <v>46014.0</v>
      </c>
      <c r="L300" s="17">
        <v>46014.0</v>
      </c>
      <c r="M300" s="12" t="s">
        <v>137</v>
      </c>
      <c r="N300" s="23"/>
      <c r="O300" s="22"/>
      <c r="P300" s="22"/>
    </row>
    <row r="301" ht="22.5" customHeight="1">
      <c r="A301" s="12" t="s">
        <v>65</v>
      </c>
      <c r="B301" s="20" t="str">
        <f>IFERROR(VLOOKUP(A301,Sheet1!$E$3:$H$27,4,0),"")</f>
        <v>P3</v>
      </c>
      <c r="C301" s="15"/>
      <c r="D301" s="12" t="s">
        <v>4</v>
      </c>
      <c r="E301" s="13" t="str">
        <f>IFERROR(VLOOKUP(D301,Sheet1!$B$1:$C$45,2,0),"")</f>
        <v>CME</v>
      </c>
      <c r="F301" s="12" t="s">
        <v>108</v>
      </c>
      <c r="G301" s="13" t="str">
        <f t="shared" si="3"/>
        <v>Barito Raya</v>
      </c>
      <c r="H301" s="15" t="str">
        <f>IFERROR(VLOOKUP(A301,Sheet1!$E$3:$F$27,2,),"")</f>
        <v>Standby</v>
      </c>
      <c r="I301" s="16" t="str">
        <f>IFERROR(VLOOKUP(A301,Sheet1!$E$3:$G$27,3,0),"")</f>
        <v>Standby On Call</v>
      </c>
      <c r="J301" s="20"/>
      <c r="K301" s="17">
        <v>46014.0</v>
      </c>
      <c r="L301" s="17">
        <v>46014.0</v>
      </c>
      <c r="M301" s="13"/>
      <c r="N301" s="23"/>
      <c r="O301" s="22"/>
      <c r="P301" s="22"/>
    </row>
    <row r="302" ht="22.5" customHeight="1">
      <c r="A302" s="12" t="s">
        <v>65</v>
      </c>
      <c r="B302" s="20" t="str">
        <f>IFERROR(VLOOKUP(A302,Sheet1!$E$3:$H$27,4,0),"")</f>
        <v>P3</v>
      </c>
      <c r="C302" s="15"/>
      <c r="D302" s="12" t="s">
        <v>24</v>
      </c>
      <c r="E302" s="13" t="str">
        <f>IFERROR(VLOOKUP(D302,Sheet1!$B$1:$C$45,2,0),"")</f>
        <v>MBP</v>
      </c>
      <c r="F302" s="12" t="s">
        <v>108</v>
      </c>
      <c r="G302" s="13" t="str">
        <f t="shared" si="3"/>
        <v>Barito Raya</v>
      </c>
      <c r="H302" s="15" t="str">
        <f>IFERROR(VLOOKUP(A302,Sheet1!$E$3:$F$27,2,),"")</f>
        <v>Standby</v>
      </c>
      <c r="I302" s="16" t="str">
        <f>IFERROR(VLOOKUP(A302,Sheet1!$E$3:$G$27,3,0),"")</f>
        <v>Standby On Call</v>
      </c>
      <c r="J302" s="20"/>
      <c r="K302" s="17">
        <v>46014.0</v>
      </c>
      <c r="L302" s="17">
        <v>46014.0</v>
      </c>
      <c r="M302" s="13"/>
      <c r="N302" s="23"/>
      <c r="O302" s="22"/>
      <c r="P302" s="22"/>
    </row>
    <row r="303" ht="22.5" customHeight="1">
      <c r="A303" s="12" t="s">
        <v>65</v>
      </c>
      <c r="B303" s="20" t="str">
        <f>IFERROR(VLOOKUP(A303,Sheet1!$E$3:$H$27,4,0),"")</f>
        <v>P3</v>
      </c>
      <c r="C303" s="14"/>
      <c r="D303" s="12" t="s">
        <v>87</v>
      </c>
      <c r="E303" s="13" t="str">
        <f>IFERROR(VLOOKUP(D303,Sheet1!$B$1:$C$45,2,0),"")</f>
        <v>MBP</v>
      </c>
      <c r="F303" s="12" t="s">
        <v>108</v>
      </c>
      <c r="G303" s="13" t="str">
        <f t="shared" si="3"/>
        <v>Barito Raya</v>
      </c>
      <c r="H303" s="15" t="str">
        <f>IFERROR(VLOOKUP(A303,Sheet1!$E$3:$F$27,2,),"")</f>
        <v>Standby</v>
      </c>
      <c r="I303" s="16" t="str">
        <f>IFERROR(VLOOKUP(A303,Sheet1!$E$3:$G$27,3,0),"")</f>
        <v>Standby On Call</v>
      </c>
      <c r="J303" s="20"/>
      <c r="K303" s="17">
        <v>46014.0</v>
      </c>
      <c r="L303" s="17">
        <v>46014.0</v>
      </c>
      <c r="M303" s="13"/>
      <c r="N303" s="23"/>
      <c r="O303" s="22"/>
      <c r="P303" s="22"/>
    </row>
    <row r="304" ht="22.5" customHeight="1">
      <c r="A304" s="12" t="s">
        <v>52</v>
      </c>
      <c r="B304" s="20" t="str">
        <f>IFERROR(VLOOKUP(A304,Sheet1!$E$3:$H$27,4,0),"")</f>
        <v>P1</v>
      </c>
      <c r="C304" s="14" t="s">
        <v>309</v>
      </c>
      <c r="D304" s="12" t="s">
        <v>29</v>
      </c>
      <c r="E304" s="13" t="str">
        <f>IFERROR(VLOOKUP(D304,Sheet1!$B$1:$C$45,2,0),"")</f>
        <v>MBP</v>
      </c>
      <c r="F304" s="12" t="s">
        <v>108</v>
      </c>
      <c r="G304" s="13" t="str">
        <f t="shared" si="3"/>
        <v>Barito Raya</v>
      </c>
      <c r="H304" s="15" t="str">
        <f>IFERROR(VLOOKUP(A304,Sheet1!$E$3:$F$27,2,),"")</f>
        <v>Preventive</v>
      </c>
      <c r="I304" s="16" t="str">
        <f>IFERROR(VLOOKUP(A304,Sheet1!$E$3:$G$27,3,0),"")</f>
        <v>MCB trip/Power upnormal</v>
      </c>
      <c r="J304" s="20"/>
      <c r="K304" s="17">
        <v>46014.0</v>
      </c>
      <c r="L304" s="17">
        <v>46014.0</v>
      </c>
      <c r="M304" s="12" t="s">
        <v>137</v>
      </c>
      <c r="N304" s="23"/>
      <c r="O304" s="22"/>
      <c r="P304" s="22"/>
    </row>
    <row r="305" ht="22.5" customHeight="1">
      <c r="A305" s="12" t="s">
        <v>65</v>
      </c>
      <c r="B305" s="20" t="str">
        <f>IFERROR(VLOOKUP(A305,Sheet1!$E$3:$H$27,4,0),"")</f>
        <v>P3</v>
      </c>
      <c r="C305" s="15"/>
      <c r="D305" s="12" t="s">
        <v>74</v>
      </c>
      <c r="E305" s="13" t="str">
        <f>IFERROR(VLOOKUP(D305,Sheet1!$B$1:$C$45,2,0),"")</f>
        <v>TE</v>
      </c>
      <c r="F305" s="12" t="s">
        <v>108</v>
      </c>
      <c r="G305" s="13" t="str">
        <f t="shared" si="3"/>
        <v>Barito Raya</v>
      </c>
      <c r="H305" s="15" t="str">
        <f>IFERROR(VLOOKUP(A305,Sheet1!$E$3:$F$27,2,),"")</f>
        <v>Standby</v>
      </c>
      <c r="I305" s="16" t="str">
        <f>IFERROR(VLOOKUP(A305,Sheet1!$E$3:$G$27,3,0),"")</f>
        <v>Standby On Call</v>
      </c>
      <c r="J305" s="20"/>
      <c r="K305" s="17">
        <v>46014.0</v>
      </c>
      <c r="L305" s="17">
        <v>46014.0</v>
      </c>
      <c r="M305" s="13"/>
      <c r="N305" s="23"/>
      <c r="O305" s="22"/>
      <c r="P305" s="22"/>
    </row>
    <row r="306" ht="22.5" customHeight="1">
      <c r="A306" s="12" t="s">
        <v>52</v>
      </c>
      <c r="B306" s="20" t="str">
        <f>IFERROR(VLOOKUP(A306,Sheet1!$E$3:$H$27,4,0),"")</f>
        <v>P1</v>
      </c>
      <c r="C306" s="14" t="s">
        <v>312</v>
      </c>
      <c r="D306" s="12" t="s">
        <v>2</v>
      </c>
      <c r="E306" s="13" t="str">
        <f>IFERROR(VLOOKUP(D306,Sheet1!$B$1:$C$45,2,0),"")</f>
        <v>CME</v>
      </c>
      <c r="F306" s="12" t="s">
        <v>108</v>
      </c>
      <c r="G306" s="13" t="str">
        <f t="shared" si="3"/>
        <v>Barito Raya</v>
      </c>
      <c r="H306" s="15" t="str">
        <f>IFERROR(VLOOKUP(A306,Sheet1!$E$3:$F$27,2,),"")</f>
        <v>Preventive</v>
      </c>
      <c r="I306" s="16" t="str">
        <f>IFERROR(VLOOKUP(A306,Sheet1!$E$3:$G$27,3,0),"")</f>
        <v>MCB trip/Power upnormal</v>
      </c>
      <c r="J306" s="20"/>
      <c r="K306" s="17">
        <v>46014.0</v>
      </c>
      <c r="L306" s="17">
        <v>46014.0</v>
      </c>
      <c r="M306" s="12" t="s">
        <v>137</v>
      </c>
      <c r="N306" s="23"/>
      <c r="O306" s="22"/>
      <c r="P306" s="22"/>
    </row>
    <row r="307" ht="22.5" customHeight="1">
      <c r="A307" s="12" t="s">
        <v>22</v>
      </c>
      <c r="B307" s="20" t="str">
        <f>IFERROR(VLOOKUP(A307,Sheet1!$E$3:$H$27,4,0),"")</f>
        <v>P2</v>
      </c>
      <c r="C307" s="14" t="s">
        <v>282</v>
      </c>
      <c r="D307" s="12" t="s">
        <v>85</v>
      </c>
      <c r="E307" s="13" t="str">
        <f>IFERROR(VLOOKUP(D307,Sheet1!$B$1:$C$45,2,0),"")</f>
        <v>PM</v>
      </c>
      <c r="F307" s="12" t="s">
        <v>108</v>
      </c>
      <c r="G307" s="13" t="str">
        <f t="shared" si="3"/>
        <v>Barito Raya</v>
      </c>
      <c r="H307" s="15" t="str">
        <f>IFERROR(VLOOKUP(A307,Sheet1!$E$3:$F$27,2,),"")</f>
        <v>Preventive</v>
      </c>
      <c r="I307" s="16" t="str">
        <f>IFERROR(VLOOKUP(A307,Sheet1!$E$3:$G$27,3,0),"")</f>
        <v>Preventive Maintenance</v>
      </c>
      <c r="J307" s="20"/>
      <c r="K307" s="17">
        <v>46014.0</v>
      </c>
      <c r="L307" s="17">
        <v>46014.0</v>
      </c>
      <c r="M307" s="12" t="s">
        <v>137</v>
      </c>
      <c r="N307" s="23"/>
      <c r="O307" s="22"/>
      <c r="P307" s="22"/>
    </row>
    <row r="308" ht="22.5" customHeight="1">
      <c r="A308" s="12" t="s">
        <v>261</v>
      </c>
      <c r="B308" s="20" t="str">
        <f>IFERROR(VLOOKUP(A308,Sheet1!$E$3:$H$27,4,0),"")</f>
        <v>P2</v>
      </c>
      <c r="C308" s="14" t="s">
        <v>283</v>
      </c>
      <c r="D308" s="12" t="s">
        <v>84</v>
      </c>
      <c r="E308" s="13" t="str">
        <f>IFERROR(VLOOKUP(D308,Sheet1!$B$1:$C$45,2,0),"")</f>
        <v>MBP</v>
      </c>
      <c r="F308" s="12" t="s">
        <v>108</v>
      </c>
      <c r="G308" s="13" t="str">
        <f t="shared" si="3"/>
        <v>Barito Raya</v>
      </c>
      <c r="H308" s="15" t="str">
        <f>IFERROR(VLOOKUP(A308,Sheet1!$E$3:$F$27,2,),"")</f>
        <v>Preventive</v>
      </c>
      <c r="I308" s="16" t="str">
        <f>IFERROR(VLOOKUP(A308,Sheet1!$E$3:$G$27,3,0),"")</f>
        <v>Preventive Maintenance</v>
      </c>
      <c r="J308" s="20"/>
      <c r="K308" s="17">
        <v>46014.0</v>
      </c>
      <c r="L308" s="17">
        <v>46014.0</v>
      </c>
      <c r="M308" s="12" t="s">
        <v>137</v>
      </c>
      <c r="N308" s="23"/>
      <c r="O308" s="22"/>
      <c r="P308" s="22"/>
    </row>
    <row r="309" ht="22.5" customHeight="1">
      <c r="A309" s="12" t="s">
        <v>22</v>
      </c>
      <c r="B309" s="20" t="str">
        <f>IFERROR(VLOOKUP(A309,Sheet1!$E$3:$H$27,4,0),"")</f>
        <v>P2</v>
      </c>
      <c r="C309" s="14" t="s">
        <v>313</v>
      </c>
      <c r="D309" s="12" t="s">
        <v>86</v>
      </c>
      <c r="E309" s="13" t="str">
        <f>IFERROR(VLOOKUP(D309,Sheet1!$B$1:$C$45,2,0),"")</f>
        <v>PM</v>
      </c>
      <c r="F309" s="12" t="s">
        <v>108</v>
      </c>
      <c r="G309" s="13" t="str">
        <f t="shared" si="3"/>
        <v>Barito Raya</v>
      </c>
      <c r="H309" s="15" t="str">
        <f>IFERROR(VLOOKUP(A309,Sheet1!$E$3:$F$27,2,),"")</f>
        <v>Preventive</v>
      </c>
      <c r="I309" s="16" t="str">
        <f>IFERROR(VLOOKUP(A309,Sheet1!$E$3:$G$27,3,0),"")</f>
        <v>Preventive Maintenance</v>
      </c>
      <c r="J309" s="20"/>
      <c r="K309" s="17">
        <v>46014.0</v>
      </c>
      <c r="L309" s="17">
        <v>46014.0</v>
      </c>
      <c r="M309" s="12" t="s">
        <v>137</v>
      </c>
      <c r="N309" s="23"/>
      <c r="O309" s="22"/>
      <c r="P309" s="22"/>
    </row>
    <row r="310" ht="22.5" customHeight="1">
      <c r="A310" s="12" t="s">
        <v>46</v>
      </c>
      <c r="B310" s="20" t="str">
        <f>IFERROR(VLOOKUP(A310,Sheet1!$E$3:$H$27,4,0),"")</f>
        <v>P2</v>
      </c>
      <c r="C310" s="14" t="s">
        <v>314</v>
      </c>
      <c r="D310" s="12" t="s">
        <v>76</v>
      </c>
      <c r="E310" s="13" t="str">
        <f>IFERROR(VLOOKUP(D310,Sheet1!$B$1:$C$45,2,0),"")</f>
        <v>TE</v>
      </c>
      <c r="F310" s="12" t="s">
        <v>108</v>
      </c>
      <c r="G310" s="13" t="str">
        <f t="shared" si="3"/>
        <v>Barito Raya</v>
      </c>
      <c r="H310" s="15" t="str">
        <f>IFERROR(VLOOKUP(A310,Sheet1!$E$3:$F$27,2,),"")</f>
        <v>Preventive</v>
      </c>
      <c r="I310" s="16" t="str">
        <f>IFERROR(VLOOKUP(A310,Sheet1!$E$3:$G$27,3,0),"")</f>
        <v>Instalasi Battery</v>
      </c>
      <c r="J310" s="12" t="s">
        <v>112</v>
      </c>
      <c r="K310" s="17">
        <v>46014.0</v>
      </c>
      <c r="L310" s="24"/>
      <c r="M310" s="12" t="s">
        <v>137</v>
      </c>
      <c r="N310" s="23"/>
      <c r="O310" s="22"/>
      <c r="P310" s="22"/>
    </row>
    <row r="311" ht="22.5" customHeight="1">
      <c r="A311" s="12" t="s">
        <v>46</v>
      </c>
      <c r="B311" s="20" t="str">
        <f>IFERROR(VLOOKUP(A311,Sheet1!$E$3:$H$27,4,0),"")</f>
        <v>P2</v>
      </c>
      <c r="C311" s="14" t="s">
        <v>315</v>
      </c>
      <c r="D311" s="12" t="s">
        <v>77</v>
      </c>
      <c r="E311" s="13" t="str">
        <f>IFERROR(VLOOKUP(D311,Sheet1!$B$1:$C$45,2,0),"")</f>
        <v>TE</v>
      </c>
      <c r="F311" s="12" t="s">
        <v>108</v>
      </c>
      <c r="G311" s="13" t="str">
        <f t="shared" si="3"/>
        <v>Barito Raya</v>
      </c>
      <c r="H311" s="15" t="str">
        <f>IFERROR(VLOOKUP(A311,Sheet1!$E$3:$F$27,2,),"")</f>
        <v>Preventive</v>
      </c>
      <c r="I311" s="16" t="str">
        <f>IFERROR(VLOOKUP(A311,Sheet1!$E$3:$G$27,3,0),"")</f>
        <v>Instalasi Battery</v>
      </c>
      <c r="J311" s="12" t="s">
        <v>112</v>
      </c>
      <c r="K311" s="17">
        <v>46014.0</v>
      </c>
      <c r="L311" s="24"/>
      <c r="M311" s="12" t="s">
        <v>137</v>
      </c>
      <c r="N311" s="23"/>
      <c r="O311" s="22"/>
      <c r="P311" s="22"/>
    </row>
    <row r="312" ht="22.5" customHeight="1">
      <c r="A312" s="12" t="s">
        <v>46</v>
      </c>
      <c r="B312" s="20" t="str">
        <f>IFERROR(VLOOKUP(A312,Sheet1!$E$3:$H$27,4,0),"")</f>
        <v>P2</v>
      </c>
      <c r="C312" s="14" t="s">
        <v>316</v>
      </c>
      <c r="D312" s="12" t="s">
        <v>75</v>
      </c>
      <c r="E312" s="13" t="str">
        <f>IFERROR(VLOOKUP(D312,Sheet1!$B$1:$C$45,2,0),"")</f>
        <v>CME</v>
      </c>
      <c r="F312" s="12" t="s">
        <v>179</v>
      </c>
      <c r="G312" s="13" t="str">
        <f t="shared" si="3"/>
        <v>Palangkaraya</v>
      </c>
      <c r="H312" s="15" t="str">
        <f>IFERROR(VLOOKUP(A312,Sheet1!$E$3:$F$27,2,),"")</f>
        <v>Preventive</v>
      </c>
      <c r="I312" s="16" t="str">
        <f>IFERROR(VLOOKUP(A312,Sheet1!$E$3:$G$27,3,0),"")</f>
        <v>Instalasi Battery</v>
      </c>
      <c r="J312" s="12" t="s">
        <v>112</v>
      </c>
      <c r="K312" s="17">
        <v>46014.0</v>
      </c>
      <c r="L312" s="24"/>
      <c r="M312" s="12" t="s">
        <v>137</v>
      </c>
      <c r="N312" s="23"/>
      <c r="O312" s="22"/>
      <c r="P312" s="22"/>
    </row>
    <row r="313" ht="22.5" customHeight="1">
      <c r="A313" s="12" t="s">
        <v>5</v>
      </c>
      <c r="B313" s="20" t="str">
        <f>IFERROR(VLOOKUP(A313,Sheet1!$E$3:$H$27,4,0),"")</f>
        <v>P1</v>
      </c>
      <c r="C313" s="14" t="s">
        <v>301</v>
      </c>
      <c r="D313" s="12" t="s">
        <v>51</v>
      </c>
      <c r="E313" s="13" t="str">
        <f>IFERROR(VLOOKUP(D313,Sheet1!$B$1:$C$45,2,0),"")</f>
        <v>TE</v>
      </c>
      <c r="F313" s="12" t="s">
        <v>179</v>
      </c>
      <c r="G313" s="13" t="str">
        <f t="shared" si="3"/>
        <v>Palangkaraya</v>
      </c>
      <c r="H313" s="15" t="str">
        <f>IFERROR(VLOOKUP(A313,Sheet1!$E$3:$F$27,2,),"")</f>
        <v>Corrective</v>
      </c>
      <c r="I313" s="16" t="str">
        <f>IFERROR(VLOOKUP(A313,Sheet1!$E$3:$G$27,3,0),"")</f>
        <v>Replace Optik,RRU/Soket Power/Replace GPS</v>
      </c>
      <c r="J313" s="12" t="s">
        <v>112</v>
      </c>
      <c r="K313" s="17">
        <v>46014.0</v>
      </c>
      <c r="L313" s="24"/>
      <c r="M313" s="12" t="s">
        <v>137</v>
      </c>
      <c r="N313" s="23"/>
      <c r="O313" s="22"/>
      <c r="P313" s="22"/>
    </row>
    <row r="314" ht="22.5" customHeight="1">
      <c r="A314" s="12" t="s">
        <v>5</v>
      </c>
      <c r="B314" s="20" t="str">
        <f>IFERROR(VLOOKUP(A314,Sheet1!$E$3:$H$27,4,0),"")</f>
        <v>P1</v>
      </c>
      <c r="C314" s="14" t="s">
        <v>300</v>
      </c>
      <c r="D314" s="12" t="s">
        <v>79</v>
      </c>
      <c r="E314" s="13" t="str">
        <f>IFERROR(VLOOKUP(D314,Sheet1!$B$1:$C$45,2,0),"")</f>
        <v>TE</v>
      </c>
      <c r="F314" s="12" t="s">
        <v>179</v>
      </c>
      <c r="G314" s="13" t="str">
        <f t="shared" si="3"/>
        <v>Palangkaraya</v>
      </c>
      <c r="H314" s="15" t="str">
        <f>IFERROR(VLOOKUP(A314,Sheet1!$E$3:$F$27,2,),"")</f>
        <v>Corrective</v>
      </c>
      <c r="I314" s="16" t="str">
        <f>IFERROR(VLOOKUP(A314,Sheet1!$E$3:$G$27,3,0),"")</f>
        <v>Replace Optik,RRU/Soket Power/Replace GPS</v>
      </c>
      <c r="J314" s="12" t="s">
        <v>112</v>
      </c>
      <c r="K314" s="17">
        <v>46014.0</v>
      </c>
      <c r="L314" s="24"/>
      <c r="M314" s="12" t="s">
        <v>137</v>
      </c>
      <c r="N314" s="23"/>
      <c r="O314" s="22"/>
      <c r="P314" s="22"/>
    </row>
    <row r="315" ht="22.5" customHeight="1">
      <c r="A315" s="12" t="s">
        <v>14</v>
      </c>
      <c r="B315" s="20" t="str">
        <f>IFERROR(VLOOKUP(A315,Sheet1!$E$3:$H$27,4,0),"")</f>
        <v>P1</v>
      </c>
      <c r="C315" s="14" t="s">
        <v>178</v>
      </c>
      <c r="D315" s="12" t="s">
        <v>58</v>
      </c>
      <c r="E315" s="13" t="str">
        <f>IFERROR(VLOOKUP(D315,Sheet1!$B$1:$C$45,2,0),"")</f>
        <v>TE</v>
      </c>
      <c r="F315" s="12" t="s">
        <v>179</v>
      </c>
      <c r="G315" s="13" t="str">
        <f t="shared" si="3"/>
        <v>Palangkaraya</v>
      </c>
      <c r="H315" s="15" t="str">
        <f>IFERROR(VLOOKUP(A315,Sheet1!$E$3:$F$27,2,),"")</f>
        <v>Corrective</v>
      </c>
      <c r="I315" s="16" t="str">
        <f>IFERROR(VLOOKUP(A315,Sheet1!$E$3:$G$27,3,0),"")</f>
        <v>Pemadaman,MCB Trip,Transmisi problem</v>
      </c>
      <c r="J315" s="12" t="s">
        <v>112</v>
      </c>
      <c r="K315" s="17">
        <v>46014.0</v>
      </c>
      <c r="L315" s="24"/>
      <c r="M315" s="12" t="s">
        <v>137</v>
      </c>
      <c r="N315" s="23"/>
      <c r="O315" s="22"/>
      <c r="P315" s="22"/>
    </row>
    <row r="316" ht="22.5" customHeight="1">
      <c r="A316" s="12" t="s">
        <v>5</v>
      </c>
      <c r="B316" s="20" t="str">
        <f>IFERROR(VLOOKUP(A316,Sheet1!$E$3:$H$27,4,0),"")</f>
        <v>P1</v>
      </c>
      <c r="C316" s="14" t="s">
        <v>268</v>
      </c>
      <c r="D316" s="12" t="s">
        <v>91</v>
      </c>
      <c r="E316" s="13" t="str">
        <f>IFERROR(VLOOKUP(D316,Sheet1!$B$1:$C$45,2,0),"")</f>
        <v>TE</v>
      </c>
      <c r="F316" s="12" t="s">
        <v>179</v>
      </c>
      <c r="G316" s="13" t="str">
        <f t="shared" si="3"/>
        <v>Palangkaraya</v>
      </c>
      <c r="H316" s="15" t="str">
        <f>IFERROR(VLOOKUP(A316,Sheet1!$E$3:$F$27,2,),"")</f>
        <v>Corrective</v>
      </c>
      <c r="I316" s="16" t="str">
        <f>IFERROR(VLOOKUP(A316,Sheet1!$E$3:$G$27,3,0),"")</f>
        <v>Replace Optik,RRU/Soket Power/Replace GPS</v>
      </c>
      <c r="J316" s="12" t="s">
        <v>112</v>
      </c>
      <c r="K316" s="17">
        <v>46014.0</v>
      </c>
      <c r="L316" s="24"/>
      <c r="M316" s="12" t="s">
        <v>137</v>
      </c>
      <c r="N316" s="23"/>
      <c r="O316" s="22"/>
      <c r="P316" s="22"/>
    </row>
    <row r="317" ht="22.5" customHeight="1">
      <c r="A317" s="12" t="s">
        <v>10</v>
      </c>
      <c r="B317" s="20" t="str">
        <f>IFERROR(VLOOKUP(A317,Sheet1!$E$3:$H$27,4,0),"")</f>
        <v>P1</v>
      </c>
      <c r="C317" s="14" t="s">
        <v>299</v>
      </c>
      <c r="D317" s="12" t="s">
        <v>39</v>
      </c>
      <c r="E317" s="13" t="str">
        <f>IFERROR(VLOOKUP(D317,Sheet1!$B$1:$C$45,2,0),"")</f>
        <v>TE</v>
      </c>
      <c r="F317" s="12" t="s">
        <v>179</v>
      </c>
      <c r="G317" s="13" t="str">
        <f t="shared" si="3"/>
        <v>Palangkaraya</v>
      </c>
      <c r="H317" s="15" t="str">
        <f>IFERROR(VLOOKUP(A317,Sheet1!$E$3:$F$27,2,),"")</f>
        <v>Corrective</v>
      </c>
      <c r="I317" s="16" t="str">
        <f>IFERROR(VLOOKUP(A317,Sheet1!$E$3:$G$27,3,0),"")</f>
        <v>Replace Jumper,antena/RRU</v>
      </c>
      <c r="J317" s="12" t="s">
        <v>112</v>
      </c>
      <c r="K317" s="17">
        <v>46014.0</v>
      </c>
      <c r="L317" s="24"/>
      <c r="M317" s="12" t="s">
        <v>137</v>
      </c>
      <c r="N317" s="23"/>
      <c r="O317" s="22"/>
      <c r="P317" s="22"/>
    </row>
    <row r="318" ht="22.5" customHeight="1">
      <c r="A318" s="12" t="s">
        <v>10</v>
      </c>
      <c r="B318" s="20" t="str">
        <f>IFERROR(VLOOKUP(A318,Sheet1!$E$3:$H$27,4,0),"")</f>
        <v>P1</v>
      </c>
      <c r="C318" s="14" t="s">
        <v>317</v>
      </c>
      <c r="D318" s="12" t="s">
        <v>42</v>
      </c>
      <c r="E318" s="13" t="str">
        <f>IFERROR(VLOOKUP(D318,Sheet1!$B$1:$C$45,2,0),"")</f>
        <v>TE</v>
      </c>
      <c r="F318" s="12" t="s">
        <v>179</v>
      </c>
      <c r="G318" s="13" t="str">
        <f t="shared" si="3"/>
        <v>Palangkaraya</v>
      </c>
      <c r="H318" s="15" t="str">
        <f>IFERROR(VLOOKUP(A318,Sheet1!$E$3:$F$27,2,),"")</f>
        <v>Corrective</v>
      </c>
      <c r="I318" s="16" t="str">
        <f>IFERROR(VLOOKUP(A318,Sheet1!$E$3:$G$27,3,0),"")</f>
        <v>Replace Jumper,antena/RRU</v>
      </c>
      <c r="J318" s="12" t="s">
        <v>112</v>
      </c>
      <c r="K318" s="17">
        <v>46014.0</v>
      </c>
      <c r="L318" s="24"/>
      <c r="M318" s="12" t="s">
        <v>137</v>
      </c>
      <c r="N318" s="23"/>
      <c r="O318" s="22"/>
      <c r="P318" s="22"/>
    </row>
    <row r="319" ht="22.5" customHeight="1">
      <c r="A319" s="12" t="s">
        <v>14</v>
      </c>
      <c r="B319" s="20" t="str">
        <f>IFERROR(VLOOKUP(A319,Sheet1!$E$3:$H$27,4,0),"")</f>
        <v>P1</v>
      </c>
      <c r="C319" s="14" t="s">
        <v>302</v>
      </c>
      <c r="D319" s="12" t="s">
        <v>71</v>
      </c>
      <c r="E319" s="13" t="str">
        <f>IFERROR(VLOOKUP(D319,Sheet1!$B$1:$C$45,2,0),"")</f>
        <v>TE</v>
      </c>
      <c r="F319" s="12" t="s">
        <v>179</v>
      </c>
      <c r="G319" s="13" t="str">
        <f t="shared" si="3"/>
        <v>Palangkaraya</v>
      </c>
      <c r="H319" s="15" t="str">
        <f>IFERROR(VLOOKUP(A319,Sheet1!$E$3:$F$27,2,),"")</f>
        <v>Corrective</v>
      </c>
      <c r="I319" s="16" t="str">
        <f>IFERROR(VLOOKUP(A319,Sheet1!$E$3:$G$27,3,0),"")</f>
        <v>Pemadaman,MCB Trip,Transmisi problem</v>
      </c>
      <c r="J319" s="12" t="s">
        <v>112</v>
      </c>
      <c r="K319" s="17">
        <v>46014.0</v>
      </c>
      <c r="L319" s="24"/>
      <c r="M319" s="12" t="s">
        <v>137</v>
      </c>
      <c r="N319" s="23"/>
      <c r="O319" s="22"/>
      <c r="P319" s="22"/>
    </row>
    <row r="320" ht="22.5" customHeight="1">
      <c r="A320" s="12" t="s">
        <v>5</v>
      </c>
      <c r="B320" s="20" t="str">
        <f>IFERROR(VLOOKUP(A320,Sheet1!$E$3:$H$27,4,0),"")</f>
        <v>P1</v>
      </c>
      <c r="C320" s="14" t="s">
        <v>201</v>
      </c>
      <c r="D320" s="12" t="s">
        <v>69</v>
      </c>
      <c r="E320" s="13" t="str">
        <f>IFERROR(VLOOKUP(D320,Sheet1!$B$1:$C$45,2,0),"")</f>
        <v>TE</v>
      </c>
      <c r="F320" s="12" t="s">
        <v>179</v>
      </c>
      <c r="G320" s="13" t="str">
        <f t="shared" si="3"/>
        <v>Palangkaraya</v>
      </c>
      <c r="H320" s="15" t="str">
        <f>IFERROR(VLOOKUP(A320,Sheet1!$E$3:$F$27,2,),"")</f>
        <v>Corrective</v>
      </c>
      <c r="I320" s="16" t="str">
        <f>IFERROR(VLOOKUP(A320,Sheet1!$E$3:$G$27,3,0),"")</f>
        <v>Replace Optik,RRU/Soket Power/Replace GPS</v>
      </c>
      <c r="J320" s="12" t="s">
        <v>112</v>
      </c>
      <c r="K320" s="17">
        <v>46014.0</v>
      </c>
      <c r="L320" s="24"/>
      <c r="M320" s="12" t="s">
        <v>137</v>
      </c>
      <c r="N320" s="23"/>
      <c r="O320" s="22"/>
      <c r="P320" s="22"/>
    </row>
    <row r="321" ht="22.5" customHeight="1">
      <c r="A321" s="12" t="s">
        <v>68</v>
      </c>
      <c r="B321" s="20" t="str">
        <f>IFERROR(VLOOKUP(A321,Sheet1!$E$3:$H$27,4,0),"")</f>
        <v>P3</v>
      </c>
      <c r="C321" s="15"/>
      <c r="D321" s="12" t="s">
        <v>56</v>
      </c>
      <c r="E321" s="13" t="str">
        <f>IFERROR(VLOOKUP(D321,Sheet1!$B$1:$C$45,2,0),"")</f>
        <v>TE</v>
      </c>
      <c r="F321" s="12" t="s">
        <v>179</v>
      </c>
      <c r="G321" s="13" t="str">
        <f t="shared" si="3"/>
        <v>Palangkaraya</v>
      </c>
      <c r="H321" s="15" t="str">
        <f>IFERROR(VLOOKUP(A321,Sheet1!$E$3:$F$27,2,),"")</f>
        <v>On Leave</v>
      </c>
      <c r="I321" s="16" t="str">
        <f>IFERROR(VLOOKUP(A321,Sheet1!$E$3:$G$27,3,0),"")</f>
        <v>On Leave</v>
      </c>
      <c r="J321" s="12" t="s">
        <v>66</v>
      </c>
      <c r="K321" s="17">
        <v>46014.0</v>
      </c>
      <c r="L321" s="24"/>
      <c r="M321" s="12" t="s">
        <v>137</v>
      </c>
      <c r="N321" s="23"/>
      <c r="O321" s="22"/>
      <c r="P321" s="22"/>
    </row>
    <row r="322" ht="22.5" customHeight="1">
      <c r="A322" s="12" t="s">
        <v>22</v>
      </c>
      <c r="B322" s="20" t="str">
        <f>IFERROR(VLOOKUP(A322,Sheet1!$E$3:$H$27,4,0),"")</f>
        <v>P2</v>
      </c>
      <c r="C322" s="14" t="s">
        <v>318</v>
      </c>
      <c r="D322" s="12" t="s">
        <v>82</v>
      </c>
      <c r="E322" s="13" t="str">
        <f>IFERROR(VLOOKUP(D322,Sheet1!$B$1:$C$45,2,0),"")</f>
        <v>PM</v>
      </c>
      <c r="F322" s="12" t="s">
        <v>179</v>
      </c>
      <c r="G322" s="13" t="str">
        <f t="shared" si="3"/>
        <v>Palangkaraya</v>
      </c>
      <c r="H322" s="15" t="str">
        <f>IFERROR(VLOOKUP(A322,Sheet1!$E$3:$F$27,2,),"")</f>
        <v>Preventive</v>
      </c>
      <c r="I322" s="16" t="str">
        <f>IFERROR(VLOOKUP(A322,Sheet1!$E$3:$G$27,3,0),"")</f>
        <v>Preventive Maintenance</v>
      </c>
      <c r="J322" s="12" t="s">
        <v>112</v>
      </c>
      <c r="K322" s="17">
        <v>46014.0</v>
      </c>
      <c r="L322" s="24"/>
      <c r="M322" s="12" t="s">
        <v>137</v>
      </c>
      <c r="N322" s="23"/>
      <c r="O322" s="22"/>
      <c r="P322" s="22"/>
    </row>
    <row r="323" ht="22.5" customHeight="1">
      <c r="A323" s="12" t="s">
        <v>22</v>
      </c>
      <c r="B323" s="20" t="str">
        <f>IFERROR(VLOOKUP(A323,Sheet1!$E$3:$H$27,4,0),"")</f>
        <v>P2</v>
      </c>
      <c r="C323" s="14" t="s">
        <v>319</v>
      </c>
      <c r="D323" s="12" t="s">
        <v>83</v>
      </c>
      <c r="E323" s="13" t="str">
        <f>IFERROR(VLOOKUP(D323,Sheet1!$B$1:$C$45,2,0),"")</f>
        <v>PM</v>
      </c>
      <c r="F323" s="12" t="s">
        <v>179</v>
      </c>
      <c r="G323" s="13" t="str">
        <f t="shared" si="3"/>
        <v>Palangkaraya</v>
      </c>
      <c r="H323" s="15" t="str">
        <f>IFERROR(VLOOKUP(A323,Sheet1!$E$3:$F$27,2,),"")</f>
        <v>Preventive</v>
      </c>
      <c r="I323" s="16" t="str">
        <f>IFERROR(VLOOKUP(A323,Sheet1!$E$3:$G$27,3,0),"")</f>
        <v>Preventive Maintenance</v>
      </c>
      <c r="J323" s="12" t="s">
        <v>112</v>
      </c>
      <c r="K323" s="17">
        <v>46014.0</v>
      </c>
      <c r="L323" s="24"/>
      <c r="M323" s="12" t="s">
        <v>137</v>
      </c>
      <c r="N323" s="23"/>
      <c r="O323" s="22"/>
      <c r="P323" s="22"/>
    </row>
    <row r="324" ht="22.5" customHeight="1">
      <c r="A324" s="12" t="s">
        <v>14</v>
      </c>
      <c r="B324" s="20" t="str">
        <f>IFERROR(VLOOKUP(A324,Sheet1!$E$3:$H$27,4,0),"")</f>
        <v>P1</v>
      </c>
      <c r="C324" s="14" t="s">
        <v>320</v>
      </c>
      <c r="D324" s="12" t="s">
        <v>54</v>
      </c>
      <c r="E324" s="13" t="str">
        <f>IFERROR(VLOOKUP(D324,Sheet1!$B$1:$C$45,2,0),"")</f>
        <v>MBP</v>
      </c>
      <c r="F324" s="12" t="s">
        <v>179</v>
      </c>
      <c r="G324" s="13" t="str">
        <f t="shared" si="3"/>
        <v>Palangkaraya</v>
      </c>
      <c r="H324" s="15" t="str">
        <f>IFERROR(VLOOKUP(A324,Sheet1!$E$3:$F$27,2,),"")</f>
        <v>Corrective</v>
      </c>
      <c r="I324" s="16" t="str">
        <f>IFERROR(VLOOKUP(A324,Sheet1!$E$3:$G$27,3,0),"")</f>
        <v>Pemadaman,MCB Trip,Transmisi problem</v>
      </c>
      <c r="J324" s="12" t="s">
        <v>112</v>
      </c>
      <c r="K324" s="17">
        <v>46014.0</v>
      </c>
      <c r="L324" s="24"/>
      <c r="M324" s="12" t="s">
        <v>137</v>
      </c>
      <c r="N324" s="23"/>
      <c r="O324" s="22"/>
      <c r="P324" s="22"/>
    </row>
    <row r="325" ht="22.5" customHeight="1">
      <c r="A325" s="12" t="s">
        <v>65</v>
      </c>
      <c r="B325" s="20" t="str">
        <f>IFERROR(VLOOKUP(A325,Sheet1!$E$3:$H$27,4,0),"")</f>
        <v>P3</v>
      </c>
      <c r="C325" s="15"/>
      <c r="D325" s="12" t="s">
        <v>64</v>
      </c>
      <c r="E325" s="13" t="str">
        <f>IFERROR(VLOOKUP(D325,Sheet1!$B$1:$C$45,2,0),"")</f>
        <v>TE</v>
      </c>
      <c r="F325" s="12" t="s">
        <v>179</v>
      </c>
      <c r="G325" s="13" t="str">
        <f t="shared" si="3"/>
        <v>Palangkaraya</v>
      </c>
      <c r="H325" s="15" t="str">
        <f>IFERROR(VLOOKUP(A325,Sheet1!$E$3:$F$27,2,),"")</f>
        <v>Standby</v>
      </c>
      <c r="I325" s="16" t="str">
        <f>IFERROR(VLOOKUP(A325,Sheet1!$E$3:$G$27,3,0),"")</f>
        <v>Standby On Call</v>
      </c>
      <c r="J325" s="12" t="s">
        <v>66</v>
      </c>
      <c r="K325" s="17">
        <v>46014.0</v>
      </c>
      <c r="L325" s="24"/>
      <c r="M325" s="12" t="s">
        <v>137</v>
      </c>
      <c r="N325" s="23"/>
      <c r="O325" s="22"/>
      <c r="P325" s="22"/>
    </row>
    <row r="326" ht="22.5" customHeight="1">
      <c r="A326" s="12" t="s">
        <v>65</v>
      </c>
      <c r="B326" s="20" t="str">
        <f>IFERROR(VLOOKUP(A326,Sheet1!$E$3:$H$27,4,0),"")</f>
        <v>P3</v>
      </c>
      <c r="C326" s="15"/>
      <c r="D326" s="12" t="s">
        <v>67</v>
      </c>
      <c r="E326" s="13" t="str">
        <f>IFERROR(VLOOKUP(D326,Sheet1!$B$1:$C$45,2,0),"")</f>
        <v>TE</v>
      </c>
      <c r="F326" s="12" t="s">
        <v>179</v>
      </c>
      <c r="G326" s="13" t="str">
        <f t="shared" si="3"/>
        <v>Palangkaraya</v>
      </c>
      <c r="H326" s="15" t="str">
        <f>IFERROR(VLOOKUP(A326,Sheet1!$E$3:$F$27,2,),"")</f>
        <v>Standby</v>
      </c>
      <c r="I326" s="16" t="str">
        <f>IFERROR(VLOOKUP(A326,Sheet1!$E$3:$G$27,3,0),"")</f>
        <v>Standby On Call</v>
      </c>
      <c r="J326" s="12" t="s">
        <v>66</v>
      </c>
      <c r="K326" s="17">
        <v>46014.0</v>
      </c>
      <c r="L326" s="24"/>
      <c r="M326" s="12" t="s">
        <v>137</v>
      </c>
      <c r="N326" s="23"/>
      <c r="O326" s="22"/>
      <c r="P326" s="22"/>
    </row>
    <row r="327" ht="22.5" customHeight="1">
      <c r="A327" s="12" t="s">
        <v>65</v>
      </c>
      <c r="B327" s="20" t="str">
        <f>IFERROR(VLOOKUP(A327,Sheet1!$E$3:$H$27,4,0),"")</f>
        <v>P3</v>
      </c>
      <c r="C327" s="15"/>
      <c r="D327" s="12" t="s">
        <v>45</v>
      </c>
      <c r="E327" s="13" t="str">
        <f>IFERROR(VLOOKUP(D327,Sheet1!$B$1:$C$45,2,0),"")</f>
        <v>MBP</v>
      </c>
      <c r="F327" s="12" t="s">
        <v>179</v>
      </c>
      <c r="G327" s="13" t="str">
        <f t="shared" si="3"/>
        <v>Palangkaraya</v>
      </c>
      <c r="H327" s="15" t="str">
        <f>IFERROR(VLOOKUP(A327,Sheet1!$E$3:$F$27,2,),"")</f>
        <v>Standby</v>
      </c>
      <c r="I327" s="16" t="str">
        <f>IFERROR(VLOOKUP(A327,Sheet1!$E$3:$G$27,3,0),"")</f>
        <v>Standby On Call</v>
      </c>
      <c r="J327" s="12" t="s">
        <v>66</v>
      </c>
      <c r="K327" s="17">
        <v>46014.0</v>
      </c>
      <c r="L327" s="24"/>
      <c r="M327" s="12" t="s">
        <v>137</v>
      </c>
      <c r="N327" s="23"/>
      <c r="O327" s="22"/>
      <c r="P327" s="22"/>
    </row>
    <row r="328" ht="22.5" customHeight="1">
      <c r="A328" s="12" t="s">
        <v>65</v>
      </c>
      <c r="B328" s="20" t="str">
        <f>IFERROR(VLOOKUP(A328,Sheet1!$E$3:$H$27,4,0),"")</f>
        <v>P3</v>
      </c>
      <c r="C328" s="15"/>
      <c r="D328" s="12" t="s">
        <v>48</v>
      </c>
      <c r="E328" s="13" t="str">
        <f>IFERROR(VLOOKUP(D328,Sheet1!$B$1:$C$45,2,0),"")</f>
        <v>MBP</v>
      </c>
      <c r="F328" s="12" t="s">
        <v>179</v>
      </c>
      <c r="G328" s="13" t="str">
        <f t="shared" si="3"/>
        <v>Palangkaraya</v>
      </c>
      <c r="H328" s="15" t="str">
        <f>IFERROR(VLOOKUP(A328,Sheet1!$E$3:$F$27,2,),"")</f>
        <v>Standby</v>
      </c>
      <c r="I328" s="16" t="str">
        <f>IFERROR(VLOOKUP(A328,Sheet1!$E$3:$G$27,3,0),"")</f>
        <v>Standby On Call</v>
      </c>
      <c r="J328" s="12" t="s">
        <v>66</v>
      </c>
      <c r="K328" s="17">
        <v>46014.0</v>
      </c>
      <c r="L328" s="24"/>
      <c r="M328" s="12" t="s">
        <v>137</v>
      </c>
      <c r="N328" s="23"/>
      <c r="O328" s="22"/>
      <c r="P328" s="22"/>
    </row>
    <row r="329" ht="22.5" hidden="1" customHeight="1">
      <c r="A329" s="12" t="s">
        <v>65</v>
      </c>
      <c r="B329" s="20" t="str">
        <f>IFERROR(VLOOKUP(A329,Sheet1!$E$3:$H$27,4,0),"")</f>
        <v>P3</v>
      </c>
      <c r="C329" s="15"/>
      <c r="D329" s="12" t="s">
        <v>35</v>
      </c>
      <c r="E329" s="13" t="str">
        <f>IFERROR(VLOOKUP(D329,Sheet1!$B$1:$C$45,2,0),"")</f>
        <v>MBP</v>
      </c>
      <c r="F329" s="12" t="s">
        <v>179</v>
      </c>
      <c r="G329" s="13" t="str">
        <f t="shared" si="3"/>
        <v>Palangkaraya</v>
      </c>
      <c r="H329" s="15" t="str">
        <f>IFERROR(VLOOKUP(A329,Sheet1!$E$3:$F$27,2,),"")</f>
        <v>Standby</v>
      </c>
      <c r="I329" s="16" t="str">
        <f>IFERROR(VLOOKUP(A329,Sheet1!$E$3:$G$27,3,0),"")</f>
        <v>Standby On Call</v>
      </c>
      <c r="J329" s="12" t="s">
        <v>66</v>
      </c>
      <c r="K329" s="17">
        <v>46014.0</v>
      </c>
      <c r="L329" s="24"/>
      <c r="M329" s="12" t="s">
        <v>137</v>
      </c>
      <c r="N329" s="23"/>
      <c r="O329" s="22"/>
      <c r="P329" s="22"/>
    </row>
    <row r="330" ht="22.5" customHeight="1">
      <c r="A330" s="12" t="s">
        <v>52</v>
      </c>
      <c r="B330" s="20" t="str">
        <f>IFERROR(VLOOKUP(A330,Sheet1!$E$3:$H$27,4,0),"")</f>
        <v>P1</v>
      </c>
      <c r="C330" s="14" t="s">
        <v>321</v>
      </c>
      <c r="D330" s="12" t="s">
        <v>12</v>
      </c>
      <c r="E330" s="13" t="str">
        <f>IFERROR(VLOOKUP(D330,Sheet1!$B$1:$C$45,2,0),"")</f>
        <v>TE</v>
      </c>
      <c r="F330" s="12" t="s">
        <v>108</v>
      </c>
      <c r="G330" s="13" t="str">
        <f t="shared" si="3"/>
        <v>Barito Raya</v>
      </c>
      <c r="H330" s="15" t="str">
        <f>IFERROR(VLOOKUP(A330,Sheet1!$E$3:$F$27,2,),"")</f>
        <v>Preventive</v>
      </c>
      <c r="I330" s="16" t="str">
        <f>IFERROR(VLOOKUP(A330,Sheet1!$E$3:$G$27,3,0),"")</f>
        <v>MCB trip/Power upnormal</v>
      </c>
      <c r="J330" s="12" t="s">
        <v>112</v>
      </c>
      <c r="K330" s="17">
        <v>46015.0</v>
      </c>
      <c r="L330" s="17">
        <v>46015.0</v>
      </c>
      <c r="M330" s="12" t="s">
        <v>137</v>
      </c>
      <c r="N330" s="18" t="s">
        <v>322</v>
      </c>
      <c r="O330" s="19"/>
      <c r="P330" s="19"/>
    </row>
    <row r="331" ht="22.5" customHeight="1">
      <c r="A331" s="12" t="s">
        <v>52</v>
      </c>
      <c r="B331" s="20" t="str">
        <f>IFERROR(VLOOKUP(A331,Sheet1!$E$3:$H$27,4,0),"")</f>
        <v>P1</v>
      </c>
      <c r="C331" s="14" t="s">
        <v>323</v>
      </c>
      <c r="D331" s="12" t="s">
        <v>16</v>
      </c>
      <c r="E331" s="13" t="str">
        <f>IFERROR(VLOOKUP(D331,Sheet1!$B$1:$C$45,2,0),"")</f>
        <v>TE</v>
      </c>
      <c r="F331" s="12" t="s">
        <v>108</v>
      </c>
      <c r="G331" s="13" t="str">
        <f t="shared" si="3"/>
        <v>Barito Raya</v>
      </c>
      <c r="H331" s="15" t="str">
        <f>IFERROR(VLOOKUP(A331,Sheet1!$E$3:$F$27,2,),"")</f>
        <v>Preventive</v>
      </c>
      <c r="I331" s="16" t="str">
        <f>IFERROR(VLOOKUP(A331,Sheet1!$E$3:$G$27,3,0),"")</f>
        <v>MCB trip/Power upnormal</v>
      </c>
      <c r="J331" s="12" t="s">
        <v>112</v>
      </c>
      <c r="K331" s="17">
        <v>46015.0</v>
      </c>
      <c r="L331" s="17">
        <v>46015.0</v>
      </c>
      <c r="M331" s="12" t="s">
        <v>137</v>
      </c>
      <c r="N331" s="18" t="s">
        <v>322</v>
      </c>
      <c r="O331" s="19"/>
      <c r="P331" s="19"/>
    </row>
    <row r="332" ht="22.5" customHeight="1">
      <c r="A332" s="12" t="s">
        <v>52</v>
      </c>
      <c r="B332" s="20" t="str">
        <f>IFERROR(VLOOKUP(A332,Sheet1!$E$3:$H$27,4,0),"")</f>
        <v>P1</v>
      </c>
      <c r="C332" s="14" t="s">
        <v>324</v>
      </c>
      <c r="D332" s="12" t="s">
        <v>21</v>
      </c>
      <c r="E332" s="13" t="str">
        <f>IFERROR(VLOOKUP(D332,Sheet1!$B$1:$C$45,2,0),"")</f>
        <v>TE</v>
      </c>
      <c r="F332" s="12" t="s">
        <v>108</v>
      </c>
      <c r="G332" s="13" t="str">
        <f t="shared" si="3"/>
        <v>Barito Raya</v>
      </c>
      <c r="H332" s="15" t="str">
        <f>IFERROR(VLOOKUP(A332,Sheet1!$E$3:$F$27,2,),"")</f>
        <v>Preventive</v>
      </c>
      <c r="I332" s="16" t="str">
        <f>IFERROR(VLOOKUP(A332,Sheet1!$E$3:$G$27,3,0),"")</f>
        <v>MCB trip/Power upnormal</v>
      </c>
      <c r="J332" s="12" t="s">
        <v>112</v>
      </c>
      <c r="K332" s="17">
        <v>46015.0</v>
      </c>
      <c r="L332" s="17">
        <v>46015.0</v>
      </c>
      <c r="M332" s="12" t="s">
        <v>137</v>
      </c>
      <c r="N332" s="18" t="s">
        <v>322</v>
      </c>
      <c r="O332" s="19"/>
      <c r="P332" s="19"/>
    </row>
    <row r="333" ht="22.5" customHeight="1">
      <c r="A333" s="12" t="s">
        <v>52</v>
      </c>
      <c r="B333" s="20" t="str">
        <f>IFERROR(VLOOKUP(A333,Sheet1!$E$3:$H$27,4,0),"")</f>
        <v>P1</v>
      </c>
      <c r="C333" s="14" t="s">
        <v>325</v>
      </c>
      <c r="D333" s="12" t="s">
        <v>26</v>
      </c>
      <c r="E333" s="13" t="str">
        <f>IFERROR(VLOOKUP(D333,Sheet1!$B$1:$C$45,2,0),"")</f>
        <v>TE</v>
      </c>
      <c r="F333" s="12" t="s">
        <v>108</v>
      </c>
      <c r="G333" s="13" t="str">
        <f t="shared" si="3"/>
        <v>Barito Raya</v>
      </c>
      <c r="H333" s="15" t="str">
        <f>IFERROR(VLOOKUP(A333,Sheet1!$E$3:$F$27,2,),"")</f>
        <v>Preventive</v>
      </c>
      <c r="I333" s="16" t="str">
        <f>IFERROR(VLOOKUP(A333,Sheet1!$E$3:$G$27,3,0),"")</f>
        <v>MCB trip/Power upnormal</v>
      </c>
      <c r="J333" s="12" t="s">
        <v>112</v>
      </c>
      <c r="K333" s="17">
        <v>46015.0</v>
      </c>
      <c r="L333" s="17">
        <v>46015.0</v>
      </c>
      <c r="M333" s="12" t="s">
        <v>137</v>
      </c>
      <c r="N333" s="18" t="s">
        <v>322</v>
      </c>
      <c r="O333" s="19"/>
      <c r="P333" s="19"/>
    </row>
    <row r="334" ht="22.5" customHeight="1">
      <c r="A334" s="12" t="s">
        <v>72</v>
      </c>
      <c r="B334" s="20" t="str">
        <f>IFERROR(VLOOKUP(A334,Sheet1!$E$3:$H$27,4,0),"")</f>
        <v>P1</v>
      </c>
      <c r="C334" s="14" t="s">
        <v>326</v>
      </c>
      <c r="D334" s="12" t="s">
        <v>88</v>
      </c>
      <c r="E334" s="13" t="str">
        <f>IFERROR(VLOOKUP(D334,Sheet1!$B$1:$C$45,2,0),"")</f>
        <v>TE</v>
      </c>
      <c r="F334" s="12" t="s">
        <v>108</v>
      </c>
      <c r="G334" s="13" t="str">
        <f t="shared" si="3"/>
        <v>Barito Raya</v>
      </c>
      <c r="H334" s="15" t="str">
        <f>IFERROR(VLOOKUP(A334,Sheet1!$E$3:$F$27,2,),"")</f>
        <v>Corrective</v>
      </c>
      <c r="I334" s="16" t="str">
        <f>IFERROR(VLOOKUP(A334,Sheet1!$E$3:$G$27,3,0),"")</f>
        <v>Perbaikan Auto,pergantian relay,timer, yang berhubungan genset</v>
      </c>
      <c r="J334" s="12" t="s">
        <v>112</v>
      </c>
      <c r="K334" s="17">
        <v>46015.0</v>
      </c>
      <c r="L334" s="17">
        <v>46015.0</v>
      </c>
      <c r="M334" s="12" t="s">
        <v>109</v>
      </c>
      <c r="N334" s="18" t="s">
        <v>327</v>
      </c>
      <c r="O334" s="19"/>
      <c r="P334" s="19"/>
    </row>
    <row r="335" ht="22.5" customHeight="1">
      <c r="A335" s="12" t="s">
        <v>52</v>
      </c>
      <c r="B335" s="20" t="str">
        <f>IFERROR(VLOOKUP(A335,Sheet1!$E$3:$H$27,4,0),"")</f>
        <v>P1</v>
      </c>
      <c r="C335" s="14" t="s">
        <v>328</v>
      </c>
      <c r="D335" s="12" t="s">
        <v>32</v>
      </c>
      <c r="E335" s="13" t="str">
        <f>IFERROR(VLOOKUP(D335,Sheet1!$B$1:$C$45,2,0),"")</f>
        <v>TE</v>
      </c>
      <c r="F335" s="12" t="s">
        <v>108</v>
      </c>
      <c r="G335" s="13" t="str">
        <f t="shared" si="3"/>
        <v>Barito Raya</v>
      </c>
      <c r="H335" s="15" t="str">
        <f>IFERROR(VLOOKUP(A335,Sheet1!$E$3:$F$27,2,),"")</f>
        <v>Preventive</v>
      </c>
      <c r="I335" s="16" t="str">
        <f>IFERROR(VLOOKUP(A335,Sheet1!$E$3:$G$27,3,0),"")</f>
        <v>MCB trip/Power upnormal</v>
      </c>
      <c r="J335" s="12" t="s">
        <v>112</v>
      </c>
      <c r="K335" s="17">
        <v>46015.0</v>
      </c>
      <c r="L335" s="17">
        <v>46015.0</v>
      </c>
      <c r="M335" s="12" t="s">
        <v>137</v>
      </c>
      <c r="N335" s="18" t="s">
        <v>322</v>
      </c>
      <c r="O335" s="19"/>
      <c r="P335" s="19"/>
    </row>
    <row r="336" ht="22.5" customHeight="1">
      <c r="A336" s="12" t="s">
        <v>52</v>
      </c>
      <c r="B336" s="20" t="str">
        <f>IFERROR(VLOOKUP(A336,Sheet1!$E$3:$H$27,4,0),"")</f>
        <v>P1</v>
      </c>
      <c r="C336" s="14" t="s">
        <v>195</v>
      </c>
      <c r="D336" s="12" t="s">
        <v>74</v>
      </c>
      <c r="E336" s="13" t="str">
        <f>IFERROR(VLOOKUP(D336,Sheet1!$B$1:$C$45,2,0),"")</f>
        <v>TE</v>
      </c>
      <c r="F336" s="12" t="s">
        <v>108</v>
      </c>
      <c r="G336" s="13" t="str">
        <f t="shared" si="3"/>
        <v>Barito Raya</v>
      </c>
      <c r="H336" s="15" t="str">
        <f>IFERROR(VLOOKUP(A336,Sheet1!$E$3:$F$27,2,),"")</f>
        <v>Preventive</v>
      </c>
      <c r="I336" s="16" t="str">
        <f>IFERROR(VLOOKUP(A336,Sheet1!$E$3:$G$27,3,0),"")</f>
        <v>MCB trip/Power upnormal</v>
      </c>
      <c r="J336" s="12" t="s">
        <v>112</v>
      </c>
      <c r="K336" s="17">
        <v>46015.0</v>
      </c>
      <c r="L336" s="17">
        <v>46015.0</v>
      </c>
      <c r="M336" s="12" t="s">
        <v>137</v>
      </c>
      <c r="N336" s="18" t="s">
        <v>322</v>
      </c>
      <c r="O336" s="19"/>
      <c r="P336" s="19"/>
    </row>
    <row r="337" ht="22.5" customHeight="1">
      <c r="A337" s="12" t="s">
        <v>52</v>
      </c>
      <c r="B337" s="20" t="str">
        <f>IFERROR(VLOOKUP(A337,Sheet1!$E$3:$H$27,4,0),"")</f>
        <v>P1</v>
      </c>
      <c r="C337" s="14" t="s">
        <v>329</v>
      </c>
      <c r="D337" s="12" t="s">
        <v>60</v>
      </c>
      <c r="E337" s="13" t="str">
        <f>IFERROR(VLOOKUP(D337,Sheet1!$B$1:$C$45,2,0),"")</f>
        <v>TE</v>
      </c>
      <c r="F337" s="12" t="s">
        <v>108</v>
      </c>
      <c r="G337" s="13" t="str">
        <f t="shared" si="3"/>
        <v>Barito Raya</v>
      </c>
      <c r="H337" s="15" t="str">
        <f>IFERROR(VLOOKUP(A337,Sheet1!$E$3:$F$27,2,),"")</f>
        <v>Preventive</v>
      </c>
      <c r="I337" s="16" t="str">
        <f>IFERROR(VLOOKUP(A337,Sheet1!$E$3:$G$27,3,0),"")</f>
        <v>MCB trip/Power upnormal</v>
      </c>
      <c r="J337" s="12" t="s">
        <v>112</v>
      </c>
      <c r="K337" s="17">
        <v>46015.0</v>
      </c>
      <c r="L337" s="17">
        <v>46015.0</v>
      </c>
      <c r="M337" s="12" t="s">
        <v>137</v>
      </c>
      <c r="N337" s="18" t="s">
        <v>322</v>
      </c>
      <c r="O337" s="19"/>
      <c r="P337" s="19"/>
    </row>
    <row r="338" ht="22.5" customHeight="1">
      <c r="A338" s="12" t="s">
        <v>52</v>
      </c>
      <c r="B338" s="20" t="str">
        <f>IFERROR(VLOOKUP(A338,Sheet1!$E$3:$H$27,4,0),"")</f>
        <v>P1</v>
      </c>
      <c r="C338" s="14" t="s">
        <v>330</v>
      </c>
      <c r="D338" s="12" t="s">
        <v>62</v>
      </c>
      <c r="E338" s="13" t="str">
        <f>IFERROR(VLOOKUP(D338,Sheet1!$B$1:$C$45,2,0),"")</f>
        <v>TE</v>
      </c>
      <c r="F338" s="12" t="s">
        <v>108</v>
      </c>
      <c r="G338" s="13" t="str">
        <f t="shared" si="3"/>
        <v>Barito Raya</v>
      </c>
      <c r="H338" s="15" t="str">
        <f>IFERROR(VLOOKUP(A338,Sheet1!$E$3:$F$27,2,),"")</f>
        <v>Preventive</v>
      </c>
      <c r="I338" s="16" t="str">
        <f>IFERROR(VLOOKUP(A338,Sheet1!$E$3:$G$27,3,0),"")</f>
        <v>MCB trip/Power upnormal</v>
      </c>
      <c r="J338" s="12" t="s">
        <v>112</v>
      </c>
      <c r="K338" s="17">
        <v>46015.0</v>
      </c>
      <c r="L338" s="17">
        <v>46015.0</v>
      </c>
      <c r="M338" s="12" t="s">
        <v>137</v>
      </c>
      <c r="N338" s="18" t="s">
        <v>322</v>
      </c>
      <c r="O338" s="19"/>
      <c r="P338" s="19"/>
    </row>
    <row r="339" ht="22.5" customHeight="1">
      <c r="A339" s="12" t="s">
        <v>65</v>
      </c>
      <c r="B339" s="20" t="str">
        <f>IFERROR(VLOOKUP(A339,Sheet1!$E$3:$H$27,4,0),"")</f>
        <v>P3</v>
      </c>
      <c r="C339" s="15"/>
      <c r="D339" s="12" t="s">
        <v>9</v>
      </c>
      <c r="E339" s="13" t="str">
        <f>IFERROR(VLOOKUP(D339,Sheet1!$B$1:$C$45,2,0),"")</f>
        <v>MBP</v>
      </c>
      <c r="F339" s="12" t="s">
        <v>108</v>
      </c>
      <c r="G339" s="13" t="str">
        <f t="shared" si="3"/>
        <v>Barito Raya</v>
      </c>
      <c r="H339" s="15" t="str">
        <f>IFERROR(VLOOKUP(A339,Sheet1!$E$3:$F$27,2,),"")</f>
        <v>Standby</v>
      </c>
      <c r="I339" s="16" t="str">
        <f>IFERROR(VLOOKUP(A339,Sheet1!$E$3:$G$27,3,0),"")</f>
        <v>Standby On Call</v>
      </c>
      <c r="J339" s="12" t="s">
        <v>66</v>
      </c>
      <c r="K339" s="17">
        <v>46015.0</v>
      </c>
      <c r="L339" s="17">
        <v>46015.0</v>
      </c>
      <c r="M339" s="12" t="s">
        <v>137</v>
      </c>
      <c r="N339" s="23"/>
      <c r="O339" s="22"/>
      <c r="P339" s="22"/>
    </row>
    <row r="340" ht="22.5" customHeight="1">
      <c r="A340" s="12" t="s">
        <v>52</v>
      </c>
      <c r="B340" s="20" t="str">
        <f>IFERROR(VLOOKUP(A340,Sheet1!$E$3:$H$27,4,0),"")</f>
        <v>P1</v>
      </c>
      <c r="C340" s="14" t="s">
        <v>331</v>
      </c>
      <c r="D340" s="12" t="s">
        <v>4</v>
      </c>
      <c r="E340" s="13" t="str">
        <f>IFERROR(VLOOKUP(D340,Sheet1!$B$1:$C$45,2,0),"")</f>
        <v>CME</v>
      </c>
      <c r="F340" s="12" t="s">
        <v>108</v>
      </c>
      <c r="G340" s="13" t="str">
        <f t="shared" si="3"/>
        <v>Barito Raya</v>
      </c>
      <c r="H340" s="15" t="str">
        <f>IFERROR(VLOOKUP(A340,Sheet1!$E$3:$F$27,2,),"")</f>
        <v>Preventive</v>
      </c>
      <c r="I340" s="16" t="str">
        <f>IFERROR(VLOOKUP(A340,Sheet1!$E$3:$G$27,3,0),"")</f>
        <v>MCB trip/Power upnormal</v>
      </c>
      <c r="J340" s="12" t="s">
        <v>112</v>
      </c>
      <c r="K340" s="17">
        <v>46015.0</v>
      </c>
      <c r="L340" s="17">
        <v>46015.0</v>
      </c>
      <c r="M340" s="12" t="s">
        <v>137</v>
      </c>
      <c r="N340" s="18" t="s">
        <v>322</v>
      </c>
      <c r="O340" s="19"/>
      <c r="P340" s="19"/>
    </row>
    <row r="341" ht="22.5" customHeight="1">
      <c r="A341" s="12" t="s">
        <v>72</v>
      </c>
      <c r="B341" s="20" t="str">
        <f>IFERROR(VLOOKUP(A341,Sheet1!$E$3:$H$27,4,0),"")</f>
        <v>P1</v>
      </c>
      <c r="C341" s="14" t="s">
        <v>326</v>
      </c>
      <c r="D341" s="12" t="s">
        <v>87</v>
      </c>
      <c r="E341" s="13" t="str">
        <f>IFERROR(VLOOKUP(D341,Sheet1!$B$1:$C$45,2,0),"")</f>
        <v>MBP</v>
      </c>
      <c r="F341" s="12" t="s">
        <v>108</v>
      </c>
      <c r="G341" s="13" t="str">
        <f t="shared" si="3"/>
        <v>Barito Raya</v>
      </c>
      <c r="H341" s="15" t="str">
        <f>IFERROR(VLOOKUP(A341,Sheet1!$E$3:$F$27,2,),"")</f>
        <v>Corrective</v>
      </c>
      <c r="I341" s="16" t="str">
        <f>IFERROR(VLOOKUP(A341,Sheet1!$E$3:$G$27,3,0),"")</f>
        <v>Perbaikan Auto,pergantian relay,timer, yang berhubungan genset</v>
      </c>
      <c r="J341" s="12" t="s">
        <v>112</v>
      </c>
      <c r="K341" s="17">
        <v>46015.0</v>
      </c>
      <c r="L341" s="17">
        <v>46015.0</v>
      </c>
      <c r="M341" s="12" t="s">
        <v>109</v>
      </c>
      <c r="N341" s="18" t="s">
        <v>327</v>
      </c>
      <c r="O341" s="19"/>
      <c r="P341" s="19"/>
    </row>
    <row r="342" ht="22.5" customHeight="1">
      <c r="A342" s="12" t="s">
        <v>65</v>
      </c>
      <c r="B342" s="20" t="str">
        <f>IFERROR(VLOOKUP(A342,Sheet1!$E$3:$H$27,4,0),"")</f>
        <v>P3</v>
      </c>
      <c r="C342" s="15"/>
      <c r="D342" s="12" t="s">
        <v>24</v>
      </c>
      <c r="E342" s="13" t="str">
        <f>IFERROR(VLOOKUP(D342,Sheet1!$B$1:$C$45,2,0),"")</f>
        <v>MBP</v>
      </c>
      <c r="F342" s="12" t="s">
        <v>108</v>
      </c>
      <c r="G342" s="13" t="str">
        <f t="shared" si="3"/>
        <v>Barito Raya</v>
      </c>
      <c r="H342" s="15" t="str">
        <f>IFERROR(VLOOKUP(A342,Sheet1!$E$3:$F$27,2,),"")</f>
        <v>Standby</v>
      </c>
      <c r="I342" s="16" t="str">
        <f>IFERROR(VLOOKUP(A342,Sheet1!$E$3:$G$27,3,0),"")</f>
        <v>Standby On Call</v>
      </c>
      <c r="J342" s="12" t="s">
        <v>66</v>
      </c>
      <c r="K342" s="17">
        <v>46015.0</v>
      </c>
      <c r="L342" s="17">
        <v>46015.0</v>
      </c>
      <c r="M342" s="12"/>
      <c r="N342" s="23"/>
      <c r="O342" s="22"/>
      <c r="P342" s="22"/>
    </row>
    <row r="343" ht="22.5" customHeight="1">
      <c r="A343" s="12" t="s">
        <v>65</v>
      </c>
      <c r="B343" s="20" t="str">
        <f>IFERROR(VLOOKUP(A343,Sheet1!$E$3:$H$27,4,0),"")</f>
        <v>P3</v>
      </c>
      <c r="C343" s="15"/>
      <c r="D343" s="12" t="s">
        <v>29</v>
      </c>
      <c r="E343" s="13" t="str">
        <f>IFERROR(VLOOKUP(D343,Sheet1!$B$1:$C$45,2,0),"")</f>
        <v>MBP</v>
      </c>
      <c r="F343" s="12" t="s">
        <v>108</v>
      </c>
      <c r="G343" s="13" t="str">
        <f t="shared" si="3"/>
        <v>Barito Raya</v>
      </c>
      <c r="H343" s="15" t="str">
        <f>IFERROR(VLOOKUP(A343,Sheet1!$E$3:$F$27,2,),"")</f>
        <v>Standby</v>
      </c>
      <c r="I343" s="16" t="str">
        <f>IFERROR(VLOOKUP(A343,Sheet1!$E$3:$G$27,3,0),"")</f>
        <v>Standby On Call</v>
      </c>
      <c r="J343" s="12" t="s">
        <v>66</v>
      </c>
      <c r="K343" s="17">
        <v>46015.0</v>
      </c>
      <c r="L343" s="17">
        <v>46015.0</v>
      </c>
      <c r="M343" s="12"/>
      <c r="N343" s="23"/>
      <c r="O343" s="22"/>
      <c r="P343" s="22"/>
    </row>
    <row r="344" ht="22.5" customHeight="1">
      <c r="A344" s="12" t="s">
        <v>52</v>
      </c>
      <c r="B344" s="20" t="str">
        <f>IFERROR(VLOOKUP(A344,Sheet1!$E$3:$H$27,4,0),"")</f>
        <v>P1</v>
      </c>
      <c r="C344" s="14" t="s">
        <v>332</v>
      </c>
      <c r="D344" s="12" t="s">
        <v>2</v>
      </c>
      <c r="E344" s="13" t="str">
        <f>IFERROR(VLOOKUP(D344,Sheet1!$B$1:$C$45,2,0),"")</f>
        <v>CME</v>
      </c>
      <c r="F344" s="12" t="s">
        <v>108</v>
      </c>
      <c r="G344" s="13" t="str">
        <f t="shared" si="3"/>
        <v>Barito Raya</v>
      </c>
      <c r="H344" s="15" t="str">
        <f>IFERROR(VLOOKUP(A344,Sheet1!$E$3:$F$27,2,),"")</f>
        <v>Preventive</v>
      </c>
      <c r="I344" s="16" t="str">
        <f>IFERROR(VLOOKUP(A344,Sheet1!$E$3:$G$27,3,0),"")</f>
        <v>MCB trip/Power upnormal</v>
      </c>
      <c r="J344" s="12" t="s">
        <v>112</v>
      </c>
      <c r="K344" s="17">
        <v>46015.0</v>
      </c>
      <c r="L344" s="17">
        <v>46015.0</v>
      </c>
      <c r="M344" s="12" t="s">
        <v>137</v>
      </c>
      <c r="N344" s="18" t="s">
        <v>322</v>
      </c>
      <c r="O344" s="19"/>
      <c r="P344" s="19"/>
    </row>
    <row r="345" ht="22.5" customHeight="1">
      <c r="A345" s="12" t="s">
        <v>65</v>
      </c>
      <c r="B345" s="20" t="str">
        <f>IFERROR(VLOOKUP(A345,Sheet1!$E$3:$H$27,4,0),"")</f>
        <v>P3</v>
      </c>
      <c r="C345" s="15"/>
      <c r="D345" s="12" t="s">
        <v>0</v>
      </c>
      <c r="E345" s="13" t="str">
        <f>IFERROR(VLOOKUP(D345,Sheet1!$B$1:$C$45,2,0),"")</f>
        <v>MBP</v>
      </c>
      <c r="F345" s="12" t="s">
        <v>108</v>
      </c>
      <c r="G345" s="13" t="str">
        <f t="shared" si="3"/>
        <v>Barito Raya</v>
      </c>
      <c r="H345" s="15" t="str">
        <f>IFERROR(VLOOKUP(A345,Sheet1!$E$3:$F$27,2,),"")</f>
        <v>Standby</v>
      </c>
      <c r="I345" s="16" t="str">
        <f>IFERROR(VLOOKUP(A345,Sheet1!$E$3:$G$27,3,0),"")</f>
        <v>Standby On Call</v>
      </c>
      <c r="J345" s="12" t="s">
        <v>66</v>
      </c>
      <c r="K345" s="17">
        <v>46015.0</v>
      </c>
      <c r="L345" s="17">
        <v>46015.0</v>
      </c>
      <c r="M345" s="12"/>
      <c r="N345" s="23"/>
      <c r="O345" s="22"/>
      <c r="P345" s="22"/>
    </row>
    <row r="346" ht="22.5" customHeight="1">
      <c r="A346" s="12" t="s">
        <v>65</v>
      </c>
      <c r="B346" s="20" t="str">
        <f>IFERROR(VLOOKUP(A346,Sheet1!$E$3:$H$27,4,0),"")</f>
        <v>P3</v>
      </c>
      <c r="C346" s="15"/>
      <c r="D346" s="12" t="s">
        <v>85</v>
      </c>
      <c r="E346" s="13" t="str">
        <f>IFERROR(VLOOKUP(D346,Sheet1!$B$1:$C$45,2,0),"")</f>
        <v>PM</v>
      </c>
      <c r="F346" s="12" t="s">
        <v>108</v>
      </c>
      <c r="G346" s="13" t="str">
        <f t="shared" si="3"/>
        <v>Barito Raya</v>
      </c>
      <c r="H346" s="15" t="str">
        <f>IFERROR(VLOOKUP(A346,Sheet1!$E$3:$F$27,2,),"")</f>
        <v>Standby</v>
      </c>
      <c r="I346" s="16" t="str">
        <f>IFERROR(VLOOKUP(A346,Sheet1!$E$3:$G$27,3,0),"")</f>
        <v>Standby On Call</v>
      </c>
      <c r="J346" s="12" t="s">
        <v>66</v>
      </c>
      <c r="K346" s="17">
        <v>46015.0</v>
      </c>
      <c r="L346" s="17">
        <v>46015.0</v>
      </c>
      <c r="M346" s="13"/>
      <c r="N346" s="23"/>
      <c r="O346" s="22"/>
      <c r="P346" s="22"/>
    </row>
    <row r="347" ht="22.5" customHeight="1">
      <c r="A347" s="12" t="s">
        <v>65</v>
      </c>
      <c r="B347" s="20" t="str">
        <f>IFERROR(VLOOKUP(A347,Sheet1!$E$3:$H$27,4,0),"")</f>
        <v>P3</v>
      </c>
      <c r="C347" s="15"/>
      <c r="D347" s="12" t="s">
        <v>84</v>
      </c>
      <c r="E347" s="13" t="str">
        <f>IFERROR(VLOOKUP(D347,Sheet1!$B$1:$C$45,2,0),"")</f>
        <v>MBP</v>
      </c>
      <c r="F347" s="12" t="s">
        <v>108</v>
      </c>
      <c r="G347" s="13" t="str">
        <f t="shared" si="3"/>
        <v>Barito Raya</v>
      </c>
      <c r="H347" s="15" t="str">
        <f>IFERROR(VLOOKUP(A347,Sheet1!$E$3:$F$27,2,),"")</f>
        <v>Standby</v>
      </c>
      <c r="I347" s="16" t="str">
        <f>IFERROR(VLOOKUP(A347,Sheet1!$E$3:$G$27,3,0),"")</f>
        <v>Standby On Call</v>
      </c>
      <c r="J347" s="12" t="s">
        <v>66</v>
      </c>
      <c r="K347" s="17">
        <v>46015.0</v>
      </c>
      <c r="L347" s="17">
        <v>46015.0</v>
      </c>
      <c r="M347" s="13"/>
      <c r="N347" s="23"/>
      <c r="O347" s="22"/>
      <c r="P347" s="22"/>
    </row>
    <row r="348" ht="22.5" customHeight="1">
      <c r="A348" s="12" t="s">
        <v>65</v>
      </c>
      <c r="B348" s="20" t="str">
        <f>IFERROR(VLOOKUP(A348,Sheet1!$E$3:$H$27,4,0),"")</f>
        <v>P3</v>
      </c>
      <c r="C348" s="15"/>
      <c r="D348" s="12" t="s">
        <v>86</v>
      </c>
      <c r="E348" s="13" t="str">
        <f>IFERROR(VLOOKUP(D348,Sheet1!$B$1:$C$45,2,0),"")</f>
        <v>PM</v>
      </c>
      <c r="F348" s="12" t="s">
        <v>108</v>
      </c>
      <c r="G348" s="13" t="str">
        <f t="shared" si="3"/>
        <v>Barito Raya</v>
      </c>
      <c r="H348" s="15" t="str">
        <f>IFERROR(VLOOKUP(A348,Sheet1!$E$3:$F$27,2,),"")</f>
        <v>Standby</v>
      </c>
      <c r="I348" s="16" t="str">
        <f>IFERROR(VLOOKUP(A348,Sheet1!$E$3:$G$27,3,0),"")</f>
        <v>Standby On Call</v>
      </c>
      <c r="J348" s="12" t="s">
        <v>66</v>
      </c>
      <c r="K348" s="17">
        <v>46015.0</v>
      </c>
      <c r="L348" s="17">
        <v>46015.0</v>
      </c>
      <c r="M348" s="13"/>
      <c r="N348" s="23"/>
      <c r="O348" s="22"/>
      <c r="P348" s="22"/>
    </row>
    <row r="349" ht="22.5" customHeight="1">
      <c r="A349" s="12" t="s">
        <v>52</v>
      </c>
      <c r="B349" s="20" t="str">
        <f>IFERROR(VLOOKUP(A349,Sheet1!$E$3:$H$27,4,0),"")</f>
        <v>P1</v>
      </c>
      <c r="C349" s="14" t="s">
        <v>333</v>
      </c>
      <c r="D349" s="12" t="s">
        <v>12</v>
      </c>
      <c r="E349" s="13" t="str">
        <f>IFERROR(VLOOKUP(D349,Sheet1!$B$1:$C$45,2,0),"")</f>
        <v>TE</v>
      </c>
      <c r="F349" s="12" t="s">
        <v>108</v>
      </c>
      <c r="G349" s="13" t="str">
        <f t="shared" si="3"/>
        <v>Barito Raya</v>
      </c>
      <c r="H349" s="15" t="str">
        <f>IFERROR(VLOOKUP(A349,Sheet1!$E$3:$F$27,2,),"")</f>
        <v>Preventive</v>
      </c>
      <c r="I349" s="16" t="str">
        <f>IFERROR(VLOOKUP(A349,Sheet1!$E$3:$G$27,3,0),"")</f>
        <v>MCB trip/Power upnormal</v>
      </c>
      <c r="J349" s="12" t="s">
        <v>112</v>
      </c>
      <c r="K349" s="17">
        <v>46020.0</v>
      </c>
      <c r="L349" s="17">
        <v>46020.0</v>
      </c>
      <c r="M349" s="12" t="s">
        <v>109</v>
      </c>
      <c r="N349" s="23"/>
      <c r="O349" s="22"/>
      <c r="P349" s="22"/>
    </row>
    <row r="350" ht="22.5" customHeight="1">
      <c r="A350" s="12" t="s">
        <v>52</v>
      </c>
      <c r="B350" s="20" t="str">
        <f>IFERROR(VLOOKUP(A350,Sheet1!$E$3:$H$27,4,0),"")</f>
        <v>P1</v>
      </c>
      <c r="C350" s="14" t="s">
        <v>334</v>
      </c>
      <c r="D350" s="12" t="s">
        <v>16</v>
      </c>
      <c r="E350" s="13" t="str">
        <f>IFERROR(VLOOKUP(D350,Sheet1!$B$1:$C$45,2,0),"")</f>
        <v>TE</v>
      </c>
      <c r="F350" s="12" t="s">
        <v>108</v>
      </c>
      <c r="G350" s="13" t="str">
        <f t="shared" si="3"/>
        <v>Barito Raya</v>
      </c>
      <c r="H350" s="15" t="str">
        <f>IFERROR(VLOOKUP(A350,Sheet1!$E$3:$F$27,2,),"")</f>
        <v>Preventive</v>
      </c>
      <c r="I350" s="16" t="str">
        <f>IFERROR(VLOOKUP(A350,Sheet1!$E$3:$G$27,3,0),"")</f>
        <v>MCB trip/Power upnormal</v>
      </c>
      <c r="J350" s="12" t="s">
        <v>112</v>
      </c>
      <c r="K350" s="17">
        <v>46020.0</v>
      </c>
      <c r="L350" s="17">
        <v>46020.0</v>
      </c>
      <c r="M350" s="12" t="s">
        <v>122</v>
      </c>
      <c r="N350" s="18" t="s">
        <v>335</v>
      </c>
      <c r="O350" s="19"/>
      <c r="P350" s="19"/>
    </row>
    <row r="351" ht="22.5" customHeight="1">
      <c r="A351" s="12" t="s">
        <v>52</v>
      </c>
      <c r="B351" s="20" t="str">
        <f>IFERROR(VLOOKUP(A351,Sheet1!$E$3:$H$27,4,0),"")</f>
        <v>P1</v>
      </c>
      <c r="C351" s="14" t="s">
        <v>336</v>
      </c>
      <c r="D351" s="12" t="s">
        <v>21</v>
      </c>
      <c r="E351" s="13" t="str">
        <f>IFERROR(VLOOKUP(D351,Sheet1!$B$1:$C$45,2,0),"")</f>
        <v>TE</v>
      </c>
      <c r="F351" s="12" t="s">
        <v>108</v>
      </c>
      <c r="G351" s="13" t="str">
        <f t="shared" si="3"/>
        <v>Barito Raya</v>
      </c>
      <c r="H351" s="15" t="str">
        <f>IFERROR(VLOOKUP(A351,Sheet1!$E$3:$F$27,2,),"")</f>
        <v>Preventive</v>
      </c>
      <c r="I351" s="16" t="str">
        <f>IFERROR(VLOOKUP(A351,Sheet1!$E$3:$G$27,3,0),"")</f>
        <v>MCB trip/Power upnormal</v>
      </c>
      <c r="J351" s="12" t="s">
        <v>112</v>
      </c>
      <c r="K351" s="17">
        <v>46020.0</v>
      </c>
      <c r="L351" s="17">
        <v>46020.0</v>
      </c>
      <c r="M351" s="12" t="s">
        <v>109</v>
      </c>
      <c r="N351" s="23"/>
      <c r="O351" s="22"/>
      <c r="P351" s="22"/>
    </row>
    <row r="352" ht="22.5" customHeight="1">
      <c r="A352" s="12" t="s">
        <v>68</v>
      </c>
      <c r="B352" s="20" t="str">
        <f>IFERROR(VLOOKUP(A352,Sheet1!$E$3:$H$27,4,0),"")</f>
        <v>P3</v>
      </c>
      <c r="C352" s="15"/>
      <c r="D352" s="12" t="s">
        <v>26</v>
      </c>
      <c r="E352" s="13" t="str">
        <f>IFERROR(VLOOKUP(D352,Sheet1!$B$1:$C$45,2,0),"")</f>
        <v>TE</v>
      </c>
      <c r="F352" s="12" t="s">
        <v>108</v>
      </c>
      <c r="G352" s="13" t="str">
        <f t="shared" si="3"/>
        <v>Barito Raya</v>
      </c>
      <c r="H352" s="15" t="str">
        <f>IFERROR(VLOOKUP(A352,Sheet1!$E$3:$F$27,2,),"")</f>
        <v>On Leave</v>
      </c>
      <c r="I352" s="16" t="str">
        <f>IFERROR(VLOOKUP(A352,Sheet1!$E$3:$G$27,3,0),"")</f>
        <v>On Leave</v>
      </c>
      <c r="J352" s="20"/>
      <c r="K352" s="17">
        <v>46020.0</v>
      </c>
      <c r="L352" s="17">
        <v>46020.0</v>
      </c>
      <c r="M352" s="13"/>
      <c r="N352" s="23"/>
      <c r="O352" s="22"/>
      <c r="P352" s="22"/>
    </row>
    <row r="353" ht="22.5" customHeight="1">
      <c r="A353" s="12" t="s">
        <v>65</v>
      </c>
      <c r="B353" s="20" t="str">
        <f>IFERROR(VLOOKUP(A353,Sheet1!$E$3:$H$27,4,0),"")</f>
        <v>P3</v>
      </c>
      <c r="C353" s="15"/>
      <c r="D353" s="12" t="s">
        <v>88</v>
      </c>
      <c r="E353" s="13" t="str">
        <f>IFERROR(VLOOKUP(D353,Sheet1!$B$1:$C$45,2,0),"")</f>
        <v>TE</v>
      </c>
      <c r="F353" s="12" t="s">
        <v>108</v>
      </c>
      <c r="G353" s="13" t="str">
        <f t="shared" si="3"/>
        <v>Barito Raya</v>
      </c>
      <c r="H353" s="15" t="str">
        <f>IFERROR(VLOOKUP(A353,Sheet1!$E$3:$F$27,2,),"")</f>
        <v>Standby</v>
      </c>
      <c r="I353" s="16" t="str">
        <f>IFERROR(VLOOKUP(A353,Sheet1!$E$3:$G$27,3,0),"")</f>
        <v>Standby On Call</v>
      </c>
      <c r="J353" s="12" t="s">
        <v>66</v>
      </c>
      <c r="K353" s="17">
        <v>46020.0</v>
      </c>
      <c r="L353" s="17">
        <v>46020.0</v>
      </c>
      <c r="M353" s="13"/>
      <c r="N353" s="23"/>
      <c r="O353" s="22"/>
      <c r="P353" s="22"/>
    </row>
    <row r="354" ht="22.5" customHeight="1">
      <c r="A354" s="12" t="s">
        <v>52</v>
      </c>
      <c r="B354" s="20" t="str">
        <f>IFERROR(VLOOKUP(A354,Sheet1!$E$3:$H$27,4,0),"")</f>
        <v>P1</v>
      </c>
      <c r="C354" s="14" t="s">
        <v>337</v>
      </c>
      <c r="D354" s="12" t="s">
        <v>32</v>
      </c>
      <c r="E354" s="13" t="str">
        <f>IFERROR(VLOOKUP(D354,Sheet1!$B$1:$C$45,2,0),"")</f>
        <v>TE</v>
      </c>
      <c r="F354" s="12" t="s">
        <v>108</v>
      </c>
      <c r="G354" s="13" t="str">
        <f t="shared" si="3"/>
        <v>Barito Raya</v>
      </c>
      <c r="H354" s="15" t="str">
        <f>IFERROR(VLOOKUP(A354,Sheet1!$E$3:$F$27,2,),"")</f>
        <v>Preventive</v>
      </c>
      <c r="I354" s="16" t="str">
        <f>IFERROR(VLOOKUP(A354,Sheet1!$E$3:$G$27,3,0),"")</f>
        <v>MCB trip/Power upnormal</v>
      </c>
      <c r="J354" s="12" t="s">
        <v>112</v>
      </c>
      <c r="K354" s="17">
        <v>46020.0</v>
      </c>
      <c r="L354" s="17">
        <v>46020.0</v>
      </c>
      <c r="M354" s="12" t="s">
        <v>109</v>
      </c>
      <c r="N354" s="23"/>
      <c r="O354" s="22"/>
      <c r="P354" s="22"/>
    </row>
    <row r="355" ht="22.5" customHeight="1">
      <c r="A355" s="12" t="s">
        <v>5</v>
      </c>
      <c r="B355" s="20" t="str">
        <f>IFERROR(VLOOKUP(A355,Sheet1!$E$3:$H$27,4,0),"")</f>
        <v>P1</v>
      </c>
      <c r="C355" s="14" t="s">
        <v>338</v>
      </c>
      <c r="D355" s="12" t="s">
        <v>74</v>
      </c>
      <c r="E355" s="13" t="str">
        <f>IFERROR(VLOOKUP(D355,Sheet1!$B$1:$C$45,2,0),"")</f>
        <v>TE</v>
      </c>
      <c r="F355" s="12" t="s">
        <v>108</v>
      </c>
      <c r="G355" s="13" t="str">
        <f t="shared" si="3"/>
        <v>Barito Raya</v>
      </c>
      <c r="H355" s="15" t="str">
        <f>IFERROR(VLOOKUP(A355,Sheet1!$E$3:$F$27,2,),"")</f>
        <v>Corrective</v>
      </c>
      <c r="I355" s="16" t="str">
        <f>IFERROR(VLOOKUP(A355,Sheet1!$E$3:$G$27,3,0),"")</f>
        <v>Replace Optik,RRU/Soket Power/Replace GPS</v>
      </c>
      <c r="J355" s="12" t="s">
        <v>66</v>
      </c>
      <c r="K355" s="17">
        <v>46020.0</v>
      </c>
      <c r="L355" s="17">
        <v>46020.0</v>
      </c>
      <c r="M355" s="12" t="s">
        <v>109</v>
      </c>
      <c r="N355" s="18" t="s">
        <v>339</v>
      </c>
      <c r="O355" s="19"/>
      <c r="P355" s="19"/>
    </row>
    <row r="356" ht="22.5" customHeight="1">
      <c r="A356" s="12" t="s">
        <v>14</v>
      </c>
      <c r="B356" s="20" t="str">
        <f>IFERROR(VLOOKUP(A356,Sheet1!$E$3:$H$27,4,0),"")</f>
        <v>P1</v>
      </c>
      <c r="C356" s="14" t="s">
        <v>340</v>
      </c>
      <c r="D356" s="12" t="s">
        <v>60</v>
      </c>
      <c r="E356" s="13" t="str">
        <f>IFERROR(VLOOKUP(D356,Sheet1!$B$1:$C$45,2,0),"")</f>
        <v>TE</v>
      </c>
      <c r="F356" s="12" t="s">
        <v>108</v>
      </c>
      <c r="G356" s="13" t="str">
        <f t="shared" si="3"/>
        <v>Barito Raya</v>
      </c>
      <c r="H356" s="15" t="str">
        <f>IFERROR(VLOOKUP(A356,Sheet1!$E$3:$F$27,2,),"")</f>
        <v>Corrective</v>
      </c>
      <c r="I356" s="16" t="str">
        <f>IFERROR(VLOOKUP(A356,Sheet1!$E$3:$G$27,3,0),"")</f>
        <v>Pemadaman,MCB Trip,Transmisi problem</v>
      </c>
      <c r="J356" s="12" t="s">
        <v>112</v>
      </c>
      <c r="K356" s="17">
        <v>46020.0</v>
      </c>
      <c r="L356" s="17">
        <v>46020.0</v>
      </c>
      <c r="M356" s="12" t="s">
        <v>109</v>
      </c>
      <c r="N356" s="23"/>
      <c r="O356" s="22"/>
      <c r="P356" s="22"/>
    </row>
    <row r="357" ht="22.5" customHeight="1">
      <c r="A357" s="12" t="s">
        <v>5</v>
      </c>
      <c r="B357" s="20" t="str">
        <f>IFERROR(VLOOKUP(A357,Sheet1!$E$3:$H$27,4,0),"")</f>
        <v>P1</v>
      </c>
      <c r="C357" s="14" t="s">
        <v>341</v>
      </c>
      <c r="D357" s="12" t="s">
        <v>62</v>
      </c>
      <c r="E357" s="13" t="str">
        <f>IFERROR(VLOOKUP(D357,Sheet1!$B$1:$C$45,2,0),"")</f>
        <v>TE</v>
      </c>
      <c r="F357" s="12" t="s">
        <v>108</v>
      </c>
      <c r="G357" s="13" t="str">
        <f t="shared" si="3"/>
        <v>Barito Raya</v>
      </c>
      <c r="H357" s="15" t="str">
        <f>IFERROR(VLOOKUP(A357,Sheet1!$E$3:$F$27,2,),"")</f>
        <v>Corrective</v>
      </c>
      <c r="I357" s="16" t="str">
        <f>IFERROR(VLOOKUP(A357,Sheet1!$E$3:$G$27,3,0),"")</f>
        <v>Replace Optik,RRU/Soket Power/Replace GPS</v>
      </c>
      <c r="J357" s="12" t="s">
        <v>112</v>
      </c>
      <c r="K357" s="17">
        <v>46020.0</v>
      </c>
      <c r="L357" s="17">
        <v>46020.0</v>
      </c>
      <c r="M357" s="12" t="s">
        <v>122</v>
      </c>
      <c r="N357" s="18" t="s">
        <v>342</v>
      </c>
      <c r="O357" s="19"/>
      <c r="P357" s="19"/>
    </row>
    <row r="358" ht="22.5" customHeight="1">
      <c r="A358" s="12" t="s">
        <v>65</v>
      </c>
      <c r="B358" s="20" t="str">
        <f>IFERROR(VLOOKUP(A358,Sheet1!$E$3:$H$27,4,0),"")</f>
        <v>P3</v>
      </c>
      <c r="C358" s="15"/>
      <c r="D358" s="12" t="s">
        <v>9</v>
      </c>
      <c r="E358" s="13" t="str">
        <f>IFERROR(VLOOKUP(D358,Sheet1!$B$1:$C$45,2,0),"")</f>
        <v>MBP</v>
      </c>
      <c r="F358" s="12" t="s">
        <v>108</v>
      </c>
      <c r="G358" s="13" t="str">
        <f t="shared" si="3"/>
        <v>Barito Raya</v>
      </c>
      <c r="H358" s="15" t="str">
        <f>IFERROR(VLOOKUP(A358,Sheet1!$E$3:$F$27,2,),"")</f>
        <v>Standby</v>
      </c>
      <c r="I358" s="16" t="str">
        <f>IFERROR(VLOOKUP(A358,Sheet1!$E$3:$G$27,3,0),"")</f>
        <v>Standby On Call</v>
      </c>
      <c r="J358" s="12" t="s">
        <v>66</v>
      </c>
      <c r="K358" s="17">
        <v>46020.0</v>
      </c>
      <c r="L358" s="17">
        <v>46020.0</v>
      </c>
      <c r="M358" s="13"/>
      <c r="N358" s="23"/>
      <c r="O358" s="22"/>
      <c r="P358" s="22"/>
    </row>
    <row r="359" ht="22.5" customHeight="1">
      <c r="A359" s="12" t="s">
        <v>65</v>
      </c>
      <c r="B359" s="20" t="str">
        <f>IFERROR(VLOOKUP(A359,Sheet1!$E$3:$H$27,4,0),"")</f>
        <v>P3</v>
      </c>
      <c r="C359" s="15"/>
      <c r="D359" s="12" t="s">
        <v>4</v>
      </c>
      <c r="E359" s="13" t="str">
        <f>IFERROR(VLOOKUP(D359,Sheet1!$B$1:$C$45,2,0),"")</f>
        <v>CME</v>
      </c>
      <c r="F359" s="12" t="s">
        <v>108</v>
      </c>
      <c r="G359" s="13" t="str">
        <f t="shared" si="3"/>
        <v>Barito Raya</v>
      </c>
      <c r="H359" s="15" t="str">
        <f>IFERROR(VLOOKUP(A359,Sheet1!$E$3:$F$27,2,),"")</f>
        <v>Standby</v>
      </c>
      <c r="I359" s="16" t="str">
        <f>IFERROR(VLOOKUP(A359,Sheet1!$E$3:$G$27,3,0),"")</f>
        <v>Standby On Call</v>
      </c>
      <c r="J359" s="12" t="s">
        <v>66</v>
      </c>
      <c r="K359" s="17">
        <v>46020.0</v>
      </c>
      <c r="L359" s="17">
        <v>46020.0</v>
      </c>
      <c r="M359" s="13"/>
      <c r="N359" s="23"/>
      <c r="O359" s="22"/>
      <c r="P359" s="22"/>
    </row>
    <row r="360" ht="22.5" customHeight="1">
      <c r="A360" s="12" t="s">
        <v>65</v>
      </c>
      <c r="B360" s="20" t="str">
        <f>IFERROR(VLOOKUP(A360,Sheet1!$E$3:$H$27,4,0),"")</f>
        <v>P3</v>
      </c>
      <c r="C360" s="15"/>
      <c r="D360" s="12" t="s">
        <v>87</v>
      </c>
      <c r="E360" s="13" t="str">
        <f>IFERROR(VLOOKUP(D360,Sheet1!$B$1:$C$45,2,0),"")</f>
        <v>MBP</v>
      </c>
      <c r="F360" s="12" t="s">
        <v>108</v>
      </c>
      <c r="G360" s="13" t="str">
        <f t="shared" si="3"/>
        <v>Barito Raya</v>
      </c>
      <c r="H360" s="15" t="str">
        <f>IFERROR(VLOOKUP(A360,Sheet1!$E$3:$F$27,2,),"")</f>
        <v>Standby</v>
      </c>
      <c r="I360" s="16" t="str">
        <f>IFERROR(VLOOKUP(A360,Sheet1!$E$3:$G$27,3,0),"")</f>
        <v>Standby On Call</v>
      </c>
      <c r="J360" s="12" t="s">
        <v>66</v>
      </c>
      <c r="K360" s="17">
        <v>46020.0</v>
      </c>
      <c r="L360" s="17">
        <v>46020.0</v>
      </c>
      <c r="M360" s="13"/>
      <c r="N360" s="23"/>
      <c r="O360" s="22"/>
      <c r="P360" s="22"/>
    </row>
    <row r="361" ht="22.5" customHeight="1">
      <c r="A361" s="12" t="s">
        <v>65</v>
      </c>
      <c r="B361" s="20" t="str">
        <f>IFERROR(VLOOKUP(A361,Sheet1!$E$3:$H$27,4,0),"")</f>
        <v>P3</v>
      </c>
      <c r="C361" s="15"/>
      <c r="D361" s="12" t="s">
        <v>24</v>
      </c>
      <c r="E361" s="13" t="str">
        <f>IFERROR(VLOOKUP(D361,Sheet1!$B$1:$C$45,2,0),"")</f>
        <v>MBP</v>
      </c>
      <c r="F361" s="12" t="s">
        <v>108</v>
      </c>
      <c r="G361" s="13" t="str">
        <f t="shared" si="3"/>
        <v>Barito Raya</v>
      </c>
      <c r="H361" s="15" t="str">
        <f>IFERROR(VLOOKUP(A361,Sheet1!$E$3:$F$27,2,),"")</f>
        <v>Standby</v>
      </c>
      <c r="I361" s="16" t="str">
        <f>IFERROR(VLOOKUP(A361,Sheet1!$E$3:$G$27,3,0),"")</f>
        <v>Standby On Call</v>
      </c>
      <c r="J361" s="12" t="s">
        <v>66</v>
      </c>
      <c r="K361" s="17">
        <v>46020.0</v>
      </c>
      <c r="L361" s="17">
        <v>46020.0</v>
      </c>
      <c r="M361" s="13"/>
      <c r="N361" s="23"/>
      <c r="O361" s="22"/>
      <c r="P361" s="22"/>
    </row>
    <row r="362" ht="22.5" customHeight="1">
      <c r="A362" s="12" t="s">
        <v>68</v>
      </c>
      <c r="B362" s="20" t="str">
        <f>IFERROR(VLOOKUP(A362,Sheet1!$E$3:$H$27,4,0),"")</f>
        <v>P3</v>
      </c>
      <c r="C362" s="15"/>
      <c r="D362" s="12" t="s">
        <v>29</v>
      </c>
      <c r="E362" s="13" t="str">
        <f>IFERROR(VLOOKUP(D362,Sheet1!$B$1:$C$45,2,0),"")</f>
        <v>MBP</v>
      </c>
      <c r="F362" s="12" t="s">
        <v>108</v>
      </c>
      <c r="G362" s="13" t="str">
        <f t="shared" si="3"/>
        <v>Barito Raya</v>
      </c>
      <c r="H362" s="15" t="str">
        <f>IFERROR(VLOOKUP(A362,Sheet1!$E$3:$F$27,2,),"")</f>
        <v>On Leave</v>
      </c>
      <c r="I362" s="16" t="str">
        <f>IFERROR(VLOOKUP(A362,Sheet1!$E$3:$G$27,3,0),"")</f>
        <v>On Leave</v>
      </c>
      <c r="J362" s="20"/>
      <c r="K362" s="17">
        <v>46020.0</v>
      </c>
      <c r="L362" s="17">
        <v>46020.0</v>
      </c>
      <c r="M362" s="13"/>
      <c r="N362" s="23"/>
      <c r="O362" s="22"/>
      <c r="P362" s="22"/>
    </row>
    <row r="363" ht="22.5" customHeight="1">
      <c r="A363" s="12" t="s">
        <v>5</v>
      </c>
      <c r="B363" s="20" t="str">
        <f>IFERROR(VLOOKUP(A363,Sheet1!$E$3:$H$27,4,0),"")</f>
        <v>P1</v>
      </c>
      <c r="C363" s="14" t="s">
        <v>338</v>
      </c>
      <c r="D363" s="12" t="s">
        <v>2</v>
      </c>
      <c r="E363" s="13" t="str">
        <f>IFERROR(VLOOKUP(D363,Sheet1!$B$1:$C$45,2,0),"")</f>
        <v>CME</v>
      </c>
      <c r="F363" s="12" t="s">
        <v>108</v>
      </c>
      <c r="G363" s="13" t="str">
        <f t="shared" si="3"/>
        <v>Barito Raya</v>
      </c>
      <c r="H363" s="15" t="str">
        <f>IFERROR(VLOOKUP(A363,Sheet1!$E$3:$F$27,2,),"")</f>
        <v>Corrective</v>
      </c>
      <c r="I363" s="16" t="str">
        <f>IFERROR(VLOOKUP(A363,Sheet1!$E$3:$G$27,3,0),"")</f>
        <v>Replace Optik,RRU/Soket Power/Replace GPS</v>
      </c>
      <c r="J363" s="12" t="s">
        <v>112</v>
      </c>
      <c r="K363" s="17">
        <v>46020.0</v>
      </c>
      <c r="L363" s="17">
        <v>46020.0</v>
      </c>
      <c r="M363" s="12" t="s">
        <v>109</v>
      </c>
      <c r="N363" s="18" t="s">
        <v>339</v>
      </c>
      <c r="O363" s="19"/>
      <c r="P363" s="19"/>
    </row>
    <row r="364" ht="22.5" customHeight="1">
      <c r="A364" s="12" t="s">
        <v>65</v>
      </c>
      <c r="B364" s="20" t="str">
        <f>IFERROR(VLOOKUP(A364,Sheet1!$E$3:$H$27,4,0),"")</f>
        <v>P3</v>
      </c>
      <c r="C364" s="15"/>
      <c r="D364" s="12" t="s">
        <v>0</v>
      </c>
      <c r="E364" s="13" t="str">
        <f>IFERROR(VLOOKUP(D364,Sheet1!$B$1:$C$45,2,0),"")</f>
        <v>MBP</v>
      </c>
      <c r="F364" s="12" t="s">
        <v>108</v>
      </c>
      <c r="G364" s="13" t="str">
        <f t="shared" si="3"/>
        <v>Barito Raya</v>
      </c>
      <c r="H364" s="15" t="str">
        <f>IFERROR(VLOOKUP(A364,Sheet1!$E$3:$F$27,2,),"")</f>
        <v>Standby</v>
      </c>
      <c r="I364" s="16" t="str">
        <f>IFERROR(VLOOKUP(A364,Sheet1!$E$3:$G$27,3,0),"")</f>
        <v>Standby On Call</v>
      </c>
      <c r="J364" s="20"/>
      <c r="K364" s="17">
        <v>46020.0</v>
      </c>
      <c r="L364" s="17">
        <v>46020.0</v>
      </c>
      <c r="M364" s="13"/>
      <c r="N364" s="23"/>
      <c r="O364" s="22"/>
      <c r="P364" s="22"/>
    </row>
    <row r="365" ht="22.5" customHeight="1">
      <c r="A365" s="12" t="s">
        <v>65</v>
      </c>
      <c r="B365" s="20" t="str">
        <f>IFERROR(VLOOKUP(A365,Sheet1!$E$3:$H$27,4,0),"")</f>
        <v>P3</v>
      </c>
      <c r="C365" s="15"/>
      <c r="D365" s="12" t="s">
        <v>85</v>
      </c>
      <c r="E365" s="13" t="str">
        <f>IFERROR(VLOOKUP(D365,Sheet1!$B$1:$C$45,2,0),"")</f>
        <v>PM</v>
      </c>
      <c r="F365" s="12" t="s">
        <v>108</v>
      </c>
      <c r="G365" s="13" t="str">
        <f t="shared" si="3"/>
        <v>Barito Raya</v>
      </c>
      <c r="H365" s="15" t="str">
        <f>IFERROR(VLOOKUP(A365,Sheet1!$E$3:$F$27,2,),"")</f>
        <v>Standby</v>
      </c>
      <c r="I365" s="16" t="str">
        <f>IFERROR(VLOOKUP(A365,Sheet1!$E$3:$G$27,3,0),"")</f>
        <v>Standby On Call</v>
      </c>
      <c r="J365" s="20"/>
      <c r="K365" s="17">
        <v>46020.0</v>
      </c>
      <c r="L365" s="17">
        <v>46020.0</v>
      </c>
      <c r="M365" s="13"/>
      <c r="N365" s="23"/>
      <c r="O365" s="22"/>
      <c r="P365" s="22"/>
    </row>
    <row r="366" ht="22.5" customHeight="1">
      <c r="A366" s="12" t="s">
        <v>65</v>
      </c>
      <c r="B366" s="20" t="str">
        <f>IFERROR(VLOOKUP(A366,Sheet1!$E$3:$H$27,4,0),"")</f>
        <v>P3</v>
      </c>
      <c r="C366" s="15"/>
      <c r="D366" s="12" t="s">
        <v>84</v>
      </c>
      <c r="E366" s="13" t="str">
        <f>IFERROR(VLOOKUP(D366,Sheet1!$B$1:$C$45,2,0),"")</f>
        <v>MBP</v>
      </c>
      <c r="F366" s="12" t="s">
        <v>108</v>
      </c>
      <c r="G366" s="13" t="str">
        <f t="shared" si="3"/>
        <v>Barito Raya</v>
      </c>
      <c r="H366" s="15" t="str">
        <f>IFERROR(VLOOKUP(A366,Sheet1!$E$3:$F$27,2,),"")</f>
        <v>Standby</v>
      </c>
      <c r="I366" s="16" t="str">
        <f>IFERROR(VLOOKUP(A366,Sheet1!$E$3:$G$27,3,0),"")</f>
        <v>Standby On Call</v>
      </c>
      <c r="J366" s="20"/>
      <c r="K366" s="17">
        <v>46020.0</v>
      </c>
      <c r="L366" s="17">
        <v>46020.0</v>
      </c>
      <c r="M366" s="13"/>
      <c r="N366" s="23"/>
      <c r="O366" s="22"/>
      <c r="P366" s="22"/>
    </row>
    <row r="367" ht="22.5" customHeight="1">
      <c r="A367" s="12" t="s">
        <v>65</v>
      </c>
      <c r="B367" s="20" t="str">
        <f>IFERROR(VLOOKUP(A367,Sheet1!$E$3:$H$27,4,0),"")</f>
        <v>P3</v>
      </c>
      <c r="C367" s="15"/>
      <c r="D367" s="12" t="s">
        <v>86</v>
      </c>
      <c r="E367" s="13" t="str">
        <f>IFERROR(VLOOKUP(D367,Sheet1!$B$1:$C$45,2,0),"")</f>
        <v>PM</v>
      </c>
      <c r="F367" s="12" t="s">
        <v>108</v>
      </c>
      <c r="G367" s="13" t="str">
        <f t="shared" si="3"/>
        <v>Barito Raya</v>
      </c>
      <c r="H367" s="15" t="str">
        <f>IFERROR(VLOOKUP(A367,Sheet1!$E$3:$F$27,2,),"")</f>
        <v>Standby</v>
      </c>
      <c r="I367" s="16" t="str">
        <f>IFERROR(VLOOKUP(A367,Sheet1!$E$3:$G$27,3,0),"")</f>
        <v>Standby On Call</v>
      </c>
      <c r="J367" s="20"/>
      <c r="K367" s="17">
        <v>46020.0</v>
      </c>
      <c r="L367" s="17">
        <v>46020.0</v>
      </c>
      <c r="M367" s="13"/>
      <c r="N367" s="23"/>
      <c r="O367" s="22"/>
      <c r="P367" s="22"/>
    </row>
    <row r="368" ht="22.5" customHeight="1">
      <c r="A368" s="12" t="s">
        <v>5</v>
      </c>
      <c r="B368" s="20" t="str">
        <f>IFERROR(VLOOKUP(A368,Sheet1!$E$3:$H$27,4,0),"")</f>
        <v>P1</v>
      </c>
      <c r="C368" s="14" t="s">
        <v>199</v>
      </c>
      <c r="D368" s="12" t="s">
        <v>39</v>
      </c>
      <c r="E368" s="13" t="str">
        <f>IFERROR(VLOOKUP(D368,Sheet1!$B$1:$C$45,2,0),"")</f>
        <v>TE</v>
      </c>
      <c r="F368" s="12" t="s">
        <v>179</v>
      </c>
      <c r="G368" s="13" t="str">
        <f t="shared" si="3"/>
        <v>Palangkaraya</v>
      </c>
      <c r="H368" s="15" t="str">
        <f>IFERROR(VLOOKUP(A368,Sheet1!$E$3:$F$27,2,),"")</f>
        <v>Corrective</v>
      </c>
      <c r="I368" s="16" t="str">
        <f>IFERROR(VLOOKUP(A368,Sheet1!$E$3:$G$27,3,0),"")</f>
        <v>Replace Optik,RRU/Soket Power/Replace GPS</v>
      </c>
      <c r="J368" s="12" t="s">
        <v>112</v>
      </c>
      <c r="K368" s="17">
        <v>46020.0</v>
      </c>
      <c r="L368" s="24"/>
      <c r="M368" s="12" t="s">
        <v>109</v>
      </c>
      <c r="N368" s="23"/>
      <c r="O368" s="22"/>
      <c r="P368" s="22"/>
    </row>
    <row r="369" ht="22.5" customHeight="1">
      <c r="A369" s="12" t="s">
        <v>5</v>
      </c>
      <c r="B369" s="20" t="str">
        <f>IFERROR(VLOOKUP(A369,Sheet1!$E$3:$H$27,4,0),"")</f>
        <v>P1</v>
      </c>
      <c r="C369" s="14" t="s">
        <v>199</v>
      </c>
      <c r="D369" s="12" t="s">
        <v>76</v>
      </c>
      <c r="E369" s="13" t="str">
        <f>IFERROR(VLOOKUP(D369,Sheet1!$B$1:$C$45,2,0),"")</f>
        <v>TE</v>
      </c>
      <c r="F369" s="12" t="s">
        <v>179</v>
      </c>
      <c r="G369" s="13" t="str">
        <f t="shared" si="3"/>
        <v>Palangkaraya</v>
      </c>
      <c r="H369" s="15" t="str">
        <f>IFERROR(VLOOKUP(A369,Sheet1!$E$3:$F$27,2,),"")</f>
        <v>Corrective</v>
      </c>
      <c r="I369" s="16" t="str">
        <f>IFERROR(VLOOKUP(A369,Sheet1!$E$3:$G$27,3,0),"")</f>
        <v>Replace Optik,RRU/Soket Power/Replace GPS</v>
      </c>
      <c r="J369" s="12" t="s">
        <v>112</v>
      </c>
      <c r="K369" s="17">
        <v>46020.0</v>
      </c>
      <c r="L369" s="24"/>
      <c r="M369" s="12" t="s">
        <v>109</v>
      </c>
      <c r="N369" s="23"/>
      <c r="O369" s="22"/>
      <c r="P369" s="22"/>
    </row>
    <row r="370" ht="22.5" customHeight="1">
      <c r="A370" s="12" t="s">
        <v>5</v>
      </c>
      <c r="B370" s="20" t="str">
        <f>IFERROR(VLOOKUP(A370,Sheet1!$E$3:$H$27,4,0),"")</f>
        <v>P1</v>
      </c>
      <c r="C370" s="14" t="s">
        <v>343</v>
      </c>
      <c r="D370" s="12" t="s">
        <v>42</v>
      </c>
      <c r="E370" s="13" t="str">
        <f>IFERROR(VLOOKUP(D370,Sheet1!$B$1:$C$45,2,0),"")</f>
        <v>TE</v>
      </c>
      <c r="F370" s="12" t="s">
        <v>179</v>
      </c>
      <c r="G370" s="13" t="str">
        <f t="shared" si="3"/>
        <v>Palangkaraya</v>
      </c>
      <c r="H370" s="15" t="str">
        <f>IFERROR(VLOOKUP(A370,Sheet1!$E$3:$F$27,2,),"")</f>
        <v>Corrective</v>
      </c>
      <c r="I370" s="16" t="str">
        <f>IFERROR(VLOOKUP(A370,Sheet1!$E$3:$G$27,3,0),"")</f>
        <v>Replace Optik,RRU/Soket Power/Replace GPS</v>
      </c>
      <c r="J370" s="12" t="s">
        <v>112</v>
      </c>
      <c r="K370" s="17">
        <v>46020.0</v>
      </c>
      <c r="L370" s="24"/>
      <c r="M370" s="12" t="s">
        <v>109</v>
      </c>
      <c r="N370" s="23"/>
      <c r="O370" s="22"/>
      <c r="P370" s="22"/>
    </row>
    <row r="371" ht="22.5" customHeight="1">
      <c r="A371" s="12" t="s">
        <v>5</v>
      </c>
      <c r="B371" s="20" t="str">
        <f>IFERROR(VLOOKUP(A371,Sheet1!$E$3:$H$27,4,0),"")</f>
        <v>P1</v>
      </c>
      <c r="C371" s="14" t="s">
        <v>228</v>
      </c>
      <c r="D371" s="12" t="s">
        <v>78</v>
      </c>
      <c r="E371" s="13" t="str">
        <f>IFERROR(VLOOKUP(D371,Sheet1!$B$1:$C$45,2,0),"")</f>
        <v>TE</v>
      </c>
      <c r="F371" s="12" t="s">
        <v>179</v>
      </c>
      <c r="G371" s="13" t="str">
        <f t="shared" si="3"/>
        <v>Palangkaraya</v>
      </c>
      <c r="H371" s="15" t="str">
        <f>IFERROR(VLOOKUP(A371,Sheet1!$E$3:$F$27,2,),"")</f>
        <v>Corrective</v>
      </c>
      <c r="I371" s="16" t="str">
        <f>IFERROR(VLOOKUP(A371,Sheet1!$E$3:$G$27,3,0),"")</f>
        <v>Replace Optik,RRU/Soket Power/Replace GPS</v>
      </c>
      <c r="J371" s="12" t="s">
        <v>112</v>
      </c>
      <c r="K371" s="17">
        <v>46020.0</v>
      </c>
      <c r="L371" s="24"/>
      <c r="M371" s="12" t="s">
        <v>137</v>
      </c>
      <c r="N371" s="23"/>
      <c r="O371" s="22"/>
      <c r="P371" s="22"/>
    </row>
    <row r="372" ht="22.5" customHeight="1">
      <c r="A372" s="12" t="s">
        <v>22</v>
      </c>
      <c r="B372" s="20" t="str">
        <f>IFERROR(VLOOKUP(A372,Sheet1!$E$3:$H$27,4,0),"")</f>
        <v>P2</v>
      </c>
      <c r="C372" s="14" t="s">
        <v>344</v>
      </c>
      <c r="D372" s="12" t="s">
        <v>37</v>
      </c>
      <c r="E372" s="13" t="str">
        <f>IFERROR(VLOOKUP(D372,Sheet1!$B$1:$C$45,2,0),"")</f>
        <v>TE</v>
      </c>
      <c r="F372" s="12" t="s">
        <v>108</v>
      </c>
      <c r="G372" s="13" t="str">
        <f t="shared" si="3"/>
        <v>Barito Raya</v>
      </c>
      <c r="H372" s="15" t="str">
        <f>IFERROR(VLOOKUP(A372,Sheet1!$E$3:$F$27,2,),"")</f>
        <v>Preventive</v>
      </c>
      <c r="I372" s="16" t="str">
        <f>IFERROR(VLOOKUP(A372,Sheet1!$E$3:$G$27,3,0),"")</f>
        <v>Preventive Maintenance</v>
      </c>
      <c r="J372" s="12" t="s">
        <v>112</v>
      </c>
      <c r="K372" s="17">
        <v>46020.0</v>
      </c>
      <c r="L372" s="17">
        <v>46020.0</v>
      </c>
      <c r="M372" s="12" t="s">
        <v>109</v>
      </c>
      <c r="N372" s="23"/>
      <c r="O372" s="22"/>
      <c r="P372" s="22"/>
    </row>
    <row r="373" ht="22.5" customHeight="1">
      <c r="A373" s="12" t="s">
        <v>10</v>
      </c>
      <c r="B373" s="20" t="str">
        <f>IFERROR(VLOOKUP(A373,Sheet1!$E$3:$H$27,4,0),"")</f>
        <v>P1</v>
      </c>
      <c r="C373" s="14" t="s">
        <v>222</v>
      </c>
      <c r="D373" s="12" t="s">
        <v>80</v>
      </c>
      <c r="E373" s="13" t="str">
        <f>IFERROR(VLOOKUP(D373,Sheet1!$B$1:$C$45,2,0),"")</f>
        <v>TE</v>
      </c>
      <c r="F373" s="12" t="s">
        <v>179</v>
      </c>
      <c r="G373" s="13" t="str">
        <f t="shared" si="3"/>
        <v>Palangkaraya</v>
      </c>
      <c r="H373" s="15" t="str">
        <f>IFERROR(VLOOKUP(A373,Sheet1!$E$3:$F$27,2,),"")</f>
        <v>Corrective</v>
      </c>
      <c r="I373" s="16" t="str">
        <f>IFERROR(VLOOKUP(A373,Sheet1!$E$3:$G$27,3,0),"")</f>
        <v>Replace Jumper,antena/RRU</v>
      </c>
      <c r="J373" s="12" t="s">
        <v>112</v>
      </c>
      <c r="K373" s="17">
        <v>46020.0</v>
      </c>
      <c r="L373" s="24"/>
      <c r="M373" s="12" t="s">
        <v>122</v>
      </c>
      <c r="N373" s="23"/>
      <c r="O373" s="22"/>
      <c r="P373" s="22"/>
    </row>
    <row r="374" ht="22.5" customHeight="1">
      <c r="A374" s="12" t="s">
        <v>5</v>
      </c>
      <c r="B374" s="20" t="str">
        <f>IFERROR(VLOOKUP(A374,Sheet1!$E$3:$H$27,4,0),"")</f>
        <v>P1</v>
      </c>
      <c r="C374" s="14" t="s">
        <v>222</v>
      </c>
      <c r="D374" s="12" t="s">
        <v>77</v>
      </c>
      <c r="E374" s="13" t="str">
        <f>IFERROR(VLOOKUP(D374,Sheet1!$B$1:$C$45,2,0),"")</f>
        <v>TE</v>
      </c>
      <c r="F374" s="12" t="s">
        <v>179</v>
      </c>
      <c r="G374" s="13" t="str">
        <f t="shared" si="3"/>
        <v>Palangkaraya</v>
      </c>
      <c r="H374" s="15" t="str">
        <f>IFERROR(VLOOKUP(A374,Sheet1!$E$3:$F$27,2,),"")</f>
        <v>Corrective</v>
      </c>
      <c r="I374" s="16" t="str">
        <f>IFERROR(VLOOKUP(A374,Sheet1!$E$3:$G$27,3,0),"")</f>
        <v>Replace Optik,RRU/Soket Power/Replace GPS</v>
      </c>
      <c r="J374" s="12" t="s">
        <v>112</v>
      </c>
      <c r="K374" s="17">
        <v>46020.0</v>
      </c>
      <c r="L374" s="24"/>
      <c r="M374" s="12" t="s">
        <v>137</v>
      </c>
      <c r="N374" s="23"/>
      <c r="O374" s="22"/>
      <c r="P374" s="22"/>
    </row>
    <row r="375" ht="22.5" customHeight="1">
      <c r="A375" s="12" t="s">
        <v>5</v>
      </c>
      <c r="B375" s="20" t="str">
        <f>IFERROR(VLOOKUP(A375,Sheet1!$E$3:$H$27,4,0),"")</f>
        <v>P1</v>
      </c>
      <c r="C375" s="14" t="s">
        <v>268</v>
      </c>
      <c r="D375" s="12" t="s">
        <v>91</v>
      </c>
      <c r="E375" s="13" t="str">
        <f>IFERROR(VLOOKUP(D375,Sheet1!$B$1:$C$45,2,0),"")</f>
        <v>TE</v>
      </c>
      <c r="F375" s="12" t="s">
        <v>179</v>
      </c>
      <c r="G375" s="13" t="str">
        <f t="shared" si="3"/>
        <v>Palangkaraya</v>
      </c>
      <c r="H375" s="15" t="str">
        <f>IFERROR(VLOOKUP(A375,Sheet1!$E$3:$F$27,2,),"")</f>
        <v>Corrective</v>
      </c>
      <c r="I375" s="16" t="str">
        <f>IFERROR(VLOOKUP(A375,Sheet1!$E$3:$G$27,3,0),"")</f>
        <v>Replace Optik,RRU/Soket Power/Replace GPS</v>
      </c>
      <c r="J375" s="12" t="s">
        <v>112</v>
      </c>
      <c r="K375" s="17">
        <v>46020.0</v>
      </c>
      <c r="L375" s="24"/>
      <c r="M375" s="12" t="s">
        <v>122</v>
      </c>
      <c r="N375" s="18" t="s">
        <v>345</v>
      </c>
      <c r="O375" s="19"/>
      <c r="P375" s="19"/>
    </row>
    <row r="376" ht="22.5" customHeight="1">
      <c r="A376" s="12" t="s">
        <v>52</v>
      </c>
      <c r="B376" s="20" t="str">
        <f>IFERROR(VLOOKUP(A376,Sheet1!$E$3:$H$27,4,0),"")</f>
        <v>P1</v>
      </c>
      <c r="C376" s="14" t="s">
        <v>215</v>
      </c>
      <c r="D376" s="12" t="s">
        <v>58</v>
      </c>
      <c r="E376" s="13" t="str">
        <f>IFERROR(VLOOKUP(D376,Sheet1!$B$1:$C$45,2,0),"")</f>
        <v>TE</v>
      </c>
      <c r="F376" s="12" t="s">
        <v>179</v>
      </c>
      <c r="G376" s="13" t="str">
        <f t="shared" si="3"/>
        <v>Palangkaraya</v>
      </c>
      <c r="H376" s="15" t="str">
        <f>IFERROR(VLOOKUP(A376,Sheet1!$E$3:$F$27,2,),"")</f>
        <v>Preventive</v>
      </c>
      <c r="I376" s="16" t="str">
        <f>IFERROR(VLOOKUP(A376,Sheet1!$E$3:$G$27,3,0),"")</f>
        <v>MCB trip/Power upnormal</v>
      </c>
      <c r="J376" s="12" t="s">
        <v>112</v>
      </c>
      <c r="K376" s="17">
        <v>46020.0</v>
      </c>
      <c r="L376" s="17">
        <v>46020.0</v>
      </c>
      <c r="M376" s="12" t="s">
        <v>109</v>
      </c>
      <c r="N376" s="23"/>
      <c r="O376" s="22"/>
      <c r="P376" s="22"/>
    </row>
    <row r="377" ht="22.5" customHeight="1">
      <c r="A377" s="12" t="s">
        <v>14</v>
      </c>
      <c r="B377" s="20" t="str">
        <f>IFERROR(VLOOKUP(A377,Sheet1!$E$3:$H$27,4,0),"")</f>
        <v>P1</v>
      </c>
      <c r="C377" s="14" t="s">
        <v>346</v>
      </c>
      <c r="D377" s="12" t="s">
        <v>56</v>
      </c>
      <c r="E377" s="13" t="str">
        <f>IFERROR(VLOOKUP(D377,Sheet1!$B$1:$C$45,2,0),"")</f>
        <v>TE</v>
      </c>
      <c r="F377" s="12" t="s">
        <v>179</v>
      </c>
      <c r="G377" s="13" t="str">
        <f t="shared" si="3"/>
        <v>Palangkaraya</v>
      </c>
      <c r="H377" s="15" t="str">
        <f>IFERROR(VLOOKUP(A377,Sheet1!$E$3:$F$27,2,),"")</f>
        <v>Corrective</v>
      </c>
      <c r="I377" s="16" t="str">
        <f>IFERROR(VLOOKUP(A377,Sheet1!$E$3:$G$27,3,0),"")</f>
        <v>Pemadaman,MCB Trip,Transmisi problem</v>
      </c>
      <c r="J377" s="12" t="s">
        <v>112</v>
      </c>
      <c r="K377" s="17">
        <v>46020.0</v>
      </c>
      <c r="L377" s="24"/>
      <c r="M377" s="12" t="s">
        <v>137</v>
      </c>
      <c r="N377" s="23"/>
      <c r="O377" s="22"/>
      <c r="P377" s="22"/>
    </row>
    <row r="378" ht="22.5" customHeight="1">
      <c r="A378" s="12" t="s">
        <v>14</v>
      </c>
      <c r="B378" s="20" t="str">
        <f>IFERROR(VLOOKUP(A378,Sheet1!$E$3:$H$27,4,0),"")</f>
        <v>P1</v>
      </c>
      <c r="C378" s="14" t="s">
        <v>347</v>
      </c>
      <c r="D378" s="12" t="s">
        <v>71</v>
      </c>
      <c r="E378" s="13" t="str">
        <f>IFERROR(VLOOKUP(D378,Sheet1!$B$1:$C$45,2,0),"")</f>
        <v>TE</v>
      </c>
      <c r="F378" s="12" t="s">
        <v>179</v>
      </c>
      <c r="G378" s="13" t="str">
        <f t="shared" si="3"/>
        <v>Palangkaraya</v>
      </c>
      <c r="H378" s="15" t="str">
        <f>IFERROR(VLOOKUP(A378,Sheet1!$E$3:$F$27,2,),"")</f>
        <v>Corrective</v>
      </c>
      <c r="I378" s="16" t="str">
        <f>IFERROR(VLOOKUP(A378,Sheet1!$E$3:$G$27,3,0),"")</f>
        <v>Pemadaman,MCB Trip,Transmisi problem</v>
      </c>
      <c r="J378" s="12" t="s">
        <v>112</v>
      </c>
      <c r="K378" s="17">
        <v>46020.0</v>
      </c>
      <c r="L378" s="24"/>
      <c r="M378" s="12" t="s">
        <v>137</v>
      </c>
      <c r="N378" s="23"/>
      <c r="O378" s="22"/>
      <c r="P378" s="22"/>
    </row>
    <row r="379" ht="22.5" customHeight="1">
      <c r="A379" s="12" t="s">
        <v>5</v>
      </c>
      <c r="B379" s="20" t="str">
        <f>IFERROR(VLOOKUP(A379,Sheet1!$E$3:$H$27,4,0),"")</f>
        <v>P1</v>
      </c>
      <c r="C379" s="14" t="s">
        <v>348</v>
      </c>
      <c r="D379" s="12" t="s">
        <v>69</v>
      </c>
      <c r="E379" s="13" t="str">
        <f>IFERROR(VLOOKUP(D379,Sheet1!$B$1:$C$45,2,0),"")</f>
        <v>TE</v>
      </c>
      <c r="F379" s="12" t="s">
        <v>179</v>
      </c>
      <c r="G379" s="13" t="str">
        <f t="shared" si="3"/>
        <v>Palangkaraya</v>
      </c>
      <c r="H379" s="15" t="str">
        <f>IFERROR(VLOOKUP(A379,Sheet1!$E$3:$F$27,2,),"")</f>
        <v>Corrective</v>
      </c>
      <c r="I379" s="16" t="str">
        <f>IFERROR(VLOOKUP(A379,Sheet1!$E$3:$G$27,3,0),"")</f>
        <v>Replace Optik,RRU/Soket Power/Replace GPS</v>
      </c>
      <c r="J379" s="12" t="s">
        <v>112</v>
      </c>
      <c r="K379" s="17">
        <v>46020.0</v>
      </c>
      <c r="L379" s="17">
        <v>46020.0</v>
      </c>
      <c r="M379" s="12" t="s">
        <v>137</v>
      </c>
      <c r="N379" s="23"/>
      <c r="O379" s="22"/>
      <c r="P379" s="22"/>
    </row>
    <row r="380" ht="22.5" customHeight="1">
      <c r="A380" s="12" t="s">
        <v>22</v>
      </c>
      <c r="B380" s="20" t="str">
        <f>IFERROR(VLOOKUP(A380,Sheet1!$E$3:$H$27,4,0),"")</f>
        <v>P2</v>
      </c>
      <c r="C380" s="14" t="s">
        <v>307</v>
      </c>
      <c r="D380" s="12" t="s">
        <v>35</v>
      </c>
      <c r="E380" s="13" t="str">
        <f>IFERROR(VLOOKUP(D380,Sheet1!$B$1:$C$45,2,0),"")</f>
        <v>MBP</v>
      </c>
      <c r="F380" s="12" t="s">
        <v>179</v>
      </c>
      <c r="G380" s="13" t="str">
        <f t="shared" si="3"/>
        <v>Palangkaraya</v>
      </c>
      <c r="H380" s="15" t="str">
        <f>IFERROR(VLOOKUP(A380,Sheet1!$E$3:$F$27,2,),"")</f>
        <v>Preventive</v>
      </c>
      <c r="I380" s="16" t="str">
        <f>IFERROR(VLOOKUP(A380,Sheet1!$E$3:$G$27,3,0),"")</f>
        <v>Preventive Maintenance</v>
      </c>
      <c r="J380" s="12" t="s">
        <v>112</v>
      </c>
      <c r="K380" s="17">
        <v>46020.0</v>
      </c>
      <c r="L380" s="24"/>
      <c r="M380" s="12" t="s">
        <v>137</v>
      </c>
      <c r="N380" s="23"/>
      <c r="O380" s="22"/>
      <c r="P380" s="22"/>
    </row>
    <row r="381" ht="22.5" customHeight="1">
      <c r="A381" s="12" t="s">
        <v>22</v>
      </c>
      <c r="B381" s="20" t="str">
        <f>IFERROR(VLOOKUP(A381,Sheet1!$E$3:$H$27,4,0),"")</f>
        <v>P2</v>
      </c>
      <c r="C381" s="14" t="s">
        <v>272</v>
      </c>
      <c r="D381" s="12" t="s">
        <v>81</v>
      </c>
      <c r="E381" s="13" t="str">
        <f>IFERROR(VLOOKUP(D381,Sheet1!$B$1:$C$45,2,0),"")</f>
        <v>PM</v>
      </c>
      <c r="F381" s="12" t="s">
        <v>179</v>
      </c>
      <c r="G381" s="13" t="str">
        <f t="shared" si="3"/>
        <v>Palangkaraya</v>
      </c>
      <c r="H381" s="15" t="str">
        <f>IFERROR(VLOOKUP(A381,Sheet1!$E$3:$F$27,2,),"")</f>
        <v>Preventive</v>
      </c>
      <c r="I381" s="16" t="str">
        <f>IFERROR(VLOOKUP(A381,Sheet1!$E$3:$G$27,3,0),"")</f>
        <v>Preventive Maintenance</v>
      </c>
      <c r="J381" s="12" t="s">
        <v>112</v>
      </c>
      <c r="K381" s="17">
        <v>46020.0</v>
      </c>
      <c r="L381" s="24"/>
      <c r="M381" s="12" t="s">
        <v>137</v>
      </c>
      <c r="N381" s="23"/>
      <c r="O381" s="22"/>
      <c r="P381" s="22"/>
    </row>
    <row r="382" ht="22.5" customHeight="1">
      <c r="A382" s="12" t="s">
        <v>22</v>
      </c>
      <c r="B382" s="20" t="str">
        <f>IFERROR(VLOOKUP(A382,Sheet1!$E$3:$H$27,4,0),"")</f>
        <v>P2</v>
      </c>
      <c r="C382" s="14" t="s">
        <v>349</v>
      </c>
      <c r="D382" s="12" t="s">
        <v>82</v>
      </c>
      <c r="E382" s="13" t="str">
        <f>IFERROR(VLOOKUP(D382,Sheet1!$B$1:$C$45,2,0),"")</f>
        <v>PM</v>
      </c>
      <c r="F382" s="12" t="s">
        <v>179</v>
      </c>
      <c r="G382" s="13" t="str">
        <f t="shared" si="3"/>
        <v>Palangkaraya</v>
      </c>
      <c r="H382" s="15" t="str">
        <f>IFERROR(VLOOKUP(A382,Sheet1!$E$3:$F$27,2,),"")</f>
        <v>Preventive</v>
      </c>
      <c r="I382" s="16" t="str">
        <f>IFERROR(VLOOKUP(A382,Sheet1!$E$3:$G$27,3,0),"")</f>
        <v>Preventive Maintenance</v>
      </c>
      <c r="J382" s="12" t="s">
        <v>112</v>
      </c>
      <c r="K382" s="17">
        <v>46020.0</v>
      </c>
      <c r="L382" s="24"/>
      <c r="M382" s="12" t="s">
        <v>109</v>
      </c>
      <c r="N382" s="23"/>
      <c r="O382" s="22"/>
      <c r="P382" s="22"/>
    </row>
    <row r="383" ht="22.5" customHeight="1">
      <c r="A383" s="12" t="s">
        <v>22</v>
      </c>
      <c r="B383" s="20" t="str">
        <f>IFERROR(VLOOKUP(A383,Sheet1!$E$3:$H$27,4,0),"")</f>
        <v>P2</v>
      </c>
      <c r="C383" s="14" t="s">
        <v>350</v>
      </c>
      <c r="D383" s="12" t="s">
        <v>83</v>
      </c>
      <c r="E383" s="13" t="str">
        <f>IFERROR(VLOOKUP(D383,Sheet1!$B$1:$C$45,2,0),"")</f>
        <v>PM</v>
      </c>
      <c r="F383" s="12" t="s">
        <v>179</v>
      </c>
      <c r="G383" s="13" t="str">
        <f t="shared" si="3"/>
        <v>Palangkaraya</v>
      </c>
      <c r="H383" s="15" t="str">
        <f>IFERROR(VLOOKUP(A383,Sheet1!$E$3:$F$27,2,),"")</f>
        <v>Preventive</v>
      </c>
      <c r="I383" s="16" t="str">
        <f>IFERROR(VLOOKUP(A383,Sheet1!$E$3:$G$27,3,0),"")</f>
        <v>Preventive Maintenance</v>
      </c>
      <c r="J383" s="12" t="s">
        <v>112</v>
      </c>
      <c r="K383" s="17">
        <v>46020.0</v>
      </c>
      <c r="L383" s="24"/>
      <c r="M383" s="12" t="s">
        <v>109</v>
      </c>
      <c r="N383" s="23"/>
      <c r="O383" s="22"/>
      <c r="P383" s="22"/>
    </row>
    <row r="384" ht="22.5" customHeight="1">
      <c r="A384" s="12" t="s">
        <v>65</v>
      </c>
      <c r="B384" s="20" t="str">
        <f>IFERROR(VLOOKUP(A384,Sheet1!$E$3:$H$27,4,0),"")</f>
        <v>P3</v>
      </c>
      <c r="C384" s="15"/>
      <c r="D384" s="12" t="s">
        <v>48</v>
      </c>
      <c r="E384" s="13" t="str">
        <f>IFERROR(VLOOKUP(D384,Sheet1!$B$1:$C$45,2,0),"")</f>
        <v>MBP</v>
      </c>
      <c r="F384" s="12" t="s">
        <v>179</v>
      </c>
      <c r="G384" s="13" t="str">
        <f t="shared" si="3"/>
        <v>Palangkaraya</v>
      </c>
      <c r="H384" s="15" t="str">
        <f>IFERROR(VLOOKUP(A384,Sheet1!$E$3:$F$27,2,),"")</f>
        <v>Standby</v>
      </c>
      <c r="I384" s="16" t="str">
        <f>IFERROR(VLOOKUP(A384,Sheet1!$E$3:$G$27,3,0),"")</f>
        <v>Standby On Call</v>
      </c>
      <c r="J384" s="12" t="s">
        <v>66</v>
      </c>
      <c r="K384" s="17">
        <v>46020.0</v>
      </c>
      <c r="L384" s="24"/>
      <c r="M384" s="12" t="s">
        <v>109</v>
      </c>
      <c r="N384" s="23"/>
      <c r="O384" s="22"/>
      <c r="P384" s="22"/>
    </row>
    <row r="385" ht="22.5" customHeight="1">
      <c r="A385" s="12" t="s">
        <v>65</v>
      </c>
      <c r="B385" s="20" t="str">
        <f>IFERROR(VLOOKUP(A385,Sheet1!$E$3:$H$27,4,0),"")</f>
        <v>P3</v>
      </c>
      <c r="C385" s="15"/>
      <c r="D385" s="12" t="s">
        <v>75</v>
      </c>
      <c r="E385" s="13" t="str">
        <f>IFERROR(VLOOKUP(D385,Sheet1!$B$1:$C$45,2,0),"")</f>
        <v>CME</v>
      </c>
      <c r="F385" s="12" t="s">
        <v>179</v>
      </c>
      <c r="G385" s="13" t="str">
        <f t="shared" si="3"/>
        <v>Palangkaraya</v>
      </c>
      <c r="H385" s="15" t="str">
        <f>IFERROR(VLOOKUP(A385,Sheet1!$E$3:$F$27,2,),"")</f>
        <v>Standby</v>
      </c>
      <c r="I385" s="16" t="str">
        <f>IFERROR(VLOOKUP(A385,Sheet1!$E$3:$G$27,3,0),"")</f>
        <v>Standby On Call</v>
      </c>
      <c r="J385" s="12" t="s">
        <v>66</v>
      </c>
      <c r="K385" s="17">
        <v>46020.0</v>
      </c>
      <c r="L385" s="24"/>
      <c r="M385" s="12" t="s">
        <v>137</v>
      </c>
      <c r="N385" s="23"/>
      <c r="O385" s="22"/>
      <c r="P385" s="22"/>
    </row>
    <row r="386" ht="22.5" customHeight="1">
      <c r="A386" s="12" t="s">
        <v>65</v>
      </c>
      <c r="B386" s="20" t="str">
        <f>IFERROR(VLOOKUP(A386,Sheet1!$E$3:$H$27,4,0),"")</f>
        <v>P3</v>
      </c>
      <c r="C386" s="15"/>
      <c r="D386" s="12" t="s">
        <v>64</v>
      </c>
      <c r="E386" s="12" t="s">
        <v>1</v>
      </c>
      <c r="F386" s="12" t="s">
        <v>179</v>
      </c>
      <c r="G386" s="13" t="str">
        <f t="shared" si="3"/>
        <v>Palangkaraya</v>
      </c>
      <c r="H386" s="15" t="str">
        <f>IFERROR(VLOOKUP(A386,Sheet1!$E$3:$F$27,2,),"")</f>
        <v>Standby</v>
      </c>
      <c r="I386" s="16" t="str">
        <f>IFERROR(VLOOKUP(A386,Sheet1!$E$3:$G$27,3,0),"")</f>
        <v>Standby On Call</v>
      </c>
      <c r="J386" s="12" t="s">
        <v>66</v>
      </c>
      <c r="K386" s="17">
        <v>46020.0</v>
      </c>
      <c r="L386" s="24"/>
      <c r="M386" s="12" t="s">
        <v>137</v>
      </c>
      <c r="N386" s="23"/>
      <c r="O386" s="22"/>
      <c r="P386" s="22"/>
    </row>
    <row r="387" ht="22.5" customHeight="1">
      <c r="A387" s="12" t="s">
        <v>65</v>
      </c>
      <c r="B387" s="20" t="str">
        <f>IFERROR(VLOOKUP(A387,Sheet1!$E$3:$H$27,4,0),"")</f>
        <v>P3</v>
      </c>
      <c r="C387" s="15"/>
      <c r="D387" s="12" t="s">
        <v>67</v>
      </c>
      <c r="E387" s="12" t="s">
        <v>1</v>
      </c>
      <c r="F387" s="12" t="s">
        <v>179</v>
      </c>
      <c r="G387" s="13" t="str">
        <f t="shared" si="3"/>
        <v>Palangkaraya</v>
      </c>
      <c r="H387" s="15" t="str">
        <f>IFERROR(VLOOKUP(A387,Sheet1!$E$3:$F$27,2,),"")</f>
        <v>Standby</v>
      </c>
      <c r="I387" s="16" t="str">
        <f>IFERROR(VLOOKUP(A387,Sheet1!$E$3:$G$27,3,0),"")</f>
        <v>Standby On Call</v>
      </c>
      <c r="J387" s="12" t="s">
        <v>66</v>
      </c>
      <c r="K387" s="17">
        <v>46020.0</v>
      </c>
      <c r="L387" s="24"/>
      <c r="M387" s="12" t="s">
        <v>137</v>
      </c>
      <c r="N387" s="23"/>
      <c r="O387" s="22"/>
      <c r="P387" s="22"/>
    </row>
    <row r="388" ht="22.5" customHeight="1">
      <c r="A388" s="12" t="s">
        <v>65</v>
      </c>
      <c r="B388" s="20" t="str">
        <f>IFERROR(VLOOKUP(A388,Sheet1!$E$3:$H$27,4,0),"")</f>
        <v>P3</v>
      </c>
      <c r="C388" s="15"/>
      <c r="D388" s="12" t="s">
        <v>54</v>
      </c>
      <c r="E388" s="13" t="str">
        <f>IFERROR(VLOOKUP(D388,Sheet1!$B$1:$C$45,2,0),"")</f>
        <v>MBP</v>
      </c>
      <c r="F388" s="12" t="s">
        <v>179</v>
      </c>
      <c r="G388" s="13" t="str">
        <f t="shared" si="3"/>
        <v>Palangkaraya</v>
      </c>
      <c r="H388" s="15" t="str">
        <f>IFERROR(VLOOKUP(A388,Sheet1!$E$3:$F$27,2,),"")</f>
        <v>Standby</v>
      </c>
      <c r="I388" s="16" t="str">
        <f>IFERROR(VLOOKUP(A388,Sheet1!$E$3:$G$27,3,0),"")</f>
        <v>Standby On Call</v>
      </c>
      <c r="J388" s="12" t="s">
        <v>66</v>
      </c>
      <c r="K388" s="17">
        <v>46020.0</v>
      </c>
      <c r="L388" s="24"/>
      <c r="M388" s="12" t="s">
        <v>137</v>
      </c>
      <c r="N388" s="23"/>
      <c r="O388" s="22"/>
      <c r="P388" s="22"/>
    </row>
    <row r="389" ht="22.5" customHeight="1">
      <c r="A389" s="12" t="s">
        <v>52</v>
      </c>
      <c r="B389" s="20" t="str">
        <f>IFERROR(VLOOKUP(A389,Sheet1!$E$3:$H$27,4,0),"")</f>
        <v>P1</v>
      </c>
      <c r="C389" s="14" t="s">
        <v>351</v>
      </c>
      <c r="D389" s="12" t="s">
        <v>12</v>
      </c>
      <c r="E389" s="13" t="str">
        <f>IFERROR(VLOOKUP(D389,Sheet1!$B$1:$C$45,2,0),"")</f>
        <v>TE</v>
      </c>
      <c r="F389" s="12" t="s">
        <v>108</v>
      </c>
      <c r="G389" s="13" t="str">
        <f t="shared" si="3"/>
        <v>Barito Raya</v>
      </c>
      <c r="H389" s="15" t="str">
        <f>IFERROR(VLOOKUP(A389,Sheet1!$E$3:$F$27,2,),"")</f>
        <v>Preventive</v>
      </c>
      <c r="I389" s="16" t="str">
        <f>IFERROR(VLOOKUP(A389,Sheet1!$E$3:$G$27,3,0),"")</f>
        <v>MCB trip/Power upnormal</v>
      </c>
      <c r="J389" s="12" t="s">
        <v>112</v>
      </c>
      <c r="K389" s="17">
        <v>46021.0</v>
      </c>
      <c r="L389" s="17">
        <v>46021.0</v>
      </c>
      <c r="M389" s="12" t="s">
        <v>122</v>
      </c>
      <c r="N389" s="18" t="s">
        <v>352</v>
      </c>
      <c r="O389" s="19"/>
      <c r="P389" s="19"/>
    </row>
    <row r="390" ht="22.5" customHeight="1">
      <c r="A390" s="12" t="s">
        <v>14</v>
      </c>
      <c r="B390" s="20" t="str">
        <f>IFERROR(VLOOKUP(A390,Sheet1!$E$3:$H$27,4,0),"")</f>
        <v>P1</v>
      </c>
      <c r="C390" s="14" t="s">
        <v>111</v>
      </c>
      <c r="D390" s="12" t="s">
        <v>16</v>
      </c>
      <c r="E390" s="13" t="str">
        <f>IFERROR(VLOOKUP(D390,Sheet1!$B$1:$C$45,2,0),"")</f>
        <v>TE</v>
      </c>
      <c r="F390" s="12" t="s">
        <v>108</v>
      </c>
      <c r="G390" s="13" t="str">
        <f t="shared" si="3"/>
        <v>Barito Raya</v>
      </c>
      <c r="H390" s="15" t="str">
        <f>IFERROR(VLOOKUP(A390,Sheet1!$E$3:$F$27,2,),"")</f>
        <v>Corrective</v>
      </c>
      <c r="I390" s="16" t="str">
        <f>IFERROR(VLOOKUP(A390,Sheet1!$E$3:$G$27,3,0),"")</f>
        <v>Pemadaman,MCB Trip,Transmisi problem</v>
      </c>
      <c r="J390" s="12" t="s">
        <v>112</v>
      </c>
      <c r="K390" s="17">
        <v>46021.0</v>
      </c>
      <c r="L390" s="17">
        <v>46021.0</v>
      </c>
      <c r="M390" s="12" t="s">
        <v>109</v>
      </c>
      <c r="N390" s="23"/>
      <c r="O390" s="22"/>
      <c r="P390" s="22"/>
    </row>
    <row r="391" ht="22.5" customHeight="1">
      <c r="A391" s="12" t="s">
        <v>52</v>
      </c>
      <c r="B391" s="20" t="str">
        <f>IFERROR(VLOOKUP(A391,Sheet1!$E$3:$H$27,4,0),"")</f>
        <v>P1</v>
      </c>
      <c r="C391" s="14" t="s">
        <v>353</v>
      </c>
      <c r="D391" s="12" t="s">
        <v>21</v>
      </c>
      <c r="E391" s="13" t="str">
        <f>IFERROR(VLOOKUP(D391,Sheet1!$B$1:$C$45,2,0),"")</f>
        <v>TE</v>
      </c>
      <c r="F391" s="12" t="s">
        <v>108</v>
      </c>
      <c r="G391" s="13" t="str">
        <f t="shared" si="3"/>
        <v>Barito Raya</v>
      </c>
      <c r="H391" s="15" t="str">
        <f>IFERROR(VLOOKUP(A391,Sheet1!$E$3:$F$27,2,),"")</f>
        <v>Preventive</v>
      </c>
      <c r="I391" s="16" t="str">
        <f>IFERROR(VLOOKUP(A391,Sheet1!$E$3:$G$27,3,0),"")</f>
        <v>MCB trip/Power upnormal</v>
      </c>
      <c r="J391" s="12" t="s">
        <v>112</v>
      </c>
      <c r="K391" s="17">
        <v>46021.0</v>
      </c>
      <c r="L391" s="17">
        <v>46021.0</v>
      </c>
      <c r="M391" s="12" t="s">
        <v>109</v>
      </c>
      <c r="N391" s="18" t="s">
        <v>354</v>
      </c>
      <c r="O391" s="19"/>
      <c r="P391" s="19"/>
    </row>
    <row r="392" ht="22.5" customHeight="1">
      <c r="A392" s="12" t="s">
        <v>52</v>
      </c>
      <c r="B392" s="20" t="str">
        <f>IFERROR(VLOOKUP(A392,Sheet1!$E$3:$H$27,4,0),"")</f>
        <v>P1</v>
      </c>
      <c r="C392" s="14" t="s">
        <v>277</v>
      </c>
      <c r="D392" s="12" t="s">
        <v>26</v>
      </c>
      <c r="E392" s="13" t="str">
        <f>IFERROR(VLOOKUP(D392,Sheet1!$B$1:$C$45,2,0),"")</f>
        <v>TE</v>
      </c>
      <c r="F392" s="12" t="s">
        <v>108</v>
      </c>
      <c r="G392" s="13" t="str">
        <f t="shared" si="3"/>
        <v>Barito Raya</v>
      </c>
      <c r="H392" s="15" t="str">
        <f>IFERROR(VLOOKUP(A392,Sheet1!$E$3:$F$27,2,),"")</f>
        <v>Preventive</v>
      </c>
      <c r="I392" s="16" t="str">
        <f>IFERROR(VLOOKUP(A392,Sheet1!$E$3:$G$27,3,0),"")</f>
        <v>MCB trip/Power upnormal</v>
      </c>
      <c r="J392" s="12" t="s">
        <v>112</v>
      </c>
      <c r="K392" s="17">
        <v>46021.0</v>
      </c>
      <c r="L392" s="17">
        <v>46021.0</v>
      </c>
      <c r="M392" s="12" t="s">
        <v>109</v>
      </c>
      <c r="N392" s="18" t="s">
        <v>354</v>
      </c>
      <c r="O392" s="19"/>
      <c r="P392" s="19"/>
    </row>
    <row r="393" ht="22.5" customHeight="1">
      <c r="A393" s="12" t="s">
        <v>65</v>
      </c>
      <c r="B393" s="20" t="str">
        <f>IFERROR(VLOOKUP(A393,Sheet1!$E$3:$H$27,4,0),"")</f>
        <v>P3</v>
      </c>
      <c r="C393" s="15"/>
      <c r="D393" s="12" t="s">
        <v>88</v>
      </c>
      <c r="E393" s="13" t="str">
        <f>IFERROR(VLOOKUP(D393,Sheet1!$B$1:$C$45,2,0),"")</f>
        <v>TE</v>
      </c>
      <c r="F393" s="12" t="s">
        <v>108</v>
      </c>
      <c r="G393" s="13" t="str">
        <f t="shared" si="3"/>
        <v>Barito Raya</v>
      </c>
      <c r="H393" s="15" t="str">
        <f>IFERROR(VLOOKUP(A393,Sheet1!$E$3:$F$27,2,),"")</f>
        <v>Standby</v>
      </c>
      <c r="I393" s="16" t="str">
        <f>IFERROR(VLOOKUP(A393,Sheet1!$E$3:$G$27,3,0),"")</f>
        <v>Standby On Call</v>
      </c>
      <c r="J393" s="20"/>
      <c r="K393" s="17">
        <v>46021.0</v>
      </c>
      <c r="L393" s="17">
        <v>46021.0</v>
      </c>
      <c r="M393" s="13"/>
      <c r="N393" s="23"/>
      <c r="O393" s="22"/>
      <c r="P393" s="22"/>
    </row>
    <row r="394" ht="22.5" customHeight="1">
      <c r="A394" s="12" t="s">
        <v>72</v>
      </c>
      <c r="B394" s="20" t="str">
        <f>IFERROR(VLOOKUP(A394,Sheet1!$E$3:$H$27,4,0),"")</f>
        <v>P1</v>
      </c>
      <c r="C394" s="14" t="s">
        <v>355</v>
      </c>
      <c r="D394" s="12" t="s">
        <v>32</v>
      </c>
      <c r="E394" s="13" t="str">
        <f>IFERROR(VLOOKUP(D394,Sheet1!$B$1:$C$45,2,0),"")</f>
        <v>TE</v>
      </c>
      <c r="F394" s="12" t="s">
        <v>108</v>
      </c>
      <c r="G394" s="13" t="str">
        <f t="shared" si="3"/>
        <v>Barito Raya</v>
      </c>
      <c r="H394" s="15" t="str">
        <f>IFERROR(VLOOKUP(A394,Sheet1!$E$3:$F$27,2,),"")</f>
        <v>Corrective</v>
      </c>
      <c r="I394" s="16" t="str">
        <f>IFERROR(VLOOKUP(A394,Sheet1!$E$3:$G$27,3,0),"")</f>
        <v>Perbaikan Auto,pergantian relay,timer, yang berhubungan genset</v>
      </c>
      <c r="J394" s="12" t="s">
        <v>112</v>
      </c>
      <c r="K394" s="17">
        <v>46021.0</v>
      </c>
      <c r="L394" s="17">
        <v>46021.0</v>
      </c>
      <c r="M394" s="12" t="s">
        <v>109</v>
      </c>
      <c r="N394" s="23"/>
      <c r="O394" s="22"/>
      <c r="P394" s="22"/>
    </row>
    <row r="395" ht="22.5" customHeight="1">
      <c r="A395" s="12" t="s">
        <v>65</v>
      </c>
      <c r="B395" s="20" t="str">
        <f>IFERROR(VLOOKUP(A395,Sheet1!$E$3:$H$27,4,0),"")</f>
        <v>P3</v>
      </c>
      <c r="C395" s="15"/>
      <c r="D395" s="12" t="s">
        <v>74</v>
      </c>
      <c r="E395" s="13" t="str">
        <f>IFERROR(VLOOKUP(D395,Sheet1!$B$1:$C$45,2,0),"")</f>
        <v>TE</v>
      </c>
      <c r="F395" s="12" t="s">
        <v>108</v>
      </c>
      <c r="G395" s="13" t="str">
        <f t="shared" si="3"/>
        <v>Barito Raya</v>
      </c>
      <c r="H395" s="15" t="str">
        <f>IFERROR(VLOOKUP(A395,Sheet1!$E$3:$F$27,2,),"")</f>
        <v>Standby</v>
      </c>
      <c r="I395" s="16" t="str">
        <f>IFERROR(VLOOKUP(A395,Sheet1!$E$3:$G$27,3,0),"")</f>
        <v>Standby On Call</v>
      </c>
      <c r="J395" s="20"/>
      <c r="K395" s="17">
        <v>46021.0</v>
      </c>
      <c r="L395" s="17">
        <v>46021.0</v>
      </c>
      <c r="M395" s="13"/>
      <c r="N395" s="23"/>
      <c r="O395" s="22"/>
      <c r="P395" s="22"/>
    </row>
    <row r="396" ht="22.5" customHeight="1">
      <c r="A396" s="12" t="s">
        <v>27</v>
      </c>
      <c r="B396" s="20" t="str">
        <f>IFERROR(VLOOKUP(A396,Sheet1!$E$3:$H$27,4,0),"")</f>
        <v>P2</v>
      </c>
      <c r="C396" s="14" t="s">
        <v>280</v>
      </c>
      <c r="D396" s="12" t="s">
        <v>60</v>
      </c>
      <c r="E396" s="13" t="str">
        <f>IFERROR(VLOOKUP(D396,Sheet1!$B$1:$C$45,2,0),"")</f>
        <v>TE</v>
      </c>
      <c r="F396" s="12" t="s">
        <v>108</v>
      </c>
      <c r="G396" s="13" t="str">
        <f t="shared" si="3"/>
        <v>Barito Raya</v>
      </c>
      <c r="H396" s="15" t="str">
        <f>IFERROR(VLOOKUP(A396,Sheet1!$E$3:$F$27,2,),"")</f>
        <v>Preventive</v>
      </c>
      <c r="I396" s="16" t="str">
        <f>IFERROR(VLOOKUP(A396,Sheet1!$E$3:$G$27,3,0),"")</f>
        <v>Akses/Hub Site problem metro</v>
      </c>
      <c r="J396" s="12" t="s">
        <v>112</v>
      </c>
      <c r="K396" s="17">
        <v>46021.0</v>
      </c>
      <c r="L396" s="17">
        <v>46021.0</v>
      </c>
      <c r="M396" s="12" t="s">
        <v>122</v>
      </c>
      <c r="N396" s="18" t="s">
        <v>356</v>
      </c>
      <c r="O396" s="19"/>
      <c r="P396" s="19"/>
    </row>
    <row r="397" ht="22.5" customHeight="1">
      <c r="A397" s="12" t="s">
        <v>5</v>
      </c>
      <c r="B397" s="20" t="str">
        <f>IFERROR(VLOOKUP(A397,Sheet1!$E$3:$H$27,4,0),"")</f>
        <v>P1</v>
      </c>
      <c r="C397" s="14" t="s">
        <v>341</v>
      </c>
      <c r="D397" s="12" t="s">
        <v>62</v>
      </c>
      <c r="E397" s="13" t="str">
        <f>IFERROR(VLOOKUP(D397,Sheet1!$B$1:$C$45,2,0),"")</f>
        <v>TE</v>
      </c>
      <c r="F397" s="12" t="s">
        <v>108</v>
      </c>
      <c r="G397" s="13" t="str">
        <f t="shared" si="3"/>
        <v>Barito Raya</v>
      </c>
      <c r="H397" s="15" t="str">
        <f>IFERROR(VLOOKUP(A397,Sheet1!$E$3:$F$27,2,),"")</f>
        <v>Corrective</v>
      </c>
      <c r="I397" s="16" t="str">
        <f>IFERROR(VLOOKUP(A397,Sheet1!$E$3:$G$27,3,0),"")</f>
        <v>Replace Optik,RRU/Soket Power/Replace GPS</v>
      </c>
      <c r="J397" s="12" t="s">
        <v>112</v>
      </c>
      <c r="K397" s="17">
        <v>46021.0</v>
      </c>
      <c r="L397" s="17">
        <v>46021.0</v>
      </c>
      <c r="M397" s="12" t="s">
        <v>109</v>
      </c>
      <c r="N397" s="23"/>
      <c r="O397" s="22"/>
      <c r="P397" s="22"/>
    </row>
    <row r="398" ht="22.5" customHeight="1">
      <c r="A398" s="12" t="s">
        <v>65</v>
      </c>
      <c r="B398" s="20" t="str">
        <f>IFERROR(VLOOKUP(A398,Sheet1!$E$3:$H$27,4,0),"")</f>
        <v>P3</v>
      </c>
      <c r="C398" s="15"/>
      <c r="D398" s="12" t="s">
        <v>9</v>
      </c>
      <c r="E398" s="13" t="str">
        <f>IFERROR(VLOOKUP(D398,Sheet1!$B$1:$C$45,2,0),"")</f>
        <v>MBP</v>
      </c>
      <c r="F398" s="12" t="s">
        <v>108</v>
      </c>
      <c r="G398" s="13" t="str">
        <f t="shared" si="3"/>
        <v>Barito Raya</v>
      </c>
      <c r="H398" s="15" t="str">
        <f>IFERROR(VLOOKUP(A398,Sheet1!$E$3:$F$27,2,),"")</f>
        <v>Standby</v>
      </c>
      <c r="I398" s="16" t="str">
        <f>IFERROR(VLOOKUP(A398,Sheet1!$E$3:$G$27,3,0),"")</f>
        <v>Standby On Call</v>
      </c>
      <c r="J398" s="20"/>
      <c r="K398" s="17">
        <v>46021.0</v>
      </c>
      <c r="L398" s="17">
        <v>46021.0</v>
      </c>
      <c r="M398" s="13"/>
      <c r="N398" s="23"/>
      <c r="O398" s="22"/>
      <c r="P398" s="22"/>
    </row>
    <row r="399" ht="22.5" customHeight="1">
      <c r="A399" s="12" t="s">
        <v>65</v>
      </c>
      <c r="B399" s="20" t="str">
        <f>IFERROR(VLOOKUP(A399,Sheet1!$E$3:$H$27,4,0),"")</f>
        <v>P3</v>
      </c>
      <c r="C399" s="15"/>
      <c r="D399" s="12" t="s">
        <v>4</v>
      </c>
      <c r="E399" s="13" t="str">
        <f>IFERROR(VLOOKUP(D399,Sheet1!$B$1:$C$45,2,0),"")</f>
        <v>CME</v>
      </c>
      <c r="F399" s="12" t="s">
        <v>108</v>
      </c>
      <c r="G399" s="13" t="str">
        <f t="shared" si="3"/>
        <v>Barito Raya</v>
      </c>
      <c r="H399" s="15" t="str">
        <f>IFERROR(VLOOKUP(A399,Sheet1!$E$3:$F$27,2,),"")</f>
        <v>Standby</v>
      </c>
      <c r="I399" s="16" t="str">
        <f>IFERROR(VLOOKUP(A399,Sheet1!$E$3:$G$27,3,0),"")</f>
        <v>Standby On Call</v>
      </c>
      <c r="J399" s="20"/>
      <c r="K399" s="17">
        <v>46021.0</v>
      </c>
      <c r="L399" s="17">
        <v>46021.0</v>
      </c>
      <c r="M399" s="13"/>
      <c r="N399" s="23"/>
      <c r="O399" s="22"/>
      <c r="P399" s="22"/>
    </row>
    <row r="400" ht="22.5" customHeight="1">
      <c r="A400" s="12" t="s">
        <v>65</v>
      </c>
      <c r="B400" s="20" t="str">
        <f>IFERROR(VLOOKUP(A400,Sheet1!$E$3:$H$27,4,0),"")</f>
        <v>P3</v>
      </c>
      <c r="C400" s="15"/>
      <c r="D400" s="12" t="s">
        <v>87</v>
      </c>
      <c r="E400" s="13" t="str">
        <f>IFERROR(VLOOKUP(D400,Sheet1!$B$1:$C$45,2,0),"")</f>
        <v>MBP</v>
      </c>
      <c r="F400" s="12" t="s">
        <v>108</v>
      </c>
      <c r="G400" s="13" t="str">
        <f t="shared" si="3"/>
        <v>Barito Raya</v>
      </c>
      <c r="H400" s="15" t="str">
        <f>IFERROR(VLOOKUP(A400,Sheet1!$E$3:$F$27,2,),"")</f>
        <v>Standby</v>
      </c>
      <c r="I400" s="16" t="str">
        <f>IFERROR(VLOOKUP(A400,Sheet1!$E$3:$G$27,3,0),"")</f>
        <v>Standby On Call</v>
      </c>
      <c r="J400" s="20"/>
      <c r="K400" s="17">
        <v>46021.0</v>
      </c>
      <c r="L400" s="17">
        <v>46021.0</v>
      </c>
      <c r="M400" s="13"/>
      <c r="N400" s="23"/>
      <c r="O400" s="22"/>
      <c r="P400" s="22"/>
    </row>
    <row r="401" ht="22.5" customHeight="1">
      <c r="A401" s="12" t="s">
        <v>65</v>
      </c>
      <c r="B401" s="20" t="str">
        <f>IFERROR(VLOOKUP(A401,Sheet1!$E$3:$H$27,4,0),"")</f>
        <v>P3</v>
      </c>
      <c r="C401" s="15"/>
      <c r="D401" s="12" t="s">
        <v>24</v>
      </c>
      <c r="E401" s="13" t="str">
        <f>IFERROR(VLOOKUP(D401,Sheet1!$B$1:$C$45,2,0),"")</f>
        <v>MBP</v>
      </c>
      <c r="F401" s="12" t="s">
        <v>108</v>
      </c>
      <c r="G401" s="13" t="str">
        <f t="shared" si="3"/>
        <v>Barito Raya</v>
      </c>
      <c r="H401" s="15" t="str">
        <f>IFERROR(VLOOKUP(A401,Sheet1!$E$3:$F$27,2,),"")</f>
        <v>Standby</v>
      </c>
      <c r="I401" s="16" t="str">
        <f>IFERROR(VLOOKUP(A401,Sheet1!$E$3:$G$27,3,0),"")</f>
        <v>Standby On Call</v>
      </c>
      <c r="J401" s="20"/>
      <c r="K401" s="17">
        <v>46021.0</v>
      </c>
      <c r="L401" s="17">
        <v>46021.0</v>
      </c>
      <c r="M401" s="13"/>
      <c r="N401" s="23"/>
      <c r="O401" s="22"/>
      <c r="P401" s="22"/>
    </row>
    <row r="402" ht="22.5" customHeight="1">
      <c r="A402" s="12" t="s">
        <v>68</v>
      </c>
      <c r="B402" s="20" t="str">
        <f>IFERROR(VLOOKUP(A402,Sheet1!$E$3:$H$27,4,0),"")</f>
        <v>P3</v>
      </c>
      <c r="C402" s="15"/>
      <c r="D402" s="12" t="s">
        <v>29</v>
      </c>
      <c r="E402" s="13" t="str">
        <f>IFERROR(VLOOKUP(D402,Sheet1!$B$1:$C$45,2,0),"")</f>
        <v>MBP</v>
      </c>
      <c r="F402" s="12" t="s">
        <v>108</v>
      </c>
      <c r="G402" s="13" t="str">
        <f t="shared" si="3"/>
        <v>Barito Raya</v>
      </c>
      <c r="H402" s="15" t="str">
        <f>IFERROR(VLOOKUP(A402,Sheet1!$E$3:$F$27,2,),"")</f>
        <v>On Leave</v>
      </c>
      <c r="I402" s="16" t="str">
        <f>IFERROR(VLOOKUP(A402,Sheet1!$E$3:$G$27,3,0),"")</f>
        <v>On Leave</v>
      </c>
      <c r="J402" s="20"/>
      <c r="K402" s="17">
        <v>46021.0</v>
      </c>
      <c r="L402" s="24"/>
      <c r="M402" s="13"/>
      <c r="N402" s="23"/>
      <c r="O402" s="22"/>
      <c r="P402" s="22"/>
    </row>
    <row r="403" ht="22.5" customHeight="1">
      <c r="A403" s="12" t="s">
        <v>65</v>
      </c>
      <c r="B403" s="20" t="str">
        <f>IFERROR(VLOOKUP(A403,Sheet1!$E$3:$H$27,4,0),"")</f>
        <v>P3</v>
      </c>
      <c r="C403" s="15"/>
      <c r="D403" s="12" t="s">
        <v>2</v>
      </c>
      <c r="E403" s="13" t="str">
        <f>IFERROR(VLOOKUP(D403,Sheet1!$B$1:$C$45,2,0),"")</f>
        <v>CME</v>
      </c>
      <c r="F403" s="12" t="s">
        <v>108</v>
      </c>
      <c r="G403" s="13" t="str">
        <f t="shared" si="3"/>
        <v>Barito Raya</v>
      </c>
      <c r="H403" s="15" t="str">
        <f>IFERROR(VLOOKUP(A403,Sheet1!$E$3:$F$27,2,),"")</f>
        <v>Standby</v>
      </c>
      <c r="I403" s="16" t="str">
        <f>IFERROR(VLOOKUP(A403,Sheet1!$E$3:$G$27,3,0),"")</f>
        <v>Standby On Call</v>
      </c>
      <c r="J403" s="20"/>
      <c r="K403" s="17">
        <v>46021.0</v>
      </c>
      <c r="L403" s="24"/>
      <c r="M403" s="13"/>
      <c r="N403" s="23"/>
      <c r="O403" s="22"/>
      <c r="P403" s="22"/>
    </row>
    <row r="404" ht="22.5" customHeight="1">
      <c r="A404" s="12" t="s">
        <v>52</v>
      </c>
      <c r="B404" s="20" t="str">
        <f>IFERROR(VLOOKUP(A404,Sheet1!$E$3:$H$27,4,0),"")</f>
        <v>P1</v>
      </c>
      <c r="C404" s="14" t="s">
        <v>357</v>
      </c>
      <c r="D404" s="12" t="s">
        <v>0</v>
      </c>
      <c r="E404" s="13" t="str">
        <f>IFERROR(VLOOKUP(D404,Sheet1!$B$1:$C$45,2,0),"")</f>
        <v>MBP</v>
      </c>
      <c r="F404" s="12" t="s">
        <v>108</v>
      </c>
      <c r="G404" s="13" t="str">
        <f t="shared" si="3"/>
        <v>Barito Raya</v>
      </c>
      <c r="H404" s="15" t="str">
        <f>IFERROR(VLOOKUP(A404,Sheet1!$E$3:$F$27,2,),"")</f>
        <v>Preventive</v>
      </c>
      <c r="I404" s="16" t="str">
        <f>IFERROR(VLOOKUP(A404,Sheet1!$E$3:$G$27,3,0),"")</f>
        <v>MCB trip/Power upnormal</v>
      </c>
      <c r="J404" s="12" t="s">
        <v>112</v>
      </c>
      <c r="K404" s="17">
        <v>46021.0</v>
      </c>
      <c r="L404" s="17">
        <v>46021.0</v>
      </c>
      <c r="M404" s="12" t="s">
        <v>109</v>
      </c>
      <c r="N404" s="18" t="s">
        <v>358</v>
      </c>
      <c r="O404" s="19"/>
      <c r="P404" s="19"/>
    </row>
    <row r="405" ht="22.5" customHeight="1">
      <c r="A405" s="12" t="s">
        <v>65</v>
      </c>
      <c r="B405" s="20" t="str">
        <f>IFERROR(VLOOKUP(A405,Sheet1!$E$3:$H$27,4,0),"")</f>
        <v>P3</v>
      </c>
      <c r="C405" s="15"/>
      <c r="D405" s="12" t="s">
        <v>85</v>
      </c>
      <c r="E405" s="13" t="str">
        <f>IFERROR(VLOOKUP(D405,Sheet1!$B$1:$C$45,2,0),"")</f>
        <v>PM</v>
      </c>
      <c r="F405" s="12" t="s">
        <v>108</v>
      </c>
      <c r="G405" s="13" t="str">
        <f t="shared" si="3"/>
        <v>Barito Raya</v>
      </c>
      <c r="H405" s="15" t="str">
        <f>IFERROR(VLOOKUP(A405,Sheet1!$E$3:$F$27,2,),"")</f>
        <v>Standby</v>
      </c>
      <c r="I405" s="16" t="str">
        <f>IFERROR(VLOOKUP(A405,Sheet1!$E$3:$G$27,3,0),"")</f>
        <v>Standby On Call</v>
      </c>
      <c r="J405" s="20"/>
      <c r="K405" s="17">
        <v>46021.0</v>
      </c>
      <c r="L405" s="24"/>
      <c r="M405" s="13"/>
      <c r="N405" s="23"/>
      <c r="O405" s="22"/>
      <c r="P405" s="22"/>
    </row>
    <row r="406" ht="22.5" customHeight="1">
      <c r="A406" s="12" t="s">
        <v>65</v>
      </c>
      <c r="B406" s="20" t="str">
        <f>IFERROR(VLOOKUP(A406,Sheet1!$E$3:$H$27,4,0),"")</f>
        <v>P3</v>
      </c>
      <c r="C406" s="15"/>
      <c r="D406" s="12" t="s">
        <v>84</v>
      </c>
      <c r="E406" s="13" t="str">
        <f>IFERROR(VLOOKUP(D406,Sheet1!$B$1:$C$45,2,0),"")</f>
        <v>MBP</v>
      </c>
      <c r="F406" s="12" t="s">
        <v>108</v>
      </c>
      <c r="G406" s="13" t="str">
        <f t="shared" si="3"/>
        <v>Barito Raya</v>
      </c>
      <c r="H406" s="15" t="str">
        <f>IFERROR(VLOOKUP(A406,Sheet1!$E$3:$F$27,2,),"")</f>
        <v>Standby</v>
      </c>
      <c r="I406" s="16" t="str">
        <f>IFERROR(VLOOKUP(A406,Sheet1!$E$3:$G$27,3,0),"")</f>
        <v>Standby On Call</v>
      </c>
      <c r="J406" s="20"/>
      <c r="K406" s="17">
        <v>46021.0</v>
      </c>
      <c r="L406" s="24"/>
      <c r="M406" s="13"/>
      <c r="N406" s="23"/>
      <c r="O406" s="22"/>
      <c r="P406" s="22"/>
    </row>
    <row r="407" ht="22.5" customHeight="1">
      <c r="A407" s="12" t="s">
        <v>65</v>
      </c>
      <c r="B407" s="20" t="str">
        <f>IFERROR(VLOOKUP(A407,Sheet1!$E$3:$H$27,4,0),"")</f>
        <v>P3</v>
      </c>
      <c r="C407" s="15"/>
      <c r="D407" s="12" t="s">
        <v>86</v>
      </c>
      <c r="E407" s="13" t="str">
        <f>IFERROR(VLOOKUP(D407,Sheet1!$B$1:$C$45,2,0),"")</f>
        <v>PM</v>
      </c>
      <c r="F407" s="12" t="s">
        <v>108</v>
      </c>
      <c r="G407" s="13" t="str">
        <f t="shared" si="3"/>
        <v>Barito Raya</v>
      </c>
      <c r="H407" s="15" t="str">
        <f>IFERROR(VLOOKUP(A407,Sheet1!$E$3:$F$27,2,),"")</f>
        <v>Standby</v>
      </c>
      <c r="I407" s="16" t="str">
        <f>IFERROR(VLOOKUP(A407,Sheet1!$E$3:$G$27,3,0),"")</f>
        <v>Standby On Call</v>
      </c>
      <c r="J407" s="20"/>
      <c r="K407" s="17">
        <v>46021.0</v>
      </c>
      <c r="L407" s="24"/>
      <c r="M407" s="13"/>
      <c r="N407" s="23"/>
      <c r="O407" s="22"/>
      <c r="P407" s="22"/>
    </row>
    <row r="408" ht="22.5" customHeight="1">
      <c r="A408" s="12" t="s">
        <v>14</v>
      </c>
      <c r="B408" s="20" t="str">
        <f>IFERROR(VLOOKUP(A408,Sheet1!$E$3:$H$27,4,0),"")</f>
        <v>P1</v>
      </c>
      <c r="C408" s="14" t="s">
        <v>359</v>
      </c>
      <c r="D408" s="12" t="s">
        <v>69</v>
      </c>
      <c r="E408" s="13" t="str">
        <f>IFERROR(VLOOKUP(D408,Sheet1!$B$1:$C$45,2,0),"")</f>
        <v>TE</v>
      </c>
      <c r="F408" s="12" t="s">
        <v>108</v>
      </c>
      <c r="G408" s="13" t="str">
        <f t="shared" si="3"/>
        <v>Barito Raya</v>
      </c>
      <c r="H408" s="15" t="str">
        <f>IFERROR(VLOOKUP(A408,Sheet1!$E$3:$F$27,2,),"")</f>
        <v>Corrective</v>
      </c>
      <c r="I408" s="16" t="str">
        <f>IFERROR(VLOOKUP(A408,Sheet1!$E$3:$G$27,3,0),"")</f>
        <v>Pemadaman,MCB Trip,Transmisi problem</v>
      </c>
      <c r="J408" s="20"/>
      <c r="K408" s="17">
        <v>46021.0</v>
      </c>
      <c r="L408" s="24"/>
      <c r="M408" s="13"/>
      <c r="N408" s="23"/>
      <c r="O408" s="22"/>
      <c r="P408" s="22"/>
    </row>
    <row r="409" ht="22.5" customHeight="1">
      <c r="A409" s="12" t="s">
        <v>5</v>
      </c>
      <c r="B409" s="20" t="str">
        <f>IFERROR(VLOOKUP(A409,Sheet1!$E$3:$H$27,4,0),"")</f>
        <v>P1</v>
      </c>
      <c r="C409" s="14" t="s">
        <v>360</v>
      </c>
      <c r="D409" s="12" t="s">
        <v>80</v>
      </c>
      <c r="E409" s="13" t="str">
        <f>IFERROR(VLOOKUP(D409,Sheet1!$B$1:$C$45,2,0),"")</f>
        <v>TE</v>
      </c>
      <c r="F409" s="12" t="s">
        <v>179</v>
      </c>
      <c r="G409" s="13" t="str">
        <f t="shared" si="3"/>
        <v>Palangkaraya</v>
      </c>
      <c r="H409" s="15" t="str">
        <f>IFERROR(VLOOKUP(A409,Sheet1!$E$3:$F$27,2,),"")</f>
        <v>Corrective</v>
      </c>
      <c r="I409" s="16" t="str">
        <f>IFERROR(VLOOKUP(A409,Sheet1!$E$3:$G$27,3,0),"")</f>
        <v>Replace Optik,RRU/Soket Power/Replace GPS</v>
      </c>
      <c r="J409" s="12" t="s">
        <v>112</v>
      </c>
      <c r="K409" s="17">
        <v>46021.0</v>
      </c>
      <c r="L409" s="24"/>
      <c r="M409" s="12" t="s">
        <v>137</v>
      </c>
      <c r="N409" s="23"/>
      <c r="O409" s="22"/>
      <c r="P409" s="22"/>
    </row>
    <row r="410" ht="22.5" customHeight="1">
      <c r="A410" s="12" t="s">
        <v>14</v>
      </c>
      <c r="B410" s="20" t="str">
        <f>IFERROR(VLOOKUP(A410,Sheet1!$E$3:$H$27,4,0),"")</f>
        <v>P1</v>
      </c>
      <c r="C410" s="14" t="s">
        <v>347</v>
      </c>
      <c r="D410" s="12" t="s">
        <v>80</v>
      </c>
      <c r="E410" s="13" t="str">
        <f>IFERROR(VLOOKUP(D410,Sheet1!$B$1:$C$45,2,0),"")</f>
        <v>TE</v>
      </c>
      <c r="F410" s="12" t="s">
        <v>179</v>
      </c>
      <c r="G410" s="13" t="str">
        <f t="shared" si="3"/>
        <v>Palangkaraya</v>
      </c>
      <c r="H410" s="15" t="str">
        <f>IFERROR(VLOOKUP(A410,Sheet1!$E$3:$F$27,2,),"")</f>
        <v>Corrective</v>
      </c>
      <c r="I410" s="16" t="str">
        <f>IFERROR(VLOOKUP(A410,Sheet1!$E$3:$G$27,3,0),"")</f>
        <v>Pemadaman,MCB Trip,Transmisi problem</v>
      </c>
      <c r="J410" s="12" t="s">
        <v>112</v>
      </c>
      <c r="K410" s="17">
        <v>46021.0</v>
      </c>
      <c r="L410" s="24"/>
      <c r="M410" s="12" t="s">
        <v>137</v>
      </c>
      <c r="N410" s="23"/>
      <c r="O410" s="22"/>
      <c r="P410" s="22"/>
    </row>
    <row r="411" ht="22.5" customHeight="1">
      <c r="A411" s="12" t="s">
        <v>5</v>
      </c>
      <c r="B411" s="20" t="str">
        <f>IFERROR(VLOOKUP(A411,Sheet1!$E$3:$H$27,4,0),"")</f>
        <v>P1</v>
      </c>
      <c r="C411" s="14" t="s">
        <v>228</v>
      </c>
      <c r="D411" s="12" t="s">
        <v>37</v>
      </c>
      <c r="E411" s="13" t="str">
        <f>IFERROR(VLOOKUP(D411,Sheet1!$B$1:$C$45,2,0),"")</f>
        <v>TE</v>
      </c>
      <c r="F411" s="12" t="s">
        <v>179</v>
      </c>
      <c r="G411" s="13" t="str">
        <f t="shared" si="3"/>
        <v>Palangkaraya</v>
      </c>
      <c r="H411" s="15" t="str">
        <f>IFERROR(VLOOKUP(A411,Sheet1!$E$3:$F$27,2,),"")</f>
        <v>Corrective</v>
      </c>
      <c r="I411" s="16" t="str">
        <f>IFERROR(VLOOKUP(A411,Sheet1!$E$3:$G$27,3,0),"")</f>
        <v>Replace Optik,RRU/Soket Power/Replace GPS</v>
      </c>
      <c r="J411" s="12" t="s">
        <v>112</v>
      </c>
      <c r="K411" s="17">
        <v>46021.0</v>
      </c>
      <c r="L411" s="24"/>
      <c r="M411" s="12" t="s">
        <v>137</v>
      </c>
      <c r="N411" s="23"/>
      <c r="O411" s="22"/>
      <c r="P411" s="22"/>
    </row>
    <row r="412" ht="22.5" customHeight="1">
      <c r="A412" s="12" t="s">
        <v>5</v>
      </c>
      <c r="B412" s="20" t="str">
        <f>IFERROR(VLOOKUP(A412,Sheet1!$E$3:$H$27,4,0),"")</f>
        <v>P1</v>
      </c>
      <c r="C412" s="14" t="s">
        <v>228</v>
      </c>
      <c r="D412" s="12" t="s">
        <v>76</v>
      </c>
      <c r="E412" s="13" t="str">
        <f>IFERROR(VLOOKUP(D412,Sheet1!$B$1:$C$45,2,0),"")</f>
        <v>TE</v>
      </c>
      <c r="F412" s="12" t="s">
        <v>179</v>
      </c>
      <c r="G412" s="13" t="str">
        <f t="shared" si="3"/>
        <v>Palangkaraya</v>
      </c>
      <c r="H412" s="15" t="str">
        <f>IFERROR(VLOOKUP(A412,Sheet1!$E$3:$F$27,2,),"")</f>
        <v>Corrective</v>
      </c>
      <c r="I412" s="16" t="str">
        <f>IFERROR(VLOOKUP(A412,Sheet1!$E$3:$G$27,3,0),"")</f>
        <v>Replace Optik,RRU/Soket Power/Replace GPS</v>
      </c>
      <c r="J412" s="12" t="s">
        <v>112</v>
      </c>
      <c r="K412" s="17">
        <v>46021.0</v>
      </c>
      <c r="L412" s="24"/>
      <c r="M412" s="12" t="s">
        <v>137</v>
      </c>
      <c r="N412" s="23"/>
      <c r="O412" s="22"/>
      <c r="P412" s="22"/>
    </row>
    <row r="413" ht="22.5" customHeight="1">
      <c r="A413" s="12" t="s">
        <v>14</v>
      </c>
      <c r="B413" s="20" t="str">
        <f>IFERROR(VLOOKUP(A413,Sheet1!$E$3:$H$27,4,0),"")</f>
        <v>P1</v>
      </c>
      <c r="C413" s="14" t="s">
        <v>361</v>
      </c>
      <c r="D413" s="12" t="s">
        <v>39</v>
      </c>
      <c r="E413" s="13" t="str">
        <f>IFERROR(VLOOKUP(D413,Sheet1!$B$1:$C$45,2,0),"")</f>
        <v>TE</v>
      </c>
      <c r="F413" s="12" t="s">
        <v>179</v>
      </c>
      <c r="G413" s="13" t="str">
        <f t="shared" si="3"/>
        <v>Palangkaraya</v>
      </c>
      <c r="H413" s="15" t="str">
        <f>IFERROR(VLOOKUP(A413,Sheet1!$E$3:$F$27,2,),"")</f>
        <v>Corrective</v>
      </c>
      <c r="I413" s="16" t="str">
        <f>IFERROR(VLOOKUP(A413,Sheet1!$E$3:$G$27,3,0),"")</f>
        <v>Pemadaman,MCB Trip,Transmisi problem</v>
      </c>
      <c r="J413" s="12" t="s">
        <v>112</v>
      </c>
      <c r="K413" s="17">
        <v>46021.0</v>
      </c>
      <c r="L413" s="24"/>
      <c r="M413" s="12" t="s">
        <v>137</v>
      </c>
      <c r="N413" s="23"/>
      <c r="O413" s="22"/>
      <c r="P413" s="22"/>
    </row>
    <row r="414" ht="22.5" customHeight="1">
      <c r="A414" s="12" t="s">
        <v>72</v>
      </c>
      <c r="B414" s="20" t="str">
        <f>IFERROR(VLOOKUP(A414,Sheet1!$E$3:$H$27,4,0),"")</f>
        <v>P1</v>
      </c>
      <c r="C414" s="14" t="s">
        <v>298</v>
      </c>
      <c r="D414" s="12" t="s">
        <v>42</v>
      </c>
      <c r="E414" s="13" t="str">
        <f>IFERROR(VLOOKUP(D414,Sheet1!$B$1:$C$45,2,0),"")</f>
        <v>TE</v>
      </c>
      <c r="F414" s="12" t="s">
        <v>108</v>
      </c>
      <c r="G414" s="13" t="str">
        <f t="shared" si="3"/>
        <v>Barito Raya</v>
      </c>
      <c r="H414" s="15" t="str">
        <f>IFERROR(VLOOKUP(A414,Sheet1!$E$3:$F$27,2,),"")</f>
        <v>Corrective</v>
      </c>
      <c r="I414" s="16" t="str">
        <f>IFERROR(VLOOKUP(A414,Sheet1!$E$3:$G$27,3,0),"")</f>
        <v>Perbaikan Auto,pergantian relay,timer, yang berhubungan genset</v>
      </c>
      <c r="J414" s="12" t="s">
        <v>112</v>
      </c>
      <c r="K414" s="17">
        <v>46021.0</v>
      </c>
      <c r="L414" s="24"/>
      <c r="M414" s="12" t="s">
        <v>137</v>
      </c>
      <c r="N414" s="23"/>
      <c r="O414" s="22"/>
      <c r="P414" s="22"/>
    </row>
    <row r="415" ht="22.5" customHeight="1">
      <c r="A415" s="12" t="s">
        <v>72</v>
      </c>
      <c r="B415" s="20" t="str">
        <f>IFERROR(VLOOKUP(A415,Sheet1!$E$3:$H$27,4,0),"")</f>
        <v>P1</v>
      </c>
      <c r="C415" s="14" t="s">
        <v>298</v>
      </c>
      <c r="D415" s="12" t="s">
        <v>78</v>
      </c>
      <c r="E415" s="13" t="str">
        <f>IFERROR(VLOOKUP(D415,Sheet1!$B$1:$C$45,2,0),"")</f>
        <v>TE</v>
      </c>
      <c r="F415" s="12" t="s">
        <v>108</v>
      </c>
      <c r="G415" s="13" t="str">
        <f t="shared" si="3"/>
        <v>Barito Raya</v>
      </c>
      <c r="H415" s="15" t="str">
        <f>IFERROR(VLOOKUP(A415,Sheet1!$E$3:$F$27,2,),"")</f>
        <v>Corrective</v>
      </c>
      <c r="I415" s="16" t="str">
        <f>IFERROR(VLOOKUP(A415,Sheet1!$E$3:$G$27,3,0),"")</f>
        <v>Perbaikan Auto,pergantian relay,timer, yang berhubungan genset</v>
      </c>
      <c r="J415" s="12" t="s">
        <v>112</v>
      </c>
      <c r="K415" s="17">
        <v>46021.0</v>
      </c>
      <c r="L415" s="24"/>
      <c r="M415" s="12" t="s">
        <v>137</v>
      </c>
      <c r="N415" s="23"/>
      <c r="O415" s="22"/>
      <c r="P415" s="22"/>
    </row>
    <row r="416" ht="22.5" customHeight="1">
      <c r="A416" s="12" t="s">
        <v>14</v>
      </c>
      <c r="B416" s="20" t="str">
        <f>IFERROR(VLOOKUP(A416,Sheet1!$E$3:$H$27,4,0),"")</f>
        <v>P1</v>
      </c>
      <c r="C416" s="14" t="s">
        <v>362</v>
      </c>
      <c r="D416" s="12" t="s">
        <v>56</v>
      </c>
      <c r="E416" s="13" t="str">
        <f>IFERROR(VLOOKUP(D416,Sheet1!$B$1:$C$45,2,0),"")</f>
        <v>TE</v>
      </c>
      <c r="F416" s="12" t="s">
        <v>179</v>
      </c>
      <c r="G416" s="13" t="str">
        <f t="shared" si="3"/>
        <v>Palangkaraya</v>
      </c>
      <c r="H416" s="15" t="str">
        <f>IFERROR(VLOOKUP(A416,Sheet1!$E$3:$F$27,2,),"")</f>
        <v>Corrective</v>
      </c>
      <c r="I416" s="16" t="str">
        <f>IFERROR(VLOOKUP(A416,Sheet1!$E$3:$G$27,3,0),"")</f>
        <v>Pemadaman,MCB Trip,Transmisi problem</v>
      </c>
      <c r="J416" s="12" t="s">
        <v>112</v>
      </c>
      <c r="K416" s="17">
        <v>46021.0</v>
      </c>
      <c r="L416" s="24"/>
      <c r="M416" s="12" t="s">
        <v>137</v>
      </c>
      <c r="N416" s="23"/>
      <c r="O416" s="22"/>
      <c r="P416" s="22"/>
    </row>
    <row r="417" ht="22.5" customHeight="1">
      <c r="A417" s="12" t="s">
        <v>14</v>
      </c>
      <c r="B417" s="20" t="str">
        <f>IFERROR(VLOOKUP(A417,Sheet1!$E$3:$H$27,4,0),"")</f>
        <v>P1</v>
      </c>
      <c r="C417" s="14" t="s">
        <v>363</v>
      </c>
      <c r="D417" s="12" t="s">
        <v>77</v>
      </c>
      <c r="E417" s="13" t="str">
        <f>IFERROR(VLOOKUP(D417,Sheet1!$B$1:$C$45,2,0),"")</f>
        <v>TE</v>
      </c>
      <c r="F417" s="12" t="s">
        <v>179</v>
      </c>
      <c r="G417" s="13" t="str">
        <f t="shared" si="3"/>
        <v>Palangkaraya</v>
      </c>
      <c r="H417" s="15" t="str">
        <f>IFERROR(VLOOKUP(A417,Sheet1!$E$3:$F$27,2,),"")</f>
        <v>Corrective</v>
      </c>
      <c r="I417" s="16" t="str">
        <f>IFERROR(VLOOKUP(A417,Sheet1!$E$3:$G$27,3,0),"")</f>
        <v>Pemadaman,MCB Trip,Transmisi problem</v>
      </c>
      <c r="J417" s="12" t="s">
        <v>112</v>
      </c>
      <c r="K417" s="17">
        <v>46021.0</v>
      </c>
      <c r="L417" s="24"/>
      <c r="M417" s="12" t="s">
        <v>137</v>
      </c>
      <c r="N417" s="23"/>
      <c r="O417" s="22"/>
      <c r="P417" s="22"/>
    </row>
    <row r="418" ht="22.5" customHeight="1">
      <c r="A418" s="12" t="s">
        <v>5</v>
      </c>
      <c r="B418" s="20" t="str">
        <f>IFERROR(VLOOKUP(A418,Sheet1!$E$3:$H$27,4,0),"")</f>
        <v>P1</v>
      </c>
      <c r="C418" s="14" t="s">
        <v>268</v>
      </c>
      <c r="D418" s="12" t="s">
        <v>91</v>
      </c>
      <c r="E418" s="13" t="str">
        <f>IFERROR(VLOOKUP(D418,Sheet1!$B$1:$C$45,2,0),"")</f>
        <v>TE</v>
      </c>
      <c r="F418" s="12" t="s">
        <v>179</v>
      </c>
      <c r="G418" s="13" t="str">
        <f t="shared" si="3"/>
        <v>Palangkaraya</v>
      </c>
      <c r="H418" s="15" t="str">
        <f>IFERROR(VLOOKUP(A418,Sheet1!$E$3:$F$27,2,),"")</f>
        <v>Corrective</v>
      </c>
      <c r="I418" s="16" t="str">
        <f>IFERROR(VLOOKUP(A418,Sheet1!$E$3:$G$27,3,0),"")</f>
        <v>Replace Optik,RRU/Soket Power/Replace GPS</v>
      </c>
      <c r="J418" s="12" t="s">
        <v>112</v>
      </c>
      <c r="K418" s="17">
        <v>46021.0</v>
      </c>
      <c r="L418" s="24"/>
      <c r="M418" s="12" t="s">
        <v>137</v>
      </c>
      <c r="N418" s="23"/>
      <c r="O418" s="22"/>
      <c r="P418" s="22"/>
    </row>
    <row r="419" ht="22.5" customHeight="1">
      <c r="A419" s="12" t="s">
        <v>38</v>
      </c>
      <c r="B419" s="20" t="str">
        <f>IFERROR(VLOOKUP(A419,Sheet1!$E$3:$H$27,4,0),"")</f>
        <v>P1</v>
      </c>
      <c r="C419" s="14" t="s">
        <v>364</v>
      </c>
      <c r="D419" s="12" t="s">
        <v>58</v>
      </c>
      <c r="E419" s="13" t="str">
        <f>IFERROR(VLOOKUP(D419,Sheet1!$B$1:$C$45,2,0),"")</f>
        <v>TE</v>
      </c>
      <c r="F419" s="12" t="s">
        <v>179</v>
      </c>
      <c r="G419" s="13" t="str">
        <f t="shared" si="3"/>
        <v>Palangkaraya</v>
      </c>
      <c r="H419" s="15" t="str">
        <f>IFERROR(VLOOKUP(A419,Sheet1!$E$3:$F$27,2,),"")</f>
        <v>Corrective</v>
      </c>
      <c r="I419" s="16" t="str">
        <f>IFERROR(VLOOKUP(A419,Sheet1!$E$3:$G$27,3,0),"")</f>
        <v>Replace FAN Rectifier</v>
      </c>
      <c r="J419" s="12" t="s">
        <v>112</v>
      </c>
      <c r="K419" s="17">
        <v>46021.0</v>
      </c>
      <c r="L419" s="24"/>
      <c r="M419" s="12" t="s">
        <v>137</v>
      </c>
      <c r="N419" s="23"/>
      <c r="O419" s="22"/>
      <c r="P419" s="22"/>
    </row>
    <row r="420" ht="22.5" customHeight="1">
      <c r="A420" s="12" t="s">
        <v>68</v>
      </c>
      <c r="B420" s="20" t="str">
        <f>IFERROR(VLOOKUP(A420,Sheet1!$E$3:$H$27,4,0),"")</f>
        <v>P3</v>
      </c>
      <c r="C420" s="15"/>
      <c r="D420" s="12" t="s">
        <v>71</v>
      </c>
      <c r="E420" s="13" t="str">
        <f>IFERROR(VLOOKUP(D420,Sheet1!$B$1:$C$45,2,0),"")</f>
        <v>TE</v>
      </c>
      <c r="F420" s="12" t="s">
        <v>179</v>
      </c>
      <c r="G420" s="13" t="str">
        <f t="shared" si="3"/>
        <v>Palangkaraya</v>
      </c>
      <c r="H420" s="15" t="str">
        <f>IFERROR(VLOOKUP(A420,Sheet1!$E$3:$F$27,2,),"")</f>
        <v>On Leave</v>
      </c>
      <c r="I420" s="16" t="str">
        <f>IFERROR(VLOOKUP(A420,Sheet1!$E$3:$G$27,3,0),"")</f>
        <v>On Leave</v>
      </c>
      <c r="J420" s="12" t="s">
        <v>66</v>
      </c>
      <c r="K420" s="17">
        <v>46021.0</v>
      </c>
      <c r="L420" s="24"/>
      <c r="M420" s="12" t="s">
        <v>137</v>
      </c>
      <c r="N420" s="23"/>
      <c r="O420" s="22"/>
      <c r="P420" s="22"/>
    </row>
    <row r="421" ht="22.5" customHeight="1">
      <c r="A421" s="12" t="s">
        <v>22</v>
      </c>
      <c r="B421" s="20" t="str">
        <f>IFERROR(VLOOKUP(A421,Sheet1!$E$3:$H$27,4,0),"")</f>
        <v>P2</v>
      </c>
      <c r="C421" s="14" t="s">
        <v>272</v>
      </c>
      <c r="D421" s="12" t="s">
        <v>83</v>
      </c>
      <c r="E421" s="13" t="str">
        <f>IFERROR(VLOOKUP(D421,Sheet1!$B$1:$C$45,2,0),"")</f>
        <v>PM</v>
      </c>
      <c r="F421" s="12" t="s">
        <v>179</v>
      </c>
      <c r="G421" s="13" t="str">
        <f t="shared" si="3"/>
        <v>Palangkaraya</v>
      </c>
      <c r="H421" s="15" t="str">
        <f>IFERROR(VLOOKUP(A421,Sheet1!$E$3:$F$27,2,),"")</f>
        <v>Preventive</v>
      </c>
      <c r="I421" s="16" t="str">
        <f>IFERROR(VLOOKUP(A421,Sheet1!$E$3:$G$27,3,0),"")</f>
        <v>Preventive Maintenance</v>
      </c>
      <c r="J421" s="12" t="s">
        <v>112</v>
      </c>
      <c r="K421" s="17">
        <v>46021.0</v>
      </c>
      <c r="L421" s="24"/>
      <c r="M421" s="12" t="s">
        <v>137</v>
      </c>
      <c r="N421" s="23"/>
      <c r="O421" s="22"/>
      <c r="P421" s="22"/>
    </row>
    <row r="422" ht="22.5" customHeight="1">
      <c r="A422" s="12" t="s">
        <v>22</v>
      </c>
      <c r="B422" s="20" t="str">
        <f>IFERROR(VLOOKUP(A422,Sheet1!$E$3:$H$27,4,0),"")</f>
        <v>P2</v>
      </c>
      <c r="C422" s="14" t="s">
        <v>350</v>
      </c>
      <c r="D422" s="12" t="s">
        <v>81</v>
      </c>
      <c r="E422" s="13" t="str">
        <f>IFERROR(VLOOKUP(D422,Sheet1!$B$1:$C$45,2,0),"")</f>
        <v>PM</v>
      </c>
      <c r="F422" s="12" t="s">
        <v>179</v>
      </c>
      <c r="G422" s="13" t="str">
        <f t="shared" si="3"/>
        <v>Palangkaraya</v>
      </c>
      <c r="H422" s="15" t="str">
        <f>IFERROR(VLOOKUP(A422,Sheet1!$E$3:$F$27,2,),"")</f>
        <v>Preventive</v>
      </c>
      <c r="I422" s="16" t="str">
        <f>IFERROR(VLOOKUP(A422,Sheet1!$E$3:$G$27,3,0),"")</f>
        <v>Preventive Maintenance</v>
      </c>
      <c r="J422" s="12" t="s">
        <v>112</v>
      </c>
      <c r="K422" s="17">
        <v>46021.0</v>
      </c>
      <c r="L422" s="24"/>
      <c r="M422" s="12" t="s">
        <v>137</v>
      </c>
      <c r="N422" s="23"/>
      <c r="O422" s="22"/>
      <c r="P422" s="22"/>
    </row>
    <row r="423" ht="22.5" customHeight="1">
      <c r="A423" s="12" t="s">
        <v>22</v>
      </c>
      <c r="B423" s="20" t="str">
        <f>IFERROR(VLOOKUP(A423,Sheet1!$E$3:$H$27,4,0),"")</f>
        <v>P2</v>
      </c>
      <c r="C423" s="14" t="s">
        <v>349</v>
      </c>
      <c r="D423" s="12" t="s">
        <v>82</v>
      </c>
      <c r="E423" s="13" t="str">
        <f>IFERROR(VLOOKUP(D423,Sheet1!$B$1:$C$45,2,0),"")</f>
        <v>PM</v>
      </c>
      <c r="F423" s="12" t="s">
        <v>179</v>
      </c>
      <c r="G423" s="13" t="str">
        <f t="shared" si="3"/>
        <v>Palangkaraya</v>
      </c>
      <c r="H423" s="15" t="str">
        <f>IFERROR(VLOOKUP(A423,Sheet1!$E$3:$F$27,2,),"")</f>
        <v>Preventive</v>
      </c>
      <c r="I423" s="16" t="str">
        <f>IFERROR(VLOOKUP(A423,Sheet1!$E$3:$G$27,3,0),"")</f>
        <v>Preventive Maintenance</v>
      </c>
      <c r="J423" s="12" t="s">
        <v>112</v>
      </c>
      <c r="K423" s="17">
        <v>46021.0</v>
      </c>
      <c r="L423" s="24"/>
      <c r="M423" s="12" t="s">
        <v>137</v>
      </c>
      <c r="N423" s="23"/>
      <c r="O423" s="22"/>
      <c r="P423" s="22"/>
    </row>
    <row r="424" ht="22.5" customHeight="1">
      <c r="A424" s="12" t="s">
        <v>22</v>
      </c>
      <c r="B424" s="20" t="str">
        <f>IFERROR(VLOOKUP(A424,Sheet1!$E$3:$H$27,4,0),"")</f>
        <v>P2</v>
      </c>
      <c r="C424" s="14" t="s">
        <v>365</v>
      </c>
      <c r="D424" s="12" t="s">
        <v>35</v>
      </c>
      <c r="E424" s="13" t="str">
        <f>IFERROR(VLOOKUP(D424,Sheet1!$B$1:$C$45,2,0),"")</f>
        <v>MBP</v>
      </c>
      <c r="F424" s="12" t="s">
        <v>179</v>
      </c>
      <c r="G424" s="13" t="str">
        <f t="shared" si="3"/>
        <v>Palangkaraya</v>
      </c>
      <c r="H424" s="15" t="str">
        <f>IFERROR(VLOOKUP(A424,Sheet1!$E$3:$F$27,2,),"")</f>
        <v>Preventive</v>
      </c>
      <c r="I424" s="16" t="str">
        <f>IFERROR(VLOOKUP(A424,Sheet1!$E$3:$G$27,3,0),"")</f>
        <v>Preventive Maintenance</v>
      </c>
      <c r="J424" s="12" t="s">
        <v>112</v>
      </c>
      <c r="K424" s="17">
        <v>46021.0</v>
      </c>
      <c r="L424" s="24"/>
      <c r="M424" s="12" t="s">
        <v>137</v>
      </c>
      <c r="N424" s="23"/>
      <c r="O424" s="22"/>
      <c r="P424" s="22"/>
    </row>
    <row r="425" ht="22.5" customHeight="1">
      <c r="A425" s="12" t="s">
        <v>65</v>
      </c>
      <c r="B425" s="20" t="str">
        <f>IFERROR(VLOOKUP(A425,Sheet1!$E$3:$H$27,4,0),"")</f>
        <v>P3</v>
      </c>
      <c r="C425" s="15"/>
      <c r="D425" s="12" t="s">
        <v>48</v>
      </c>
      <c r="E425" s="13" t="str">
        <f>IFERROR(VLOOKUP(D425,Sheet1!$B$1:$C$45,2,0),"")</f>
        <v>MBP</v>
      </c>
      <c r="F425" s="12" t="s">
        <v>179</v>
      </c>
      <c r="G425" s="13" t="str">
        <f t="shared" si="3"/>
        <v>Palangkaraya</v>
      </c>
      <c r="H425" s="15" t="str">
        <f>IFERROR(VLOOKUP(A425,Sheet1!$E$3:$F$27,2,),"")</f>
        <v>Standby</v>
      </c>
      <c r="I425" s="16" t="str">
        <f>IFERROR(VLOOKUP(A425,Sheet1!$E$3:$G$27,3,0),"")</f>
        <v>Standby On Call</v>
      </c>
      <c r="J425" s="12" t="s">
        <v>66</v>
      </c>
      <c r="K425" s="17">
        <v>46021.0</v>
      </c>
      <c r="L425" s="24"/>
      <c r="M425" s="12" t="s">
        <v>137</v>
      </c>
      <c r="N425" s="23"/>
      <c r="O425" s="22"/>
      <c r="P425" s="22"/>
    </row>
    <row r="426" ht="22.5" customHeight="1">
      <c r="A426" s="12" t="s">
        <v>65</v>
      </c>
      <c r="B426" s="20" t="str">
        <f>IFERROR(VLOOKUP(A426,Sheet1!$E$3:$H$27,4,0),"")</f>
        <v>P3</v>
      </c>
      <c r="C426" s="15"/>
      <c r="D426" s="12" t="s">
        <v>64</v>
      </c>
      <c r="E426" s="12" t="s">
        <v>1</v>
      </c>
      <c r="F426" s="12" t="s">
        <v>179</v>
      </c>
      <c r="G426" s="13" t="str">
        <f t="shared" si="3"/>
        <v>Palangkaraya</v>
      </c>
      <c r="H426" s="15" t="str">
        <f>IFERROR(VLOOKUP(A426,Sheet1!$E$3:$F$27,2,),"")</f>
        <v>Standby</v>
      </c>
      <c r="I426" s="16" t="str">
        <f>IFERROR(VLOOKUP(A426,Sheet1!$E$3:$G$27,3,0),"")</f>
        <v>Standby On Call</v>
      </c>
      <c r="J426" s="12" t="s">
        <v>66</v>
      </c>
      <c r="K426" s="17">
        <v>46021.0</v>
      </c>
      <c r="L426" s="24"/>
      <c r="M426" s="12" t="s">
        <v>137</v>
      </c>
      <c r="N426" s="23"/>
      <c r="O426" s="22"/>
      <c r="P426" s="22"/>
    </row>
    <row r="427" ht="22.5" customHeight="1">
      <c r="A427" s="12" t="s">
        <v>65</v>
      </c>
      <c r="B427" s="20" t="str">
        <f>IFERROR(VLOOKUP(A427,Sheet1!$E$3:$H$27,4,0),"")</f>
        <v>P3</v>
      </c>
      <c r="C427" s="15"/>
      <c r="D427" s="12" t="s">
        <v>75</v>
      </c>
      <c r="E427" s="13" t="str">
        <f>IFERROR(VLOOKUP(D427,Sheet1!$B$1:$C$45,2,0),"")</f>
        <v>CME</v>
      </c>
      <c r="F427" s="12" t="s">
        <v>179</v>
      </c>
      <c r="G427" s="13" t="str">
        <f t="shared" si="3"/>
        <v>Palangkaraya</v>
      </c>
      <c r="H427" s="15" t="str">
        <f>IFERROR(VLOOKUP(A427,Sheet1!$E$3:$F$27,2,),"")</f>
        <v>Standby</v>
      </c>
      <c r="I427" s="16" t="str">
        <f>IFERROR(VLOOKUP(A427,Sheet1!$E$3:$G$27,3,0),"")</f>
        <v>Standby On Call</v>
      </c>
      <c r="J427" s="12" t="s">
        <v>66</v>
      </c>
      <c r="K427" s="17">
        <v>46021.0</v>
      </c>
      <c r="L427" s="24"/>
      <c r="M427" s="12" t="s">
        <v>137</v>
      </c>
      <c r="N427" s="23"/>
      <c r="O427" s="22"/>
      <c r="P427" s="22"/>
    </row>
    <row r="428" ht="22.5" customHeight="1">
      <c r="A428" s="12" t="s">
        <v>65</v>
      </c>
      <c r="B428" s="20" t="str">
        <f>IFERROR(VLOOKUP(A428,Sheet1!$E$3:$H$27,4,0),"")</f>
        <v>P3</v>
      </c>
      <c r="C428" s="15"/>
      <c r="D428" s="12" t="s">
        <v>54</v>
      </c>
      <c r="E428" s="13" t="str">
        <f>IFERROR(VLOOKUP(D428,Sheet1!$B$1:$C$45,2,0),"")</f>
        <v>MBP</v>
      </c>
      <c r="F428" s="12" t="s">
        <v>179</v>
      </c>
      <c r="G428" s="13" t="str">
        <f t="shared" si="3"/>
        <v>Palangkaraya</v>
      </c>
      <c r="H428" s="15" t="str">
        <f>IFERROR(VLOOKUP(A428,Sheet1!$E$3:$F$27,2,),"")</f>
        <v>Standby</v>
      </c>
      <c r="I428" s="16" t="str">
        <f>IFERROR(VLOOKUP(A428,Sheet1!$E$3:$G$27,3,0),"")</f>
        <v>Standby On Call</v>
      </c>
      <c r="J428" s="12" t="s">
        <v>66</v>
      </c>
      <c r="K428" s="17">
        <v>46021.0</v>
      </c>
      <c r="L428" s="24"/>
      <c r="M428" s="12" t="s">
        <v>137</v>
      </c>
      <c r="N428" s="23"/>
      <c r="O428" s="22"/>
      <c r="P428" s="22"/>
    </row>
    <row r="429" ht="22.5" customHeight="1">
      <c r="A429" s="12" t="s">
        <v>65</v>
      </c>
      <c r="B429" s="20" t="str">
        <f>IFERROR(VLOOKUP(A429,Sheet1!$E$3:$H$27,4,0),"")</f>
        <v>P3</v>
      </c>
      <c r="C429" s="15"/>
      <c r="D429" s="12" t="s">
        <v>45</v>
      </c>
      <c r="E429" s="13" t="str">
        <f>IFERROR(VLOOKUP(D429,Sheet1!$B$1:$C$45,2,0),"")</f>
        <v>MBP</v>
      </c>
      <c r="F429" s="12" t="s">
        <v>179</v>
      </c>
      <c r="G429" s="13" t="str">
        <f t="shared" si="3"/>
        <v>Palangkaraya</v>
      </c>
      <c r="H429" s="15" t="str">
        <f>IFERROR(VLOOKUP(A429,Sheet1!$E$3:$F$27,2,),"")</f>
        <v>Standby</v>
      </c>
      <c r="I429" s="16" t="str">
        <f>IFERROR(VLOOKUP(A429,Sheet1!$E$3:$G$27,3,0),"")</f>
        <v>Standby On Call</v>
      </c>
      <c r="J429" s="12" t="s">
        <v>66</v>
      </c>
      <c r="K429" s="17">
        <v>46021.0</v>
      </c>
      <c r="L429" s="17">
        <v>46021.0</v>
      </c>
      <c r="M429" s="12" t="s">
        <v>137</v>
      </c>
      <c r="N429" s="23"/>
      <c r="O429" s="22"/>
      <c r="P429" s="22"/>
    </row>
    <row r="430" ht="22.5" customHeight="1">
      <c r="A430" s="12" t="s">
        <v>25</v>
      </c>
      <c r="B430" s="20" t="str">
        <f>IFERROR(VLOOKUP(A430,Sheet1!$E$3:$H$27,4,0),"")</f>
        <v>P2</v>
      </c>
      <c r="C430" s="14" t="s">
        <v>333</v>
      </c>
      <c r="D430" s="12" t="s">
        <v>12</v>
      </c>
      <c r="E430" s="13" t="str">
        <f>IFERROR(VLOOKUP(D430,Sheet1!$B$1:$C$45,2,0),"")</f>
        <v>TE</v>
      </c>
      <c r="F430" s="12" t="s">
        <v>108</v>
      </c>
      <c r="G430" s="13" t="str">
        <f t="shared" si="3"/>
        <v>Barito Raya</v>
      </c>
      <c r="H430" s="15" t="str">
        <f>IFERROR(VLOOKUP(A430,Sheet1!$E$3:$F$27,2,),"")</f>
        <v>Corrective</v>
      </c>
      <c r="I430" s="16" t="str">
        <f>IFERROR(VLOOKUP(A430,Sheet1!$E$3:$G$27,3,0),"")</f>
        <v>Support Event</v>
      </c>
      <c r="J430" s="12" t="s">
        <v>112</v>
      </c>
      <c r="K430" s="17">
        <v>46022.0</v>
      </c>
      <c r="L430" s="17">
        <v>46022.0</v>
      </c>
      <c r="M430" s="12" t="s">
        <v>109</v>
      </c>
      <c r="N430" s="23"/>
      <c r="O430" s="22"/>
      <c r="P430" s="22"/>
    </row>
    <row r="431" ht="22.5" customHeight="1">
      <c r="A431" s="12" t="s">
        <v>52</v>
      </c>
      <c r="B431" s="20" t="str">
        <f>IFERROR(VLOOKUP(A431,Sheet1!$E$3:$H$27,4,0),"")</f>
        <v>P1</v>
      </c>
      <c r="C431" s="14" t="s">
        <v>366</v>
      </c>
      <c r="D431" s="12" t="s">
        <v>16</v>
      </c>
      <c r="E431" s="13" t="str">
        <f>IFERROR(VLOOKUP(D431,Sheet1!$B$1:$C$45,2,0),"")</f>
        <v>TE</v>
      </c>
      <c r="F431" s="12" t="s">
        <v>108</v>
      </c>
      <c r="G431" s="13" t="str">
        <f t="shared" si="3"/>
        <v>Barito Raya</v>
      </c>
      <c r="H431" s="15" t="str">
        <f>IFERROR(VLOOKUP(A431,Sheet1!$E$3:$F$27,2,),"")</f>
        <v>Preventive</v>
      </c>
      <c r="I431" s="16" t="str">
        <f>IFERROR(VLOOKUP(A431,Sheet1!$E$3:$G$27,3,0),"")</f>
        <v>MCB trip/Power upnormal</v>
      </c>
      <c r="J431" s="12" t="s">
        <v>112</v>
      </c>
      <c r="K431" s="17">
        <v>46022.0</v>
      </c>
      <c r="L431" s="17">
        <v>46022.0</v>
      </c>
      <c r="M431" s="12" t="s">
        <v>109</v>
      </c>
      <c r="N431" s="23"/>
      <c r="O431" s="22"/>
      <c r="P431" s="22"/>
    </row>
    <row r="432" ht="22.5" customHeight="1">
      <c r="A432" s="12" t="s">
        <v>65</v>
      </c>
      <c r="B432" s="20" t="str">
        <f>IFERROR(VLOOKUP(A432,Sheet1!$E$3:$H$27,4,0),"")</f>
        <v>P3</v>
      </c>
      <c r="C432" s="15"/>
      <c r="D432" s="12" t="s">
        <v>21</v>
      </c>
      <c r="E432" s="13" t="str">
        <f>IFERROR(VLOOKUP(D432,Sheet1!$B$1:$C$45,2,0),"")</f>
        <v>TE</v>
      </c>
      <c r="F432" s="12" t="s">
        <v>108</v>
      </c>
      <c r="G432" s="13" t="str">
        <f t="shared" si="3"/>
        <v>Barito Raya</v>
      </c>
      <c r="H432" s="15" t="str">
        <f>IFERROR(VLOOKUP(A432,Sheet1!$E$3:$F$27,2,),"")</f>
        <v>Standby</v>
      </c>
      <c r="I432" s="16" t="str">
        <f>IFERROR(VLOOKUP(A432,Sheet1!$E$3:$G$27,3,0),"")</f>
        <v>Standby On Call</v>
      </c>
      <c r="J432" s="20"/>
      <c r="K432" s="17">
        <v>46022.0</v>
      </c>
      <c r="L432" s="17">
        <v>46022.0</v>
      </c>
      <c r="M432" s="13"/>
      <c r="N432" s="23"/>
      <c r="O432" s="22"/>
      <c r="P432" s="22"/>
    </row>
    <row r="433" ht="22.5" customHeight="1">
      <c r="A433" s="12" t="s">
        <v>65</v>
      </c>
      <c r="B433" s="20" t="str">
        <f>IFERROR(VLOOKUP(A433,Sheet1!$E$3:$H$27,4,0),"")</f>
        <v>P3</v>
      </c>
      <c r="C433" s="15"/>
      <c r="D433" s="12" t="s">
        <v>26</v>
      </c>
      <c r="E433" s="13" t="str">
        <f>IFERROR(VLOOKUP(D433,Sheet1!$B$1:$C$45,2,0),"")</f>
        <v>TE</v>
      </c>
      <c r="F433" s="12" t="s">
        <v>108</v>
      </c>
      <c r="G433" s="13" t="str">
        <f t="shared" si="3"/>
        <v>Barito Raya</v>
      </c>
      <c r="H433" s="15" t="str">
        <f>IFERROR(VLOOKUP(A433,Sheet1!$E$3:$F$27,2,),"")</f>
        <v>Standby</v>
      </c>
      <c r="I433" s="16" t="str">
        <f>IFERROR(VLOOKUP(A433,Sheet1!$E$3:$G$27,3,0),"")</f>
        <v>Standby On Call</v>
      </c>
      <c r="J433" s="20"/>
      <c r="K433" s="17">
        <v>46022.0</v>
      </c>
      <c r="L433" s="17">
        <v>46022.0</v>
      </c>
      <c r="M433" s="13"/>
      <c r="N433" s="23"/>
      <c r="O433" s="22"/>
      <c r="P433" s="22"/>
    </row>
    <row r="434" ht="22.5" customHeight="1">
      <c r="A434" s="12" t="s">
        <v>65</v>
      </c>
      <c r="B434" s="20" t="str">
        <f>IFERROR(VLOOKUP(A434,Sheet1!$E$3:$H$27,4,0),"")</f>
        <v>P3</v>
      </c>
      <c r="C434" s="15"/>
      <c r="D434" s="12" t="s">
        <v>88</v>
      </c>
      <c r="E434" s="13" t="str">
        <f>IFERROR(VLOOKUP(D434,Sheet1!$B$1:$C$45,2,0),"")</f>
        <v>TE</v>
      </c>
      <c r="F434" s="12" t="s">
        <v>108</v>
      </c>
      <c r="G434" s="13" t="str">
        <f t="shared" si="3"/>
        <v>Barito Raya</v>
      </c>
      <c r="H434" s="15" t="str">
        <f>IFERROR(VLOOKUP(A434,Sheet1!$E$3:$F$27,2,),"")</f>
        <v>Standby</v>
      </c>
      <c r="I434" s="16" t="str">
        <f>IFERROR(VLOOKUP(A434,Sheet1!$E$3:$G$27,3,0),"")</f>
        <v>Standby On Call</v>
      </c>
      <c r="J434" s="20"/>
      <c r="K434" s="17">
        <v>46022.0</v>
      </c>
      <c r="L434" s="17">
        <v>46022.0</v>
      </c>
      <c r="M434" s="13"/>
      <c r="N434" s="23"/>
      <c r="O434" s="22"/>
      <c r="P434" s="22"/>
    </row>
    <row r="435" ht="22.5" customHeight="1">
      <c r="A435" s="12" t="s">
        <v>65</v>
      </c>
      <c r="B435" s="20" t="str">
        <f>IFERROR(VLOOKUP(A435,Sheet1!$E$3:$H$27,4,0),"")</f>
        <v>P3</v>
      </c>
      <c r="C435" s="15"/>
      <c r="D435" s="12" t="s">
        <v>32</v>
      </c>
      <c r="E435" s="13" t="str">
        <f>IFERROR(VLOOKUP(D435,Sheet1!$B$1:$C$45,2,0),"")</f>
        <v>TE</v>
      </c>
      <c r="F435" s="12" t="s">
        <v>108</v>
      </c>
      <c r="G435" s="13" t="str">
        <f t="shared" si="3"/>
        <v>Barito Raya</v>
      </c>
      <c r="H435" s="15" t="str">
        <f>IFERROR(VLOOKUP(A435,Sheet1!$E$3:$F$27,2,),"")</f>
        <v>Standby</v>
      </c>
      <c r="I435" s="16" t="str">
        <f>IFERROR(VLOOKUP(A435,Sheet1!$E$3:$G$27,3,0),"")</f>
        <v>Standby On Call</v>
      </c>
      <c r="J435" s="20"/>
      <c r="K435" s="17">
        <v>46022.0</v>
      </c>
      <c r="L435" s="17">
        <v>46022.0</v>
      </c>
      <c r="M435" s="13"/>
      <c r="N435" s="23"/>
      <c r="O435" s="22"/>
      <c r="P435" s="22"/>
    </row>
    <row r="436" ht="22.5" customHeight="1">
      <c r="A436" s="12" t="s">
        <v>65</v>
      </c>
      <c r="B436" s="20" t="str">
        <f>IFERROR(VLOOKUP(A436,Sheet1!$E$3:$H$27,4,0),"")</f>
        <v>P3</v>
      </c>
      <c r="C436" s="15"/>
      <c r="D436" s="12" t="s">
        <v>74</v>
      </c>
      <c r="E436" s="13" t="str">
        <f>IFERROR(VLOOKUP(D436,Sheet1!$B$1:$C$45,2,0),"")</f>
        <v>TE</v>
      </c>
      <c r="F436" s="12" t="s">
        <v>108</v>
      </c>
      <c r="G436" s="13" t="str">
        <f t="shared" si="3"/>
        <v>Barito Raya</v>
      </c>
      <c r="H436" s="15" t="str">
        <f>IFERROR(VLOOKUP(A436,Sheet1!$E$3:$F$27,2,),"")</f>
        <v>Standby</v>
      </c>
      <c r="I436" s="16" t="str">
        <f>IFERROR(VLOOKUP(A436,Sheet1!$E$3:$G$27,3,0),"")</f>
        <v>Standby On Call</v>
      </c>
      <c r="J436" s="20"/>
      <c r="K436" s="17">
        <v>46022.0</v>
      </c>
      <c r="L436" s="17">
        <v>46022.0</v>
      </c>
      <c r="M436" s="13"/>
      <c r="N436" s="23"/>
      <c r="O436" s="22"/>
      <c r="P436" s="22"/>
    </row>
    <row r="437" ht="22.5" customHeight="1">
      <c r="A437" s="12" t="s">
        <v>14</v>
      </c>
      <c r="B437" s="20" t="str">
        <f>IFERROR(VLOOKUP(A437,Sheet1!$E$3:$H$27,4,0),"")</f>
        <v>P1</v>
      </c>
      <c r="C437" s="14" t="s">
        <v>192</v>
      </c>
      <c r="D437" s="12" t="s">
        <v>60</v>
      </c>
      <c r="E437" s="13" t="str">
        <f>IFERROR(VLOOKUP(D437,Sheet1!$B$1:$C$45,2,0),"")</f>
        <v>TE</v>
      </c>
      <c r="F437" s="12" t="s">
        <v>108</v>
      </c>
      <c r="G437" s="13" t="str">
        <f t="shared" si="3"/>
        <v>Barito Raya</v>
      </c>
      <c r="H437" s="15" t="str">
        <f>IFERROR(VLOOKUP(A437,Sheet1!$E$3:$F$27,2,),"")</f>
        <v>Corrective</v>
      </c>
      <c r="I437" s="16" t="str">
        <f>IFERROR(VLOOKUP(A437,Sheet1!$E$3:$G$27,3,0),"")</f>
        <v>Pemadaman,MCB Trip,Transmisi problem</v>
      </c>
      <c r="J437" s="12" t="s">
        <v>112</v>
      </c>
      <c r="K437" s="17">
        <v>46022.0</v>
      </c>
      <c r="L437" s="17">
        <v>46022.0</v>
      </c>
      <c r="M437" s="12" t="s">
        <v>109</v>
      </c>
      <c r="N437" s="23"/>
      <c r="O437" s="22"/>
      <c r="P437" s="22"/>
    </row>
    <row r="438" ht="22.5" customHeight="1">
      <c r="A438" s="12" t="s">
        <v>22</v>
      </c>
      <c r="B438" s="20" t="str">
        <f>IFERROR(VLOOKUP(A438,Sheet1!$E$3:$H$27,4,0),"")</f>
        <v>P2</v>
      </c>
      <c r="C438" s="14" t="s">
        <v>367</v>
      </c>
      <c r="D438" s="12" t="s">
        <v>62</v>
      </c>
      <c r="E438" s="13" t="str">
        <f>IFERROR(VLOOKUP(D438,Sheet1!$B$1:$C$45,2,0),"")</f>
        <v>TE</v>
      </c>
      <c r="F438" s="12" t="s">
        <v>108</v>
      </c>
      <c r="G438" s="13" t="str">
        <f t="shared" si="3"/>
        <v>Barito Raya</v>
      </c>
      <c r="H438" s="15" t="str">
        <f>IFERROR(VLOOKUP(A438,Sheet1!$E$3:$F$27,2,),"")</f>
        <v>Preventive</v>
      </c>
      <c r="I438" s="16" t="str">
        <f>IFERROR(VLOOKUP(A438,Sheet1!$E$3:$G$27,3,0),"")</f>
        <v>Preventive Maintenance</v>
      </c>
      <c r="J438" s="12" t="s">
        <v>112</v>
      </c>
      <c r="K438" s="17">
        <v>46022.0</v>
      </c>
      <c r="L438" s="17">
        <v>46022.0</v>
      </c>
      <c r="M438" s="12" t="s">
        <v>109</v>
      </c>
      <c r="N438" s="23"/>
      <c r="O438" s="22"/>
      <c r="P438" s="22"/>
    </row>
    <row r="439" ht="22.5" customHeight="1">
      <c r="A439" s="12" t="s">
        <v>14</v>
      </c>
      <c r="B439" s="20" t="str">
        <f>IFERROR(VLOOKUP(A439,Sheet1!$E$3:$H$27,4,0),"")</f>
        <v>P1</v>
      </c>
      <c r="C439" s="14" t="s">
        <v>359</v>
      </c>
      <c r="D439" s="12" t="s">
        <v>69</v>
      </c>
      <c r="E439" s="13" t="str">
        <f>IFERROR(VLOOKUP(D439,Sheet1!$B$1:$C$45,2,0),"")</f>
        <v>TE</v>
      </c>
      <c r="F439" s="12" t="s">
        <v>108</v>
      </c>
      <c r="G439" s="13" t="str">
        <f t="shared" si="3"/>
        <v>Barito Raya</v>
      </c>
      <c r="H439" s="15" t="str">
        <f>IFERROR(VLOOKUP(A439,Sheet1!$E$3:$F$27,2,),"")</f>
        <v>Corrective</v>
      </c>
      <c r="I439" s="16" t="str">
        <f>IFERROR(VLOOKUP(A439,Sheet1!$E$3:$G$27,3,0),"")</f>
        <v>Pemadaman,MCB Trip,Transmisi problem</v>
      </c>
      <c r="J439" s="12" t="s">
        <v>112</v>
      </c>
      <c r="K439" s="17">
        <v>46022.0</v>
      </c>
      <c r="L439" s="17">
        <v>46022.0</v>
      </c>
      <c r="M439" s="12" t="s">
        <v>109</v>
      </c>
      <c r="N439" s="18" t="s">
        <v>368</v>
      </c>
      <c r="O439" s="19"/>
      <c r="P439" s="19"/>
    </row>
    <row r="440" ht="22.5" customHeight="1">
      <c r="A440" s="12" t="s">
        <v>65</v>
      </c>
      <c r="B440" s="20" t="str">
        <f>IFERROR(VLOOKUP(A440,Sheet1!$E$3:$H$27,4,0),"")</f>
        <v>P3</v>
      </c>
      <c r="C440" s="15"/>
      <c r="D440" s="12" t="s">
        <v>9</v>
      </c>
      <c r="E440" s="13" t="str">
        <f>IFERROR(VLOOKUP(D440,Sheet1!$B$1:$C$45,2,0),"")</f>
        <v>MBP</v>
      </c>
      <c r="F440" s="12" t="s">
        <v>108</v>
      </c>
      <c r="G440" s="13" t="str">
        <f t="shared" si="3"/>
        <v>Barito Raya</v>
      </c>
      <c r="H440" s="15" t="str">
        <f>IFERROR(VLOOKUP(A440,Sheet1!$E$3:$F$27,2,),"")</f>
        <v>Standby</v>
      </c>
      <c r="I440" s="16" t="str">
        <f>IFERROR(VLOOKUP(A440,Sheet1!$E$3:$G$27,3,0),"")</f>
        <v>Standby On Call</v>
      </c>
      <c r="J440" s="20"/>
      <c r="K440" s="17">
        <v>46022.0</v>
      </c>
      <c r="L440" s="17">
        <v>46022.0</v>
      </c>
      <c r="M440" s="13"/>
      <c r="N440" s="23"/>
      <c r="O440" s="22"/>
      <c r="P440" s="22"/>
    </row>
    <row r="441" ht="22.5" customHeight="1">
      <c r="A441" s="12" t="s">
        <v>65</v>
      </c>
      <c r="B441" s="20" t="str">
        <f>IFERROR(VLOOKUP(A441,Sheet1!$E$3:$H$27,4,0),"")</f>
        <v>P3</v>
      </c>
      <c r="C441" s="15"/>
      <c r="D441" s="12" t="s">
        <v>4</v>
      </c>
      <c r="E441" s="13" t="str">
        <f>IFERROR(VLOOKUP(D441,Sheet1!$B$1:$C$45,2,0),"")</f>
        <v>CME</v>
      </c>
      <c r="F441" s="12" t="s">
        <v>108</v>
      </c>
      <c r="G441" s="13" t="str">
        <f t="shared" si="3"/>
        <v>Barito Raya</v>
      </c>
      <c r="H441" s="15" t="str">
        <f>IFERROR(VLOOKUP(A441,Sheet1!$E$3:$F$27,2,),"")</f>
        <v>Standby</v>
      </c>
      <c r="I441" s="16" t="str">
        <f>IFERROR(VLOOKUP(A441,Sheet1!$E$3:$G$27,3,0),"")</f>
        <v>Standby On Call</v>
      </c>
      <c r="J441" s="20"/>
      <c r="K441" s="17">
        <v>46022.0</v>
      </c>
      <c r="L441" s="17">
        <v>46022.0</v>
      </c>
      <c r="M441" s="13"/>
      <c r="N441" s="23"/>
      <c r="O441" s="22"/>
      <c r="P441" s="22"/>
    </row>
    <row r="442" ht="22.5" customHeight="1">
      <c r="A442" s="12" t="s">
        <v>65</v>
      </c>
      <c r="B442" s="20" t="str">
        <f>IFERROR(VLOOKUP(A442,Sheet1!$E$3:$H$27,4,0),"")</f>
        <v>P3</v>
      </c>
      <c r="C442" s="15"/>
      <c r="D442" s="12" t="s">
        <v>87</v>
      </c>
      <c r="E442" s="13" t="str">
        <f>IFERROR(VLOOKUP(D442,Sheet1!$B$1:$C$45,2,0),"")</f>
        <v>MBP</v>
      </c>
      <c r="F442" s="12" t="s">
        <v>108</v>
      </c>
      <c r="G442" s="13" t="str">
        <f t="shared" si="3"/>
        <v>Barito Raya</v>
      </c>
      <c r="H442" s="15" t="str">
        <f>IFERROR(VLOOKUP(A442,Sheet1!$E$3:$F$27,2,),"")</f>
        <v>Standby</v>
      </c>
      <c r="I442" s="16" t="str">
        <f>IFERROR(VLOOKUP(A442,Sheet1!$E$3:$G$27,3,0),"")</f>
        <v>Standby On Call</v>
      </c>
      <c r="J442" s="20"/>
      <c r="K442" s="17">
        <v>46022.0</v>
      </c>
      <c r="L442" s="17">
        <v>46022.0</v>
      </c>
      <c r="M442" s="13"/>
      <c r="N442" s="23"/>
      <c r="O442" s="22"/>
      <c r="P442" s="22"/>
    </row>
    <row r="443" ht="22.5" customHeight="1">
      <c r="A443" s="12" t="s">
        <v>65</v>
      </c>
      <c r="B443" s="20" t="str">
        <f>IFERROR(VLOOKUP(A443,Sheet1!$E$3:$H$27,4,0),"")</f>
        <v>P3</v>
      </c>
      <c r="C443" s="15"/>
      <c r="D443" s="12" t="s">
        <v>24</v>
      </c>
      <c r="E443" s="13" t="str">
        <f>IFERROR(VLOOKUP(D443,Sheet1!$B$1:$C$45,2,0),"")</f>
        <v>MBP</v>
      </c>
      <c r="F443" s="12" t="s">
        <v>108</v>
      </c>
      <c r="G443" s="13" t="str">
        <f t="shared" si="3"/>
        <v>Barito Raya</v>
      </c>
      <c r="H443" s="15" t="str">
        <f>IFERROR(VLOOKUP(A443,Sheet1!$E$3:$F$27,2,),"")</f>
        <v>Standby</v>
      </c>
      <c r="I443" s="16" t="str">
        <f>IFERROR(VLOOKUP(A443,Sheet1!$E$3:$G$27,3,0),"")</f>
        <v>Standby On Call</v>
      </c>
      <c r="J443" s="20"/>
      <c r="K443" s="17">
        <v>46022.0</v>
      </c>
      <c r="L443" s="17">
        <v>46022.0</v>
      </c>
      <c r="M443" s="13"/>
      <c r="N443" s="23"/>
      <c r="O443" s="22"/>
      <c r="P443" s="22"/>
    </row>
    <row r="444" ht="22.5" customHeight="1">
      <c r="A444" s="12" t="s">
        <v>65</v>
      </c>
      <c r="B444" s="20" t="str">
        <f>IFERROR(VLOOKUP(A444,Sheet1!$E$3:$H$27,4,0),"")</f>
        <v>P3</v>
      </c>
      <c r="C444" s="15"/>
      <c r="D444" s="12" t="s">
        <v>29</v>
      </c>
      <c r="E444" s="13" t="str">
        <f>IFERROR(VLOOKUP(D444,Sheet1!$B$1:$C$45,2,0),"")</f>
        <v>MBP</v>
      </c>
      <c r="F444" s="12" t="s">
        <v>108</v>
      </c>
      <c r="G444" s="13" t="str">
        <f t="shared" si="3"/>
        <v>Barito Raya</v>
      </c>
      <c r="H444" s="15" t="str">
        <f>IFERROR(VLOOKUP(A444,Sheet1!$E$3:$F$27,2,),"")</f>
        <v>Standby</v>
      </c>
      <c r="I444" s="16" t="str">
        <f>IFERROR(VLOOKUP(A444,Sheet1!$E$3:$G$27,3,0),"")</f>
        <v>Standby On Call</v>
      </c>
      <c r="J444" s="20"/>
      <c r="K444" s="17">
        <v>46022.0</v>
      </c>
      <c r="L444" s="17">
        <v>46022.0</v>
      </c>
      <c r="M444" s="13"/>
      <c r="N444" s="23"/>
      <c r="O444" s="22"/>
      <c r="P444" s="22"/>
    </row>
    <row r="445" ht="22.5" customHeight="1">
      <c r="A445" s="12" t="s">
        <v>65</v>
      </c>
      <c r="B445" s="20" t="str">
        <f>IFERROR(VLOOKUP(A445,Sheet1!$E$3:$H$27,4,0),"")</f>
        <v>P3</v>
      </c>
      <c r="C445" s="15"/>
      <c r="D445" s="12" t="s">
        <v>2</v>
      </c>
      <c r="E445" s="13" t="str">
        <f>IFERROR(VLOOKUP(D445,Sheet1!$B$1:$C$45,2,0),"")</f>
        <v>CME</v>
      </c>
      <c r="F445" s="12" t="s">
        <v>108</v>
      </c>
      <c r="G445" s="13" t="str">
        <f t="shared" si="3"/>
        <v>Barito Raya</v>
      </c>
      <c r="H445" s="15" t="str">
        <f>IFERROR(VLOOKUP(A445,Sheet1!$E$3:$F$27,2,),"")</f>
        <v>Standby</v>
      </c>
      <c r="I445" s="16" t="str">
        <f>IFERROR(VLOOKUP(A445,Sheet1!$E$3:$G$27,3,0),"")</f>
        <v>Standby On Call</v>
      </c>
      <c r="J445" s="20"/>
      <c r="K445" s="17">
        <v>46022.0</v>
      </c>
      <c r="L445" s="17">
        <v>46022.0</v>
      </c>
      <c r="M445" s="13"/>
      <c r="N445" s="23"/>
      <c r="O445" s="22"/>
      <c r="P445" s="22"/>
    </row>
    <row r="446" ht="22.5" customHeight="1">
      <c r="A446" s="12" t="s">
        <v>27</v>
      </c>
      <c r="B446" s="20" t="str">
        <f>IFERROR(VLOOKUP(A446,Sheet1!$E$3:$H$27,4,0),"")</f>
        <v>P2</v>
      </c>
      <c r="C446" s="14" t="s">
        <v>280</v>
      </c>
      <c r="D446" s="12" t="s">
        <v>0</v>
      </c>
      <c r="E446" s="13" t="str">
        <f>IFERROR(VLOOKUP(D446,Sheet1!$B$1:$C$45,2,0),"")</f>
        <v>MBP</v>
      </c>
      <c r="F446" s="12" t="s">
        <v>108</v>
      </c>
      <c r="G446" s="13" t="str">
        <f t="shared" si="3"/>
        <v>Barito Raya</v>
      </c>
      <c r="H446" s="15" t="str">
        <f>IFERROR(VLOOKUP(A446,Sheet1!$E$3:$F$27,2,),"")</f>
        <v>Preventive</v>
      </c>
      <c r="I446" s="16" t="str">
        <f>IFERROR(VLOOKUP(A446,Sheet1!$E$3:$G$27,3,0),"")</f>
        <v>Akses/Hub Site problem metro</v>
      </c>
      <c r="J446" s="12" t="s">
        <v>112</v>
      </c>
      <c r="K446" s="17">
        <v>46022.0</v>
      </c>
      <c r="L446" s="17">
        <v>46022.0</v>
      </c>
      <c r="M446" s="12" t="s">
        <v>109</v>
      </c>
      <c r="N446" s="18" t="s">
        <v>369</v>
      </c>
      <c r="O446" s="19"/>
      <c r="P446" s="19"/>
    </row>
    <row r="447" ht="22.5" customHeight="1">
      <c r="A447" s="12" t="s">
        <v>65</v>
      </c>
      <c r="B447" s="20" t="str">
        <f>IFERROR(VLOOKUP(A447,Sheet1!$E$3:$H$27,4,0),"")</f>
        <v>P3</v>
      </c>
      <c r="C447" s="15"/>
      <c r="D447" s="12" t="s">
        <v>85</v>
      </c>
      <c r="E447" s="13" t="str">
        <f>IFERROR(VLOOKUP(D447,Sheet1!$B$1:$C$45,2,0),"")</f>
        <v>PM</v>
      </c>
      <c r="F447" s="12" t="s">
        <v>108</v>
      </c>
      <c r="G447" s="13" t="str">
        <f t="shared" si="3"/>
        <v>Barito Raya</v>
      </c>
      <c r="H447" s="15" t="str">
        <f>IFERROR(VLOOKUP(A447,Sheet1!$E$3:$F$27,2,),"")</f>
        <v>Standby</v>
      </c>
      <c r="I447" s="16" t="str">
        <f>IFERROR(VLOOKUP(A447,Sheet1!$E$3:$G$27,3,0),"")</f>
        <v>Standby On Call</v>
      </c>
      <c r="J447" s="20"/>
      <c r="K447" s="17">
        <v>46022.0</v>
      </c>
      <c r="L447" s="17">
        <v>46022.0</v>
      </c>
      <c r="M447" s="13"/>
      <c r="N447" s="23"/>
      <c r="O447" s="22"/>
      <c r="P447" s="22"/>
    </row>
    <row r="448" ht="22.5" customHeight="1">
      <c r="A448" s="12" t="s">
        <v>65</v>
      </c>
      <c r="B448" s="20" t="str">
        <f>IFERROR(VLOOKUP(A448,Sheet1!$E$3:$H$27,4,0),"")</f>
        <v>P3</v>
      </c>
      <c r="C448" s="15"/>
      <c r="D448" s="12" t="s">
        <v>84</v>
      </c>
      <c r="E448" s="13" t="str">
        <f>IFERROR(VLOOKUP(D448,Sheet1!$B$1:$C$45,2,0),"")</f>
        <v>MBP</v>
      </c>
      <c r="F448" s="12" t="s">
        <v>108</v>
      </c>
      <c r="G448" s="13" t="str">
        <f t="shared" si="3"/>
        <v>Barito Raya</v>
      </c>
      <c r="H448" s="15" t="str">
        <f>IFERROR(VLOOKUP(A448,Sheet1!$E$3:$F$27,2,),"")</f>
        <v>Standby</v>
      </c>
      <c r="I448" s="16" t="str">
        <f>IFERROR(VLOOKUP(A448,Sheet1!$E$3:$G$27,3,0),"")</f>
        <v>Standby On Call</v>
      </c>
      <c r="J448" s="20"/>
      <c r="K448" s="17">
        <v>46022.0</v>
      </c>
      <c r="L448" s="17">
        <v>46022.0</v>
      </c>
      <c r="M448" s="13"/>
      <c r="N448" s="23"/>
      <c r="O448" s="22"/>
      <c r="P448" s="22"/>
    </row>
    <row r="449" ht="22.5" hidden="1" customHeight="1">
      <c r="A449" s="12" t="s">
        <v>65</v>
      </c>
      <c r="B449" s="20" t="str">
        <f>IFERROR(VLOOKUP(A449,Sheet1!$E$3:$H$27,4,0),"")</f>
        <v>P3</v>
      </c>
      <c r="C449" s="15"/>
      <c r="D449" s="12" t="s">
        <v>86</v>
      </c>
      <c r="E449" s="13" t="str">
        <f>IFERROR(VLOOKUP(D449,Sheet1!$B$1:$C$45,2,0),"")</f>
        <v>PM</v>
      </c>
      <c r="F449" s="12" t="s">
        <v>108</v>
      </c>
      <c r="G449" s="13" t="str">
        <f t="shared" si="3"/>
        <v>Barito Raya</v>
      </c>
      <c r="H449" s="15" t="str">
        <f>IFERROR(VLOOKUP(A449,Sheet1!$E$3:$F$27,2,),"")</f>
        <v>Standby</v>
      </c>
      <c r="I449" s="16" t="str">
        <f>IFERROR(VLOOKUP(A449,Sheet1!$E$3:$G$27,3,0),"")</f>
        <v>Standby On Call</v>
      </c>
      <c r="J449" s="20"/>
      <c r="K449" s="17">
        <v>46022.0</v>
      </c>
      <c r="L449" s="17">
        <v>46022.0</v>
      </c>
      <c r="M449" s="13"/>
      <c r="N449" s="23"/>
      <c r="O449" s="22"/>
      <c r="P449" s="22"/>
    </row>
    <row r="450" ht="22.5" customHeight="1">
      <c r="A450" s="12" t="s">
        <v>52</v>
      </c>
      <c r="B450" s="20" t="str">
        <f>IFERROR(VLOOKUP(A450,Sheet1!$E$3:$H$27,4,0),"")</f>
        <v>P1</v>
      </c>
      <c r="C450" s="14" t="s">
        <v>351</v>
      </c>
      <c r="D450" s="12" t="s">
        <v>12</v>
      </c>
      <c r="E450" s="13" t="str">
        <f>IFERROR(VLOOKUP(D450,Sheet1!$B$1:$C$45,2,0),"")</f>
        <v>TE</v>
      </c>
      <c r="F450" s="12" t="s">
        <v>108</v>
      </c>
      <c r="G450" s="13" t="str">
        <f t="shared" si="3"/>
        <v>Barito Raya</v>
      </c>
      <c r="H450" s="15" t="str">
        <f>IFERROR(VLOOKUP(A450,Sheet1!$E$3:$F$27,2,),"")</f>
        <v>Preventive</v>
      </c>
      <c r="I450" s="16" t="str">
        <f>IFERROR(VLOOKUP(A450,Sheet1!$E$3:$G$27,3,0),"")</f>
        <v>MCB trip/Power upnormal</v>
      </c>
      <c r="J450" s="12" t="s">
        <v>112</v>
      </c>
      <c r="K450" s="17">
        <v>46024.0</v>
      </c>
      <c r="L450" s="24"/>
      <c r="M450" s="12" t="s">
        <v>137</v>
      </c>
      <c r="N450" s="23"/>
      <c r="O450" s="22"/>
      <c r="P450" s="22"/>
    </row>
    <row r="451" ht="22.5" customHeight="1">
      <c r="A451" s="12" t="s">
        <v>52</v>
      </c>
      <c r="B451" s="20" t="str">
        <f>IFERROR(VLOOKUP(A451,Sheet1!$E$3:$H$27,4,0),"")</f>
        <v>P1</v>
      </c>
      <c r="C451" s="14" t="s">
        <v>254</v>
      </c>
      <c r="D451" s="12" t="s">
        <v>16</v>
      </c>
      <c r="E451" s="13" t="str">
        <f>IFERROR(VLOOKUP(D451,Sheet1!$B$1:$C$45,2,0),"")</f>
        <v>TE</v>
      </c>
      <c r="F451" s="12" t="s">
        <v>108</v>
      </c>
      <c r="G451" s="13" t="str">
        <f t="shared" si="3"/>
        <v>Barito Raya</v>
      </c>
      <c r="H451" s="15" t="str">
        <f>IFERROR(VLOOKUP(A451,Sheet1!$E$3:$F$27,2,),"")</f>
        <v>Preventive</v>
      </c>
      <c r="I451" s="16" t="str">
        <f>IFERROR(VLOOKUP(A451,Sheet1!$E$3:$G$27,3,0),"")</f>
        <v>MCB trip/Power upnormal</v>
      </c>
      <c r="J451" s="12" t="s">
        <v>112</v>
      </c>
      <c r="K451" s="17">
        <v>46024.0</v>
      </c>
      <c r="L451" s="24"/>
      <c r="M451" s="12" t="s">
        <v>137</v>
      </c>
      <c r="N451" s="23"/>
      <c r="O451" s="22"/>
      <c r="P451" s="22"/>
    </row>
    <row r="452" ht="22.5" customHeight="1">
      <c r="A452" s="12" t="s">
        <v>5</v>
      </c>
      <c r="B452" s="20" t="str">
        <f>IFERROR(VLOOKUP(A452,Sheet1!$E$3:$H$27,4,0),"")</f>
        <v>P1</v>
      </c>
      <c r="C452" s="14" t="s">
        <v>370</v>
      </c>
      <c r="D452" s="12" t="s">
        <v>21</v>
      </c>
      <c r="E452" s="13" t="str">
        <f>IFERROR(VLOOKUP(D452,Sheet1!$B$1:$C$45,2,0),"")</f>
        <v>TE</v>
      </c>
      <c r="F452" s="12" t="s">
        <v>108</v>
      </c>
      <c r="G452" s="13" t="str">
        <f t="shared" si="3"/>
        <v>Barito Raya</v>
      </c>
      <c r="H452" s="15" t="str">
        <f>IFERROR(VLOOKUP(A452,Sheet1!$E$3:$F$27,2,),"")</f>
        <v>Corrective</v>
      </c>
      <c r="I452" s="16" t="str">
        <f>IFERROR(VLOOKUP(A452,Sheet1!$E$3:$G$27,3,0),"")</f>
        <v>Replace Optik,RRU/Soket Power/Replace GPS</v>
      </c>
      <c r="J452" s="12" t="s">
        <v>112</v>
      </c>
      <c r="K452" s="17">
        <v>46024.0</v>
      </c>
      <c r="L452" s="24"/>
      <c r="M452" s="13"/>
      <c r="N452" s="23"/>
      <c r="O452" s="22"/>
      <c r="P452" s="22"/>
    </row>
    <row r="453" ht="22.5" customHeight="1">
      <c r="A453" s="12" t="s">
        <v>65</v>
      </c>
      <c r="B453" s="20" t="str">
        <f>IFERROR(VLOOKUP(A453,Sheet1!$E$3:$H$27,4,0),"")</f>
        <v>P3</v>
      </c>
      <c r="C453" s="15"/>
      <c r="D453" s="12" t="s">
        <v>26</v>
      </c>
      <c r="E453" s="13" t="str">
        <f>IFERROR(VLOOKUP(D453,Sheet1!$B$1:$C$45,2,0),"")</f>
        <v>TE</v>
      </c>
      <c r="F453" s="12" t="s">
        <v>108</v>
      </c>
      <c r="G453" s="13" t="str">
        <f t="shared" si="3"/>
        <v>Barito Raya</v>
      </c>
      <c r="H453" s="15" t="str">
        <f>IFERROR(VLOOKUP(A453,Sheet1!$E$3:$F$27,2,),"")</f>
        <v>Standby</v>
      </c>
      <c r="I453" s="16" t="str">
        <f>IFERROR(VLOOKUP(A453,Sheet1!$E$3:$G$27,3,0),"")</f>
        <v>Standby On Call</v>
      </c>
      <c r="J453" s="20"/>
      <c r="K453" s="17">
        <v>46024.0</v>
      </c>
      <c r="L453" s="24"/>
      <c r="M453" s="13"/>
      <c r="N453" s="23"/>
      <c r="O453" s="22"/>
      <c r="P453" s="22"/>
    </row>
    <row r="454" ht="22.5" customHeight="1">
      <c r="A454" s="12" t="s">
        <v>65</v>
      </c>
      <c r="B454" s="20" t="str">
        <f>IFERROR(VLOOKUP(A454,Sheet1!$E$3:$H$27,4,0),"")</f>
        <v>P3</v>
      </c>
      <c r="C454" s="15"/>
      <c r="D454" s="12" t="s">
        <v>88</v>
      </c>
      <c r="E454" s="13" t="str">
        <f>IFERROR(VLOOKUP(D454,Sheet1!$B$1:$C$45,2,0),"")</f>
        <v>TE</v>
      </c>
      <c r="F454" s="12" t="s">
        <v>108</v>
      </c>
      <c r="G454" s="13" t="str">
        <f t="shared" si="3"/>
        <v>Barito Raya</v>
      </c>
      <c r="H454" s="15" t="str">
        <f>IFERROR(VLOOKUP(A454,Sheet1!$E$3:$F$27,2,),"")</f>
        <v>Standby</v>
      </c>
      <c r="I454" s="16" t="str">
        <f>IFERROR(VLOOKUP(A454,Sheet1!$E$3:$G$27,3,0),"")</f>
        <v>Standby On Call</v>
      </c>
      <c r="J454" s="20"/>
      <c r="K454" s="17">
        <v>46024.0</v>
      </c>
      <c r="L454" s="24"/>
      <c r="M454" s="13"/>
      <c r="N454" s="23"/>
      <c r="O454" s="22"/>
      <c r="P454" s="22"/>
    </row>
    <row r="455" ht="22.5" customHeight="1">
      <c r="A455" s="12" t="s">
        <v>65</v>
      </c>
      <c r="B455" s="20" t="str">
        <f>IFERROR(VLOOKUP(A455,Sheet1!$E$3:$H$27,4,0),"")</f>
        <v>P3</v>
      </c>
      <c r="C455" s="15"/>
      <c r="D455" s="12" t="s">
        <v>32</v>
      </c>
      <c r="E455" s="13" t="str">
        <f>IFERROR(VLOOKUP(D455,Sheet1!$B$1:$C$45,2,0),"")</f>
        <v>TE</v>
      </c>
      <c r="F455" s="12" t="s">
        <v>108</v>
      </c>
      <c r="G455" s="13" t="str">
        <f t="shared" si="3"/>
        <v>Barito Raya</v>
      </c>
      <c r="H455" s="15" t="str">
        <f>IFERROR(VLOOKUP(A455,Sheet1!$E$3:$F$27,2,),"")</f>
        <v>Standby</v>
      </c>
      <c r="I455" s="16" t="str">
        <f>IFERROR(VLOOKUP(A455,Sheet1!$E$3:$G$27,3,0),"")</f>
        <v>Standby On Call</v>
      </c>
      <c r="J455" s="20"/>
      <c r="K455" s="17">
        <v>46024.0</v>
      </c>
      <c r="L455" s="24"/>
      <c r="M455" s="13"/>
      <c r="N455" s="23"/>
      <c r="O455" s="22"/>
      <c r="P455" s="22"/>
    </row>
    <row r="456" ht="22.5" customHeight="1">
      <c r="A456" s="12" t="s">
        <v>65</v>
      </c>
      <c r="B456" s="20" t="str">
        <f>IFERROR(VLOOKUP(A456,Sheet1!$E$3:$H$27,4,0),"")</f>
        <v>P3</v>
      </c>
      <c r="C456" s="15"/>
      <c r="D456" s="12" t="s">
        <v>74</v>
      </c>
      <c r="E456" s="13" t="str">
        <f>IFERROR(VLOOKUP(D456,Sheet1!$B$1:$C$45,2,0),"")</f>
        <v>TE</v>
      </c>
      <c r="F456" s="12" t="s">
        <v>108</v>
      </c>
      <c r="G456" s="13" t="str">
        <f t="shared" si="3"/>
        <v>Barito Raya</v>
      </c>
      <c r="H456" s="15" t="str">
        <f>IFERROR(VLOOKUP(A456,Sheet1!$E$3:$F$27,2,),"")</f>
        <v>Standby</v>
      </c>
      <c r="I456" s="16" t="str">
        <f>IFERROR(VLOOKUP(A456,Sheet1!$E$3:$G$27,3,0),"")</f>
        <v>Standby On Call</v>
      </c>
      <c r="J456" s="20"/>
      <c r="K456" s="17">
        <v>46024.0</v>
      </c>
      <c r="L456" s="24"/>
      <c r="M456" s="13"/>
      <c r="N456" s="23"/>
      <c r="O456" s="22"/>
      <c r="P456" s="22"/>
    </row>
    <row r="457" ht="22.5" customHeight="1">
      <c r="A457" s="12" t="s">
        <v>5</v>
      </c>
      <c r="B457" s="20" t="str">
        <f>IFERROR(VLOOKUP(A457,Sheet1!$E$3:$H$27,4,0),"")</f>
        <v>P1</v>
      </c>
      <c r="C457" s="14" t="s">
        <v>329</v>
      </c>
      <c r="D457" s="12" t="s">
        <v>60</v>
      </c>
      <c r="E457" s="13" t="str">
        <f>IFERROR(VLOOKUP(D457,Sheet1!$B$1:$C$45,2,0),"")</f>
        <v>TE</v>
      </c>
      <c r="F457" s="12" t="s">
        <v>108</v>
      </c>
      <c r="G457" s="13" t="str">
        <f t="shared" si="3"/>
        <v>Barito Raya</v>
      </c>
      <c r="H457" s="15" t="str">
        <f>IFERROR(VLOOKUP(A457,Sheet1!$E$3:$F$27,2,),"")</f>
        <v>Corrective</v>
      </c>
      <c r="I457" s="16" t="str">
        <f>IFERROR(VLOOKUP(A457,Sheet1!$E$3:$G$27,3,0),"")</f>
        <v>Replace Optik,RRU/Soket Power/Replace GPS</v>
      </c>
      <c r="J457" s="12" t="s">
        <v>112</v>
      </c>
      <c r="K457" s="17">
        <v>46024.0</v>
      </c>
      <c r="L457" s="17">
        <v>46024.0</v>
      </c>
      <c r="M457" s="12" t="s">
        <v>137</v>
      </c>
      <c r="N457" s="23"/>
      <c r="O457" s="22"/>
      <c r="P457" s="22"/>
    </row>
    <row r="458" ht="22.5" customHeight="1">
      <c r="A458" s="12" t="s">
        <v>5</v>
      </c>
      <c r="B458" s="20" t="str">
        <f>IFERROR(VLOOKUP(A458,Sheet1!$E$3:$H$27,4,0),"")</f>
        <v>P1</v>
      </c>
      <c r="C458" s="14" t="s">
        <v>329</v>
      </c>
      <c r="D458" s="12" t="s">
        <v>62</v>
      </c>
      <c r="E458" s="13" t="str">
        <f>IFERROR(VLOOKUP(D458,Sheet1!$B$1:$C$45,2,0),"")</f>
        <v>TE</v>
      </c>
      <c r="F458" s="12" t="s">
        <v>108</v>
      </c>
      <c r="G458" s="13" t="str">
        <f t="shared" si="3"/>
        <v>Barito Raya</v>
      </c>
      <c r="H458" s="15" t="str">
        <f>IFERROR(VLOOKUP(A458,Sheet1!$E$3:$F$27,2,),"")</f>
        <v>Corrective</v>
      </c>
      <c r="I458" s="16" t="str">
        <f>IFERROR(VLOOKUP(A458,Sheet1!$E$3:$G$27,3,0),"")</f>
        <v>Replace Optik,RRU/Soket Power/Replace GPS</v>
      </c>
      <c r="J458" s="12" t="s">
        <v>112</v>
      </c>
      <c r="K458" s="17">
        <v>46024.0</v>
      </c>
      <c r="L458" s="17">
        <v>46024.0</v>
      </c>
      <c r="M458" s="12" t="s">
        <v>137</v>
      </c>
      <c r="N458" s="23"/>
      <c r="O458" s="22"/>
      <c r="P458" s="22"/>
    </row>
    <row r="459" ht="22.5" customHeight="1">
      <c r="A459" s="12" t="s">
        <v>65</v>
      </c>
      <c r="B459" s="20" t="str">
        <f>IFERROR(VLOOKUP(A459,Sheet1!$E$3:$H$27,4,0),"")</f>
        <v>P3</v>
      </c>
      <c r="C459" s="15"/>
      <c r="D459" s="12" t="s">
        <v>9</v>
      </c>
      <c r="E459" s="13" t="str">
        <f>IFERROR(VLOOKUP(D459,Sheet1!$B$1:$C$45,2,0),"")</f>
        <v>MBP</v>
      </c>
      <c r="F459" s="12" t="s">
        <v>108</v>
      </c>
      <c r="G459" s="13" t="str">
        <f t="shared" si="3"/>
        <v>Barito Raya</v>
      </c>
      <c r="H459" s="15" t="str">
        <f>IFERROR(VLOOKUP(A459,Sheet1!$E$3:$F$27,2,),"")</f>
        <v>Standby</v>
      </c>
      <c r="I459" s="16" t="str">
        <f>IFERROR(VLOOKUP(A459,Sheet1!$E$3:$G$27,3,0),"")</f>
        <v>Standby On Call</v>
      </c>
      <c r="J459" s="20"/>
      <c r="K459" s="17">
        <v>46024.0</v>
      </c>
      <c r="L459" s="24"/>
      <c r="M459" s="13"/>
      <c r="N459" s="23"/>
      <c r="O459" s="22"/>
      <c r="P459" s="22"/>
    </row>
    <row r="460" ht="22.5" customHeight="1">
      <c r="A460" s="12" t="s">
        <v>65</v>
      </c>
      <c r="B460" s="20" t="str">
        <f>IFERROR(VLOOKUP(A460,Sheet1!$E$3:$H$27,4,0),"")</f>
        <v>P3</v>
      </c>
      <c r="C460" s="15"/>
      <c r="D460" s="12" t="s">
        <v>4</v>
      </c>
      <c r="E460" s="13" t="str">
        <f>IFERROR(VLOOKUP(D460,Sheet1!$B$1:$C$45,2,0),"")</f>
        <v>CME</v>
      </c>
      <c r="F460" s="12" t="s">
        <v>108</v>
      </c>
      <c r="G460" s="13" t="str">
        <f t="shared" si="3"/>
        <v>Barito Raya</v>
      </c>
      <c r="H460" s="15" t="str">
        <f>IFERROR(VLOOKUP(A460,Sheet1!$E$3:$F$27,2,),"")</f>
        <v>Standby</v>
      </c>
      <c r="I460" s="16" t="str">
        <f>IFERROR(VLOOKUP(A460,Sheet1!$E$3:$G$27,3,0),"")</f>
        <v>Standby On Call</v>
      </c>
      <c r="J460" s="20"/>
      <c r="K460" s="17">
        <v>46024.0</v>
      </c>
      <c r="L460" s="24"/>
      <c r="M460" s="13"/>
      <c r="N460" s="23"/>
      <c r="O460" s="22"/>
      <c r="P460" s="22"/>
    </row>
    <row r="461" ht="22.5" customHeight="1">
      <c r="A461" s="12" t="s">
        <v>65</v>
      </c>
      <c r="B461" s="20" t="str">
        <f>IFERROR(VLOOKUP(A461,Sheet1!$E$3:$H$27,4,0),"")</f>
        <v>P3</v>
      </c>
      <c r="C461" s="15"/>
      <c r="D461" s="12" t="s">
        <v>87</v>
      </c>
      <c r="E461" s="13" t="str">
        <f>IFERROR(VLOOKUP(D461,Sheet1!$B$1:$C$45,2,0),"")</f>
        <v>MBP</v>
      </c>
      <c r="F461" s="12" t="s">
        <v>108</v>
      </c>
      <c r="G461" s="13" t="str">
        <f t="shared" si="3"/>
        <v>Barito Raya</v>
      </c>
      <c r="H461" s="15" t="str">
        <f>IFERROR(VLOOKUP(A461,Sheet1!$E$3:$F$27,2,),"")</f>
        <v>Standby</v>
      </c>
      <c r="I461" s="16" t="str">
        <f>IFERROR(VLOOKUP(A461,Sheet1!$E$3:$G$27,3,0),"")</f>
        <v>Standby On Call</v>
      </c>
      <c r="J461" s="20"/>
      <c r="K461" s="17">
        <v>46024.0</v>
      </c>
      <c r="L461" s="24"/>
      <c r="M461" s="13"/>
      <c r="N461" s="23"/>
      <c r="O461" s="22"/>
      <c r="P461" s="22"/>
    </row>
    <row r="462" ht="22.5" customHeight="1">
      <c r="A462" s="12" t="s">
        <v>65</v>
      </c>
      <c r="B462" s="20" t="str">
        <f>IFERROR(VLOOKUP(A462,Sheet1!$E$3:$H$27,4,0),"")</f>
        <v>P3</v>
      </c>
      <c r="C462" s="15"/>
      <c r="D462" s="12" t="s">
        <v>24</v>
      </c>
      <c r="E462" s="13" t="str">
        <f>IFERROR(VLOOKUP(D462,Sheet1!$B$1:$C$45,2,0),"")</f>
        <v>MBP</v>
      </c>
      <c r="F462" s="12" t="s">
        <v>108</v>
      </c>
      <c r="G462" s="13" t="str">
        <f t="shared" si="3"/>
        <v>Barito Raya</v>
      </c>
      <c r="H462" s="15" t="str">
        <f>IFERROR(VLOOKUP(A462,Sheet1!$E$3:$F$27,2,),"")</f>
        <v>Standby</v>
      </c>
      <c r="I462" s="16" t="str">
        <f>IFERROR(VLOOKUP(A462,Sheet1!$E$3:$G$27,3,0),"")</f>
        <v>Standby On Call</v>
      </c>
      <c r="J462" s="20"/>
      <c r="K462" s="17">
        <v>46024.0</v>
      </c>
      <c r="L462" s="24"/>
      <c r="M462" s="13"/>
      <c r="N462" s="23"/>
      <c r="O462" s="22"/>
      <c r="P462" s="22"/>
    </row>
    <row r="463" ht="22.5" customHeight="1">
      <c r="A463" s="12" t="s">
        <v>14</v>
      </c>
      <c r="B463" s="20" t="str">
        <f>IFERROR(VLOOKUP(A463,Sheet1!$E$3:$H$27,4,0),"")</f>
        <v>P1</v>
      </c>
      <c r="C463" s="14" t="s">
        <v>313</v>
      </c>
      <c r="D463" s="12" t="s">
        <v>29</v>
      </c>
      <c r="E463" s="13" t="str">
        <f>IFERROR(VLOOKUP(D463,Sheet1!$B$1:$C$45,2,0),"")</f>
        <v>MBP</v>
      </c>
      <c r="F463" s="12" t="s">
        <v>108</v>
      </c>
      <c r="G463" s="13" t="str">
        <f t="shared" si="3"/>
        <v>Barito Raya</v>
      </c>
      <c r="H463" s="15" t="str">
        <f>IFERROR(VLOOKUP(A463,Sheet1!$E$3:$F$27,2,),"")</f>
        <v>Corrective</v>
      </c>
      <c r="I463" s="16" t="str">
        <f>IFERROR(VLOOKUP(A463,Sheet1!$E$3:$G$27,3,0),"")</f>
        <v>Pemadaman,MCB Trip,Transmisi problem</v>
      </c>
      <c r="J463" s="12" t="s">
        <v>112</v>
      </c>
      <c r="K463" s="17">
        <v>46024.0</v>
      </c>
      <c r="L463" s="17">
        <v>46024.0</v>
      </c>
      <c r="M463" s="12" t="s">
        <v>109</v>
      </c>
      <c r="N463" s="23"/>
      <c r="O463" s="22"/>
      <c r="P463" s="22"/>
    </row>
    <row r="464" ht="22.5" customHeight="1">
      <c r="A464" s="12" t="s">
        <v>65</v>
      </c>
      <c r="B464" s="20" t="str">
        <f>IFERROR(VLOOKUP(A464,Sheet1!$E$3:$H$27,4,0),"")</f>
        <v>P3</v>
      </c>
      <c r="C464" s="15"/>
      <c r="D464" s="12" t="s">
        <v>2</v>
      </c>
      <c r="E464" s="13" t="str">
        <f>IFERROR(VLOOKUP(D464,Sheet1!$B$1:$C$45,2,0),"")</f>
        <v>CME</v>
      </c>
      <c r="F464" s="12" t="s">
        <v>108</v>
      </c>
      <c r="G464" s="13" t="str">
        <f t="shared" si="3"/>
        <v>Barito Raya</v>
      </c>
      <c r="H464" s="15" t="str">
        <f>IFERROR(VLOOKUP(A464,Sheet1!$E$3:$F$27,2,),"")</f>
        <v>Standby</v>
      </c>
      <c r="I464" s="16" t="str">
        <f>IFERROR(VLOOKUP(A464,Sheet1!$E$3:$G$27,3,0),"")</f>
        <v>Standby On Call</v>
      </c>
      <c r="J464" s="20"/>
      <c r="K464" s="17">
        <v>46024.0</v>
      </c>
      <c r="L464" s="24"/>
      <c r="M464" s="13"/>
      <c r="N464" s="23"/>
      <c r="O464" s="22"/>
      <c r="P464" s="22"/>
    </row>
    <row r="465" ht="22.5" customHeight="1">
      <c r="A465" s="12" t="s">
        <v>27</v>
      </c>
      <c r="B465" s="20" t="str">
        <f>IFERROR(VLOOKUP(A465,Sheet1!$E$3:$H$27,4,0),"")</f>
        <v>P2</v>
      </c>
      <c r="C465" s="14" t="s">
        <v>164</v>
      </c>
      <c r="D465" s="12" t="s">
        <v>0</v>
      </c>
      <c r="E465" s="13" t="str">
        <f>IFERROR(VLOOKUP(D465,Sheet1!$B$1:$C$45,2,0),"")</f>
        <v>MBP</v>
      </c>
      <c r="F465" s="12" t="s">
        <v>108</v>
      </c>
      <c r="G465" s="13" t="str">
        <f t="shared" si="3"/>
        <v>Barito Raya</v>
      </c>
      <c r="H465" s="15" t="str">
        <f>IFERROR(VLOOKUP(A465,Sheet1!$E$3:$F$27,2,),"")</f>
        <v>Preventive</v>
      </c>
      <c r="I465" s="16" t="str">
        <f>IFERROR(VLOOKUP(A465,Sheet1!$E$3:$G$27,3,0),"")</f>
        <v>Akses/Hub Site problem metro</v>
      </c>
      <c r="J465" s="12" t="s">
        <v>112</v>
      </c>
      <c r="K465" s="17">
        <v>46024.0</v>
      </c>
      <c r="L465" s="17">
        <v>46024.0</v>
      </c>
      <c r="M465" s="12" t="s">
        <v>137</v>
      </c>
      <c r="N465" s="23"/>
      <c r="O465" s="22"/>
      <c r="P465" s="22"/>
    </row>
    <row r="466" ht="22.5" customHeight="1">
      <c r="A466" s="12" t="s">
        <v>22</v>
      </c>
      <c r="B466" s="20" t="str">
        <f>IFERROR(VLOOKUP(A466,Sheet1!$E$3:$H$27,4,0),"")</f>
        <v>P2</v>
      </c>
      <c r="C466" s="15"/>
      <c r="D466" s="12" t="s">
        <v>85</v>
      </c>
      <c r="E466" s="13" t="str">
        <f>IFERROR(VLOOKUP(D466,Sheet1!$B$1:$C$45,2,0),"")</f>
        <v>PM</v>
      </c>
      <c r="F466" s="12" t="s">
        <v>108</v>
      </c>
      <c r="G466" s="13" t="str">
        <f t="shared" si="3"/>
        <v>Barito Raya</v>
      </c>
      <c r="H466" s="15" t="str">
        <f>IFERROR(VLOOKUP(A466,Sheet1!$E$3:$F$27,2,),"")</f>
        <v>Preventive</v>
      </c>
      <c r="I466" s="16" t="str">
        <f>IFERROR(VLOOKUP(A466,Sheet1!$E$3:$G$27,3,0),"")</f>
        <v>Preventive Maintenance</v>
      </c>
      <c r="J466" s="12" t="s">
        <v>172</v>
      </c>
      <c r="K466" s="17">
        <v>46024.0</v>
      </c>
      <c r="L466" s="24"/>
      <c r="M466" s="13"/>
      <c r="N466" s="23"/>
      <c r="O466" s="22"/>
      <c r="P466" s="22"/>
    </row>
    <row r="467" ht="22.5" customHeight="1">
      <c r="A467" s="12" t="s">
        <v>22</v>
      </c>
      <c r="B467" s="20" t="str">
        <f>IFERROR(VLOOKUP(A467,Sheet1!$E$3:$H$27,4,0),"")</f>
        <v>P2</v>
      </c>
      <c r="C467" s="15"/>
      <c r="D467" s="12" t="s">
        <v>84</v>
      </c>
      <c r="E467" s="13" t="str">
        <f>IFERROR(VLOOKUP(D467,Sheet1!$B$1:$C$45,2,0),"")</f>
        <v>MBP</v>
      </c>
      <c r="F467" s="12" t="s">
        <v>108</v>
      </c>
      <c r="G467" s="13" t="str">
        <f t="shared" si="3"/>
        <v>Barito Raya</v>
      </c>
      <c r="H467" s="15" t="str">
        <f>IFERROR(VLOOKUP(A467,Sheet1!$E$3:$F$27,2,),"")</f>
        <v>Preventive</v>
      </c>
      <c r="I467" s="16" t="str">
        <f>IFERROR(VLOOKUP(A467,Sheet1!$E$3:$G$27,3,0),"")</f>
        <v>Preventive Maintenance</v>
      </c>
      <c r="J467" s="12" t="s">
        <v>172</v>
      </c>
      <c r="K467" s="17">
        <v>46024.0</v>
      </c>
      <c r="L467" s="24"/>
      <c r="M467" s="13"/>
      <c r="N467" s="23"/>
      <c r="O467" s="22"/>
      <c r="P467" s="22"/>
    </row>
    <row r="468" ht="22.5" customHeight="1">
      <c r="A468" s="12" t="s">
        <v>22</v>
      </c>
      <c r="B468" s="20" t="str">
        <f>IFERROR(VLOOKUP(A468,Sheet1!$E$3:$H$27,4,0),"")</f>
        <v>P2</v>
      </c>
      <c r="C468" s="15"/>
      <c r="D468" s="12" t="s">
        <v>86</v>
      </c>
      <c r="E468" s="13" t="str">
        <f>IFERROR(VLOOKUP(D468,Sheet1!$B$1:$C$45,2,0),"")</f>
        <v>PM</v>
      </c>
      <c r="F468" s="12" t="s">
        <v>108</v>
      </c>
      <c r="G468" s="13" t="str">
        <f t="shared" si="3"/>
        <v>Barito Raya</v>
      </c>
      <c r="H468" s="15" t="str">
        <f>IFERROR(VLOOKUP(A468,Sheet1!$E$3:$F$27,2,),"")</f>
        <v>Preventive</v>
      </c>
      <c r="I468" s="16" t="str">
        <f>IFERROR(VLOOKUP(A468,Sheet1!$E$3:$G$27,3,0),"")</f>
        <v>Preventive Maintenance</v>
      </c>
      <c r="J468" s="12" t="s">
        <v>172</v>
      </c>
      <c r="K468" s="17">
        <v>46024.0</v>
      </c>
      <c r="L468" s="24"/>
      <c r="M468" s="13"/>
      <c r="N468" s="23"/>
      <c r="O468" s="22"/>
      <c r="P468" s="22"/>
    </row>
    <row r="469" ht="22.5" customHeight="1">
      <c r="A469" s="12" t="s">
        <v>14</v>
      </c>
      <c r="B469" s="20" t="str">
        <f>IFERROR(VLOOKUP(A469,Sheet1!$E$3:$H$27,4,0),"")</f>
        <v>P1</v>
      </c>
      <c r="C469" s="14" t="s">
        <v>361</v>
      </c>
      <c r="D469" s="12" t="s">
        <v>39</v>
      </c>
      <c r="E469" s="13" t="str">
        <f>IFERROR(VLOOKUP(D469,Sheet1!$B$1:$C$45,2,0),"")</f>
        <v>TE</v>
      </c>
      <c r="F469" s="12" t="s">
        <v>179</v>
      </c>
      <c r="G469" s="13" t="str">
        <f t="shared" si="3"/>
        <v>Palangkaraya</v>
      </c>
      <c r="H469" s="15" t="str">
        <f>IFERROR(VLOOKUP(A469,Sheet1!$E$3:$F$27,2,),"")</f>
        <v>Corrective</v>
      </c>
      <c r="I469" s="16" t="str">
        <f>IFERROR(VLOOKUP(A469,Sheet1!$E$3:$G$27,3,0),"")</f>
        <v>Pemadaman,MCB Trip,Transmisi problem</v>
      </c>
      <c r="J469" s="12" t="s">
        <v>112</v>
      </c>
      <c r="K469" s="17">
        <v>46024.0</v>
      </c>
      <c r="L469" s="17">
        <v>46024.0</v>
      </c>
      <c r="M469" s="12" t="s">
        <v>109</v>
      </c>
      <c r="N469" s="23"/>
      <c r="O469" s="22"/>
      <c r="P469" s="22"/>
    </row>
    <row r="470" ht="22.5" customHeight="1">
      <c r="A470" s="12" t="s">
        <v>14</v>
      </c>
      <c r="B470" s="20" t="str">
        <f>IFERROR(VLOOKUP(A470,Sheet1!$E$3:$H$27,4,0),"")</f>
        <v>P1</v>
      </c>
      <c r="C470" s="14" t="s">
        <v>361</v>
      </c>
      <c r="D470" s="12" t="s">
        <v>76</v>
      </c>
      <c r="E470" s="13" t="str">
        <f>IFERROR(VLOOKUP(D470,Sheet1!$B$1:$C$45,2,0),"")</f>
        <v>TE</v>
      </c>
      <c r="F470" s="12" t="s">
        <v>179</v>
      </c>
      <c r="G470" s="13" t="str">
        <f t="shared" si="3"/>
        <v>Palangkaraya</v>
      </c>
      <c r="H470" s="15" t="str">
        <f>IFERROR(VLOOKUP(A470,Sheet1!$E$3:$F$27,2,),"")</f>
        <v>Corrective</v>
      </c>
      <c r="I470" s="16" t="str">
        <f>IFERROR(VLOOKUP(A470,Sheet1!$E$3:$G$27,3,0),"")</f>
        <v>Pemadaman,MCB Trip,Transmisi problem</v>
      </c>
      <c r="J470" s="12" t="s">
        <v>112</v>
      </c>
      <c r="K470" s="17">
        <v>46024.0</v>
      </c>
      <c r="L470" s="17">
        <v>46024.0</v>
      </c>
      <c r="M470" s="12" t="s">
        <v>109</v>
      </c>
      <c r="N470" s="23"/>
      <c r="O470" s="22"/>
      <c r="P470" s="22"/>
    </row>
    <row r="471" ht="22.5" customHeight="1">
      <c r="A471" s="12" t="s">
        <v>5</v>
      </c>
      <c r="B471" s="20" t="str">
        <f>IFERROR(VLOOKUP(A471,Sheet1!$E$3:$H$27,4,0),"")</f>
        <v>P1</v>
      </c>
      <c r="C471" s="14" t="s">
        <v>228</v>
      </c>
      <c r="D471" s="12" t="s">
        <v>77</v>
      </c>
      <c r="E471" s="13" t="str">
        <f>IFERROR(VLOOKUP(D471,Sheet1!$B$1:$C$45,2,0),"")</f>
        <v>TE</v>
      </c>
      <c r="F471" s="12" t="s">
        <v>179</v>
      </c>
      <c r="G471" s="13" t="str">
        <f t="shared" si="3"/>
        <v>Palangkaraya</v>
      </c>
      <c r="H471" s="15" t="str">
        <f>IFERROR(VLOOKUP(A471,Sheet1!$E$3:$F$27,2,),"")</f>
        <v>Corrective</v>
      </c>
      <c r="I471" s="16" t="str">
        <f>IFERROR(VLOOKUP(A471,Sheet1!$E$3:$G$27,3,0),"")</f>
        <v>Replace Optik,RRU/Soket Power/Replace GPS</v>
      </c>
      <c r="J471" s="12" t="s">
        <v>112</v>
      </c>
      <c r="K471" s="17">
        <v>46024.0</v>
      </c>
      <c r="L471" s="24"/>
      <c r="M471" s="12" t="s">
        <v>122</v>
      </c>
      <c r="N471" s="23"/>
      <c r="O471" s="22"/>
      <c r="P471" s="22"/>
    </row>
    <row r="472" ht="22.5" customHeight="1">
      <c r="A472" s="12" t="s">
        <v>68</v>
      </c>
      <c r="B472" s="20" t="str">
        <f>IFERROR(VLOOKUP(A472,Sheet1!$E$3:$H$27,4,0),"")</f>
        <v>P3</v>
      </c>
      <c r="C472" s="15"/>
      <c r="D472" s="12" t="s">
        <v>42</v>
      </c>
      <c r="E472" s="13" t="str">
        <f>IFERROR(VLOOKUP(D472,Sheet1!$B$1:$C$45,2,0),"")</f>
        <v>TE</v>
      </c>
      <c r="F472" s="12" t="s">
        <v>179</v>
      </c>
      <c r="G472" s="13" t="str">
        <f t="shared" si="3"/>
        <v>Palangkaraya</v>
      </c>
      <c r="H472" s="15" t="str">
        <f>IFERROR(VLOOKUP(A472,Sheet1!$E$3:$F$27,2,),"")</f>
        <v>On Leave</v>
      </c>
      <c r="I472" s="16" t="str">
        <f>IFERROR(VLOOKUP(A472,Sheet1!$E$3:$G$27,3,0),"")</f>
        <v>On Leave</v>
      </c>
      <c r="J472" s="12" t="s">
        <v>66</v>
      </c>
      <c r="K472" s="17">
        <v>46024.0</v>
      </c>
      <c r="L472" s="24"/>
      <c r="M472" s="12" t="s">
        <v>137</v>
      </c>
      <c r="N472" s="23"/>
      <c r="O472" s="22"/>
      <c r="P472" s="22"/>
    </row>
    <row r="473" ht="22.5" customHeight="1">
      <c r="A473" s="12" t="s">
        <v>14</v>
      </c>
      <c r="B473" s="20" t="str">
        <f>IFERROR(VLOOKUP(A473,Sheet1!$E$3:$H$27,4,0),"")</f>
        <v>P1</v>
      </c>
      <c r="C473" s="14" t="s">
        <v>361</v>
      </c>
      <c r="D473" s="12" t="s">
        <v>78</v>
      </c>
      <c r="E473" s="13" t="str">
        <f>IFERROR(VLOOKUP(D473,Sheet1!$B$1:$C$45,2,0),"")</f>
        <v>TE</v>
      </c>
      <c r="F473" s="12" t="s">
        <v>179</v>
      </c>
      <c r="G473" s="13" t="str">
        <f t="shared" si="3"/>
        <v>Palangkaraya</v>
      </c>
      <c r="H473" s="15" t="str">
        <f>IFERROR(VLOOKUP(A473,Sheet1!$E$3:$F$27,2,),"")</f>
        <v>Corrective</v>
      </c>
      <c r="I473" s="16" t="str">
        <f>IFERROR(VLOOKUP(A473,Sheet1!$E$3:$G$27,3,0),"")</f>
        <v>Pemadaman,MCB Trip,Transmisi problem</v>
      </c>
      <c r="J473" s="12" t="s">
        <v>112</v>
      </c>
      <c r="K473" s="17">
        <v>46024.0</v>
      </c>
      <c r="L473" s="17">
        <v>46024.0</v>
      </c>
      <c r="M473" s="12" t="s">
        <v>109</v>
      </c>
      <c r="N473" s="23"/>
      <c r="O473" s="22"/>
      <c r="P473" s="22"/>
    </row>
    <row r="474" ht="22.5" customHeight="1">
      <c r="A474" s="12" t="s">
        <v>70</v>
      </c>
      <c r="B474" s="20" t="str">
        <f>IFERROR(VLOOKUP(A474,Sheet1!$E$3:$H$27,4,0),"")</f>
        <v>P3</v>
      </c>
      <c r="C474" s="15"/>
      <c r="D474" s="12" t="s">
        <v>37</v>
      </c>
      <c r="E474" s="13" t="str">
        <f>IFERROR(VLOOKUP(D474,Sheet1!$B$1:$C$45,2,0),"")</f>
        <v>TE</v>
      </c>
      <c r="F474" s="12" t="s">
        <v>179</v>
      </c>
      <c r="G474" s="13" t="str">
        <f t="shared" si="3"/>
        <v>Palangkaraya</v>
      </c>
      <c r="H474" s="15" t="str">
        <f>IFERROR(VLOOKUP(A474,Sheet1!$E$3:$F$27,2,),"")</f>
        <v>Sick</v>
      </c>
      <c r="I474" s="16" t="str">
        <f>IFERROR(VLOOKUP(A474,Sheet1!$E$3:$G$27,3,0),"")</f>
        <v>Sick</v>
      </c>
      <c r="J474" s="12" t="s">
        <v>66</v>
      </c>
      <c r="K474" s="17">
        <v>46024.0</v>
      </c>
      <c r="L474" s="24"/>
      <c r="M474" s="12" t="s">
        <v>137</v>
      </c>
      <c r="N474" s="23"/>
      <c r="O474" s="22"/>
      <c r="P474" s="22"/>
    </row>
    <row r="475" ht="22.5" customHeight="1">
      <c r="A475" s="12" t="s">
        <v>65</v>
      </c>
      <c r="B475" s="20" t="str">
        <f>IFERROR(VLOOKUP(A475,Sheet1!$E$3:$H$27,4,0),"")</f>
        <v>P3</v>
      </c>
      <c r="C475" s="15"/>
      <c r="D475" s="12" t="s">
        <v>80</v>
      </c>
      <c r="E475" s="13" t="str">
        <f>IFERROR(VLOOKUP(D475,Sheet1!$B$1:$C$45,2,0),"")</f>
        <v>TE</v>
      </c>
      <c r="F475" s="12" t="s">
        <v>179</v>
      </c>
      <c r="G475" s="13" t="str">
        <f t="shared" si="3"/>
        <v>Palangkaraya</v>
      </c>
      <c r="H475" s="15" t="str">
        <f>IFERROR(VLOOKUP(A475,Sheet1!$E$3:$F$27,2,),"")</f>
        <v>Standby</v>
      </c>
      <c r="I475" s="16" t="str">
        <f>IFERROR(VLOOKUP(A475,Sheet1!$E$3:$G$27,3,0),"")</f>
        <v>Standby On Call</v>
      </c>
      <c r="J475" s="12" t="s">
        <v>66</v>
      </c>
      <c r="K475" s="17">
        <v>46024.0</v>
      </c>
      <c r="L475" s="24"/>
      <c r="M475" s="12" t="s">
        <v>137</v>
      </c>
      <c r="N475" s="23"/>
      <c r="O475" s="22"/>
      <c r="P475" s="22"/>
    </row>
    <row r="476" ht="22.5" customHeight="1">
      <c r="A476" s="12" t="s">
        <v>5</v>
      </c>
      <c r="B476" s="20" t="str">
        <f>IFERROR(VLOOKUP(A476,Sheet1!$E$3:$H$27,4,0),"")</f>
        <v>P1</v>
      </c>
      <c r="C476" s="14" t="s">
        <v>268</v>
      </c>
      <c r="D476" s="12" t="s">
        <v>91</v>
      </c>
      <c r="E476" s="13" t="str">
        <f>IFERROR(VLOOKUP(D476,Sheet1!$B$1:$C$45,2,0),"")</f>
        <v>TE</v>
      </c>
      <c r="F476" s="12" t="s">
        <v>179</v>
      </c>
      <c r="G476" s="13" t="str">
        <f t="shared" si="3"/>
        <v>Palangkaraya</v>
      </c>
      <c r="H476" s="15" t="str">
        <f>IFERROR(VLOOKUP(A476,Sheet1!$E$3:$F$27,2,),"")</f>
        <v>Corrective</v>
      </c>
      <c r="I476" s="16" t="str">
        <f>IFERROR(VLOOKUP(A476,Sheet1!$E$3:$G$27,3,0),"")</f>
        <v>Replace Optik,RRU/Soket Power/Replace GPS</v>
      </c>
      <c r="J476" s="12" t="s">
        <v>112</v>
      </c>
      <c r="K476" s="17">
        <v>46024.0</v>
      </c>
      <c r="L476" s="24"/>
      <c r="M476" s="12" t="s">
        <v>122</v>
      </c>
      <c r="N476" s="23"/>
      <c r="O476" s="22"/>
      <c r="P476" s="22"/>
    </row>
    <row r="477" ht="22.5" customHeight="1">
      <c r="A477" s="12" t="s">
        <v>5</v>
      </c>
      <c r="B477" s="20" t="str">
        <f>IFERROR(VLOOKUP(A477,Sheet1!$E$3:$H$27,4,0),"")</f>
        <v>P1</v>
      </c>
      <c r="C477" s="14" t="s">
        <v>304</v>
      </c>
      <c r="D477" s="12" t="s">
        <v>58</v>
      </c>
      <c r="E477" s="13" t="str">
        <f>IFERROR(VLOOKUP(D477,Sheet1!$B$1:$C$45,2,0),"")</f>
        <v>TE</v>
      </c>
      <c r="F477" s="12" t="s">
        <v>179</v>
      </c>
      <c r="G477" s="13" t="str">
        <f t="shared" si="3"/>
        <v>Palangkaraya</v>
      </c>
      <c r="H477" s="15" t="str">
        <f>IFERROR(VLOOKUP(A477,Sheet1!$E$3:$F$27,2,),"")</f>
        <v>Corrective</v>
      </c>
      <c r="I477" s="16" t="str">
        <f>IFERROR(VLOOKUP(A477,Sheet1!$E$3:$G$27,3,0),"")</f>
        <v>Replace Optik,RRU/Soket Power/Replace GPS</v>
      </c>
      <c r="J477" s="12" t="s">
        <v>172</v>
      </c>
      <c r="K477" s="17">
        <v>46024.0</v>
      </c>
      <c r="L477" s="24"/>
      <c r="M477" s="12" t="s">
        <v>122</v>
      </c>
      <c r="N477" s="23"/>
      <c r="O477" s="22"/>
      <c r="P477" s="22"/>
    </row>
    <row r="478" ht="22.5" customHeight="1">
      <c r="A478" s="12" t="s">
        <v>14</v>
      </c>
      <c r="B478" s="20" t="str">
        <f>IFERROR(VLOOKUP(A478,Sheet1!$E$3:$H$27,4,0),"")</f>
        <v>P1</v>
      </c>
      <c r="C478" s="14" t="s">
        <v>371</v>
      </c>
      <c r="D478" s="12" t="s">
        <v>79</v>
      </c>
      <c r="E478" s="13" t="str">
        <f>IFERROR(VLOOKUP(D478,Sheet1!$B$1:$C$45,2,0),"")</f>
        <v>TE</v>
      </c>
      <c r="F478" s="12" t="s">
        <v>179</v>
      </c>
      <c r="G478" s="13" t="str">
        <f t="shared" si="3"/>
        <v>Palangkaraya</v>
      </c>
      <c r="H478" s="15" t="str">
        <f>IFERROR(VLOOKUP(A478,Sheet1!$E$3:$F$27,2,),"")</f>
        <v>Corrective</v>
      </c>
      <c r="I478" s="16" t="str">
        <f>IFERROR(VLOOKUP(A478,Sheet1!$E$3:$G$27,3,0),"")</f>
        <v>Pemadaman,MCB Trip,Transmisi problem</v>
      </c>
      <c r="J478" s="12" t="s">
        <v>112</v>
      </c>
      <c r="K478" s="17">
        <v>46024.0</v>
      </c>
      <c r="L478" s="17">
        <v>46024.0</v>
      </c>
      <c r="M478" s="12" t="s">
        <v>109</v>
      </c>
      <c r="N478" s="23"/>
      <c r="O478" s="22"/>
      <c r="P478" s="22"/>
    </row>
    <row r="479" ht="22.5" customHeight="1">
      <c r="A479" s="12" t="s">
        <v>65</v>
      </c>
      <c r="B479" s="20" t="str">
        <f>IFERROR(VLOOKUP(A479,Sheet1!$E$3:$H$27,4,0),"")</f>
        <v>P3</v>
      </c>
      <c r="C479" s="15"/>
      <c r="D479" s="12" t="s">
        <v>51</v>
      </c>
      <c r="E479" s="13" t="str">
        <f>IFERROR(VLOOKUP(D479,Sheet1!$B$1:$C$45,2,0),"")</f>
        <v>TE</v>
      </c>
      <c r="F479" s="12" t="s">
        <v>179</v>
      </c>
      <c r="G479" s="13" t="str">
        <f t="shared" si="3"/>
        <v>Palangkaraya</v>
      </c>
      <c r="H479" s="15" t="str">
        <f>IFERROR(VLOOKUP(A479,Sheet1!$E$3:$F$27,2,),"")</f>
        <v>Standby</v>
      </c>
      <c r="I479" s="16" t="str">
        <f>IFERROR(VLOOKUP(A479,Sheet1!$E$3:$G$27,3,0),"")</f>
        <v>Standby On Call</v>
      </c>
      <c r="J479" s="12" t="s">
        <v>66</v>
      </c>
      <c r="K479" s="17">
        <v>46024.0</v>
      </c>
      <c r="L479" s="24"/>
      <c r="M479" s="12" t="s">
        <v>137</v>
      </c>
      <c r="N479" s="23"/>
      <c r="O479" s="22"/>
      <c r="P479" s="22"/>
    </row>
    <row r="480" ht="22.5" customHeight="1">
      <c r="A480" s="12" t="s">
        <v>65</v>
      </c>
      <c r="B480" s="20" t="str">
        <f>IFERROR(VLOOKUP(A480,Sheet1!$E$3:$H$27,4,0),"")</f>
        <v>P3</v>
      </c>
      <c r="C480" s="15"/>
      <c r="D480" s="12" t="s">
        <v>56</v>
      </c>
      <c r="E480" s="13" t="str">
        <f>IFERROR(VLOOKUP(D480,Sheet1!$B$1:$C$45,2,0),"")</f>
        <v>TE</v>
      </c>
      <c r="F480" s="12" t="s">
        <v>179</v>
      </c>
      <c r="G480" s="13" t="str">
        <f t="shared" si="3"/>
        <v>Palangkaraya</v>
      </c>
      <c r="H480" s="15" t="str">
        <f>IFERROR(VLOOKUP(A480,Sheet1!$E$3:$F$27,2,),"")</f>
        <v>Standby</v>
      </c>
      <c r="I480" s="16" t="str">
        <f>IFERROR(VLOOKUP(A480,Sheet1!$E$3:$G$27,3,0),"")</f>
        <v>Standby On Call</v>
      </c>
      <c r="J480" s="12" t="s">
        <v>66</v>
      </c>
      <c r="K480" s="17">
        <v>46024.0</v>
      </c>
      <c r="L480" s="24"/>
      <c r="M480" s="12" t="s">
        <v>137</v>
      </c>
      <c r="N480" s="23"/>
      <c r="O480" s="22"/>
      <c r="P480" s="22"/>
    </row>
    <row r="481" ht="22.5" customHeight="1">
      <c r="A481" s="12" t="s">
        <v>14</v>
      </c>
      <c r="B481" s="20" t="str">
        <f>IFERROR(VLOOKUP(A481,Sheet1!$E$3:$H$27,4,0),"")</f>
        <v>P1</v>
      </c>
      <c r="C481" s="14" t="s">
        <v>372</v>
      </c>
      <c r="D481" s="12" t="s">
        <v>69</v>
      </c>
      <c r="E481" s="13" t="str">
        <f>IFERROR(VLOOKUP(D481,Sheet1!$B$1:$C$45,2,0),"")</f>
        <v>TE</v>
      </c>
      <c r="F481" s="12" t="s">
        <v>179</v>
      </c>
      <c r="G481" s="13" t="str">
        <f t="shared" si="3"/>
        <v>Palangkaraya</v>
      </c>
      <c r="H481" s="15" t="str">
        <f>IFERROR(VLOOKUP(A481,Sheet1!$E$3:$F$27,2,),"")</f>
        <v>Corrective</v>
      </c>
      <c r="I481" s="16" t="str">
        <f>IFERROR(VLOOKUP(A481,Sheet1!$E$3:$G$27,3,0),"")</f>
        <v>Pemadaman,MCB Trip,Transmisi problem</v>
      </c>
      <c r="J481" s="12" t="s">
        <v>112</v>
      </c>
      <c r="K481" s="17">
        <v>46024.0</v>
      </c>
      <c r="L481" s="17">
        <v>46024.0</v>
      </c>
      <c r="M481" s="12" t="s">
        <v>122</v>
      </c>
      <c r="N481" s="23"/>
      <c r="O481" s="22"/>
      <c r="P481" s="22"/>
    </row>
    <row r="482" ht="22.5" customHeight="1">
      <c r="A482" s="12" t="s">
        <v>68</v>
      </c>
      <c r="B482" s="20" t="str">
        <f>IFERROR(VLOOKUP(A482,Sheet1!$E$3:$H$27,4,0),"")</f>
        <v>P3</v>
      </c>
      <c r="C482" s="15"/>
      <c r="D482" s="12" t="s">
        <v>71</v>
      </c>
      <c r="E482" s="13" t="str">
        <f>IFERROR(VLOOKUP(D482,Sheet1!$B$1:$C$45,2,0),"")</f>
        <v>TE</v>
      </c>
      <c r="F482" s="12" t="s">
        <v>179</v>
      </c>
      <c r="G482" s="13" t="str">
        <f t="shared" si="3"/>
        <v>Palangkaraya</v>
      </c>
      <c r="H482" s="15" t="str">
        <f>IFERROR(VLOOKUP(A482,Sheet1!$E$3:$F$27,2,),"")</f>
        <v>On Leave</v>
      </c>
      <c r="I482" s="16" t="str">
        <f>IFERROR(VLOOKUP(A482,Sheet1!$E$3:$G$27,3,0),"")</f>
        <v>On Leave</v>
      </c>
      <c r="J482" s="12" t="s">
        <v>66</v>
      </c>
      <c r="K482" s="17">
        <v>46024.0</v>
      </c>
      <c r="L482" s="24"/>
      <c r="M482" s="12" t="s">
        <v>137</v>
      </c>
      <c r="N482" s="23"/>
      <c r="O482" s="22"/>
      <c r="P482" s="22"/>
    </row>
    <row r="483" ht="22.5" customHeight="1">
      <c r="A483" s="12" t="s">
        <v>5</v>
      </c>
      <c r="B483" s="20" t="str">
        <f>IFERROR(VLOOKUP(A483,Sheet1!$E$3:$H$27,4,0),"")</f>
        <v>P1</v>
      </c>
      <c r="C483" s="14" t="s">
        <v>228</v>
      </c>
      <c r="D483" s="12" t="s">
        <v>75</v>
      </c>
      <c r="E483" s="13" t="str">
        <f>IFERROR(VLOOKUP(D483,Sheet1!$B$1:$C$45,2,0),"")</f>
        <v>CME</v>
      </c>
      <c r="F483" s="12" t="s">
        <v>179</v>
      </c>
      <c r="G483" s="13" t="str">
        <f t="shared" si="3"/>
        <v>Palangkaraya</v>
      </c>
      <c r="H483" s="15" t="str">
        <f>IFERROR(VLOOKUP(A483,Sheet1!$E$3:$F$27,2,),"")</f>
        <v>Corrective</v>
      </c>
      <c r="I483" s="16" t="str">
        <f>IFERROR(VLOOKUP(A483,Sheet1!$E$3:$G$27,3,0),"")</f>
        <v>Replace Optik,RRU/Soket Power/Replace GPS</v>
      </c>
      <c r="J483" s="12" t="s">
        <v>112</v>
      </c>
      <c r="K483" s="17">
        <v>46024.0</v>
      </c>
      <c r="L483" s="24"/>
      <c r="M483" s="12" t="s">
        <v>122</v>
      </c>
      <c r="N483" s="23"/>
      <c r="O483" s="22"/>
      <c r="P483" s="22"/>
    </row>
    <row r="484" ht="22.5" customHeight="1">
      <c r="A484" s="12" t="s">
        <v>65</v>
      </c>
      <c r="B484" s="20" t="str">
        <f>IFERROR(VLOOKUP(A484,Sheet1!$E$3:$H$27,4,0),"")</f>
        <v>P3</v>
      </c>
      <c r="C484" s="15"/>
      <c r="D484" s="12" t="s">
        <v>48</v>
      </c>
      <c r="E484" s="13" t="str">
        <f>IFERROR(VLOOKUP(D484,Sheet1!$B$1:$C$45,2,0),"")</f>
        <v>MBP</v>
      </c>
      <c r="F484" s="12" t="s">
        <v>179</v>
      </c>
      <c r="G484" s="13" t="str">
        <f t="shared" si="3"/>
        <v>Palangkaraya</v>
      </c>
      <c r="H484" s="15" t="str">
        <f>IFERROR(VLOOKUP(A484,Sheet1!$E$3:$F$27,2,),"")</f>
        <v>Standby</v>
      </c>
      <c r="I484" s="16" t="str">
        <f>IFERROR(VLOOKUP(A484,Sheet1!$E$3:$G$27,3,0),"")</f>
        <v>Standby On Call</v>
      </c>
      <c r="J484" s="12" t="s">
        <v>66</v>
      </c>
      <c r="K484" s="17">
        <v>46024.0</v>
      </c>
      <c r="L484" s="24"/>
      <c r="M484" s="12" t="s">
        <v>137</v>
      </c>
      <c r="N484" s="23"/>
      <c r="O484" s="22"/>
      <c r="P484" s="22"/>
    </row>
    <row r="485" ht="22.5" customHeight="1">
      <c r="A485" s="12" t="s">
        <v>65</v>
      </c>
      <c r="B485" s="20" t="str">
        <f>IFERROR(VLOOKUP(A485,Sheet1!$E$3:$H$27,4,0),"")</f>
        <v>P3</v>
      </c>
      <c r="C485" s="15"/>
      <c r="D485" s="12" t="s">
        <v>35</v>
      </c>
      <c r="E485" s="13" t="str">
        <f>IFERROR(VLOOKUP(D485,Sheet1!$B$1:$C$45,2,0),"")</f>
        <v>MBP</v>
      </c>
      <c r="F485" s="12" t="s">
        <v>179</v>
      </c>
      <c r="G485" s="13" t="str">
        <f t="shared" si="3"/>
        <v>Palangkaraya</v>
      </c>
      <c r="H485" s="15" t="str">
        <f>IFERROR(VLOOKUP(A485,Sheet1!$E$3:$F$27,2,),"")</f>
        <v>Standby</v>
      </c>
      <c r="I485" s="16" t="str">
        <f>IFERROR(VLOOKUP(A485,Sheet1!$E$3:$G$27,3,0),"")</f>
        <v>Standby On Call</v>
      </c>
      <c r="J485" s="12" t="s">
        <v>66</v>
      </c>
      <c r="K485" s="17">
        <v>46024.0</v>
      </c>
      <c r="L485" s="24"/>
      <c r="M485" s="12" t="s">
        <v>137</v>
      </c>
      <c r="N485" s="23"/>
      <c r="O485" s="22"/>
      <c r="P485" s="22"/>
    </row>
    <row r="486" ht="22.5" customHeight="1">
      <c r="A486" s="12" t="s">
        <v>65</v>
      </c>
      <c r="B486" s="20" t="str">
        <f>IFERROR(VLOOKUP(A486,Sheet1!$E$3:$H$27,4,0),"")</f>
        <v>P3</v>
      </c>
      <c r="C486" s="15"/>
      <c r="D486" s="12" t="s">
        <v>64</v>
      </c>
      <c r="E486" s="13" t="str">
        <f>IFERROR(VLOOKUP(D486,Sheet1!$B$1:$C$45,2,0),"")</f>
        <v>TE</v>
      </c>
      <c r="F486" s="12" t="s">
        <v>179</v>
      </c>
      <c r="G486" s="13" t="str">
        <f t="shared" si="3"/>
        <v>Palangkaraya</v>
      </c>
      <c r="H486" s="15" t="str">
        <f>IFERROR(VLOOKUP(A486,Sheet1!$E$3:$F$27,2,),"")</f>
        <v>Standby</v>
      </c>
      <c r="I486" s="16" t="str">
        <f>IFERROR(VLOOKUP(A486,Sheet1!$E$3:$G$27,3,0),"")</f>
        <v>Standby On Call</v>
      </c>
      <c r="J486" s="12" t="s">
        <v>66</v>
      </c>
      <c r="K486" s="17">
        <v>46024.0</v>
      </c>
      <c r="L486" s="24"/>
      <c r="M486" s="12" t="s">
        <v>137</v>
      </c>
      <c r="N486" s="23"/>
      <c r="O486" s="22"/>
      <c r="P486" s="22"/>
    </row>
    <row r="487" ht="22.5" customHeight="1">
      <c r="A487" s="12" t="s">
        <v>65</v>
      </c>
      <c r="B487" s="20" t="str">
        <f>IFERROR(VLOOKUP(A487,Sheet1!$E$3:$H$27,4,0),"")</f>
        <v>P3</v>
      </c>
      <c r="C487" s="15"/>
      <c r="D487" s="12" t="s">
        <v>54</v>
      </c>
      <c r="E487" s="13" t="str">
        <f>IFERROR(VLOOKUP(D487,Sheet1!$B$1:$C$45,2,0),"")</f>
        <v>MBP</v>
      </c>
      <c r="F487" s="12" t="s">
        <v>179</v>
      </c>
      <c r="G487" s="13" t="str">
        <f t="shared" si="3"/>
        <v>Palangkaraya</v>
      </c>
      <c r="H487" s="15" t="str">
        <f>IFERROR(VLOOKUP(A487,Sheet1!$E$3:$F$27,2,),"")</f>
        <v>Standby</v>
      </c>
      <c r="I487" s="16" t="str">
        <f>IFERROR(VLOOKUP(A487,Sheet1!$E$3:$G$27,3,0),"")</f>
        <v>Standby On Call</v>
      </c>
      <c r="J487" s="12" t="s">
        <v>66</v>
      </c>
      <c r="K487" s="17">
        <v>46024.0</v>
      </c>
      <c r="L487" s="24"/>
      <c r="M487" s="12" t="s">
        <v>137</v>
      </c>
      <c r="N487" s="23"/>
      <c r="O487" s="22"/>
      <c r="P487" s="22"/>
    </row>
    <row r="488" ht="22.5" customHeight="1">
      <c r="A488" s="12" t="s">
        <v>65</v>
      </c>
      <c r="B488" s="20" t="str">
        <f>IFERROR(VLOOKUP(A488,Sheet1!$E$3:$H$27,4,0),"")</f>
        <v>P3</v>
      </c>
      <c r="C488" s="15"/>
      <c r="D488" s="12" t="s">
        <v>83</v>
      </c>
      <c r="E488" s="13" t="str">
        <f>IFERROR(VLOOKUP(D488,Sheet1!$B$1:$C$45,2,0),"")</f>
        <v>PM</v>
      </c>
      <c r="F488" s="12" t="s">
        <v>179</v>
      </c>
      <c r="G488" s="13" t="str">
        <f t="shared" si="3"/>
        <v>Palangkaraya</v>
      </c>
      <c r="H488" s="15" t="str">
        <f>IFERROR(VLOOKUP(A488,Sheet1!$E$3:$F$27,2,),"")</f>
        <v>Standby</v>
      </c>
      <c r="I488" s="16" t="str">
        <f>IFERROR(VLOOKUP(A488,Sheet1!$E$3:$G$27,3,0),"")</f>
        <v>Standby On Call</v>
      </c>
      <c r="J488" s="12" t="s">
        <v>66</v>
      </c>
      <c r="K488" s="17">
        <v>46024.0</v>
      </c>
      <c r="L488" s="24"/>
      <c r="M488" s="12" t="s">
        <v>137</v>
      </c>
      <c r="N488" s="23"/>
      <c r="O488" s="22"/>
      <c r="P488" s="22"/>
    </row>
    <row r="489" ht="22.5" customHeight="1">
      <c r="A489" s="12" t="s">
        <v>65</v>
      </c>
      <c r="B489" s="20" t="str">
        <f>IFERROR(VLOOKUP(A489,Sheet1!$E$3:$H$27,4,0),"")</f>
        <v>P3</v>
      </c>
      <c r="C489" s="15"/>
      <c r="D489" s="12" t="s">
        <v>82</v>
      </c>
      <c r="E489" s="13" t="str">
        <f>IFERROR(VLOOKUP(D489,Sheet1!$B$1:$C$45,2,0),"")</f>
        <v>PM</v>
      </c>
      <c r="F489" s="12" t="s">
        <v>179</v>
      </c>
      <c r="G489" s="13" t="str">
        <f t="shared" si="3"/>
        <v>Palangkaraya</v>
      </c>
      <c r="H489" s="15" t="str">
        <f>IFERROR(VLOOKUP(A489,Sheet1!$E$3:$F$27,2,),"")</f>
        <v>Standby</v>
      </c>
      <c r="I489" s="16" t="str">
        <f>IFERROR(VLOOKUP(A489,Sheet1!$E$3:$G$27,3,0),"")</f>
        <v>Standby On Call</v>
      </c>
      <c r="J489" s="12" t="s">
        <v>66</v>
      </c>
      <c r="K489" s="17">
        <v>46024.0</v>
      </c>
      <c r="L489" s="24"/>
      <c r="M489" s="12" t="s">
        <v>137</v>
      </c>
      <c r="N489" s="23"/>
      <c r="O489" s="22"/>
      <c r="P489" s="22"/>
    </row>
    <row r="490" ht="22.5" customHeight="1">
      <c r="A490" s="12" t="s">
        <v>65</v>
      </c>
      <c r="B490" s="20" t="str">
        <f>IFERROR(VLOOKUP(A490,Sheet1!$E$3:$H$27,4,0),"")</f>
        <v>P3</v>
      </c>
      <c r="C490" s="15"/>
      <c r="D490" s="12" t="s">
        <v>81</v>
      </c>
      <c r="E490" s="13" t="str">
        <f>IFERROR(VLOOKUP(D490,Sheet1!$B$1:$C$45,2,0),"")</f>
        <v>PM</v>
      </c>
      <c r="F490" s="12" t="s">
        <v>179</v>
      </c>
      <c r="G490" s="13" t="str">
        <f t="shared" si="3"/>
        <v>Palangkaraya</v>
      </c>
      <c r="H490" s="15" t="str">
        <f>IFERROR(VLOOKUP(A490,Sheet1!$E$3:$F$27,2,),"")</f>
        <v>Standby</v>
      </c>
      <c r="I490" s="16" t="str">
        <f>IFERROR(VLOOKUP(A490,Sheet1!$E$3:$G$27,3,0),"")</f>
        <v>Standby On Call</v>
      </c>
      <c r="J490" s="12" t="s">
        <v>66</v>
      </c>
      <c r="K490" s="17">
        <v>46024.0</v>
      </c>
      <c r="L490" s="24"/>
      <c r="M490" s="12" t="s">
        <v>137</v>
      </c>
      <c r="N490" s="23"/>
      <c r="O490" s="22"/>
      <c r="P490" s="22"/>
    </row>
    <row r="491" ht="22.5" customHeight="1">
      <c r="A491" s="12" t="s">
        <v>5</v>
      </c>
      <c r="B491" s="20" t="str">
        <f>IFERROR(VLOOKUP(A491,Sheet1!$E$3:$H$27,4,0),"")</f>
        <v>P1</v>
      </c>
      <c r="C491" s="14" t="s">
        <v>373</v>
      </c>
      <c r="D491" s="12" t="s">
        <v>76</v>
      </c>
      <c r="E491" s="13" t="str">
        <f>IFERROR(VLOOKUP(D491,Sheet1!$B$1:$C$45,2,0),"")</f>
        <v>TE</v>
      </c>
      <c r="F491" s="12" t="s">
        <v>179</v>
      </c>
      <c r="G491" s="13" t="str">
        <f t="shared" si="3"/>
        <v>Palangkaraya</v>
      </c>
      <c r="H491" s="15" t="str">
        <f>IFERROR(VLOOKUP(A491,Sheet1!$E$3:$F$27,2,),"")</f>
        <v>Corrective</v>
      </c>
      <c r="I491" s="16" t="str">
        <f>IFERROR(VLOOKUP(A491,Sheet1!$E$3:$G$27,3,0),"")</f>
        <v>Replace Optik,RRU/Soket Power/Replace GPS</v>
      </c>
      <c r="J491" s="12" t="s">
        <v>112</v>
      </c>
      <c r="K491" s="17">
        <v>46027.0</v>
      </c>
      <c r="L491" s="24"/>
      <c r="M491" s="12" t="s">
        <v>137</v>
      </c>
      <c r="N491" s="23"/>
      <c r="O491" s="22"/>
      <c r="P491" s="22"/>
    </row>
    <row r="492" ht="22.5" customHeight="1">
      <c r="A492" s="12" t="s">
        <v>5</v>
      </c>
      <c r="B492" s="20" t="str">
        <f>IFERROR(VLOOKUP(A492,Sheet1!$E$3:$H$27,4,0),"")</f>
        <v>P1</v>
      </c>
      <c r="C492" s="14" t="s">
        <v>349</v>
      </c>
      <c r="D492" s="12" t="s">
        <v>39</v>
      </c>
      <c r="E492" s="13" t="str">
        <f>IFERROR(VLOOKUP(D492,Sheet1!$B$1:$C$45,2,0),"")</f>
        <v>TE</v>
      </c>
      <c r="F492" s="12" t="s">
        <v>179</v>
      </c>
      <c r="G492" s="13" t="str">
        <f t="shared" si="3"/>
        <v>Palangkaraya</v>
      </c>
      <c r="H492" s="15" t="str">
        <f>IFERROR(VLOOKUP(A492,Sheet1!$E$3:$F$27,2,),"")</f>
        <v>Corrective</v>
      </c>
      <c r="I492" s="16" t="str">
        <f>IFERROR(VLOOKUP(A492,Sheet1!$E$3:$G$27,3,0),"")</f>
        <v>Replace Optik,RRU/Soket Power/Replace GPS</v>
      </c>
      <c r="J492" s="12" t="s">
        <v>112</v>
      </c>
      <c r="K492" s="17">
        <v>46027.0</v>
      </c>
      <c r="L492" s="24"/>
      <c r="M492" s="12" t="s">
        <v>137</v>
      </c>
      <c r="N492" s="23"/>
      <c r="O492" s="22"/>
      <c r="P492" s="22"/>
    </row>
    <row r="493" ht="22.5" customHeight="1">
      <c r="A493" s="12" t="s">
        <v>5</v>
      </c>
      <c r="B493" s="20" t="str">
        <f>IFERROR(VLOOKUP(A493,Sheet1!$E$3:$H$27,4,0),"")</f>
        <v>P1</v>
      </c>
      <c r="C493" s="14" t="s">
        <v>349</v>
      </c>
      <c r="D493" s="12" t="s">
        <v>80</v>
      </c>
      <c r="E493" s="13" t="str">
        <f>IFERROR(VLOOKUP(D493,Sheet1!$B$1:$C$45,2,0),"")</f>
        <v>TE</v>
      </c>
      <c r="F493" s="12" t="s">
        <v>179</v>
      </c>
      <c r="G493" s="13" t="str">
        <f t="shared" si="3"/>
        <v>Palangkaraya</v>
      </c>
      <c r="H493" s="15" t="str">
        <f>IFERROR(VLOOKUP(A493,Sheet1!$E$3:$F$27,2,),"")</f>
        <v>Corrective</v>
      </c>
      <c r="I493" s="16" t="str">
        <f>IFERROR(VLOOKUP(A493,Sheet1!$E$3:$G$27,3,0),"")</f>
        <v>Replace Optik,RRU/Soket Power/Replace GPS</v>
      </c>
      <c r="J493" s="12" t="s">
        <v>112</v>
      </c>
      <c r="K493" s="17">
        <v>46027.0</v>
      </c>
      <c r="L493" s="24"/>
      <c r="M493" s="12" t="s">
        <v>137</v>
      </c>
      <c r="N493" s="23"/>
      <c r="O493" s="22"/>
      <c r="P493" s="22"/>
    </row>
    <row r="494" ht="22.5" customHeight="1">
      <c r="A494" s="12" t="s">
        <v>14</v>
      </c>
      <c r="B494" s="20" t="str">
        <f>IFERROR(VLOOKUP(A494,Sheet1!$E$3:$H$27,4,0),"")</f>
        <v>P1</v>
      </c>
      <c r="C494" s="14" t="s">
        <v>374</v>
      </c>
      <c r="D494" s="12" t="s">
        <v>42</v>
      </c>
      <c r="E494" s="13" t="str">
        <f>IFERROR(VLOOKUP(D494,Sheet1!$B$1:$C$45,2,0),"")</f>
        <v>TE</v>
      </c>
      <c r="F494" s="12" t="s">
        <v>179</v>
      </c>
      <c r="G494" s="13" t="str">
        <f t="shared" si="3"/>
        <v>Palangkaraya</v>
      </c>
      <c r="H494" s="15" t="str">
        <f>IFERROR(VLOOKUP(A494,Sheet1!$E$3:$F$27,2,),"")</f>
        <v>Corrective</v>
      </c>
      <c r="I494" s="16" t="str">
        <f>IFERROR(VLOOKUP(A494,Sheet1!$E$3:$G$27,3,0),"")</f>
        <v>Pemadaman,MCB Trip,Transmisi problem</v>
      </c>
      <c r="J494" s="12" t="s">
        <v>112</v>
      </c>
      <c r="K494" s="17">
        <v>46027.0</v>
      </c>
      <c r="L494" s="24"/>
      <c r="M494" s="12" t="s">
        <v>137</v>
      </c>
      <c r="N494" s="23"/>
      <c r="O494" s="22"/>
      <c r="P494" s="22"/>
    </row>
    <row r="495" ht="22.5" customHeight="1">
      <c r="A495" s="12" t="s">
        <v>5</v>
      </c>
      <c r="B495" s="20" t="str">
        <f>IFERROR(VLOOKUP(A495,Sheet1!$E$3:$H$27,4,0),"")</f>
        <v>P1</v>
      </c>
      <c r="C495" s="14" t="s">
        <v>375</v>
      </c>
      <c r="D495" s="12" t="s">
        <v>78</v>
      </c>
      <c r="E495" s="13" t="str">
        <f>IFERROR(VLOOKUP(D495,Sheet1!$B$1:$C$45,2,0),"")</f>
        <v>TE</v>
      </c>
      <c r="F495" s="12" t="s">
        <v>179</v>
      </c>
      <c r="G495" s="13" t="str">
        <f t="shared" si="3"/>
        <v>Palangkaraya</v>
      </c>
      <c r="H495" s="15" t="str">
        <f>IFERROR(VLOOKUP(A495,Sheet1!$E$3:$F$27,2,),"")</f>
        <v>Corrective</v>
      </c>
      <c r="I495" s="16" t="str">
        <f>IFERROR(VLOOKUP(A495,Sheet1!$E$3:$G$27,3,0),"")</f>
        <v>Replace Optik,RRU/Soket Power/Replace GPS</v>
      </c>
      <c r="J495" s="12" t="s">
        <v>112</v>
      </c>
      <c r="K495" s="17">
        <v>46027.0</v>
      </c>
      <c r="L495" s="24"/>
      <c r="M495" s="12" t="s">
        <v>137</v>
      </c>
      <c r="N495" s="23"/>
      <c r="O495" s="22"/>
      <c r="P495" s="22"/>
    </row>
    <row r="496" ht="22.5" customHeight="1">
      <c r="A496" s="12" t="s">
        <v>5</v>
      </c>
      <c r="B496" s="20" t="str">
        <f>IFERROR(VLOOKUP(A496,Sheet1!$E$3:$H$27,4,0),"")</f>
        <v>P1</v>
      </c>
      <c r="C496" s="14" t="s">
        <v>222</v>
      </c>
      <c r="D496" s="12" t="s">
        <v>77</v>
      </c>
      <c r="E496" s="13" t="str">
        <f>IFERROR(VLOOKUP(D496,Sheet1!$B$1:$C$45,2,0),"")</f>
        <v>TE</v>
      </c>
      <c r="F496" s="12" t="s">
        <v>179</v>
      </c>
      <c r="G496" s="13" t="str">
        <f t="shared" si="3"/>
        <v>Palangkaraya</v>
      </c>
      <c r="H496" s="15" t="str">
        <f>IFERROR(VLOOKUP(A496,Sheet1!$E$3:$F$27,2,),"")</f>
        <v>Corrective</v>
      </c>
      <c r="I496" s="16" t="str">
        <f>IFERROR(VLOOKUP(A496,Sheet1!$E$3:$G$27,3,0),"")</f>
        <v>Replace Optik,RRU/Soket Power/Replace GPS</v>
      </c>
      <c r="J496" s="12" t="s">
        <v>112</v>
      </c>
      <c r="K496" s="17">
        <v>46027.0</v>
      </c>
      <c r="L496" s="24"/>
      <c r="M496" s="12" t="s">
        <v>137</v>
      </c>
      <c r="N496" s="23"/>
      <c r="O496" s="22"/>
      <c r="P496" s="22"/>
    </row>
    <row r="497" ht="22.5" customHeight="1">
      <c r="A497" s="12" t="s">
        <v>65</v>
      </c>
      <c r="B497" s="20" t="str">
        <f>IFERROR(VLOOKUP(A497,Sheet1!$E$3:$H$27,4,0),"")</f>
        <v>P3</v>
      </c>
      <c r="C497" s="15"/>
      <c r="D497" s="12" t="s">
        <v>37</v>
      </c>
      <c r="E497" s="13" t="str">
        <f>IFERROR(VLOOKUP(D497,Sheet1!$B$1:$C$45,2,0),"")</f>
        <v>TE</v>
      </c>
      <c r="F497" s="12" t="s">
        <v>179</v>
      </c>
      <c r="G497" s="13" t="str">
        <f t="shared" si="3"/>
        <v>Palangkaraya</v>
      </c>
      <c r="H497" s="15" t="str">
        <f>IFERROR(VLOOKUP(A497,Sheet1!$E$3:$F$27,2,),"")</f>
        <v>Standby</v>
      </c>
      <c r="I497" s="16" t="str">
        <f>IFERROR(VLOOKUP(A497,Sheet1!$E$3:$G$27,3,0),"")</f>
        <v>Standby On Call</v>
      </c>
      <c r="J497" s="12" t="s">
        <v>66</v>
      </c>
      <c r="K497" s="17">
        <v>46027.0</v>
      </c>
      <c r="L497" s="24"/>
      <c r="M497" s="12" t="s">
        <v>137</v>
      </c>
      <c r="N497" s="23"/>
      <c r="O497" s="22"/>
      <c r="P497" s="22"/>
    </row>
    <row r="498" ht="22.5" customHeight="1">
      <c r="A498" s="12" t="s">
        <v>5</v>
      </c>
      <c r="B498" s="20" t="str">
        <f>IFERROR(VLOOKUP(A498,Sheet1!$E$3:$H$27,4,0),"")</f>
        <v>P1</v>
      </c>
      <c r="C498" s="14" t="s">
        <v>376</v>
      </c>
      <c r="D498" s="12" t="s">
        <v>51</v>
      </c>
      <c r="E498" s="13" t="str">
        <f>IFERROR(VLOOKUP(D498,Sheet1!$B$1:$C$45,2,0),"")</f>
        <v>TE</v>
      </c>
      <c r="F498" s="12" t="s">
        <v>179</v>
      </c>
      <c r="G498" s="13" t="str">
        <f t="shared" si="3"/>
        <v>Palangkaraya</v>
      </c>
      <c r="H498" s="15" t="str">
        <f>IFERROR(VLOOKUP(A498,Sheet1!$E$3:$F$27,2,),"")</f>
        <v>Corrective</v>
      </c>
      <c r="I498" s="16" t="str">
        <f>IFERROR(VLOOKUP(A498,Sheet1!$E$3:$G$27,3,0),"")</f>
        <v>Replace Optik,RRU/Soket Power/Replace GPS</v>
      </c>
      <c r="J498" s="12" t="s">
        <v>112</v>
      </c>
      <c r="K498" s="17">
        <v>46027.0</v>
      </c>
      <c r="L498" s="24"/>
      <c r="M498" s="12" t="s">
        <v>137</v>
      </c>
      <c r="N498" s="23"/>
      <c r="O498" s="22"/>
      <c r="P498" s="22"/>
    </row>
    <row r="499" ht="22.5" customHeight="1">
      <c r="A499" s="12" t="s">
        <v>5</v>
      </c>
      <c r="B499" s="20" t="str">
        <f>IFERROR(VLOOKUP(A499,Sheet1!$E$3:$H$27,4,0),"")</f>
        <v>P1</v>
      </c>
      <c r="C499" s="14" t="s">
        <v>376</v>
      </c>
      <c r="D499" s="12" t="s">
        <v>79</v>
      </c>
      <c r="E499" s="13" t="str">
        <f>IFERROR(VLOOKUP(D499,Sheet1!$B$1:$C$45,2,0),"")</f>
        <v>TE</v>
      </c>
      <c r="F499" s="12" t="s">
        <v>179</v>
      </c>
      <c r="G499" s="13" t="str">
        <f t="shared" si="3"/>
        <v>Palangkaraya</v>
      </c>
      <c r="H499" s="15" t="str">
        <f>IFERROR(VLOOKUP(A499,Sheet1!$E$3:$F$27,2,),"")</f>
        <v>Corrective</v>
      </c>
      <c r="I499" s="16" t="str">
        <f>IFERROR(VLOOKUP(A499,Sheet1!$E$3:$G$27,3,0),"")</f>
        <v>Replace Optik,RRU/Soket Power/Replace GPS</v>
      </c>
      <c r="J499" s="12" t="s">
        <v>112</v>
      </c>
      <c r="K499" s="17">
        <v>46027.0</v>
      </c>
      <c r="L499" s="24"/>
      <c r="M499" s="12" t="s">
        <v>137</v>
      </c>
      <c r="N499" s="23"/>
      <c r="O499" s="22"/>
      <c r="P499" s="22"/>
    </row>
    <row r="500" ht="22.5" customHeight="1">
      <c r="A500" s="12" t="s">
        <v>5</v>
      </c>
      <c r="B500" s="20" t="str">
        <f>IFERROR(VLOOKUP(A500,Sheet1!$E$3:$H$27,4,0),"")</f>
        <v>P1</v>
      </c>
      <c r="C500" s="14" t="s">
        <v>302</v>
      </c>
      <c r="D500" s="12" t="s">
        <v>71</v>
      </c>
      <c r="E500" s="13" t="str">
        <f>IFERROR(VLOOKUP(D500,Sheet1!$B$1:$C$45,2,0),"")</f>
        <v>TE</v>
      </c>
      <c r="F500" s="12" t="s">
        <v>179</v>
      </c>
      <c r="G500" s="13" t="str">
        <f t="shared" si="3"/>
        <v>Palangkaraya</v>
      </c>
      <c r="H500" s="15" t="str">
        <f>IFERROR(VLOOKUP(A500,Sheet1!$E$3:$F$27,2,),"")</f>
        <v>Corrective</v>
      </c>
      <c r="I500" s="16" t="str">
        <f>IFERROR(VLOOKUP(A500,Sheet1!$E$3:$G$27,3,0),"")</f>
        <v>Replace Optik,RRU/Soket Power/Replace GPS</v>
      </c>
      <c r="J500" s="12" t="s">
        <v>112</v>
      </c>
      <c r="K500" s="17">
        <v>46027.0</v>
      </c>
      <c r="L500" s="24"/>
      <c r="M500" s="12" t="s">
        <v>137</v>
      </c>
      <c r="N500" s="23"/>
      <c r="O500" s="22"/>
      <c r="P500" s="22"/>
    </row>
    <row r="501" ht="22.5" customHeight="1">
      <c r="A501" s="12" t="s">
        <v>5</v>
      </c>
      <c r="B501" s="20" t="str">
        <f>IFERROR(VLOOKUP(A501,Sheet1!$E$3:$H$27,4,0),"")</f>
        <v>P1</v>
      </c>
      <c r="C501" s="14" t="s">
        <v>302</v>
      </c>
      <c r="D501" s="12" t="s">
        <v>69</v>
      </c>
      <c r="E501" s="13" t="str">
        <f>IFERROR(VLOOKUP(D501,Sheet1!$B$1:$C$45,2,0),"")</f>
        <v>TE</v>
      </c>
      <c r="F501" s="12" t="s">
        <v>179</v>
      </c>
      <c r="G501" s="13" t="str">
        <f t="shared" si="3"/>
        <v>Palangkaraya</v>
      </c>
      <c r="H501" s="15" t="str">
        <f>IFERROR(VLOOKUP(A501,Sheet1!$E$3:$F$27,2,),"")</f>
        <v>Corrective</v>
      </c>
      <c r="I501" s="16" t="str">
        <f>IFERROR(VLOOKUP(A501,Sheet1!$E$3:$G$27,3,0),"")</f>
        <v>Replace Optik,RRU/Soket Power/Replace GPS</v>
      </c>
      <c r="J501" s="12" t="s">
        <v>112</v>
      </c>
      <c r="K501" s="17">
        <v>46027.0</v>
      </c>
      <c r="L501" s="24"/>
      <c r="M501" s="12" t="s">
        <v>137</v>
      </c>
      <c r="N501" s="23"/>
      <c r="O501" s="22"/>
      <c r="P501" s="22"/>
    </row>
    <row r="502" ht="22.5" customHeight="1">
      <c r="A502" s="12" t="s">
        <v>5</v>
      </c>
      <c r="B502" s="20" t="str">
        <f>IFERROR(VLOOKUP(A502,Sheet1!$E$3:$H$27,4,0),"")</f>
        <v>P1</v>
      </c>
      <c r="C502" s="14" t="s">
        <v>268</v>
      </c>
      <c r="D502" s="12" t="s">
        <v>91</v>
      </c>
      <c r="E502" s="13" t="str">
        <f>IFERROR(VLOOKUP(D502,Sheet1!$B$1:$C$45,2,0),"")</f>
        <v>TE</v>
      </c>
      <c r="F502" s="12" t="s">
        <v>179</v>
      </c>
      <c r="G502" s="13" t="str">
        <f t="shared" si="3"/>
        <v>Palangkaraya</v>
      </c>
      <c r="H502" s="15" t="str">
        <f>IFERROR(VLOOKUP(A502,Sheet1!$E$3:$F$27,2,),"")</f>
        <v>Corrective</v>
      </c>
      <c r="I502" s="16" t="str">
        <f>IFERROR(VLOOKUP(A502,Sheet1!$E$3:$G$27,3,0),"")</f>
        <v>Replace Optik,RRU/Soket Power/Replace GPS</v>
      </c>
      <c r="J502" s="12" t="s">
        <v>112</v>
      </c>
      <c r="K502" s="17">
        <v>46027.0</v>
      </c>
      <c r="L502" s="24"/>
      <c r="M502" s="12" t="s">
        <v>137</v>
      </c>
      <c r="N502" s="23"/>
      <c r="O502" s="22"/>
      <c r="P502" s="22"/>
    </row>
    <row r="503" ht="22.5" customHeight="1">
      <c r="A503" s="12" t="s">
        <v>65</v>
      </c>
      <c r="B503" s="20" t="str">
        <f>IFERROR(VLOOKUP(A503,Sheet1!$E$3:$H$27,4,0),"")</f>
        <v>P3</v>
      </c>
      <c r="C503" s="15"/>
      <c r="D503" s="12" t="s">
        <v>58</v>
      </c>
      <c r="E503" s="13" t="str">
        <f>IFERROR(VLOOKUP(D503,Sheet1!$B$1:$C$45,2,0),"")</f>
        <v>TE</v>
      </c>
      <c r="F503" s="12" t="s">
        <v>179</v>
      </c>
      <c r="G503" s="13" t="str">
        <f t="shared" si="3"/>
        <v>Palangkaraya</v>
      </c>
      <c r="H503" s="15" t="str">
        <f>IFERROR(VLOOKUP(A503,Sheet1!$E$3:$F$27,2,),"")</f>
        <v>Standby</v>
      </c>
      <c r="I503" s="16" t="str">
        <f>IFERROR(VLOOKUP(A503,Sheet1!$E$3:$G$27,3,0),"")</f>
        <v>Standby On Call</v>
      </c>
      <c r="J503" s="12" t="s">
        <v>66</v>
      </c>
      <c r="K503" s="17">
        <v>46027.0</v>
      </c>
      <c r="L503" s="24"/>
      <c r="M503" s="12" t="s">
        <v>122</v>
      </c>
      <c r="N503" s="23"/>
      <c r="O503" s="22"/>
      <c r="P503" s="22"/>
    </row>
    <row r="504" ht="22.5" customHeight="1">
      <c r="A504" s="12" t="s">
        <v>14</v>
      </c>
      <c r="B504" s="20" t="str">
        <f>IFERROR(VLOOKUP(A504,Sheet1!$E$3:$H$27,4,0),"")</f>
        <v>P1</v>
      </c>
      <c r="C504" s="14" t="s">
        <v>377</v>
      </c>
      <c r="D504" s="12" t="s">
        <v>56</v>
      </c>
      <c r="E504" s="13" t="str">
        <f>IFERROR(VLOOKUP(D504,Sheet1!$B$1:$C$45,2,0),"")</f>
        <v>TE</v>
      </c>
      <c r="F504" s="12" t="s">
        <v>179</v>
      </c>
      <c r="G504" s="13" t="str">
        <f t="shared" si="3"/>
        <v>Palangkaraya</v>
      </c>
      <c r="H504" s="15" t="str">
        <f>IFERROR(VLOOKUP(A504,Sheet1!$E$3:$F$27,2,),"")</f>
        <v>Corrective</v>
      </c>
      <c r="I504" s="16" t="str">
        <f>IFERROR(VLOOKUP(A504,Sheet1!$E$3:$G$27,3,0),"")</f>
        <v>Pemadaman,MCB Trip,Transmisi problem</v>
      </c>
      <c r="J504" s="12" t="s">
        <v>112</v>
      </c>
      <c r="K504" s="17">
        <v>46027.0</v>
      </c>
      <c r="L504" s="17">
        <v>46027.0</v>
      </c>
      <c r="M504" s="12" t="s">
        <v>109</v>
      </c>
      <c r="N504" s="18" t="s">
        <v>378</v>
      </c>
      <c r="O504" s="19"/>
      <c r="P504" s="19"/>
    </row>
    <row r="505" ht="22.5" customHeight="1">
      <c r="A505" s="12" t="s">
        <v>65</v>
      </c>
      <c r="B505" s="20" t="str">
        <f>IFERROR(VLOOKUP(A505,Sheet1!$E$3:$H$27,4,0),"")</f>
        <v>P3</v>
      </c>
      <c r="C505" s="15"/>
      <c r="D505" s="12" t="s">
        <v>83</v>
      </c>
      <c r="E505" s="13" t="str">
        <f>IFERROR(VLOOKUP(D505,Sheet1!$B$1:$C$45,2,0),"")</f>
        <v>PM</v>
      </c>
      <c r="F505" s="12" t="s">
        <v>179</v>
      </c>
      <c r="G505" s="13" t="str">
        <f t="shared" si="3"/>
        <v>Palangkaraya</v>
      </c>
      <c r="H505" s="15" t="str">
        <f>IFERROR(VLOOKUP(A505,Sheet1!$E$3:$F$27,2,),"")</f>
        <v>Standby</v>
      </c>
      <c r="I505" s="16" t="str">
        <f>IFERROR(VLOOKUP(A505,Sheet1!$E$3:$G$27,3,0),"")</f>
        <v>Standby On Call</v>
      </c>
      <c r="J505" s="12" t="s">
        <v>66</v>
      </c>
      <c r="K505" s="17">
        <v>46027.0</v>
      </c>
      <c r="L505" s="24"/>
      <c r="M505" s="12" t="s">
        <v>137</v>
      </c>
      <c r="N505" s="23"/>
      <c r="O505" s="22"/>
      <c r="P505" s="22"/>
    </row>
    <row r="506" ht="22.5" customHeight="1">
      <c r="A506" s="12" t="s">
        <v>65</v>
      </c>
      <c r="B506" s="20" t="str">
        <f>IFERROR(VLOOKUP(A506,Sheet1!$E$3:$H$27,4,0),"")</f>
        <v>P3</v>
      </c>
      <c r="C506" s="15"/>
      <c r="D506" s="12" t="s">
        <v>82</v>
      </c>
      <c r="E506" s="13" t="str">
        <f>IFERROR(VLOOKUP(D506,Sheet1!$B$1:$C$45,2,0),"")</f>
        <v>PM</v>
      </c>
      <c r="F506" s="12" t="s">
        <v>179</v>
      </c>
      <c r="G506" s="13" t="str">
        <f t="shared" si="3"/>
        <v>Palangkaraya</v>
      </c>
      <c r="H506" s="15" t="str">
        <f>IFERROR(VLOOKUP(A506,Sheet1!$E$3:$F$27,2,),"")</f>
        <v>Standby</v>
      </c>
      <c r="I506" s="16" t="str">
        <f>IFERROR(VLOOKUP(A506,Sheet1!$E$3:$G$27,3,0),"")</f>
        <v>Standby On Call</v>
      </c>
      <c r="J506" s="12" t="s">
        <v>66</v>
      </c>
      <c r="K506" s="17">
        <v>46027.0</v>
      </c>
      <c r="L506" s="24"/>
      <c r="M506" s="12" t="s">
        <v>137</v>
      </c>
      <c r="N506" s="23"/>
      <c r="O506" s="22"/>
      <c r="P506" s="22"/>
    </row>
    <row r="507" ht="22.5" customHeight="1">
      <c r="A507" s="12" t="s">
        <v>65</v>
      </c>
      <c r="B507" s="20" t="str">
        <f>IFERROR(VLOOKUP(A507,Sheet1!$E$3:$H$27,4,0),"")</f>
        <v>P3</v>
      </c>
      <c r="C507" s="15"/>
      <c r="D507" s="12" t="s">
        <v>75</v>
      </c>
      <c r="E507" s="13" t="str">
        <f>IFERROR(VLOOKUP(D507,Sheet1!$B$1:$C$45,2,0),"")</f>
        <v>CME</v>
      </c>
      <c r="F507" s="12" t="s">
        <v>179</v>
      </c>
      <c r="G507" s="13" t="str">
        <f t="shared" si="3"/>
        <v>Palangkaraya</v>
      </c>
      <c r="H507" s="15" t="str">
        <f>IFERROR(VLOOKUP(A507,Sheet1!$E$3:$F$27,2,),"")</f>
        <v>Standby</v>
      </c>
      <c r="I507" s="16" t="str">
        <f>IFERROR(VLOOKUP(A507,Sheet1!$E$3:$G$27,3,0),"")</f>
        <v>Standby On Call</v>
      </c>
      <c r="J507" s="12" t="s">
        <v>66</v>
      </c>
      <c r="K507" s="17">
        <v>46027.0</v>
      </c>
      <c r="L507" s="24"/>
      <c r="M507" s="12" t="s">
        <v>137</v>
      </c>
      <c r="N507" s="23"/>
      <c r="O507" s="22"/>
      <c r="P507" s="22"/>
    </row>
    <row r="508" ht="22.5" customHeight="1">
      <c r="A508" s="12" t="s">
        <v>65</v>
      </c>
      <c r="B508" s="20" t="str">
        <f>IFERROR(VLOOKUP(A508,Sheet1!$E$3:$H$27,4,0),"")</f>
        <v>P3</v>
      </c>
      <c r="C508" s="15"/>
      <c r="D508" s="12" t="s">
        <v>35</v>
      </c>
      <c r="E508" s="13" t="str">
        <f>IFERROR(VLOOKUP(D508,Sheet1!$B$1:$C$45,2,0),"")</f>
        <v>MBP</v>
      </c>
      <c r="F508" s="12" t="s">
        <v>179</v>
      </c>
      <c r="G508" s="13" t="str">
        <f t="shared" si="3"/>
        <v>Palangkaraya</v>
      </c>
      <c r="H508" s="15" t="str">
        <f>IFERROR(VLOOKUP(A508,Sheet1!$E$3:$F$27,2,),"")</f>
        <v>Standby</v>
      </c>
      <c r="I508" s="16" t="str">
        <f>IFERROR(VLOOKUP(A508,Sheet1!$E$3:$G$27,3,0),"")</f>
        <v>Standby On Call</v>
      </c>
      <c r="J508" s="12" t="s">
        <v>66</v>
      </c>
      <c r="K508" s="17">
        <v>46027.0</v>
      </c>
      <c r="L508" s="24"/>
      <c r="M508" s="12" t="s">
        <v>137</v>
      </c>
      <c r="N508" s="23"/>
      <c r="O508" s="22"/>
      <c r="P508" s="22"/>
    </row>
    <row r="509" ht="22.5" customHeight="1">
      <c r="A509" s="12" t="s">
        <v>14</v>
      </c>
      <c r="B509" s="20" t="str">
        <f>IFERROR(VLOOKUP(A509,Sheet1!$E$3:$H$27,4,0),"")</f>
        <v>P1</v>
      </c>
      <c r="C509" s="14" t="s">
        <v>379</v>
      </c>
      <c r="D509" s="12" t="s">
        <v>48</v>
      </c>
      <c r="E509" s="13" t="str">
        <f>IFERROR(VLOOKUP(D509,Sheet1!$B$1:$C$45,2,0),"")</f>
        <v>MBP</v>
      </c>
      <c r="F509" s="12" t="s">
        <v>179</v>
      </c>
      <c r="G509" s="13" t="str">
        <f t="shared" si="3"/>
        <v>Palangkaraya</v>
      </c>
      <c r="H509" s="15" t="str">
        <f>IFERROR(VLOOKUP(A509,Sheet1!$E$3:$F$27,2,),"")</f>
        <v>Corrective</v>
      </c>
      <c r="I509" s="16" t="str">
        <f>IFERROR(VLOOKUP(A509,Sheet1!$E$3:$G$27,3,0),"")</f>
        <v>Pemadaman,MCB Trip,Transmisi problem</v>
      </c>
      <c r="J509" s="12" t="s">
        <v>112</v>
      </c>
      <c r="K509" s="17">
        <v>46027.0</v>
      </c>
      <c r="L509" s="17">
        <v>46027.0</v>
      </c>
      <c r="M509" s="12" t="s">
        <v>109</v>
      </c>
      <c r="N509" s="18" t="s">
        <v>378</v>
      </c>
      <c r="O509" s="19"/>
      <c r="P509" s="19"/>
    </row>
    <row r="510" ht="22.5" customHeight="1">
      <c r="A510" s="12" t="s">
        <v>65</v>
      </c>
      <c r="B510" s="20" t="str">
        <f>IFERROR(VLOOKUP(A510,Sheet1!$E$3:$H$27,4,0),"")</f>
        <v>P3</v>
      </c>
      <c r="C510" s="15"/>
      <c r="D510" s="12" t="s">
        <v>54</v>
      </c>
      <c r="E510" s="13" t="str">
        <f>IFERROR(VLOOKUP(D510,Sheet1!$B$1:$C$45,2,0),"")</f>
        <v>MBP</v>
      </c>
      <c r="F510" s="12" t="s">
        <v>179</v>
      </c>
      <c r="G510" s="13" t="str">
        <f t="shared" si="3"/>
        <v>Palangkaraya</v>
      </c>
      <c r="H510" s="15" t="str">
        <f>IFERROR(VLOOKUP(A510,Sheet1!$E$3:$F$27,2,),"")</f>
        <v>Standby</v>
      </c>
      <c r="I510" s="16" t="str">
        <f>IFERROR(VLOOKUP(A510,Sheet1!$E$3:$G$27,3,0),"")</f>
        <v>Standby On Call</v>
      </c>
      <c r="J510" s="12" t="s">
        <v>66</v>
      </c>
      <c r="K510" s="17">
        <v>46027.0</v>
      </c>
      <c r="L510" s="24"/>
      <c r="M510" s="12"/>
      <c r="N510" s="23"/>
      <c r="O510" s="22"/>
      <c r="P510" s="22"/>
    </row>
    <row r="511" ht="22.5" hidden="1" customHeight="1">
      <c r="A511" s="12" t="s">
        <v>65</v>
      </c>
      <c r="B511" s="20" t="str">
        <f>IFERROR(VLOOKUP(A511,Sheet1!$E$3:$H$27,4,0),"")</f>
        <v>P3</v>
      </c>
      <c r="C511" s="15"/>
      <c r="D511" s="12" t="s">
        <v>45</v>
      </c>
      <c r="E511" s="13" t="str">
        <f>IFERROR(VLOOKUP(D511,Sheet1!$B$1:$C$45,2,0),"")</f>
        <v>MBP</v>
      </c>
      <c r="F511" s="12" t="s">
        <v>179</v>
      </c>
      <c r="G511" s="13" t="str">
        <f t="shared" si="3"/>
        <v>Palangkaraya</v>
      </c>
      <c r="H511" s="15" t="str">
        <f>IFERROR(VLOOKUP(A511,Sheet1!$E$3:$F$27,2,),"")</f>
        <v>Standby</v>
      </c>
      <c r="I511" s="16" t="str">
        <f>IFERROR(VLOOKUP(A511,Sheet1!$E$3:$G$27,3,0),"")</f>
        <v>Standby On Call</v>
      </c>
      <c r="J511" s="12" t="s">
        <v>66</v>
      </c>
      <c r="K511" s="17">
        <v>46027.0</v>
      </c>
      <c r="L511" s="24"/>
      <c r="M511" s="12" t="s">
        <v>137</v>
      </c>
      <c r="N511" s="23"/>
      <c r="O511" s="22"/>
      <c r="P511" s="22"/>
    </row>
    <row r="512" ht="22.5" customHeight="1">
      <c r="A512" s="12" t="s">
        <v>5</v>
      </c>
      <c r="B512" s="20" t="str">
        <f>IFERROR(VLOOKUP(A512,Sheet1!$E$3:$H$27,4,0),"")</f>
        <v>P1</v>
      </c>
      <c r="C512" s="14" t="s">
        <v>263</v>
      </c>
      <c r="D512" s="12" t="s">
        <v>12</v>
      </c>
      <c r="E512" s="13" t="str">
        <f>IFERROR(VLOOKUP(D512,Sheet1!$B$1:$C$45,2,0),"")</f>
        <v>TE</v>
      </c>
      <c r="F512" s="12" t="s">
        <v>108</v>
      </c>
      <c r="G512" s="13" t="str">
        <f t="shared" si="3"/>
        <v>Barito Raya</v>
      </c>
      <c r="H512" s="15" t="str">
        <f>IFERROR(VLOOKUP(A512,Sheet1!$E$3:$F$27,2,),"")</f>
        <v>Corrective</v>
      </c>
      <c r="I512" s="16" t="str">
        <f>IFERROR(VLOOKUP(A512,Sheet1!$E$3:$G$27,3,0),"")</f>
        <v>Replace Optik,RRU/Soket Power/Replace GPS</v>
      </c>
      <c r="J512" s="12" t="s">
        <v>112</v>
      </c>
      <c r="K512" s="17">
        <v>46027.0</v>
      </c>
      <c r="L512" s="24"/>
      <c r="M512" s="12" t="s">
        <v>122</v>
      </c>
      <c r="N512" s="18" t="s">
        <v>380</v>
      </c>
      <c r="O512" s="19"/>
      <c r="P512" s="19"/>
    </row>
    <row r="513" ht="22.5" customHeight="1">
      <c r="A513" s="12" t="s">
        <v>65</v>
      </c>
      <c r="B513" s="20" t="str">
        <f>IFERROR(VLOOKUP(A513,Sheet1!$E$3:$H$27,4,0),"")</f>
        <v>P3</v>
      </c>
      <c r="C513" s="15"/>
      <c r="D513" s="12" t="s">
        <v>16</v>
      </c>
      <c r="E513" s="13" t="str">
        <f>IFERROR(VLOOKUP(D513,Sheet1!$B$1:$C$45,2,0),"")</f>
        <v>TE</v>
      </c>
      <c r="F513" s="12" t="s">
        <v>108</v>
      </c>
      <c r="G513" s="13" t="str">
        <f t="shared" si="3"/>
        <v>Barito Raya</v>
      </c>
      <c r="H513" s="15" t="str">
        <f>IFERROR(VLOOKUP(A513,Sheet1!$E$3:$F$27,2,),"")</f>
        <v>Standby</v>
      </c>
      <c r="I513" s="16" t="str">
        <f>IFERROR(VLOOKUP(A513,Sheet1!$E$3:$G$27,3,0),"")</f>
        <v>Standby On Call</v>
      </c>
      <c r="J513" s="20"/>
      <c r="K513" s="17">
        <v>46027.0</v>
      </c>
      <c r="L513" s="24"/>
      <c r="M513" s="13"/>
      <c r="N513" s="23"/>
      <c r="O513" s="22"/>
      <c r="P513" s="22"/>
    </row>
    <row r="514" ht="22.5" customHeight="1">
      <c r="A514" s="12" t="s">
        <v>65</v>
      </c>
      <c r="B514" s="20" t="str">
        <f>IFERROR(VLOOKUP(A514,Sheet1!$E$3:$H$27,4,0),"")</f>
        <v>P3</v>
      </c>
      <c r="C514" s="15"/>
      <c r="D514" s="12" t="s">
        <v>21</v>
      </c>
      <c r="E514" s="13" t="str">
        <f>IFERROR(VLOOKUP(D514,Sheet1!$B$1:$C$45,2,0),"")</f>
        <v>TE</v>
      </c>
      <c r="F514" s="12" t="s">
        <v>108</v>
      </c>
      <c r="G514" s="13" t="str">
        <f t="shared" si="3"/>
        <v>Barito Raya</v>
      </c>
      <c r="H514" s="15" t="str">
        <f>IFERROR(VLOOKUP(A514,Sheet1!$E$3:$F$27,2,),"")</f>
        <v>Standby</v>
      </c>
      <c r="I514" s="16" t="str">
        <f>IFERROR(VLOOKUP(A514,Sheet1!$E$3:$G$27,3,0),"")</f>
        <v>Standby On Call</v>
      </c>
      <c r="J514" s="20"/>
      <c r="K514" s="17">
        <v>46027.0</v>
      </c>
      <c r="L514" s="24"/>
      <c r="M514" s="13"/>
      <c r="N514" s="23"/>
      <c r="O514" s="22"/>
      <c r="P514" s="22"/>
    </row>
    <row r="515" ht="22.5" customHeight="1">
      <c r="A515" s="12" t="s">
        <v>65</v>
      </c>
      <c r="B515" s="20" t="str">
        <f>IFERROR(VLOOKUP(A515,Sheet1!$E$3:$H$27,4,0),"")</f>
        <v>P3</v>
      </c>
      <c r="C515" s="15"/>
      <c r="D515" s="12" t="s">
        <v>26</v>
      </c>
      <c r="E515" s="13" t="str">
        <f>IFERROR(VLOOKUP(D515,Sheet1!$B$1:$C$45,2,0),"")</f>
        <v>TE</v>
      </c>
      <c r="F515" s="12" t="s">
        <v>108</v>
      </c>
      <c r="G515" s="13" t="str">
        <f t="shared" si="3"/>
        <v>Barito Raya</v>
      </c>
      <c r="H515" s="15" t="str">
        <f>IFERROR(VLOOKUP(A515,Sheet1!$E$3:$F$27,2,),"")</f>
        <v>Standby</v>
      </c>
      <c r="I515" s="16" t="str">
        <f>IFERROR(VLOOKUP(A515,Sheet1!$E$3:$G$27,3,0),"")</f>
        <v>Standby On Call</v>
      </c>
      <c r="J515" s="20"/>
      <c r="K515" s="17">
        <v>46027.0</v>
      </c>
      <c r="L515" s="24"/>
      <c r="M515" s="13"/>
      <c r="N515" s="23"/>
      <c r="O515" s="22"/>
      <c r="P515" s="22"/>
    </row>
    <row r="516" ht="22.5" customHeight="1">
      <c r="A516" s="12" t="s">
        <v>65</v>
      </c>
      <c r="B516" s="20" t="str">
        <f>IFERROR(VLOOKUP(A516,Sheet1!$E$3:$H$27,4,0),"")</f>
        <v>P3</v>
      </c>
      <c r="C516" s="15"/>
      <c r="D516" s="12" t="s">
        <v>88</v>
      </c>
      <c r="E516" s="13" t="str">
        <f>IFERROR(VLOOKUP(D516,Sheet1!$B$1:$C$45,2,0),"")</f>
        <v>TE</v>
      </c>
      <c r="F516" s="12" t="s">
        <v>108</v>
      </c>
      <c r="G516" s="13" t="str">
        <f t="shared" si="3"/>
        <v>Barito Raya</v>
      </c>
      <c r="H516" s="15" t="str">
        <f>IFERROR(VLOOKUP(A516,Sheet1!$E$3:$F$27,2,),"")</f>
        <v>Standby</v>
      </c>
      <c r="I516" s="16" t="str">
        <f>IFERROR(VLOOKUP(A516,Sheet1!$E$3:$G$27,3,0),"")</f>
        <v>Standby On Call</v>
      </c>
      <c r="J516" s="20"/>
      <c r="K516" s="17">
        <v>46027.0</v>
      </c>
      <c r="L516" s="24"/>
      <c r="M516" s="13"/>
      <c r="N516" s="23"/>
      <c r="O516" s="22"/>
      <c r="P516" s="22"/>
    </row>
    <row r="517" ht="22.5" customHeight="1">
      <c r="A517" s="12" t="s">
        <v>14</v>
      </c>
      <c r="B517" s="20" t="str">
        <f>IFERROR(VLOOKUP(A517,Sheet1!$E$3:$H$27,4,0),"")</f>
        <v>P1</v>
      </c>
      <c r="C517" s="14" t="s">
        <v>381</v>
      </c>
      <c r="D517" s="12" t="s">
        <v>32</v>
      </c>
      <c r="E517" s="13" t="str">
        <f>IFERROR(VLOOKUP(D517,Sheet1!$B$1:$C$45,2,0),"")</f>
        <v>TE</v>
      </c>
      <c r="F517" s="12" t="s">
        <v>108</v>
      </c>
      <c r="G517" s="13" t="str">
        <f t="shared" si="3"/>
        <v>Barito Raya</v>
      </c>
      <c r="H517" s="15" t="str">
        <f>IFERROR(VLOOKUP(A517,Sheet1!$E$3:$F$27,2,),"")</f>
        <v>Corrective</v>
      </c>
      <c r="I517" s="16" t="str">
        <f>IFERROR(VLOOKUP(A517,Sheet1!$E$3:$G$27,3,0),"")</f>
        <v>Pemadaman,MCB Trip,Transmisi problem</v>
      </c>
      <c r="J517" s="20"/>
      <c r="K517" s="17">
        <v>46027.0</v>
      </c>
      <c r="L517" s="24"/>
      <c r="M517" s="13"/>
      <c r="N517" s="23"/>
      <c r="O517" s="22"/>
      <c r="P517" s="22"/>
    </row>
    <row r="518" ht="22.5" customHeight="1">
      <c r="A518" s="12" t="s">
        <v>5</v>
      </c>
      <c r="B518" s="20" t="str">
        <f>IFERROR(VLOOKUP(A518,Sheet1!$E$3:$H$27,4,0),"")</f>
        <v>P1</v>
      </c>
      <c r="C518" s="14" t="s">
        <v>382</v>
      </c>
      <c r="D518" s="12" t="s">
        <v>60</v>
      </c>
      <c r="E518" s="13" t="str">
        <f>IFERROR(VLOOKUP(D518,Sheet1!$B$1:$C$45,2,0),"")</f>
        <v>TE</v>
      </c>
      <c r="F518" s="12" t="s">
        <v>108</v>
      </c>
      <c r="G518" s="13" t="str">
        <f t="shared" si="3"/>
        <v>Barito Raya</v>
      </c>
      <c r="H518" s="15" t="str">
        <f>IFERROR(VLOOKUP(A518,Sheet1!$E$3:$F$27,2,),"")</f>
        <v>Corrective</v>
      </c>
      <c r="I518" s="16" t="str">
        <f>IFERROR(VLOOKUP(A518,Sheet1!$E$3:$G$27,3,0),"")</f>
        <v>Replace Optik,RRU/Soket Power/Replace GPS</v>
      </c>
      <c r="J518" s="12" t="s">
        <v>172</v>
      </c>
      <c r="K518" s="17">
        <v>46027.0</v>
      </c>
      <c r="L518" s="24"/>
      <c r="M518" s="12" t="s">
        <v>122</v>
      </c>
      <c r="N518" s="23"/>
      <c r="O518" s="22"/>
      <c r="P518" s="22"/>
    </row>
    <row r="519" ht="22.5" customHeight="1">
      <c r="A519" s="12" t="s">
        <v>5</v>
      </c>
      <c r="B519" s="20" t="str">
        <f>IFERROR(VLOOKUP(A519,Sheet1!$E$3:$H$27,4,0),"")</f>
        <v>P1</v>
      </c>
      <c r="C519" s="14" t="s">
        <v>383</v>
      </c>
      <c r="D519" s="12" t="s">
        <v>62</v>
      </c>
      <c r="E519" s="13" t="str">
        <f>IFERROR(VLOOKUP(D519,Sheet1!$B$1:$C$45,2,0),"")</f>
        <v>TE</v>
      </c>
      <c r="F519" s="12" t="s">
        <v>108</v>
      </c>
      <c r="G519" s="13" t="str">
        <f t="shared" si="3"/>
        <v>Barito Raya</v>
      </c>
      <c r="H519" s="15" t="str">
        <f>IFERROR(VLOOKUP(A519,Sheet1!$E$3:$F$27,2,),"")</f>
        <v>Corrective</v>
      </c>
      <c r="I519" s="16" t="str">
        <f>IFERROR(VLOOKUP(A519,Sheet1!$E$3:$G$27,3,0),"")</f>
        <v>Replace Optik,RRU/Soket Power/Replace GPS</v>
      </c>
      <c r="J519" s="12" t="s">
        <v>172</v>
      </c>
      <c r="K519" s="17">
        <v>46027.0</v>
      </c>
      <c r="L519" s="24"/>
      <c r="M519" s="12" t="s">
        <v>122</v>
      </c>
      <c r="N519" s="23"/>
      <c r="O519" s="22"/>
      <c r="P519" s="22"/>
    </row>
    <row r="520" ht="22.5" customHeight="1">
      <c r="A520" s="12" t="s">
        <v>70</v>
      </c>
      <c r="B520" s="20" t="str">
        <f>IFERROR(VLOOKUP(A520,Sheet1!$E$3:$H$27,4,0),"")</f>
        <v>P3</v>
      </c>
      <c r="C520" s="15"/>
      <c r="D520" s="12" t="s">
        <v>74</v>
      </c>
      <c r="E520" s="13" t="str">
        <f>IFERROR(VLOOKUP(D520,Sheet1!$B$1:$C$45,2,0),"")</f>
        <v>TE</v>
      </c>
      <c r="F520" s="12" t="s">
        <v>108</v>
      </c>
      <c r="G520" s="13" t="str">
        <f t="shared" si="3"/>
        <v>Barito Raya</v>
      </c>
      <c r="H520" s="15" t="str">
        <f>IFERROR(VLOOKUP(A520,Sheet1!$E$3:$F$27,2,),"")</f>
        <v>Sick</v>
      </c>
      <c r="I520" s="16" t="str">
        <f>IFERROR(VLOOKUP(A520,Sheet1!$E$3:$G$27,3,0),"")</f>
        <v>Sick</v>
      </c>
      <c r="J520" s="12" t="s">
        <v>66</v>
      </c>
      <c r="K520" s="17">
        <v>46027.0</v>
      </c>
      <c r="L520" s="24"/>
      <c r="M520" s="13"/>
      <c r="N520" s="23"/>
      <c r="O520" s="22"/>
      <c r="P520" s="22"/>
    </row>
    <row r="521" ht="22.5" customHeight="1">
      <c r="A521" s="12" t="s">
        <v>65</v>
      </c>
      <c r="B521" s="20" t="str">
        <f>IFERROR(VLOOKUP(A521,Sheet1!$E$3:$H$27,4,0),"")</f>
        <v>P3</v>
      </c>
      <c r="C521" s="15"/>
      <c r="D521" s="12" t="s">
        <v>9</v>
      </c>
      <c r="E521" s="13" t="str">
        <f>IFERROR(VLOOKUP(D521,Sheet1!$B$1:$C$45,2,0),"")</f>
        <v>MBP</v>
      </c>
      <c r="F521" s="12" t="s">
        <v>108</v>
      </c>
      <c r="G521" s="13" t="str">
        <f t="shared" si="3"/>
        <v>Barito Raya</v>
      </c>
      <c r="H521" s="15" t="str">
        <f>IFERROR(VLOOKUP(A521,Sheet1!$E$3:$F$27,2,),"")</f>
        <v>Standby</v>
      </c>
      <c r="I521" s="16" t="str">
        <f>IFERROR(VLOOKUP(A521,Sheet1!$E$3:$G$27,3,0),"")</f>
        <v>Standby On Call</v>
      </c>
      <c r="J521" s="20"/>
      <c r="K521" s="17">
        <v>46027.0</v>
      </c>
      <c r="L521" s="24"/>
      <c r="M521" s="13"/>
      <c r="N521" s="23"/>
      <c r="O521" s="22"/>
      <c r="P521" s="22"/>
    </row>
    <row r="522" ht="22.5" customHeight="1">
      <c r="A522" s="12" t="s">
        <v>65</v>
      </c>
      <c r="B522" s="20" t="str">
        <f>IFERROR(VLOOKUP(A522,Sheet1!$E$3:$H$27,4,0),"")</f>
        <v>P3</v>
      </c>
      <c r="C522" s="15"/>
      <c r="D522" s="12" t="s">
        <v>4</v>
      </c>
      <c r="E522" s="13" t="str">
        <f>IFERROR(VLOOKUP(D522,Sheet1!$B$1:$C$45,2,0),"")</f>
        <v>CME</v>
      </c>
      <c r="F522" s="12" t="s">
        <v>108</v>
      </c>
      <c r="G522" s="13" t="str">
        <f t="shared" si="3"/>
        <v>Barito Raya</v>
      </c>
      <c r="H522" s="15" t="str">
        <f>IFERROR(VLOOKUP(A522,Sheet1!$E$3:$F$27,2,),"")</f>
        <v>Standby</v>
      </c>
      <c r="I522" s="16" t="str">
        <f>IFERROR(VLOOKUP(A522,Sheet1!$E$3:$G$27,3,0),"")</f>
        <v>Standby On Call</v>
      </c>
      <c r="J522" s="20"/>
      <c r="K522" s="17">
        <v>46027.0</v>
      </c>
      <c r="L522" s="24"/>
      <c r="M522" s="13"/>
      <c r="N522" s="23"/>
      <c r="O522" s="22"/>
      <c r="P522" s="22"/>
    </row>
    <row r="523" ht="22.5" customHeight="1">
      <c r="A523" s="12" t="s">
        <v>65</v>
      </c>
      <c r="B523" s="20" t="str">
        <f>IFERROR(VLOOKUP(A523,Sheet1!$E$3:$H$27,4,0),"")</f>
        <v>P3</v>
      </c>
      <c r="C523" s="15"/>
      <c r="D523" s="12" t="s">
        <v>87</v>
      </c>
      <c r="E523" s="13" t="str">
        <f>IFERROR(VLOOKUP(D523,Sheet1!$B$1:$C$45,2,0),"")</f>
        <v>MBP</v>
      </c>
      <c r="F523" s="12" t="s">
        <v>108</v>
      </c>
      <c r="G523" s="13" t="str">
        <f t="shared" si="3"/>
        <v>Barito Raya</v>
      </c>
      <c r="H523" s="15" t="str">
        <f>IFERROR(VLOOKUP(A523,Sheet1!$E$3:$F$27,2,),"")</f>
        <v>Standby</v>
      </c>
      <c r="I523" s="16" t="str">
        <f>IFERROR(VLOOKUP(A523,Sheet1!$E$3:$G$27,3,0),"")</f>
        <v>Standby On Call</v>
      </c>
      <c r="J523" s="20"/>
      <c r="K523" s="17">
        <v>46027.0</v>
      </c>
      <c r="L523" s="17">
        <v>46027.0</v>
      </c>
      <c r="M523" s="13"/>
      <c r="N523" s="23"/>
      <c r="O523" s="22"/>
      <c r="P523" s="22"/>
    </row>
    <row r="524" ht="22.5" customHeight="1">
      <c r="A524" s="12" t="s">
        <v>65</v>
      </c>
      <c r="B524" s="20" t="str">
        <f>IFERROR(VLOOKUP(A524,Sheet1!$E$3:$H$27,4,0),"")</f>
        <v>P3</v>
      </c>
      <c r="C524" s="15"/>
      <c r="D524" s="12" t="s">
        <v>24</v>
      </c>
      <c r="E524" s="13" t="str">
        <f>IFERROR(VLOOKUP(D524,Sheet1!$B$1:$C$45,2,0),"")</f>
        <v>MBP</v>
      </c>
      <c r="F524" s="12" t="s">
        <v>108</v>
      </c>
      <c r="G524" s="13" t="str">
        <f t="shared" si="3"/>
        <v>Barito Raya</v>
      </c>
      <c r="H524" s="15" t="str">
        <f>IFERROR(VLOOKUP(A524,Sheet1!$E$3:$F$27,2,),"")</f>
        <v>Standby</v>
      </c>
      <c r="I524" s="16" t="str">
        <f>IFERROR(VLOOKUP(A524,Sheet1!$E$3:$G$27,3,0),"")</f>
        <v>Standby On Call</v>
      </c>
      <c r="J524" s="12" t="s">
        <v>66</v>
      </c>
      <c r="K524" s="17">
        <v>46027.0</v>
      </c>
      <c r="L524" s="17">
        <v>46027.0</v>
      </c>
      <c r="M524" s="13"/>
      <c r="N524" s="23"/>
      <c r="O524" s="22"/>
      <c r="P524" s="22"/>
    </row>
    <row r="525" ht="22.5" customHeight="1">
      <c r="A525" s="12" t="s">
        <v>65</v>
      </c>
      <c r="B525" s="20" t="str">
        <f>IFERROR(VLOOKUP(A525,Sheet1!$E$3:$H$27,4,0),"")</f>
        <v>P3</v>
      </c>
      <c r="C525" s="15"/>
      <c r="D525" s="12" t="s">
        <v>29</v>
      </c>
      <c r="E525" s="13" t="str">
        <f>IFERROR(VLOOKUP(D525,Sheet1!$B$1:$C$45,2,0),"")</f>
        <v>MBP</v>
      </c>
      <c r="F525" s="12" t="s">
        <v>108</v>
      </c>
      <c r="G525" s="13" t="str">
        <f t="shared" si="3"/>
        <v>Barito Raya</v>
      </c>
      <c r="H525" s="15" t="str">
        <f>IFERROR(VLOOKUP(A525,Sheet1!$E$3:$F$27,2,),"")</f>
        <v>Standby</v>
      </c>
      <c r="I525" s="16" t="str">
        <f>IFERROR(VLOOKUP(A525,Sheet1!$E$3:$G$27,3,0),"")</f>
        <v>Standby On Call</v>
      </c>
      <c r="J525" s="12" t="s">
        <v>66</v>
      </c>
      <c r="K525" s="17">
        <v>46027.0</v>
      </c>
      <c r="L525" s="17">
        <v>46027.0</v>
      </c>
      <c r="M525" s="13"/>
      <c r="N525" s="23"/>
      <c r="O525" s="22"/>
      <c r="P525" s="22"/>
    </row>
    <row r="526" ht="22.5" customHeight="1">
      <c r="A526" s="12" t="s">
        <v>14</v>
      </c>
      <c r="B526" s="20" t="str">
        <f>IFERROR(VLOOKUP(A526,Sheet1!$E$3:$H$27,4,0),"")</f>
        <v>P1</v>
      </c>
      <c r="C526" s="14" t="s">
        <v>247</v>
      </c>
      <c r="D526" s="12" t="s">
        <v>2</v>
      </c>
      <c r="E526" s="13" t="str">
        <f>IFERROR(VLOOKUP(D526,Sheet1!$B$1:$C$45,2,0),"")</f>
        <v>CME</v>
      </c>
      <c r="F526" s="12" t="s">
        <v>108</v>
      </c>
      <c r="G526" s="13" t="str">
        <f t="shared" si="3"/>
        <v>Barito Raya</v>
      </c>
      <c r="H526" s="15" t="str">
        <f>IFERROR(VLOOKUP(A526,Sheet1!$E$3:$F$27,2,),"")</f>
        <v>Corrective</v>
      </c>
      <c r="I526" s="16" t="str">
        <f>IFERROR(VLOOKUP(A526,Sheet1!$E$3:$G$27,3,0),"")</f>
        <v>Pemadaman,MCB Trip,Transmisi problem</v>
      </c>
      <c r="J526" s="12" t="s">
        <v>112</v>
      </c>
      <c r="K526" s="17">
        <v>46027.0</v>
      </c>
      <c r="L526" s="17">
        <v>46027.0</v>
      </c>
      <c r="M526" s="12" t="s">
        <v>109</v>
      </c>
      <c r="N526" s="23"/>
      <c r="O526" s="22"/>
      <c r="P526" s="22"/>
    </row>
    <row r="527" ht="22.5" customHeight="1">
      <c r="A527" s="12" t="s">
        <v>65</v>
      </c>
      <c r="B527" s="20" t="str">
        <f>IFERROR(VLOOKUP(A527,Sheet1!$E$3:$H$27,4,0),"")</f>
        <v>P3</v>
      </c>
      <c r="C527" s="15"/>
      <c r="D527" s="12" t="s">
        <v>0</v>
      </c>
      <c r="E527" s="13" t="str">
        <f>IFERROR(VLOOKUP(D527,Sheet1!$B$1:$C$45,2,0),"")</f>
        <v>MBP</v>
      </c>
      <c r="F527" s="12" t="s">
        <v>108</v>
      </c>
      <c r="G527" s="13" t="str">
        <f t="shared" si="3"/>
        <v>Barito Raya</v>
      </c>
      <c r="H527" s="15" t="str">
        <f>IFERROR(VLOOKUP(A527,Sheet1!$E$3:$F$27,2,),"")</f>
        <v>Standby</v>
      </c>
      <c r="I527" s="16" t="str">
        <f>IFERROR(VLOOKUP(A527,Sheet1!$E$3:$G$27,3,0),"")</f>
        <v>Standby On Call</v>
      </c>
      <c r="J527" s="12" t="s">
        <v>66</v>
      </c>
      <c r="K527" s="17">
        <v>46027.0</v>
      </c>
      <c r="L527" s="17">
        <v>46027.0</v>
      </c>
      <c r="M527" s="13"/>
      <c r="N527" s="23"/>
      <c r="O527" s="22"/>
      <c r="P527" s="22"/>
    </row>
    <row r="528" ht="22.5" customHeight="1">
      <c r="A528" s="12" t="s">
        <v>5</v>
      </c>
      <c r="B528" s="20" t="str">
        <f>IFERROR(VLOOKUP(A528,Sheet1!$E$3:$H$27,4,0),"")</f>
        <v>P1</v>
      </c>
      <c r="C528" s="14" t="s">
        <v>263</v>
      </c>
      <c r="D528" s="12" t="s">
        <v>85</v>
      </c>
      <c r="E528" s="13" t="str">
        <f>IFERROR(VLOOKUP(D528,Sheet1!$B$1:$C$45,2,0),"")</f>
        <v>PM</v>
      </c>
      <c r="F528" s="12" t="s">
        <v>108</v>
      </c>
      <c r="G528" s="13" t="str">
        <f t="shared" si="3"/>
        <v>Barito Raya</v>
      </c>
      <c r="H528" s="15" t="str">
        <f>IFERROR(VLOOKUP(A528,Sheet1!$E$3:$F$27,2,),"")</f>
        <v>Corrective</v>
      </c>
      <c r="I528" s="16" t="str">
        <f>IFERROR(VLOOKUP(A528,Sheet1!$E$3:$G$27,3,0),"")</f>
        <v>Replace Optik,RRU/Soket Power/Replace GPS</v>
      </c>
      <c r="J528" s="12" t="s">
        <v>112</v>
      </c>
      <c r="K528" s="17">
        <v>46027.0</v>
      </c>
      <c r="L528" s="17">
        <v>46027.0</v>
      </c>
      <c r="M528" s="12" t="s">
        <v>109</v>
      </c>
      <c r="N528" s="23"/>
      <c r="O528" s="22"/>
      <c r="P528" s="22"/>
    </row>
    <row r="529" ht="22.5" customHeight="1">
      <c r="A529" s="12" t="s">
        <v>22</v>
      </c>
      <c r="B529" s="20" t="str">
        <f>IFERROR(VLOOKUP(A529,Sheet1!$E$3:$H$27,4,0),"")</f>
        <v>P2</v>
      </c>
      <c r="C529" s="15"/>
      <c r="D529" s="12" t="s">
        <v>84</v>
      </c>
      <c r="E529" s="13" t="str">
        <f>IFERROR(VLOOKUP(D529,Sheet1!$B$1:$C$45,2,0),"")</f>
        <v>MBP</v>
      </c>
      <c r="F529" s="12" t="s">
        <v>108</v>
      </c>
      <c r="G529" s="13" t="str">
        <f t="shared" si="3"/>
        <v>Barito Raya</v>
      </c>
      <c r="H529" s="15" t="str">
        <f>IFERROR(VLOOKUP(A529,Sheet1!$E$3:$F$27,2,),"")</f>
        <v>Preventive</v>
      </c>
      <c r="I529" s="16" t="str">
        <f>IFERROR(VLOOKUP(A529,Sheet1!$E$3:$G$27,3,0),"")</f>
        <v>Preventive Maintenance</v>
      </c>
      <c r="J529" s="12" t="s">
        <v>172</v>
      </c>
      <c r="K529" s="17">
        <v>46027.0</v>
      </c>
      <c r="L529" s="17">
        <v>46027.0</v>
      </c>
      <c r="M529" s="12" t="s">
        <v>122</v>
      </c>
      <c r="N529" s="23"/>
      <c r="O529" s="22"/>
      <c r="P529" s="22"/>
    </row>
    <row r="530" ht="22.5" hidden="1" customHeight="1">
      <c r="A530" s="12" t="s">
        <v>22</v>
      </c>
      <c r="B530" s="20" t="str">
        <f>IFERROR(VLOOKUP(A530,Sheet1!$E$3:$H$27,4,0),"")</f>
        <v>P2</v>
      </c>
      <c r="C530" s="15"/>
      <c r="D530" s="12" t="s">
        <v>86</v>
      </c>
      <c r="E530" s="13" t="str">
        <f>IFERROR(VLOOKUP(D530,Sheet1!$B$1:$C$45,2,0),"")</f>
        <v>PM</v>
      </c>
      <c r="F530" s="12" t="s">
        <v>108</v>
      </c>
      <c r="G530" s="13" t="str">
        <f t="shared" si="3"/>
        <v>Barito Raya</v>
      </c>
      <c r="H530" s="15" t="str">
        <f>IFERROR(VLOOKUP(A530,Sheet1!$E$3:$F$27,2,),"")</f>
        <v>Preventive</v>
      </c>
      <c r="I530" s="16" t="str">
        <f>IFERROR(VLOOKUP(A530,Sheet1!$E$3:$G$27,3,0),"")</f>
        <v>Preventive Maintenance</v>
      </c>
      <c r="J530" s="12" t="s">
        <v>172</v>
      </c>
      <c r="K530" s="17">
        <v>46027.0</v>
      </c>
      <c r="L530" s="17">
        <v>46027.0</v>
      </c>
      <c r="M530" s="12" t="s">
        <v>122</v>
      </c>
      <c r="N530" s="23"/>
      <c r="O530" s="22"/>
      <c r="P530" s="22"/>
    </row>
    <row r="531" ht="22.5" customHeight="1">
      <c r="A531" s="12" t="s">
        <v>5</v>
      </c>
      <c r="B531" s="20" t="str">
        <f>IFERROR(VLOOKUP(A531,Sheet1!$E$3:$H$27,4,0),"")</f>
        <v>P1</v>
      </c>
      <c r="C531" s="14" t="s">
        <v>263</v>
      </c>
      <c r="D531" s="12" t="s">
        <v>12</v>
      </c>
      <c r="E531" s="13" t="str">
        <f>IFERROR(VLOOKUP(D531,Sheet1!$B$1:$C$45,2,0),"")</f>
        <v>TE</v>
      </c>
      <c r="F531" s="12" t="s">
        <v>108</v>
      </c>
      <c r="G531" s="13" t="str">
        <f t="shared" si="3"/>
        <v>Barito Raya</v>
      </c>
      <c r="H531" s="15" t="str">
        <f>IFERROR(VLOOKUP(A531,Sheet1!$E$3:$F$27,2,),"")</f>
        <v>Corrective</v>
      </c>
      <c r="I531" s="16" t="str">
        <f>IFERROR(VLOOKUP(A531,Sheet1!$E$3:$G$27,3,0),"")</f>
        <v>Replace Optik,RRU/Soket Power/Replace GPS</v>
      </c>
      <c r="J531" s="12" t="s">
        <v>112</v>
      </c>
      <c r="K531" s="17">
        <v>46028.0</v>
      </c>
      <c r="L531" s="17">
        <v>46028.0</v>
      </c>
      <c r="M531" s="12" t="s">
        <v>109</v>
      </c>
      <c r="N531" s="18" t="s">
        <v>384</v>
      </c>
      <c r="O531" s="19"/>
      <c r="P531" s="19"/>
    </row>
    <row r="532" ht="22.5" customHeight="1">
      <c r="A532" s="12" t="s">
        <v>65</v>
      </c>
      <c r="B532" s="20" t="str">
        <f>IFERROR(VLOOKUP(A532,Sheet1!$E$3:$H$27,4,0),"")</f>
        <v>P3</v>
      </c>
      <c r="C532" s="15"/>
      <c r="D532" s="12" t="s">
        <v>16</v>
      </c>
      <c r="E532" s="13" t="str">
        <f>IFERROR(VLOOKUP(D532,Sheet1!$B$1:$C$45,2,0),"")</f>
        <v>TE</v>
      </c>
      <c r="F532" s="12" t="s">
        <v>108</v>
      </c>
      <c r="G532" s="13" t="str">
        <f t="shared" si="3"/>
        <v>Barito Raya</v>
      </c>
      <c r="H532" s="15" t="str">
        <f>IFERROR(VLOOKUP(A532,Sheet1!$E$3:$F$27,2,),"")</f>
        <v>Standby</v>
      </c>
      <c r="I532" s="16" t="str">
        <f>IFERROR(VLOOKUP(A532,Sheet1!$E$3:$G$27,3,0),"")</f>
        <v>Standby On Call</v>
      </c>
      <c r="J532" s="20"/>
      <c r="K532" s="17">
        <v>46028.0</v>
      </c>
      <c r="L532" s="17">
        <v>46028.0</v>
      </c>
      <c r="M532" s="13"/>
      <c r="N532" s="23"/>
      <c r="O532" s="22"/>
      <c r="P532" s="22"/>
    </row>
    <row r="533" ht="22.5" customHeight="1">
      <c r="A533" s="12" t="s">
        <v>33</v>
      </c>
      <c r="B533" s="20" t="str">
        <f>IFERROR(VLOOKUP(A533,Sheet1!$E$3:$H$27,4,0),"")</f>
        <v>P2</v>
      </c>
      <c r="C533" s="14" t="s">
        <v>161</v>
      </c>
      <c r="D533" s="12" t="s">
        <v>21</v>
      </c>
      <c r="E533" s="13" t="str">
        <f>IFERROR(VLOOKUP(D533,Sheet1!$B$1:$C$45,2,0),"")</f>
        <v>TE</v>
      </c>
      <c r="F533" s="12" t="s">
        <v>108</v>
      </c>
      <c r="G533" s="13" t="str">
        <f t="shared" si="3"/>
        <v>Barito Raya</v>
      </c>
      <c r="H533" s="15" t="str">
        <f>IFERROR(VLOOKUP(A533,Sheet1!$E$3:$F$27,2,),"")</f>
        <v>Preventive</v>
      </c>
      <c r="I533" s="16" t="str">
        <f>IFERROR(VLOOKUP(A533,Sheet1!$E$3:$G$27,3,0),"")</f>
        <v>Pengukuran dan pengambilan data log serta input Gdoc BBT</v>
      </c>
      <c r="J533" s="12" t="s">
        <v>112</v>
      </c>
      <c r="K533" s="17">
        <v>46028.0</v>
      </c>
      <c r="L533" s="17">
        <v>46028.0</v>
      </c>
      <c r="M533" s="12" t="s">
        <v>109</v>
      </c>
      <c r="N533" s="18" t="s">
        <v>385</v>
      </c>
      <c r="O533" s="19"/>
      <c r="P533" s="19"/>
    </row>
    <row r="534" ht="22.5" customHeight="1">
      <c r="A534" s="12" t="s">
        <v>65</v>
      </c>
      <c r="B534" s="20" t="str">
        <f>IFERROR(VLOOKUP(A534,Sheet1!$E$3:$H$27,4,0),"")</f>
        <v>P3</v>
      </c>
      <c r="C534" s="15"/>
      <c r="D534" s="12" t="s">
        <v>26</v>
      </c>
      <c r="E534" s="13" t="str">
        <f>IFERROR(VLOOKUP(D534,Sheet1!$B$1:$C$45,2,0),"")</f>
        <v>TE</v>
      </c>
      <c r="F534" s="12" t="s">
        <v>108</v>
      </c>
      <c r="G534" s="13" t="str">
        <f t="shared" si="3"/>
        <v>Barito Raya</v>
      </c>
      <c r="H534" s="15" t="str">
        <f>IFERROR(VLOOKUP(A534,Sheet1!$E$3:$F$27,2,),"")</f>
        <v>Standby</v>
      </c>
      <c r="I534" s="16" t="str">
        <f>IFERROR(VLOOKUP(A534,Sheet1!$E$3:$G$27,3,0),"")</f>
        <v>Standby On Call</v>
      </c>
      <c r="J534" s="20"/>
      <c r="K534" s="17">
        <v>46028.0</v>
      </c>
      <c r="L534" s="17">
        <v>46028.0</v>
      </c>
      <c r="M534" s="13"/>
      <c r="N534" s="23"/>
      <c r="O534" s="22"/>
      <c r="P534" s="22"/>
    </row>
    <row r="535" ht="22.5" customHeight="1">
      <c r="A535" s="12" t="s">
        <v>14</v>
      </c>
      <c r="B535" s="20" t="str">
        <f>IFERROR(VLOOKUP(A535,Sheet1!$E$3:$H$27,4,0),"")</f>
        <v>P1</v>
      </c>
      <c r="C535" s="14" t="s">
        <v>386</v>
      </c>
      <c r="D535" s="12" t="s">
        <v>88</v>
      </c>
      <c r="E535" s="13" t="str">
        <f>IFERROR(VLOOKUP(D535,Sheet1!$B$1:$C$45,2,0),"")</f>
        <v>TE</v>
      </c>
      <c r="F535" s="12" t="s">
        <v>108</v>
      </c>
      <c r="G535" s="13" t="str">
        <f t="shared" si="3"/>
        <v>Barito Raya</v>
      </c>
      <c r="H535" s="15" t="str">
        <f>IFERROR(VLOOKUP(A535,Sheet1!$E$3:$F$27,2,),"")</f>
        <v>Corrective</v>
      </c>
      <c r="I535" s="16" t="str">
        <f>IFERROR(VLOOKUP(A535,Sheet1!$E$3:$G$27,3,0),"")</f>
        <v>Pemadaman,MCB Trip,Transmisi problem</v>
      </c>
      <c r="J535" s="12" t="s">
        <v>112</v>
      </c>
      <c r="K535" s="17">
        <v>46028.0</v>
      </c>
      <c r="L535" s="17">
        <v>46028.0</v>
      </c>
      <c r="M535" s="12" t="s">
        <v>109</v>
      </c>
      <c r="N535" s="18" t="s">
        <v>387</v>
      </c>
      <c r="O535" s="19"/>
      <c r="P535" s="19"/>
    </row>
    <row r="536" ht="22.5" customHeight="1">
      <c r="A536" s="12" t="s">
        <v>14</v>
      </c>
      <c r="B536" s="20" t="str">
        <f>IFERROR(VLOOKUP(A536,Sheet1!$E$3:$H$27,4,0),"")</f>
        <v>P1</v>
      </c>
      <c r="C536" s="14" t="s">
        <v>381</v>
      </c>
      <c r="D536" s="12" t="s">
        <v>32</v>
      </c>
      <c r="E536" s="13" t="str">
        <f>IFERROR(VLOOKUP(D536,Sheet1!$B$1:$C$45,2,0),"")</f>
        <v>TE</v>
      </c>
      <c r="F536" s="12" t="s">
        <v>108</v>
      </c>
      <c r="G536" s="13" t="str">
        <f t="shared" si="3"/>
        <v>Barito Raya</v>
      </c>
      <c r="H536" s="15" t="str">
        <f>IFERROR(VLOOKUP(A536,Sheet1!$E$3:$F$27,2,),"")</f>
        <v>Corrective</v>
      </c>
      <c r="I536" s="16" t="str">
        <f>IFERROR(VLOOKUP(A536,Sheet1!$E$3:$G$27,3,0),"")</f>
        <v>Pemadaman,MCB Trip,Transmisi problem</v>
      </c>
      <c r="J536" s="12" t="s">
        <v>112</v>
      </c>
      <c r="K536" s="17">
        <v>46028.0</v>
      </c>
      <c r="L536" s="17">
        <v>46028.0</v>
      </c>
      <c r="M536" s="12" t="s">
        <v>109</v>
      </c>
      <c r="N536" s="18" t="s">
        <v>388</v>
      </c>
      <c r="O536" s="19"/>
      <c r="P536" s="19"/>
    </row>
    <row r="537" ht="22.5" customHeight="1">
      <c r="A537" s="12" t="s">
        <v>70</v>
      </c>
      <c r="B537" s="20" t="str">
        <f>IFERROR(VLOOKUP(A537,Sheet1!$E$3:$H$27,4,0),"")</f>
        <v>P3</v>
      </c>
      <c r="C537" s="15"/>
      <c r="D537" s="12" t="s">
        <v>74</v>
      </c>
      <c r="E537" s="13" t="str">
        <f>IFERROR(VLOOKUP(D537,Sheet1!$B$1:$C$45,2,0),"")</f>
        <v>TE</v>
      </c>
      <c r="F537" s="12" t="s">
        <v>108</v>
      </c>
      <c r="G537" s="13" t="str">
        <f t="shared" si="3"/>
        <v>Barito Raya</v>
      </c>
      <c r="H537" s="15" t="str">
        <f>IFERROR(VLOOKUP(A537,Sheet1!$E$3:$F$27,2,),"")</f>
        <v>Sick</v>
      </c>
      <c r="I537" s="16" t="str">
        <f>IFERROR(VLOOKUP(A537,Sheet1!$E$3:$G$27,3,0),"")</f>
        <v>Sick</v>
      </c>
      <c r="J537" s="20"/>
      <c r="K537" s="17">
        <v>46028.0</v>
      </c>
      <c r="L537" s="17">
        <v>46028.0</v>
      </c>
      <c r="M537" s="13"/>
      <c r="N537" s="23"/>
      <c r="O537" s="22"/>
      <c r="P537" s="22"/>
    </row>
    <row r="538" ht="22.5" customHeight="1">
      <c r="A538" s="12" t="s">
        <v>5</v>
      </c>
      <c r="B538" s="20" t="str">
        <f>IFERROR(VLOOKUP(A538,Sheet1!$E$3:$H$27,4,0),"")</f>
        <v>P1</v>
      </c>
      <c r="C538" s="14" t="s">
        <v>383</v>
      </c>
      <c r="D538" s="12" t="s">
        <v>60</v>
      </c>
      <c r="E538" s="13" t="str">
        <f>IFERROR(VLOOKUP(D538,Sheet1!$B$1:$C$45,2,0),"")</f>
        <v>TE</v>
      </c>
      <c r="F538" s="12" t="s">
        <v>108</v>
      </c>
      <c r="G538" s="13" t="str">
        <f t="shared" si="3"/>
        <v>Barito Raya</v>
      </c>
      <c r="H538" s="15" t="str">
        <f>IFERROR(VLOOKUP(A538,Sheet1!$E$3:$F$27,2,),"")</f>
        <v>Corrective</v>
      </c>
      <c r="I538" s="16" t="str">
        <f>IFERROR(VLOOKUP(A538,Sheet1!$E$3:$G$27,3,0),"")</f>
        <v>Replace Optik,RRU/Soket Power/Replace GPS</v>
      </c>
      <c r="J538" s="12" t="s">
        <v>172</v>
      </c>
      <c r="K538" s="17">
        <v>46028.0</v>
      </c>
      <c r="L538" s="17">
        <v>46028.0</v>
      </c>
      <c r="M538" s="12" t="s">
        <v>122</v>
      </c>
      <c r="N538" s="18"/>
      <c r="O538" s="19"/>
      <c r="P538" s="19"/>
    </row>
    <row r="539" ht="22.5" customHeight="1">
      <c r="A539" s="12" t="s">
        <v>5</v>
      </c>
      <c r="B539" s="20" t="str">
        <f>IFERROR(VLOOKUP(A539,Sheet1!$E$3:$H$27,4,0),"")</f>
        <v>P1</v>
      </c>
      <c r="C539" s="14" t="s">
        <v>382</v>
      </c>
      <c r="D539" s="12" t="s">
        <v>62</v>
      </c>
      <c r="E539" s="13" t="str">
        <f>IFERROR(VLOOKUP(D539,Sheet1!$B$1:$C$45,2,0),"")</f>
        <v>TE</v>
      </c>
      <c r="F539" s="12" t="s">
        <v>108</v>
      </c>
      <c r="G539" s="13" t="str">
        <f t="shared" si="3"/>
        <v>Barito Raya</v>
      </c>
      <c r="H539" s="15" t="str">
        <f>IFERROR(VLOOKUP(A539,Sheet1!$E$3:$F$27,2,),"")</f>
        <v>Corrective</v>
      </c>
      <c r="I539" s="16" t="str">
        <f>IFERROR(VLOOKUP(A539,Sheet1!$E$3:$G$27,3,0),"")</f>
        <v>Replace Optik,RRU/Soket Power/Replace GPS</v>
      </c>
      <c r="J539" s="12" t="s">
        <v>112</v>
      </c>
      <c r="K539" s="17">
        <v>46028.0</v>
      </c>
      <c r="L539" s="17">
        <v>46028.0</v>
      </c>
      <c r="M539" s="12" t="s">
        <v>122</v>
      </c>
      <c r="N539" s="18" t="s">
        <v>389</v>
      </c>
      <c r="O539" s="19"/>
      <c r="P539" s="19"/>
    </row>
    <row r="540" ht="22.5" customHeight="1">
      <c r="A540" s="12" t="s">
        <v>65</v>
      </c>
      <c r="B540" s="20" t="str">
        <f>IFERROR(VLOOKUP(A540,Sheet1!$E$3:$H$27,4,0),"")</f>
        <v>P3</v>
      </c>
      <c r="C540" s="15"/>
      <c r="D540" s="12" t="s">
        <v>9</v>
      </c>
      <c r="E540" s="13" t="str">
        <f>IFERROR(VLOOKUP(D540,Sheet1!$B$1:$C$45,2,0),"")</f>
        <v>MBP</v>
      </c>
      <c r="F540" s="12" t="s">
        <v>108</v>
      </c>
      <c r="G540" s="13" t="str">
        <f t="shared" si="3"/>
        <v>Barito Raya</v>
      </c>
      <c r="H540" s="15" t="str">
        <f>IFERROR(VLOOKUP(A540,Sheet1!$E$3:$F$27,2,),"")</f>
        <v>Standby</v>
      </c>
      <c r="I540" s="16" t="str">
        <f>IFERROR(VLOOKUP(A540,Sheet1!$E$3:$G$27,3,0),"")</f>
        <v>Standby On Call</v>
      </c>
      <c r="J540" s="20"/>
      <c r="K540" s="17">
        <v>46028.0</v>
      </c>
      <c r="L540" s="17">
        <v>46028.0</v>
      </c>
      <c r="M540" s="13"/>
      <c r="N540" s="23"/>
      <c r="O540" s="22"/>
      <c r="P540" s="22"/>
    </row>
    <row r="541" ht="22.5" customHeight="1">
      <c r="A541" s="12" t="s">
        <v>33</v>
      </c>
      <c r="B541" s="20" t="str">
        <f>IFERROR(VLOOKUP(A541,Sheet1!$E$3:$H$27,4,0),"")</f>
        <v>P2</v>
      </c>
      <c r="C541" s="14" t="s">
        <v>161</v>
      </c>
      <c r="D541" s="12" t="s">
        <v>4</v>
      </c>
      <c r="E541" s="13" t="str">
        <f>IFERROR(VLOOKUP(D541,Sheet1!$B$1:$C$45,2,0),"")</f>
        <v>CME</v>
      </c>
      <c r="F541" s="12" t="s">
        <v>108</v>
      </c>
      <c r="G541" s="13" t="str">
        <f t="shared" si="3"/>
        <v>Barito Raya</v>
      </c>
      <c r="H541" s="15" t="str">
        <f>IFERROR(VLOOKUP(A541,Sheet1!$E$3:$F$27,2,),"")</f>
        <v>Preventive</v>
      </c>
      <c r="I541" s="16" t="str">
        <f>IFERROR(VLOOKUP(A541,Sheet1!$E$3:$G$27,3,0),"")</f>
        <v>Pengukuran dan pengambilan data log serta input Gdoc BBT</v>
      </c>
      <c r="J541" s="12" t="s">
        <v>112</v>
      </c>
      <c r="K541" s="17">
        <v>46028.0</v>
      </c>
      <c r="L541" s="17">
        <v>46028.0</v>
      </c>
      <c r="M541" s="12" t="s">
        <v>109</v>
      </c>
      <c r="N541" s="18" t="s">
        <v>385</v>
      </c>
      <c r="O541" s="19"/>
      <c r="P541" s="19"/>
    </row>
    <row r="542" ht="22.5" customHeight="1">
      <c r="A542" s="12" t="s">
        <v>52</v>
      </c>
      <c r="B542" s="20" t="str">
        <f>IFERROR(VLOOKUP(A542,Sheet1!$E$3:$H$27,4,0),"")</f>
        <v>P1</v>
      </c>
      <c r="C542" s="14" t="s">
        <v>386</v>
      </c>
      <c r="D542" s="12" t="s">
        <v>87</v>
      </c>
      <c r="E542" s="13" t="str">
        <f>IFERROR(VLOOKUP(D542,Sheet1!$B$1:$C$45,2,0),"")</f>
        <v>MBP</v>
      </c>
      <c r="F542" s="12" t="s">
        <v>108</v>
      </c>
      <c r="G542" s="13" t="str">
        <f t="shared" si="3"/>
        <v>Barito Raya</v>
      </c>
      <c r="H542" s="15" t="str">
        <f>IFERROR(VLOOKUP(A542,Sheet1!$E$3:$F$27,2,),"")</f>
        <v>Preventive</v>
      </c>
      <c r="I542" s="16" t="str">
        <f>IFERROR(VLOOKUP(A542,Sheet1!$E$3:$G$27,3,0),"")</f>
        <v>MCB trip/Power upnormal</v>
      </c>
      <c r="J542" s="12" t="s">
        <v>112</v>
      </c>
      <c r="K542" s="17">
        <v>46028.0</v>
      </c>
      <c r="L542" s="17">
        <v>46028.0</v>
      </c>
      <c r="M542" s="12" t="s">
        <v>109</v>
      </c>
      <c r="N542" s="18" t="s">
        <v>390</v>
      </c>
      <c r="O542" s="19"/>
      <c r="P542" s="19"/>
    </row>
    <row r="543" ht="22.5" customHeight="1">
      <c r="A543" s="12" t="s">
        <v>5</v>
      </c>
      <c r="B543" s="20" t="str">
        <f>IFERROR(VLOOKUP(A543,Sheet1!$E$3:$H$27,4,0),"")</f>
        <v>P1</v>
      </c>
      <c r="C543" s="14" t="s">
        <v>263</v>
      </c>
      <c r="D543" s="12" t="s">
        <v>2</v>
      </c>
      <c r="E543" s="13" t="str">
        <f>IFERROR(VLOOKUP(D543,Sheet1!$B$1:$C$45,2,0),"")</f>
        <v>CME</v>
      </c>
      <c r="F543" s="12" t="s">
        <v>108</v>
      </c>
      <c r="G543" s="13" t="str">
        <f t="shared" si="3"/>
        <v>Barito Raya</v>
      </c>
      <c r="H543" s="15" t="str">
        <f>IFERROR(VLOOKUP(A543,Sheet1!$E$3:$F$27,2,),"")</f>
        <v>Corrective</v>
      </c>
      <c r="I543" s="16" t="str">
        <f>IFERROR(VLOOKUP(A543,Sheet1!$E$3:$G$27,3,0),"")</f>
        <v>Replace Optik,RRU/Soket Power/Replace GPS</v>
      </c>
      <c r="J543" s="12" t="s">
        <v>112</v>
      </c>
      <c r="K543" s="17">
        <v>46028.0</v>
      </c>
      <c r="L543" s="17">
        <v>46028.0</v>
      </c>
      <c r="M543" s="12" t="s">
        <v>109</v>
      </c>
      <c r="N543" s="18" t="s">
        <v>384</v>
      </c>
      <c r="O543" s="19"/>
      <c r="P543" s="19"/>
    </row>
    <row r="544" ht="22.5" customHeight="1">
      <c r="A544" s="12" t="s">
        <v>65</v>
      </c>
      <c r="B544" s="20" t="str">
        <f>IFERROR(VLOOKUP(A544,Sheet1!$E$3:$H$27,4,0),"")</f>
        <v>P3</v>
      </c>
      <c r="C544" s="15"/>
      <c r="D544" s="12" t="s">
        <v>0</v>
      </c>
      <c r="E544" s="13" t="str">
        <f>IFERROR(VLOOKUP(D544,Sheet1!$B$1:$C$45,2,0),"")</f>
        <v>MBP</v>
      </c>
      <c r="F544" s="12" t="s">
        <v>108</v>
      </c>
      <c r="G544" s="13" t="str">
        <f t="shared" si="3"/>
        <v>Barito Raya</v>
      </c>
      <c r="H544" s="15" t="str">
        <f>IFERROR(VLOOKUP(A544,Sheet1!$E$3:$F$27,2,),"")</f>
        <v>Standby</v>
      </c>
      <c r="I544" s="16" t="str">
        <f>IFERROR(VLOOKUP(A544,Sheet1!$E$3:$G$27,3,0),"")</f>
        <v>Standby On Call</v>
      </c>
      <c r="J544" s="20"/>
      <c r="K544" s="17">
        <v>46028.0</v>
      </c>
      <c r="L544" s="17">
        <v>46028.0</v>
      </c>
      <c r="M544" s="13"/>
      <c r="N544" s="23"/>
      <c r="O544" s="22"/>
      <c r="P544" s="22"/>
    </row>
    <row r="545" ht="22.5" customHeight="1">
      <c r="A545" s="12" t="s">
        <v>22</v>
      </c>
      <c r="B545" s="20" t="str">
        <f>IFERROR(VLOOKUP(A545,Sheet1!$E$3:$H$27,4,0),"")</f>
        <v>P2</v>
      </c>
      <c r="C545" s="14" t="s">
        <v>333</v>
      </c>
      <c r="D545" s="12" t="s">
        <v>85</v>
      </c>
      <c r="E545" s="13" t="str">
        <f>IFERROR(VLOOKUP(D545,Sheet1!$B$1:$C$45,2,0),"")</f>
        <v>PM</v>
      </c>
      <c r="F545" s="12" t="s">
        <v>108</v>
      </c>
      <c r="G545" s="13" t="str">
        <f t="shared" si="3"/>
        <v>Barito Raya</v>
      </c>
      <c r="H545" s="15" t="str">
        <f>IFERROR(VLOOKUP(A545,Sheet1!$E$3:$F$27,2,),"")</f>
        <v>Preventive</v>
      </c>
      <c r="I545" s="16" t="str">
        <f>IFERROR(VLOOKUP(A545,Sheet1!$E$3:$G$27,3,0),"")</f>
        <v>Preventive Maintenance</v>
      </c>
      <c r="J545" s="12" t="s">
        <v>112</v>
      </c>
      <c r="K545" s="17">
        <v>46028.0</v>
      </c>
      <c r="L545" s="17">
        <v>46028.0</v>
      </c>
      <c r="M545" s="12" t="s">
        <v>109</v>
      </c>
      <c r="N545" s="23"/>
      <c r="O545" s="22"/>
      <c r="P545" s="22"/>
    </row>
    <row r="546" ht="22.5" customHeight="1">
      <c r="A546" s="12" t="s">
        <v>22</v>
      </c>
      <c r="B546" s="20" t="str">
        <f>IFERROR(VLOOKUP(A546,Sheet1!$E$3:$H$27,4,0),"")</f>
        <v>P2</v>
      </c>
      <c r="C546" s="14" t="s">
        <v>237</v>
      </c>
      <c r="D546" s="12" t="s">
        <v>84</v>
      </c>
      <c r="E546" s="13" t="str">
        <f>IFERROR(VLOOKUP(D546,Sheet1!$B$1:$C$45,2,0),"")</f>
        <v>MBP</v>
      </c>
      <c r="F546" s="12" t="s">
        <v>108</v>
      </c>
      <c r="G546" s="13" t="str">
        <f t="shared" si="3"/>
        <v>Barito Raya</v>
      </c>
      <c r="H546" s="15" t="str">
        <f>IFERROR(VLOOKUP(A546,Sheet1!$E$3:$F$27,2,),"")</f>
        <v>Preventive</v>
      </c>
      <c r="I546" s="16" t="str">
        <f>IFERROR(VLOOKUP(A546,Sheet1!$E$3:$G$27,3,0),"")</f>
        <v>Preventive Maintenance</v>
      </c>
      <c r="J546" s="12" t="s">
        <v>112</v>
      </c>
      <c r="K546" s="17">
        <v>46028.0</v>
      </c>
      <c r="L546" s="17">
        <v>46028.0</v>
      </c>
      <c r="M546" s="12" t="s">
        <v>109</v>
      </c>
      <c r="N546" s="23"/>
      <c r="O546" s="22"/>
      <c r="P546" s="22"/>
    </row>
    <row r="547" ht="22.5" customHeight="1">
      <c r="A547" s="12" t="s">
        <v>22</v>
      </c>
      <c r="B547" s="20" t="str">
        <f>IFERROR(VLOOKUP(A547,Sheet1!$E$3:$H$27,4,0),"")</f>
        <v>P2</v>
      </c>
      <c r="C547" s="15"/>
      <c r="D547" s="12" t="s">
        <v>86</v>
      </c>
      <c r="E547" s="13" t="str">
        <f>IFERROR(VLOOKUP(D547,Sheet1!$B$1:$C$45,2,0),"")</f>
        <v>PM</v>
      </c>
      <c r="F547" s="12" t="s">
        <v>108</v>
      </c>
      <c r="G547" s="13" t="str">
        <f t="shared" si="3"/>
        <v>Barito Raya</v>
      </c>
      <c r="H547" s="15" t="str">
        <f>IFERROR(VLOOKUP(A547,Sheet1!$E$3:$F$27,2,),"")</f>
        <v>Preventive</v>
      </c>
      <c r="I547" s="16" t="str">
        <f>IFERROR(VLOOKUP(A547,Sheet1!$E$3:$G$27,3,0),"")</f>
        <v>Preventive Maintenance</v>
      </c>
      <c r="J547" s="12" t="s">
        <v>172</v>
      </c>
      <c r="K547" s="17">
        <v>46028.0</v>
      </c>
      <c r="L547" s="17">
        <v>46028.0</v>
      </c>
      <c r="M547" s="13"/>
      <c r="N547" s="23"/>
      <c r="O547" s="22"/>
      <c r="P547" s="22"/>
    </row>
    <row r="548" ht="22.5" customHeight="1">
      <c r="A548" s="12" t="s">
        <v>14</v>
      </c>
      <c r="B548" s="20" t="str">
        <f>IFERROR(VLOOKUP(A548,Sheet1!$E$3:$H$27,4,0),"")</f>
        <v>P1</v>
      </c>
      <c r="C548" s="14" t="s">
        <v>374</v>
      </c>
      <c r="D548" s="12" t="s">
        <v>42</v>
      </c>
      <c r="E548" s="13" t="str">
        <f>IFERROR(VLOOKUP(D548,Sheet1!$B$1:$C$45,2,0),"")</f>
        <v>TE</v>
      </c>
      <c r="F548" s="12" t="s">
        <v>108</v>
      </c>
      <c r="G548" s="13" t="str">
        <f t="shared" si="3"/>
        <v>Barito Raya</v>
      </c>
      <c r="H548" s="15" t="str">
        <f>IFERROR(VLOOKUP(A548,Sheet1!$E$3:$F$27,2,),"")</f>
        <v>Corrective</v>
      </c>
      <c r="I548" s="16" t="str">
        <f>IFERROR(VLOOKUP(A548,Sheet1!$E$3:$G$27,3,0),"")</f>
        <v>Pemadaman,MCB Trip,Transmisi problem</v>
      </c>
      <c r="J548" s="12" t="s">
        <v>112</v>
      </c>
      <c r="K548" s="17">
        <v>46028.0</v>
      </c>
      <c r="L548" s="17">
        <v>46028.0</v>
      </c>
      <c r="M548" s="12" t="s">
        <v>122</v>
      </c>
      <c r="N548" s="18" t="s">
        <v>391</v>
      </c>
      <c r="O548" s="19"/>
      <c r="P548" s="19"/>
    </row>
    <row r="549" ht="22.5" customHeight="1">
      <c r="A549" s="12" t="s">
        <v>5</v>
      </c>
      <c r="B549" s="20" t="str">
        <f>IFERROR(VLOOKUP(A549,Sheet1!$E$3:$H$27,4,0),"")</f>
        <v>P1</v>
      </c>
      <c r="C549" s="14" t="s">
        <v>373</v>
      </c>
      <c r="D549" s="12" t="s">
        <v>76</v>
      </c>
      <c r="E549" s="13" t="str">
        <f>IFERROR(VLOOKUP(D549,Sheet1!$B$1:$C$45,2,0),"")</f>
        <v>TE</v>
      </c>
      <c r="F549" s="12" t="s">
        <v>179</v>
      </c>
      <c r="G549" s="13" t="str">
        <f t="shared" si="3"/>
        <v>Palangkaraya</v>
      </c>
      <c r="H549" s="15" t="str">
        <f>IFERROR(VLOOKUP(A549,Sheet1!$E$3:$F$27,2,),"")</f>
        <v>Corrective</v>
      </c>
      <c r="I549" s="16" t="str">
        <f>IFERROR(VLOOKUP(A549,Sheet1!$E$3:$G$27,3,0),"")</f>
        <v>Replace Optik,RRU/Soket Power/Replace GPS</v>
      </c>
      <c r="J549" s="12" t="s">
        <v>112</v>
      </c>
      <c r="K549" s="17">
        <v>46028.0</v>
      </c>
      <c r="L549" s="24"/>
      <c r="M549" s="12" t="s">
        <v>109</v>
      </c>
      <c r="N549" s="23"/>
      <c r="O549" s="22"/>
      <c r="P549" s="22"/>
    </row>
    <row r="550" ht="22.5" customHeight="1">
      <c r="A550" s="12" t="s">
        <v>5</v>
      </c>
      <c r="B550" s="20" t="str">
        <f>IFERROR(VLOOKUP(A550,Sheet1!$E$3:$H$27,4,0),"")</f>
        <v>P1</v>
      </c>
      <c r="C550" s="14" t="s">
        <v>349</v>
      </c>
      <c r="D550" s="12" t="s">
        <v>39</v>
      </c>
      <c r="E550" s="13" t="str">
        <f>IFERROR(VLOOKUP(D550,Sheet1!$B$1:$C$45,2,0),"")</f>
        <v>TE</v>
      </c>
      <c r="F550" s="12" t="s">
        <v>179</v>
      </c>
      <c r="G550" s="13" t="str">
        <f t="shared" si="3"/>
        <v>Palangkaraya</v>
      </c>
      <c r="H550" s="15" t="str">
        <f>IFERROR(VLOOKUP(A550,Sheet1!$E$3:$F$27,2,),"")</f>
        <v>Corrective</v>
      </c>
      <c r="I550" s="16" t="str">
        <f>IFERROR(VLOOKUP(A550,Sheet1!$E$3:$G$27,3,0),"")</f>
        <v>Replace Optik,RRU/Soket Power/Replace GPS</v>
      </c>
      <c r="J550" s="12" t="s">
        <v>112</v>
      </c>
      <c r="K550" s="17">
        <v>46028.0</v>
      </c>
      <c r="L550" s="24"/>
      <c r="M550" s="12" t="s">
        <v>137</v>
      </c>
      <c r="N550" s="23"/>
      <c r="O550" s="22"/>
      <c r="P550" s="22"/>
    </row>
    <row r="551" ht="22.5" customHeight="1">
      <c r="A551" s="12" t="s">
        <v>5</v>
      </c>
      <c r="B551" s="20" t="str">
        <f>IFERROR(VLOOKUP(A551,Sheet1!$E$3:$H$27,4,0),"")</f>
        <v>P1</v>
      </c>
      <c r="C551" s="14" t="s">
        <v>349</v>
      </c>
      <c r="D551" s="12" t="s">
        <v>80</v>
      </c>
      <c r="E551" s="13" t="str">
        <f>IFERROR(VLOOKUP(D551,Sheet1!$B$1:$C$45,2,0),"")</f>
        <v>TE</v>
      </c>
      <c r="F551" s="12" t="s">
        <v>179</v>
      </c>
      <c r="G551" s="13" t="str">
        <f t="shared" si="3"/>
        <v>Palangkaraya</v>
      </c>
      <c r="H551" s="15" t="str">
        <f>IFERROR(VLOOKUP(A551,Sheet1!$E$3:$F$27,2,),"")</f>
        <v>Corrective</v>
      </c>
      <c r="I551" s="16" t="str">
        <f>IFERROR(VLOOKUP(A551,Sheet1!$E$3:$G$27,3,0),"")</f>
        <v>Replace Optik,RRU/Soket Power/Replace GPS</v>
      </c>
      <c r="J551" s="12" t="s">
        <v>112</v>
      </c>
      <c r="K551" s="17">
        <v>46028.0</v>
      </c>
      <c r="L551" s="24"/>
      <c r="M551" s="12" t="s">
        <v>137</v>
      </c>
      <c r="N551" s="23"/>
      <c r="O551" s="22"/>
      <c r="P551" s="22"/>
    </row>
    <row r="552" ht="22.5" customHeight="1">
      <c r="A552" s="12" t="s">
        <v>5</v>
      </c>
      <c r="B552" s="20" t="str">
        <f>IFERROR(VLOOKUP(A552,Sheet1!$E$3:$H$27,4,0),"")</f>
        <v>P1</v>
      </c>
      <c r="C552" s="14" t="s">
        <v>222</v>
      </c>
      <c r="D552" s="12" t="s">
        <v>78</v>
      </c>
      <c r="E552" s="13" t="str">
        <f>IFERROR(VLOOKUP(D552,Sheet1!$B$1:$C$45,2,0),"")</f>
        <v>TE</v>
      </c>
      <c r="F552" s="12" t="s">
        <v>179</v>
      </c>
      <c r="G552" s="13" t="str">
        <f t="shared" si="3"/>
        <v>Palangkaraya</v>
      </c>
      <c r="H552" s="15" t="str">
        <f>IFERROR(VLOOKUP(A552,Sheet1!$E$3:$F$27,2,),"")</f>
        <v>Corrective</v>
      </c>
      <c r="I552" s="16" t="str">
        <f>IFERROR(VLOOKUP(A552,Sheet1!$E$3:$G$27,3,0),"")</f>
        <v>Replace Optik,RRU/Soket Power/Replace GPS</v>
      </c>
      <c r="J552" s="12" t="s">
        <v>112</v>
      </c>
      <c r="K552" s="17">
        <v>46031.0</v>
      </c>
      <c r="L552" s="17">
        <v>46028.0</v>
      </c>
      <c r="M552" s="12" t="s">
        <v>109</v>
      </c>
      <c r="N552" s="18" t="s">
        <v>392</v>
      </c>
      <c r="O552" s="19"/>
      <c r="P552" s="19"/>
    </row>
    <row r="553" ht="22.5" customHeight="1">
      <c r="A553" s="12" t="s">
        <v>5</v>
      </c>
      <c r="B553" s="20" t="str">
        <f>IFERROR(VLOOKUP(A553,Sheet1!$E$3:$H$27,4,0),"")</f>
        <v>P1</v>
      </c>
      <c r="C553" s="14" t="s">
        <v>222</v>
      </c>
      <c r="D553" s="12" t="s">
        <v>77</v>
      </c>
      <c r="E553" s="13" t="str">
        <f>IFERROR(VLOOKUP(D553,Sheet1!$B$1:$C$45,2,0),"")</f>
        <v>TE</v>
      </c>
      <c r="F553" s="12" t="s">
        <v>179</v>
      </c>
      <c r="G553" s="13" t="str">
        <f t="shared" si="3"/>
        <v>Palangkaraya</v>
      </c>
      <c r="H553" s="15" t="str">
        <f>IFERROR(VLOOKUP(A553,Sheet1!$E$3:$F$27,2,),"")</f>
        <v>Corrective</v>
      </c>
      <c r="I553" s="16" t="str">
        <f>IFERROR(VLOOKUP(A553,Sheet1!$E$3:$G$27,3,0),"")</f>
        <v>Replace Optik,RRU/Soket Power/Replace GPS</v>
      </c>
      <c r="J553" s="12" t="s">
        <v>112</v>
      </c>
      <c r="K553" s="17">
        <v>46028.0</v>
      </c>
      <c r="L553" s="17">
        <v>46028.0</v>
      </c>
      <c r="M553" s="12" t="s">
        <v>109</v>
      </c>
      <c r="N553" s="18" t="s">
        <v>392</v>
      </c>
      <c r="O553" s="19"/>
      <c r="P553" s="19"/>
    </row>
    <row r="554" ht="22.5" customHeight="1">
      <c r="A554" s="12" t="s">
        <v>5</v>
      </c>
      <c r="B554" s="20" t="str">
        <f>IFERROR(VLOOKUP(A554,Sheet1!$E$3:$H$27,4,0),"")</f>
        <v>P1</v>
      </c>
      <c r="C554" s="14" t="s">
        <v>393</v>
      </c>
      <c r="D554" s="12" t="s">
        <v>37</v>
      </c>
      <c r="E554" s="13" t="str">
        <f>IFERROR(VLOOKUP(D554,Sheet1!$B$1:$C$45,2,0),"")</f>
        <v>TE</v>
      </c>
      <c r="F554" s="12" t="s">
        <v>179</v>
      </c>
      <c r="G554" s="13" t="str">
        <f t="shared" si="3"/>
        <v>Palangkaraya</v>
      </c>
      <c r="H554" s="15" t="str">
        <f>IFERROR(VLOOKUP(A554,Sheet1!$E$3:$F$27,2,),"")</f>
        <v>Corrective</v>
      </c>
      <c r="I554" s="16" t="str">
        <f>IFERROR(VLOOKUP(A554,Sheet1!$E$3:$G$27,3,0),"")</f>
        <v>Replace Optik,RRU/Soket Power/Replace GPS</v>
      </c>
      <c r="J554" s="12" t="s">
        <v>112</v>
      </c>
      <c r="K554" s="17">
        <v>46028.0</v>
      </c>
      <c r="L554" s="17">
        <v>46028.0</v>
      </c>
      <c r="M554" s="12" t="s">
        <v>109</v>
      </c>
      <c r="N554" s="23"/>
      <c r="O554" s="22"/>
      <c r="P554" s="22"/>
    </row>
    <row r="555" ht="22.5" customHeight="1">
      <c r="A555" s="12" t="s">
        <v>5</v>
      </c>
      <c r="B555" s="20" t="str">
        <f>IFERROR(VLOOKUP(A555,Sheet1!$E$3:$H$27,4,0),"")</f>
        <v>P1</v>
      </c>
      <c r="C555" s="14" t="s">
        <v>376</v>
      </c>
      <c r="D555" s="12" t="s">
        <v>51</v>
      </c>
      <c r="E555" s="13" t="str">
        <f>IFERROR(VLOOKUP(D555,Sheet1!$B$1:$C$45,2,0),"")</f>
        <v>TE</v>
      </c>
      <c r="F555" s="12" t="s">
        <v>179</v>
      </c>
      <c r="G555" s="13" t="str">
        <f t="shared" si="3"/>
        <v>Palangkaraya</v>
      </c>
      <c r="H555" s="15" t="str">
        <f>IFERROR(VLOOKUP(A555,Sheet1!$E$3:$F$27,2,),"")</f>
        <v>Corrective</v>
      </c>
      <c r="I555" s="16" t="str">
        <f>IFERROR(VLOOKUP(A555,Sheet1!$E$3:$G$27,3,0),"")</f>
        <v>Replace Optik,RRU/Soket Power/Replace GPS</v>
      </c>
      <c r="J555" s="12" t="s">
        <v>112</v>
      </c>
      <c r="K555" s="17">
        <v>46028.0</v>
      </c>
      <c r="L555" s="24"/>
      <c r="M555" s="12" t="s">
        <v>122</v>
      </c>
      <c r="N555" s="23"/>
      <c r="O555" s="22"/>
      <c r="P555" s="22"/>
    </row>
    <row r="556" ht="22.5" customHeight="1">
      <c r="A556" s="12" t="s">
        <v>5</v>
      </c>
      <c r="B556" s="20" t="str">
        <f>IFERROR(VLOOKUP(A556,Sheet1!$E$3:$H$27,4,0),"")</f>
        <v>P1</v>
      </c>
      <c r="C556" s="14" t="s">
        <v>376</v>
      </c>
      <c r="D556" s="12" t="s">
        <v>79</v>
      </c>
      <c r="E556" s="13" t="str">
        <f>IFERROR(VLOOKUP(D556,Sheet1!$B$1:$C$45,2,0),"")</f>
        <v>TE</v>
      </c>
      <c r="F556" s="12" t="s">
        <v>179</v>
      </c>
      <c r="G556" s="13" t="str">
        <f t="shared" si="3"/>
        <v>Palangkaraya</v>
      </c>
      <c r="H556" s="15" t="str">
        <f>IFERROR(VLOOKUP(A556,Sheet1!$E$3:$F$27,2,),"")</f>
        <v>Corrective</v>
      </c>
      <c r="I556" s="16" t="str">
        <f>IFERROR(VLOOKUP(A556,Sheet1!$E$3:$G$27,3,0),"")</f>
        <v>Replace Optik,RRU/Soket Power/Replace GPS</v>
      </c>
      <c r="J556" s="12" t="s">
        <v>112</v>
      </c>
      <c r="K556" s="17">
        <v>46028.0</v>
      </c>
      <c r="L556" s="24"/>
      <c r="M556" s="12" t="s">
        <v>122</v>
      </c>
      <c r="N556" s="23"/>
      <c r="O556" s="22"/>
      <c r="P556" s="22"/>
    </row>
    <row r="557" ht="22.5" customHeight="1">
      <c r="A557" s="12" t="s">
        <v>5</v>
      </c>
      <c r="B557" s="20" t="str">
        <f>IFERROR(VLOOKUP(A557,Sheet1!$E$3:$H$27,4,0),"")</f>
        <v>P1</v>
      </c>
      <c r="C557" s="14" t="s">
        <v>302</v>
      </c>
      <c r="D557" s="12" t="s">
        <v>71</v>
      </c>
      <c r="E557" s="13" t="str">
        <f>IFERROR(VLOOKUP(D557,Sheet1!$B$1:$C$45,2,0),"")</f>
        <v>TE</v>
      </c>
      <c r="F557" s="12" t="s">
        <v>179</v>
      </c>
      <c r="G557" s="13" t="str">
        <f t="shared" si="3"/>
        <v>Palangkaraya</v>
      </c>
      <c r="H557" s="15" t="str">
        <f>IFERROR(VLOOKUP(A557,Sheet1!$E$3:$F$27,2,),"")</f>
        <v>Corrective</v>
      </c>
      <c r="I557" s="16" t="str">
        <f>IFERROR(VLOOKUP(A557,Sheet1!$E$3:$G$27,3,0),"")</f>
        <v>Replace Optik,RRU/Soket Power/Replace GPS</v>
      </c>
      <c r="J557" s="12" t="s">
        <v>112</v>
      </c>
      <c r="K557" s="17">
        <v>46028.0</v>
      </c>
      <c r="L557" s="24"/>
      <c r="M557" s="12" t="s">
        <v>122</v>
      </c>
      <c r="N557" s="23"/>
      <c r="O557" s="22"/>
      <c r="P557" s="22"/>
    </row>
    <row r="558" ht="22.5" customHeight="1">
      <c r="A558" s="12" t="s">
        <v>5</v>
      </c>
      <c r="B558" s="20" t="str">
        <f>IFERROR(VLOOKUP(A558,Sheet1!$E$3:$H$27,4,0),"")</f>
        <v>P1</v>
      </c>
      <c r="C558" s="14" t="s">
        <v>302</v>
      </c>
      <c r="D558" s="12" t="s">
        <v>69</v>
      </c>
      <c r="E558" s="13" t="str">
        <f>IFERROR(VLOOKUP(D558,Sheet1!$B$1:$C$45,2,0),"")</f>
        <v>TE</v>
      </c>
      <c r="F558" s="12" t="s">
        <v>179</v>
      </c>
      <c r="G558" s="13" t="str">
        <f t="shared" si="3"/>
        <v>Palangkaraya</v>
      </c>
      <c r="H558" s="15" t="str">
        <f>IFERROR(VLOOKUP(A558,Sheet1!$E$3:$F$27,2,),"")</f>
        <v>Corrective</v>
      </c>
      <c r="I558" s="16" t="str">
        <f>IFERROR(VLOOKUP(A558,Sheet1!$E$3:$G$27,3,0),"")</f>
        <v>Replace Optik,RRU/Soket Power/Replace GPS</v>
      </c>
      <c r="J558" s="12" t="s">
        <v>112</v>
      </c>
      <c r="K558" s="17">
        <v>46028.0</v>
      </c>
      <c r="L558" s="24"/>
      <c r="M558" s="12" t="s">
        <v>122</v>
      </c>
      <c r="N558" s="23"/>
      <c r="O558" s="22"/>
      <c r="P558" s="22"/>
    </row>
    <row r="559" ht="22.5" customHeight="1">
      <c r="A559" s="12" t="s">
        <v>5</v>
      </c>
      <c r="B559" s="20" t="str">
        <f>IFERROR(VLOOKUP(A559,Sheet1!$E$3:$H$27,4,0),"")</f>
        <v>P1</v>
      </c>
      <c r="C559" s="14" t="s">
        <v>268</v>
      </c>
      <c r="D559" s="12" t="s">
        <v>91</v>
      </c>
      <c r="E559" s="13" t="str">
        <f>IFERROR(VLOOKUP(D559,Sheet1!$B$1:$C$45,2,0),"")</f>
        <v>TE</v>
      </c>
      <c r="F559" s="12" t="s">
        <v>179</v>
      </c>
      <c r="G559" s="13" t="str">
        <f t="shared" si="3"/>
        <v>Palangkaraya</v>
      </c>
      <c r="H559" s="15" t="str">
        <f>IFERROR(VLOOKUP(A559,Sheet1!$E$3:$F$27,2,),"")</f>
        <v>Corrective</v>
      </c>
      <c r="I559" s="16" t="str">
        <f>IFERROR(VLOOKUP(A559,Sheet1!$E$3:$G$27,3,0),"")</f>
        <v>Replace Optik,RRU/Soket Power/Replace GPS</v>
      </c>
      <c r="J559" s="12" t="s">
        <v>112</v>
      </c>
      <c r="K559" s="17">
        <v>46028.0</v>
      </c>
      <c r="L559" s="24"/>
      <c r="M559" s="12" t="s">
        <v>122</v>
      </c>
      <c r="N559" s="23"/>
      <c r="O559" s="22"/>
      <c r="P559" s="22"/>
    </row>
    <row r="560" ht="22.5" customHeight="1">
      <c r="A560" s="12" t="s">
        <v>33</v>
      </c>
      <c r="B560" s="20" t="str">
        <f>IFERROR(VLOOKUP(A560,Sheet1!$E$3:$H$27,4,0),"")</f>
        <v>P2</v>
      </c>
      <c r="C560" s="14" t="s">
        <v>394</v>
      </c>
      <c r="D560" s="12" t="s">
        <v>58</v>
      </c>
      <c r="E560" s="13" t="str">
        <f>IFERROR(VLOOKUP(D560,Sheet1!$B$1:$C$45,2,0),"")</f>
        <v>TE</v>
      </c>
      <c r="F560" s="12" t="s">
        <v>179</v>
      </c>
      <c r="G560" s="13" t="str">
        <f t="shared" si="3"/>
        <v>Palangkaraya</v>
      </c>
      <c r="H560" s="15" t="str">
        <f>IFERROR(VLOOKUP(A560,Sheet1!$E$3:$F$27,2,),"")</f>
        <v>Preventive</v>
      </c>
      <c r="I560" s="16" t="str">
        <f>IFERROR(VLOOKUP(A560,Sheet1!$E$3:$G$27,3,0),"")</f>
        <v>Pengukuran dan pengambilan data log serta input Gdoc BBT</v>
      </c>
      <c r="J560" s="12" t="s">
        <v>112</v>
      </c>
      <c r="K560" s="17">
        <v>46028.0</v>
      </c>
      <c r="L560" s="24"/>
      <c r="M560" s="12" t="s">
        <v>122</v>
      </c>
      <c r="N560" s="23"/>
      <c r="O560" s="22"/>
      <c r="P560" s="22"/>
    </row>
    <row r="561" ht="22.5" customHeight="1">
      <c r="A561" s="12" t="s">
        <v>65</v>
      </c>
      <c r="B561" s="20" t="str">
        <f>IFERROR(VLOOKUP(A561,Sheet1!$E$3:$H$27,4,0),"")</f>
        <v>P3</v>
      </c>
      <c r="C561" s="14"/>
      <c r="D561" s="12" t="s">
        <v>56</v>
      </c>
      <c r="E561" s="13" t="str">
        <f>IFERROR(VLOOKUP(D561,Sheet1!$B$1:$C$45,2,0),"")</f>
        <v>TE</v>
      </c>
      <c r="F561" s="12" t="s">
        <v>179</v>
      </c>
      <c r="G561" s="13" t="str">
        <f t="shared" si="3"/>
        <v>Palangkaraya</v>
      </c>
      <c r="H561" s="15" t="str">
        <f>IFERROR(VLOOKUP(A561,Sheet1!$E$3:$F$27,2,),"")</f>
        <v>Standby</v>
      </c>
      <c r="I561" s="16" t="str">
        <f>IFERROR(VLOOKUP(A561,Sheet1!$E$3:$G$27,3,0),"")</f>
        <v>Standby On Call</v>
      </c>
      <c r="J561" s="12" t="s">
        <v>66</v>
      </c>
      <c r="K561" s="17">
        <v>46028.0</v>
      </c>
      <c r="L561" s="17">
        <v>46027.0</v>
      </c>
      <c r="M561" s="12" t="s">
        <v>137</v>
      </c>
      <c r="N561" s="23"/>
      <c r="O561" s="22"/>
      <c r="P561" s="22"/>
    </row>
    <row r="562" ht="22.5" customHeight="1">
      <c r="A562" s="12" t="s">
        <v>65</v>
      </c>
      <c r="B562" s="20" t="str">
        <f>IFERROR(VLOOKUP(A562,Sheet1!$E$3:$H$27,4,0),"")</f>
        <v>P3</v>
      </c>
      <c r="C562" s="15"/>
      <c r="D562" s="12" t="s">
        <v>83</v>
      </c>
      <c r="E562" s="13" t="str">
        <f>IFERROR(VLOOKUP(D562,Sheet1!$B$1:$C$45,2,0),"")</f>
        <v>PM</v>
      </c>
      <c r="F562" s="12" t="s">
        <v>179</v>
      </c>
      <c r="G562" s="13" t="str">
        <f t="shared" si="3"/>
        <v>Palangkaraya</v>
      </c>
      <c r="H562" s="15" t="str">
        <f>IFERROR(VLOOKUP(A562,Sheet1!$E$3:$F$27,2,),"")</f>
        <v>Standby</v>
      </c>
      <c r="I562" s="16" t="str">
        <f>IFERROR(VLOOKUP(A562,Sheet1!$E$3:$G$27,3,0),"")</f>
        <v>Standby On Call</v>
      </c>
      <c r="J562" s="12" t="s">
        <v>66</v>
      </c>
      <c r="K562" s="17">
        <v>46028.0</v>
      </c>
      <c r="L562" s="24"/>
      <c r="M562" s="12" t="s">
        <v>137</v>
      </c>
      <c r="N562" s="23"/>
      <c r="O562" s="22"/>
      <c r="P562" s="22"/>
    </row>
    <row r="563" ht="22.5" customHeight="1">
      <c r="A563" s="12" t="s">
        <v>65</v>
      </c>
      <c r="B563" s="20" t="str">
        <f>IFERROR(VLOOKUP(A563,Sheet1!$E$3:$H$27,4,0),"")</f>
        <v>P3</v>
      </c>
      <c r="C563" s="15"/>
      <c r="D563" s="12" t="s">
        <v>82</v>
      </c>
      <c r="E563" s="13" t="str">
        <f>IFERROR(VLOOKUP(D563,Sheet1!$B$1:$C$45,2,0),"")</f>
        <v>PM</v>
      </c>
      <c r="F563" s="12" t="s">
        <v>179</v>
      </c>
      <c r="G563" s="13" t="str">
        <f t="shared" si="3"/>
        <v>Palangkaraya</v>
      </c>
      <c r="H563" s="15" t="str">
        <f>IFERROR(VLOOKUP(A563,Sheet1!$E$3:$F$27,2,),"")</f>
        <v>Standby</v>
      </c>
      <c r="I563" s="16" t="str">
        <f>IFERROR(VLOOKUP(A563,Sheet1!$E$3:$G$27,3,0),"")</f>
        <v>Standby On Call</v>
      </c>
      <c r="J563" s="12" t="s">
        <v>66</v>
      </c>
      <c r="K563" s="17">
        <v>46028.0</v>
      </c>
      <c r="L563" s="24"/>
      <c r="M563" s="12" t="s">
        <v>137</v>
      </c>
      <c r="N563" s="23"/>
      <c r="O563" s="22"/>
      <c r="P563" s="22"/>
    </row>
    <row r="564" ht="22.5" customHeight="1">
      <c r="A564" s="12" t="s">
        <v>65</v>
      </c>
      <c r="B564" s="20" t="str">
        <f>IFERROR(VLOOKUP(A564,Sheet1!$E$3:$H$27,4,0),"")</f>
        <v>P3</v>
      </c>
      <c r="C564" s="15"/>
      <c r="D564" s="12" t="s">
        <v>75</v>
      </c>
      <c r="E564" s="13" t="str">
        <f>IFERROR(VLOOKUP(D564,Sheet1!$B$1:$C$45,2,0),"")</f>
        <v>CME</v>
      </c>
      <c r="F564" s="12" t="s">
        <v>179</v>
      </c>
      <c r="G564" s="13" t="str">
        <f t="shared" si="3"/>
        <v>Palangkaraya</v>
      </c>
      <c r="H564" s="15" t="str">
        <f>IFERROR(VLOOKUP(A564,Sheet1!$E$3:$F$27,2,),"")</f>
        <v>Standby</v>
      </c>
      <c r="I564" s="16" t="str">
        <f>IFERROR(VLOOKUP(A564,Sheet1!$E$3:$G$27,3,0),"")</f>
        <v>Standby On Call</v>
      </c>
      <c r="J564" s="12" t="s">
        <v>66</v>
      </c>
      <c r="K564" s="17">
        <v>46028.0</v>
      </c>
      <c r="L564" s="24"/>
      <c r="M564" s="12" t="s">
        <v>137</v>
      </c>
      <c r="N564" s="23"/>
      <c r="O564" s="22"/>
      <c r="P564" s="22"/>
    </row>
    <row r="565" ht="22.5" customHeight="1">
      <c r="A565" s="12" t="s">
        <v>65</v>
      </c>
      <c r="B565" s="20" t="str">
        <f>IFERROR(VLOOKUP(A565,Sheet1!$E$3:$H$27,4,0),"")</f>
        <v>P3</v>
      </c>
      <c r="C565" s="15"/>
      <c r="D565" s="12" t="s">
        <v>35</v>
      </c>
      <c r="E565" s="13" t="str">
        <f>IFERROR(VLOOKUP(D565,Sheet1!$B$1:$C$45,2,0),"")</f>
        <v>MBP</v>
      </c>
      <c r="F565" s="12" t="s">
        <v>179</v>
      </c>
      <c r="G565" s="13" t="str">
        <f t="shared" si="3"/>
        <v>Palangkaraya</v>
      </c>
      <c r="H565" s="15" t="str">
        <f>IFERROR(VLOOKUP(A565,Sheet1!$E$3:$F$27,2,),"")</f>
        <v>Standby</v>
      </c>
      <c r="I565" s="16" t="str">
        <f>IFERROR(VLOOKUP(A565,Sheet1!$E$3:$G$27,3,0),"")</f>
        <v>Standby On Call</v>
      </c>
      <c r="J565" s="12" t="s">
        <v>66</v>
      </c>
      <c r="K565" s="17">
        <v>46028.0</v>
      </c>
      <c r="L565" s="24"/>
      <c r="M565" s="12" t="s">
        <v>137</v>
      </c>
      <c r="N565" s="23"/>
      <c r="O565" s="22"/>
      <c r="P565" s="22"/>
    </row>
    <row r="566" ht="22.5" customHeight="1">
      <c r="A566" s="12" t="s">
        <v>65</v>
      </c>
      <c r="B566" s="20" t="str">
        <f>IFERROR(VLOOKUP(A566,Sheet1!$E$3:$H$27,4,0),"")</f>
        <v>P3</v>
      </c>
      <c r="C566" s="14"/>
      <c r="D566" s="12" t="s">
        <v>48</v>
      </c>
      <c r="E566" s="13" t="str">
        <f>IFERROR(VLOOKUP(D566,Sheet1!$B$1:$C$45,2,0),"")</f>
        <v>MBP</v>
      </c>
      <c r="F566" s="12" t="s">
        <v>179</v>
      </c>
      <c r="G566" s="13" t="str">
        <f t="shared" si="3"/>
        <v>Palangkaraya</v>
      </c>
      <c r="H566" s="15" t="str">
        <f>IFERROR(VLOOKUP(A566,Sheet1!$E$3:$F$27,2,),"")</f>
        <v>Standby</v>
      </c>
      <c r="I566" s="16" t="str">
        <f>IFERROR(VLOOKUP(A566,Sheet1!$E$3:$G$27,3,0),"")</f>
        <v>Standby On Call</v>
      </c>
      <c r="J566" s="12" t="s">
        <v>66</v>
      </c>
      <c r="K566" s="17">
        <v>46028.0</v>
      </c>
      <c r="L566" s="17">
        <v>46027.0</v>
      </c>
      <c r="M566" s="12" t="s">
        <v>137</v>
      </c>
      <c r="N566" s="23"/>
      <c r="O566" s="22"/>
      <c r="P566" s="22"/>
    </row>
    <row r="567" ht="22.5" customHeight="1">
      <c r="A567" s="12" t="s">
        <v>65</v>
      </c>
      <c r="B567" s="20" t="str">
        <f>IFERROR(VLOOKUP(A567,Sheet1!$E$3:$H$27,4,0),"")</f>
        <v>P3</v>
      </c>
      <c r="C567" s="15"/>
      <c r="D567" s="12" t="s">
        <v>54</v>
      </c>
      <c r="E567" s="13" t="str">
        <f>IFERROR(VLOOKUP(D567,Sheet1!$B$1:$C$45,2,0),"")</f>
        <v>MBP</v>
      </c>
      <c r="F567" s="12" t="s">
        <v>179</v>
      </c>
      <c r="G567" s="13" t="str">
        <f t="shared" si="3"/>
        <v>Palangkaraya</v>
      </c>
      <c r="H567" s="15" t="str">
        <f>IFERROR(VLOOKUP(A567,Sheet1!$E$3:$F$27,2,),"")</f>
        <v>Standby</v>
      </c>
      <c r="I567" s="16" t="str">
        <f>IFERROR(VLOOKUP(A567,Sheet1!$E$3:$G$27,3,0),"")</f>
        <v>Standby On Call</v>
      </c>
      <c r="J567" s="12" t="s">
        <v>66</v>
      </c>
      <c r="K567" s="17">
        <v>46028.0</v>
      </c>
      <c r="L567" s="24"/>
      <c r="M567" s="12" t="s">
        <v>137</v>
      </c>
      <c r="N567" s="23"/>
      <c r="O567" s="22"/>
      <c r="P567" s="22"/>
    </row>
    <row r="568" ht="22.5" customHeight="1">
      <c r="A568" s="12" t="s">
        <v>65</v>
      </c>
      <c r="B568" s="20" t="str">
        <f>IFERROR(VLOOKUP(A568,Sheet1!$E$3:$H$27,4,0),"")</f>
        <v>P3</v>
      </c>
      <c r="C568" s="15"/>
      <c r="D568" s="12" t="s">
        <v>12</v>
      </c>
      <c r="E568" s="13" t="str">
        <f>IFERROR(VLOOKUP(D568,Sheet1!$B$1:$C$45,2,0),"")</f>
        <v>TE</v>
      </c>
      <c r="F568" s="12" t="s">
        <v>108</v>
      </c>
      <c r="G568" s="13" t="str">
        <f t="shared" si="3"/>
        <v>Barito Raya</v>
      </c>
      <c r="H568" s="15" t="str">
        <f>IFERROR(VLOOKUP(A568,Sheet1!$E$3:$F$27,2,),"")</f>
        <v>Standby</v>
      </c>
      <c r="I568" s="16" t="str">
        <f>IFERROR(VLOOKUP(A568,Sheet1!$E$3:$G$27,3,0),"")</f>
        <v>Standby On Call</v>
      </c>
      <c r="J568" s="20"/>
      <c r="K568" s="17">
        <v>46029.0</v>
      </c>
      <c r="L568" s="17">
        <v>46029.0</v>
      </c>
      <c r="M568" s="13"/>
      <c r="N568" s="23"/>
      <c r="O568" s="22"/>
      <c r="P568" s="22"/>
    </row>
    <row r="569" ht="22.5" customHeight="1">
      <c r="A569" s="12" t="s">
        <v>52</v>
      </c>
      <c r="B569" s="20" t="str">
        <f>IFERROR(VLOOKUP(A569,Sheet1!$E$3:$H$27,4,0),"")</f>
        <v>P1</v>
      </c>
      <c r="C569" s="14" t="s">
        <v>334</v>
      </c>
      <c r="D569" s="12" t="s">
        <v>16</v>
      </c>
      <c r="E569" s="13" t="str">
        <f>IFERROR(VLOOKUP(D569,Sheet1!$B$1:$C$45,2,0),"")</f>
        <v>TE</v>
      </c>
      <c r="F569" s="12" t="s">
        <v>108</v>
      </c>
      <c r="G569" s="13" t="str">
        <f t="shared" si="3"/>
        <v>Barito Raya</v>
      </c>
      <c r="H569" s="15" t="str">
        <f>IFERROR(VLOOKUP(A569,Sheet1!$E$3:$F$27,2,),"")</f>
        <v>Preventive</v>
      </c>
      <c r="I569" s="16" t="str">
        <f>IFERROR(VLOOKUP(A569,Sheet1!$E$3:$G$27,3,0),"")</f>
        <v>MCB trip/Power upnormal</v>
      </c>
      <c r="J569" s="12" t="s">
        <v>112</v>
      </c>
      <c r="K569" s="17">
        <v>46029.0</v>
      </c>
      <c r="L569" s="17">
        <v>46029.0</v>
      </c>
      <c r="M569" s="12" t="s">
        <v>109</v>
      </c>
      <c r="N569" s="18" t="s">
        <v>395</v>
      </c>
      <c r="O569" s="19"/>
      <c r="P569" s="19"/>
    </row>
    <row r="570" ht="22.5" customHeight="1">
      <c r="A570" s="12" t="s">
        <v>65</v>
      </c>
      <c r="B570" s="20" t="str">
        <f>IFERROR(VLOOKUP(A570,Sheet1!$E$3:$H$27,4,0),"")</f>
        <v>P3</v>
      </c>
      <c r="C570" s="15"/>
      <c r="D570" s="12" t="s">
        <v>21</v>
      </c>
      <c r="E570" s="13" t="str">
        <f>IFERROR(VLOOKUP(D570,Sheet1!$B$1:$C$45,2,0),"")</f>
        <v>TE</v>
      </c>
      <c r="F570" s="12" t="s">
        <v>108</v>
      </c>
      <c r="G570" s="13" t="str">
        <f t="shared" si="3"/>
        <v>Barito Raya</v>
      </c>
      <c r="H570" s="15" t="str">
        <f>IFERROR(VLOOKUP(A570,Sheet1!$E$3:$F$27,2,),"")</f>
        <v>Standby</v>
      </c>
      <c r="I570" s="16" t="str">
        <f>IFERROR(VLOOKUP(A570,Sheet1!$E$3:$G$27,3,0),"")</f>
        <v>Standby On Call</v>
      </c>
      <c r="J570" s="20"/>
      <c r="K570" s="17">
        <v>46029.0</v>
      </c>
      <c r="L570" s="17">
        <v>46029.0</v>
      </c>
      <c r="M570" s="13"/>
      <c r="N570" s="23"/>
      <c r="O570" s="22"/>
      <c r="P570" s="22"/>
    </row>
    <row r="571" ht="22.5" customHeight="1">
      <c r="A571" s="12" t="s">
        <v>14</v>
      </c>
      <c r="B571" s="20" t="str">
        <f>IFERROR(VLOOKUP(A571,Sheet1!$E$3:$H$27,4,0),"")</f>
        <v>P1</v>
      </c>
      <c r="C571" s="14" t="s">
        <v>396</v>
      </c>
      <c r="D571" s="12" t="s">
        <v>26</v>
      </c>
      <c r="E571" s="13" t="str">
        <f>IFERROR(VLOOKUP(D571,Sheet1!$B$1:$C$45,2,0),"")</f>
        <v>TE</v>
      </c>
      <c r="F571" s="12" t="s">
        <v>108</v>
      </c>
      <c r="G571" s="13" t="str">
        <f t="shared" si="3"/>
        <v>Barito Raya</v>
      </c>
      <c r="H571" s="15" t="str">
        <f>IFERROR(VLOOKUP(A571,Sheet1!$E$3:$F$27,2,),"")</f>
        <v>Corrective</v>
      </c>
      <c r="I571" s="16" t="str">
        <f>IFERROR(VLOOKUP(A571,Sheet1!$E$3:$G$27,3,0),"")</f>
        <v>Pemadaman,MCB Trip,Transmisi problem</v>
      </c>
      <c r="J571" s="12" t="s">
        <v>112</v>
      </c>
      <c r="K571" s="17">
        <v>46029.0</v>
      </c>
      <c r="L571" s="17">
        <v>46029.0</v>
      </c>
      <c r="M571" s="12" t="s">
        <v>109</v>
      </c>
      <c r="N571" s="18" t="s">
        <v>397</v>
      </c>
      <c r="O571" s="19"/>
      <c r="P571" s="19"/>
    </row>
    <row r="572" ht="22.5" customHeight="1">
      <c r="A572" s="12" t="s">
        <v>14</v>
      </c>
      <c r="B572" s="20" t="str">
        <f>IFERROR(VLOOKUP(A572,Sheet1!$E$3:$H$27,4,0),"")</f>
        <v>P1</v>
      </c>
      <c r="C572" s="14" t="s">
        <v>396</v>
      </c>
      <c r="D572" s="12" t="s">
        <v>88</v>
      </c>
      <c r="E572" s="13" t="str">
        <f>IFERROR(VLOOKUP(D572,Sheet1!$B$1:$C$45,2,0),"")</f>
        <v>TE</v>
      </c>
      <c r="F572" s="12" t="s">
        <v>108</v>
      </c>
      <c r="G572" s="13" t="str">
        <f t="shared" si="3"/>
        <v>Barito Raya</v>
      </c>
      <c r="H572" s="15" t="str">
        <f>IFERROR(VLOOKUP(A572,Sheet1!$E$3:$F$27,2,),"")</f>
        <v>Corrective</v>
      </c>
      <c r="I572" s="16" t="str">
        <f>IFERROR(VLOOKUP(A572,Sheet1!$E$3:$G$27,3,0),"")</f>
        <v>Pemadaman,MCB Trip,Transmisi problem</v>
      </c>
      <c r="J572" s="12" t="s">
        <v>112</v>
      </c>
      <c r="K572" s="17">
        <v>46029.0</v>
      </c>
      <c r="L572" s="17">
        <v>46029.0</v>
      </c>
      <c r="M572" s="12" t="s">
        <v>109</v>
      </c>
      <c r="N572" s="18" t="s">
        <v>397</v>
      </c>
      <c r="O572" s="19"/>
      <c r="P572" s="19"/>
    </row>
    <row r="573" ht="22.5" customHeight="1">
      <c r="A573" s="12" t="s">
        <v>65</v>
      </c>
      <c r="B573" s="20" t="str">
        <f>IFERROR(VLOOKUP(A573,Sheet1!$E$3:$H$27,4,0),"")</f>
        <v>P3</v>
      </c>
      <c r="C573" s="15"/>
      <c r="D573" s="12" t="s">
        <v>32</v>
      </c>
      <c r="E573" s="13" t="str">
        <f>IFERROR(VLOOKUP(D573,Sheet1!$B$1:$C$45,2,0),"")</f>
        <v>TE</v>
      </c>
      <c r="F573" s="12" t="s">
        <v>108</v>
      </c>
      <c r="G573" s="13" t="str">
        <f t="shared" si="3"/>
        <v>Barito Raya</v>
      </c>
      <c r="H573" s="15" t="str">
        <f>IFERROR(VLOOKUP(A573,Sheet1!$E$3:$F$27,2,),"")</f>
        <v>Standby</v>
      </c>
      <c r="I573" s="16" t="str">
        <f>IFERROR(VLOOKUP(A573,Sheet1!$E$3:$G$27,3,0),"")</f>
        <v>Standby On Call</v>
      </c>
      <c r="J573" s="20"/>
      <c r="K573" s="17">
        <v>46029.0</v>
      </c>
      <c r="L573" s="17">
        <v>46029.0</v>
      </c>
      <c r="M573" s="13"/>
      <c r="N573" s="23"/>
      <c r="O573" s="22"/>
      <c r="P573" s="22"/>
    </row>
    <row r="574" ht="22.5" customHeight="1">
      <c r="A574" s="12" t="s">
        <v>70</v>
      </c>
      <c r="B574" s="20" t="str">
        <f>IFERROR(VLOOKUP(A574,Sheet1!$E$3:$H$27,4,0),"")</f>
        <v>P3</v>
      </c>
      <c r="C574" s="15"/>
      <c r="D574" s="12" t="s">
        <v>74</v>
      </c>
      <c r="E574" s="13" t="str">
        <f>IFERROR(VLOOKUP(D574,Sheet1!$B$1:$C$45,2,0),"")</f>
        <v>TE</v>
      </c>
      <c r="F574" s="12" t="s">
        <v>108</v>
      </c>
      <c r="G574" s="13" t="str">
        <f t="shared" si="3"/>
        <v>Barito Raya</v>
      </c>
      <c r="H574" s="15" t="str">
        <f>IFERROR(VLOOKUP(A574,Sheet1!$E$3:$F$27,2,),"")</f>
        <v>Sick</v>
      </c>
      <c r="I574" s="16" t="str">
        <f>IFERROR(VLOOKUP(A574,Sheet1!$E$3:$G$27,3,0),"")</f>
        <v>Sick</v>
      </c>
      <c r="J574" s="20"/>
      <c r="K574" s="17">
        <v>46029.0</v>
      </c>
      <c r="L574" s="17">
        <v>46029.0</v>
      </c>
      <c r="M574" s="13"/>
      <c r="N574" s="23"/>
      <c r="O574" s="22"/>
      <c r="P574" s="22"/>
    </row>
    <row r="575" ht="22.5" customHeight="1">
      <c r="A575" s="12" t="s">
        <v>65</v>
      </c>
      <c r="B575" s="20" t="str">
        <f>IFERROR(VLOOKUP(A575,Sheet1!$E$3:$H$27,4,0),"")</f>
        <v>P3</v>
      </c>
      <c r="C575" s="15"/>
      <c r="D575" s="12" t="s">
        <v>60</v>
      </c>
      <c r="E575" s="13" t="str">
        <f>IFERROR(VLOOKUP(D575,Sheet1!$B$1:$C$45,2,0),"")</f>
        <v>TE</v>
      </c>
      <c r="F575" s="12" t="s">
        <v>108</v>
      </c>
      <c r="G575" s="13" t="str">
        <f t="shared" si="3"/>
        <v>Barito Raya</v>
      </c>
      <c r="H575" s="15" t="str">
        <f>IFERROR(VLOOKUP(A575,Sheet1!$E$3:$F$27,2,),"")</f>
        <v>Standby</v>
      </c>
      <c r="I575" s="16" t="str">
        <f>IFERROR(VLOOKUP(A575,Sheet1!$E$3:$G$27,3,0),"")</f>
        <v>Standby On Call</v>
      </c>
      <c r="J575" s="20"/>
      <c r="K575" s="17">
        <v>46029.0</v>
      </c>
      <c r="L575" s="17">
        <v>46029.0</v>
      </c>
      <c r="M575" s="13"/>
      <c r="N575" s="23"/>
      <c r="O575" s="22"/>
      <c r="P575" s="22"/>
    </row>
    <row r="576" ht="22.5" customHeight="1">
      <c r="A576" s="12" t="s">
        <v>5</v>
      </c>
      <c r="B576" s="20" t="str">
        <f>IFERROR(VLOOKUP(A576,Sheet1!$E$3:$H$27,4,0),"")</f>
        <v>P1</v>
      </c>
      <c r="C576" s="14" t="s">
        <v>382</v>
      </c>
      <c r="D576" s="12" t="s">
        <v>62</v>
      </c>
      <c r="E576" s="13" t="str">
        <f>IFERROR(VLOOKUP(D576,Sheet1!$B$1:$C$45,2,0),"")</f>
        <v>TE</v>
      </c>
      <c r="F576" s="12" t="s">
        <v>108</v>
      </c>
      <c r="G576" s="13" t="str">
        <f t="shared" si="3"/>
        <v>Barito Raya</v>
      </c>
      <c r="H576" s="15" t="str">
        <f>IFERROR(VLOOKUP(A576,Sheet1!$E$3:$F$27,2,),"")</f>
        <v>Corrective</v>
      </c>
      <c r="I576" s="16" t="str">
        <f>IFERROR(VLOOKUP(A576,Sheet1!$E$3:$G$27,3,0),"")</f>
        <v>Replace Optik,RRU/Soket Power/Replace GPS</v>
      </c>
      <c r="J576" s="12" t="s">
        <v>112</v>
      </c>
      <c r="K576" s="17">
        <v>46029.0</v>
      </c>
      <c r="L576" s="17">
        <v>46029.0</v>
      </c>
      <c r="M576" s="12" t="s">
        <v>109</v>
      </c>
      <c r="N576" s="23"/>
      <c r="O576" s="22"/>
      <c r="P576" s="22"/>
    </row>
    <row r="577" ht="22.5" customHeight="1">
      <c r="A577" s="12" t="s">
        <v>52</v>
      </c>
      <c r="B577" s="20" t="str">
        <f>IFERROR(VLOOKUP(A577,Sheet1!$E$3:$H$27,4,0),"")</f>
        <v>P1</v>
      </c>
      <c r="C577" s="14" t="s">
        <v>334</v>
      </c>
      <c r="D577" s="12" t="s">
        <v>9</v>
      </c>
      <c r="E577" s="13" t="str">
        <f>IFERROR(VLOOKUP(D577,Sheet1!$B$1:$C$45,2,0),"")</f>
        <v>MBP</v>
      </c>
      <c r="F577" s="12" t="s">
        <v>108</v>
      </c>
      <c r="G577" s="13" t="str">
        <f t="shared" si="3"/>
        <v>Barito Raya</v>
      </c>
      <c r="H577" s="15" t="str">
        <f>IFERROR(VLOOKUP(A577,Sheet1!$E$3:$F$27,2,),"")</f>
        <v>Preventive</v>
      </c>
      <c r="I577" s="16" t="str">
        <f>IFERROR(VLOOKUP(A577,Sheet1!$E$3:$G$27,3,0),"")</f>
        <v>MCB trip/Power upnormal</v>
      </c>
      <c r="J577" s="12" t="s">
        <v>112</v>
      </c>
      <c r="K577" s="17">
        <v>46029.0</v>
      </c>
      <c r="L577" s="17">
        <v>46029.0</v>
      </c>
      <c r="M577" s="12" t="s">
        <v>109</v>
      </c>
      <c r="N577" s="23"/>
      <c r="O577" s="22"/>
      <c r="P577" s="22"/>
    </row>
    <row r="578" ht="22.5" customHeight="1">
      <c r="A578" s="12" t="s">
        <v>65</v>
      </c>
      <c r="B578" s="20" t="str">
        <f>IFERROR(VLOOKUP(A578,Sheet1!$E$3:$H$27,4,0),"")</f>
        <v>P3</v>
      </c>
      <c r="C578" s="15"/>
      <c r="D578" s="12" t="s">
        <v>4</v>
      </c>
      <c r="E578" s="13" t="str">
        <f>IFERROR(VLOOKUP(D578,Sheet1!$B$1:$C$45,2,0),"")</f>
        <v>CME</v>
      </c>
      <c r="F578" s="12" t="s">
        <v>108</v>
      </c>
      <c r="G578" s="13" t="str">
        <f t="shared" si="3"/>
        <v>Barito Raya</v>
      </c>
      <c r="H578" s="15" t="str">
        <f>IFERROR(VLOOKUP(A578,Sheet1!$E$3:$F$27,2,),"")</f>
        <v>Standby</v>
      </c>
      <c r="I578" s="16" t="str">
        <f>IFERROR(VLOOKUP(A578,Sheet1!$E$3:$G$27,3,0),"")</f>
        <v>Standby On Call</v>
      </c>
      <c r="J578" s="20"/>
      <c r="K578" s="17">
        <v>46029.0</v>
      </c>
      <c r="L578" s="17">
        <v>46029.0</v>
      </c>
      <c r="M578" s="13"/>
      <c r="N578" s="23"/>
      <c r="O578" s="22"/>
      <c r="P578" s="22"/>
    </row>
    <row r="579" ht="22.5" customHeight="1">
      <c r="A579" s="12" t="s">
        <v>65</v>
      </c>
      <c r="B579" s="20" t="str">
        <f>IFERROR(VLOOKUP(A579,Sheet1!$E$3:$H$27,4,0),"")</f>
        <v>P3</v>
      </c>
      <c r="C579" s="15"/>
      <c r="D579" s="12" t="s">
        <v>87</v>
      </c>
      <c r="E579" s="13" t="str">
        <f>IFERROR(VLOOKUP(D579,Sheet1!$B$1:$C$45,2,0),"")</f>
        <v>MBP</v>
      </c>
      <c r="F579" s="12" t="s">
        <v>108</v>
      </c>
      <c r="G579" s="13" t="str">
        <f t="shared" si="3"/>
        <v>Barito Raya</v>
      </c>
      <c r="H579" s="15" t="str">
        <f>IFERROR(VLOOKUP(A579,Sheet1!$E$3:$F$27,2,),"")</f>
        <v>Standby</v>
      </c>
      <c r="I579" s="16" t="str">
        <f>IFERROR(VLOOKUP(A579,Sheet1!$E$3:$G$27,3,0),"")</f>
        <v>Standby On Call</v>
      </c>
      <c r="J579" s="20"/>
      <c r="K579" s="17">
        <v>46029.0</v>
      </c>
      <c r="L579" s="17">
        <v>46029.0</v>
      </c>
      <c r="M579" s="13"/>
      <c r="N579" s="23"/>
      <c r="O579" s="22"/>
      <c r="P579" s="22"/>
    </row>
    <row r="580" ht="22.5" customHeight="1">
      <c r="A580" s="12" t="s">
        <v>52</v>
      </c>
      <c r="B580" s="20" t="str">
        <f>IFERROR(VLOOKUP(A580,Sheet1!$E$3:$H$27,4,0),"")</f>
        <v>P1</v>
      </c>
      <c r="C580" s="14" t="s">
        <v>309</v>
      </c>
      <c r="D580" s="12" t="s">
        <v>29</v>
      </c>
      <c r="E580" s="13" t="str">
        <f>IFERROR(VLOOKUP(D580,Sheet1!$B$1:$C$45,2,0),"")</f>
        <v>MBP</v>
      </c>
      <c r="F580" s="12" t="s">
        <v>108</v>
      </c>
      <c r="G580" s="13" t="str">
        <f t="shared" si="3"/>
        <v>Barito Raya</v>
      </c>
      <c r="H580" s="15" t="str">
        <f>IFERROR(VLOOKUP(A580,Sheet1!$E$3:$F$27,2,),"")</f>
        <v>Preventive</v>
      </c>
      <c r="I580" s="16" t="str">
        <f>IFERROR(VLOOKUP(A580,Sheet1!$E$3:$G$27,3,0),"")</f>
        <v>MCB trip/Power upnormal</v>
      </c>
      <c r="J580" s="12" t="s">
        <v>112</v>
      </c>
      <c r="K580" s="17">
        <v>46029.0</v>
      </c>
      <c r="L580" s="17">
        <v>46029.0</v>
      </c>
      <c r="M580" s="12" t="s">
        <v>109</v>
      </c>
      <c r="N580" s="23"/>
      <c r="O580" s="22"/>
      <c r="P580" s="22"/>
    </row>
    <row r="581" ht="22.5" customHeight="1">
      <c r="A581" s="12" t="s">
        <v>52</v>
      </c>
      <c r="B581" s="20" t="str">
        <f>IFERROR(VLOOKUP(A581,Sheet1!$E$3:$H$27,4,0),"")</f>
        <v>P1</v>
      </c>
      <c r="C581" s="14" t="s">
        <v>398</v>
      </c>
      <c r="D581" s="12" t="s">
        <v>2</v>
      </c>
      <c r="E581" s="13" t="str">
        <f>IFERROR(VLOOKUP(D581,Sheet1!$B$1:$C$45,2,0),"")</f>
        <v>CME</v>
      </c>
      <c r="F581" s="12" t="s">
        <v>108</v>
      </c>
      <c r="G581" s="13" t="str">
        <f t="shared" si="3"/>
        <v>Barito Raya</v>
      </c>
      <c r="H581" s="15" t="str">
        <f>IFERROR(VLOOKUP(A581,Sheet1!$E$3:$F$27,2,),"")</f>
        <v>Preventive</v>
      </c>
      <c r="I581" s="16" t="str">
        <f>IFERROR(VLOOKUP(A581,Sheet1!$E$3:$G$27,3,0),"")</f>
        <v>MCB trip/Power upnormal</v>
      </c>
      <c r="J581" s="12" t="s">
        <v>112</v>
      </c>
      <c r="K581" s="17">
        <v>46029.0</v>
      </c>
      <c r="L581" s="17">
        <v>46029.0</v>
      </c>
      <c r="M581" s="12" t="s">
        <v>109</v>
      </c>
      <c r="N581" s="23"/>
      <c r="O581" s="22"/>
      <c r="P581" s="22"/>
    </row>
    <row r="582" ht="22.5" customHeight="1">
      <c r="A582" s="12" t="s">
        <v>65</v>
      </c>
      <c r="B582" s="20" t="str">
        <f>IFERROR(VLOOKUP(A582,Sheet1!$E$3:$H$27,4,0),"")</f>
        <v>P3</v>
      </c>
      <c r="C582" s="15"/>
      <c r="D582" s="12" t="s">
        <v>0</v>
      </c>
      <c r="E582" s="13" t="str">
        <f>IFERROR(VLOOKUP(D582,Sheet1!$B$1:$C$45,2,0),"")</f>
        <v>MBP</v>
      </c>
      <c r="F582" s="12" t="s">
        <v>108</v>
      </c>
      <c r="G582" s="13" t="str">
        <f t="shared" si="3"/>
        <v>Barito Raya</v>
      </c>
      <c r="H582" s="15" t="str">
        <f>IFERROR(VLOOKUP(A582,Sheet1!$E$3:$F$27,2,),"")</f>
        <v>Standby</v>
      </c>
      <c r="I582" s="16" t="str">
        <f>IFERROR(VLOOKUP(A582,Sheet1!$E$3:$G$27,3,0),"")</f>
        <v>Standby On Call</v>
      </c>
      <c r="J582" s="20"/>
      <c r="K582" s="17">
        <v>46029.0</v>
      </c>
      <c r="L582" s="17">
        <v>46029.0</v>
      </c>
      <c r="M582" s="13"/>
      <c r="N582" s="23"/>
      <c r="O582" s="22"/>
      <c r="P582" s="22"/>
    </row>
    <row r="583" ht="22.5" customHeight="1">
      <c r="A583" s="12" t="s">
        <v>22</v>
      </c>
      <c r="B583" s="20" t="str">
        <f>IFERROR(VLOOKUP(A583,Sheet1!$E$3:$H$27,4,0),"")</f>
        <v>P2</v>
      </c>
      <c r="C583" s="14" t="s">
        <v>399</v>
      </c>
      <c r="D583" s="12" t="s">
        <v>85</v>
      </c>
      <c r="E583" s="13" t="str">
        <f>IFERROR(VLOOKUP(D583,Sheet1!$B$1:$C$45,2,0),"")</f>
        <v>PM</v>
      </c>
      <c r="F583" s="12" t="s">
        <v>108</v>
      </c>
      <c r="G583" s="13" t="str">
        <f t="shared" si="3"/>
        <v>Barito Raya</v>
      </c>
      <c r="H583" s="15" t="str">
        <f>IFERROR(VLOOKUP(A583,Sheet1!$E$3:$F$27,2,),"")</f>
        <v>Preventive</v>
      </c>
      <c r="I583" s="16" t="str">
        <f>IFERROR(VLOOKUP(A583,Sheet1!$E$3:$G$27,3,0),"")</f>
        <v>Preventive Maintenance</v>
      </c>
      <c r="J583" s="12" t="s">
        <v>112</v>
      </c>
      <c r="K583" s="17">
        <v>46029.0</v>
      </c>
      <c r="L583" s="17">
        <v>46029.0</v>
      </c>
      <c r="M583" s="12" t="s">
        <v>109</v>
      </c>
      <c r="N583" s="23"/>
      <c r="O583" s="22"/>
      <c r="P583" s="22"/>
    </row>
    <row r="584" ht="22.5" customHeight="1">
      <c r="A584" s="12" t="s">
        <v>22</v>
      </c>
      <c r="B584" s="20" t="str">
        <f>IFERROR(VLOOKUP(A584,Sheet1!$E$3:$H$27,4,0),"")</f>
        <v>P2</v>
      </c>
      <c r="C584" s="14" t="s">
        <v>399</v>
      </c>
      <c r="D584" s="12" t="s">
        <v>84</v>
      </c>
      <c r="E584" s="13" t="str">
        <f>IFERROR(VLOOKUP(D584,Sheet1!$B$1:$C$45,2,0),"")</f>
        <v>MBP</v>
      </c>
      <c r="F584" s="12" t="s">
        <v>108</v>
      </c>
      <c r="G584" s="13" t="str">
        <f t="shared" si="3"/>
        <v>Barito Raya</v>
      </c>
      <c r="H584" s="15" t="str">
        <f>IFERROR(VLOOKUP(A584,Sheet1!$E$3:$F$27,2,),"")</f>
        <v>Preventive</v>
      </c>
      <c r="I584" s="16" t="str">
        <f>IFERROR(VLOOKUP(A584,Sheet1!$E$3:$G$27,3,0),"")</f>
        <v>Preventive Maintenance</v>
      </c>
      <c r="J584" s="12" t="s">
        <v>112</v>
      </c>
      <c r="K584" s="17">
        <v>46029.0</v>
      </c>
      <c r="L584" s="17">
        <v>46029.0</v>
      </c>
      <c r="M584" s="12" t="s">
        <v>109</v>
      </c>
      <c r="N584" s="23"/>
      <c r="O584" s="22"/>
      <c r="P584" s="22"/>
    </row>
    <row r="585" ht="22.5" customHeight="1">
      <c r="A585" s="12" t="s">
        <v>65</v>
      </c>
      <c r="B585" s="20" t="str">
        <f>IFERROR(VLOOKUP(A585,Sheet1!$E$3:$H$27,4,0),"")</f>
        <v>P3</v>
      </c>
      <c r="C585" s="15"/>
      <c r="D585" s="12" t="s">
        <v>86</v>
      </c>
      <c r="E585" s="13" t="str">
        <f>IFERROR(VLOOKUP(D585,Sheet1!$B$1:$C$45,2,0),"")</f>
        <v>PM</v>
      </c>
      <c r="F585" s="12" t="s">
        <v>108</v>
      </c>
      <c r="G585" s="13" t="str">
        <f t="shared" si="3"/>
        <v>Barito Raya</v>
      </c>
      <c r="H585" s="15" t="str">
        <f>IFERROR(VLOOKUP(A585,Sheet1!$E$3:$F$27,2,),"")</f>
        <v>Standby</v>
      </c>
      <c r="I585" s="16" t="str">
        <f>IFERROR(VLOOKUP(A585,Sheet1!$E$3:$G$27,3,0),"")</f>
        <v>Standby On Call</v>
      </c>
      <c r="J585" s="20"/>
      <c r="K585" s="17">
        <v>46029.0</v>
      </c>
      <c r="L585" s="17">
        <v>46029.0</v>
      </c>
      <c r="M585" s="13"/>
      <c r="N585" s="23"/>
      <c r="O585" s="22"/>
      <c r="P585" s="22"/>
    </row>
    <row r="586" ht="22.5" customHeight="1">
      <c r="A586" s="12" t="s">
        <v>5</v>
      </c>
      <c r="B586" s="20" t="str">
        <f>IFERROR(VLOOKUP(A586,Sheet1!$E$3:$H$27,4,0),"")</f>
        <v>P1</v>
      </c>
      <c r="C586" s="14" t="s">
        <v>349</v>
      </c>
      <c r="D586" s="12" t="s">
        <v>76</v>
      </c>
      <c r="E586" s="13" t="str">
        <f>IFERROR(VLOOKUP(D586,Sheet1!$B$1:$C$45,2,0),"")</f>
        <v>TE</v>
      </c>
      <c r="F586" s="12" t="s">
        <v>179</v>
      </c>
      <c r="G586" s="13" t="str">
        <f t="shared" si="3"/>
        <v>Palangkaraya</v>
      </c>
      <c r="H586" s="15" t="str">
        <f>IFERROR(VLOOKUP(A586,Sheet1!$E$3:$F$27,2,),"")</f>
        <v>Corrective</v>
      </c>
      <c r="I586" s="16" t="str">
        <f>IFERROR(VLOOKUP(A586,Sheet1!$E$3:$G$27,3,0),"")</f>
        <v>Replace Optik,RRU/Soket Power/Replace GPS</v>
      </c>
      <c r="J586" s="12" t="s">
        <v>112</v>
      </c>
      <c r="K586" s="17">
        <v>46029.0</v>
      </c>
      <c r="L586" s="24"/>
      <c r="M586" s="12" t="s">
        <v>137</v>
      </c>
      <c r="N586" s="23"/>
      <c r="O586" s="22"/>
      <c r="P586" s="22"/>
    </row>
    <row r="587" ht="22.5" customHeight="1">
      <c r="A587" s="12" t="s">
        <v>5</v>
      </c>
      <c r="B587" s="20" t="str">
        <f>IFERROR(VLOOKUP(A587,Sheet1!$E$3:$H$27,4,0),"")</f>
        <v>P1</v>
      </c>
      <c r="C587" s="14" t="s">
        <v>349</v>
      </c>
      <c r="D587" s="12" t="s">
        <v>39</v>
      </c>
      <c r="E587" s="13" t="str">
        <f>IFERROR(VLOOKUP(D587,Sheet1!$B$1:$C$45,2,0),"")</f>
        <v>TE</v>
      </c>
      <c r="F587" s="12" t="s">
        <v>179</v>
      </c>
      <c r="G587" s="13" t="str">
        <f t="shared" si="3"/>
        <v>Palangkaraya</v>
      </c>
      <c r="H587" s="15" t="str">
        <f>IFERROR(VLOOKUP(A587,Sheet1!$E$3:$F$27,2,),"")</f>
        <v>Corrective</v>
      </c>
      <c r="I587" s="16" t="str">
        <f>IFERROR(VLOOKUP(A587,Sheet1!$E$3:$G$27,3,0),"")</f>
        <v>Replace Optik,RRU/Soket Power/Replace GPS</v>
      </c>
      <c r="J587" s="12" t="s">
        <v>112</v>
      </c>
      <c r="K587" s="17">
        <v>46029.0</v>
      </c>
      <c r="L587" s="24"/>
      <c r="M587" s="12" t="s">
        <v>137</v>
      </c>
      <c r="N587" s="23"/>
      <c r="O587" s="22"/>
      <c r="P587" s="22"/>
    </row>
    <row r="588" ht="22.5" customHeight="1">
      <c r="A588" s="12" t="s">
        <v>5</v>
      </c>
      <c r="B588" s="20" t="str">
        <f>IFERROR(VLOOKUP(A588,Sheet1!$E$3:$H$27,4,0),"")</f>
        <v>P1</v>
      </c>
      <c r="C588" s="14" t="s">
        <v>400</v>
      </c>
      <c r="D588" s="12" t="s">
        <v>80</v>
      </c>
      <c r="E588" s="13" t="str">
        <f>IFERROR(VLOOKUP(D588,Sheet1!$B$1:$C$45,2,0),"")</f>
        <v>TE</v>
      </c>
      <c r="F588" s="12" t="s">
        <v>179</v>
      </c>
      <c r="G588" s="13" t="str">
        <f t="shared" si="3"/>
        <v>Palangkaraya</v>
      </c>
      <c r="H588" s="15" t="str">
        <f>IFERROR(VLOOKUP(A588,Sheet1!$E$3:$F$27,2,),"")</f>
        <v>Corrective</v>
      </c>
      <c r="I588" s="16" t="str">
        <f>IFERROR(VLOOKUP(A588,Sheet1!$E$3:$G$27,3,0),"")</f>
        <v>Replace Optik,RRU/Soket Power/Replace GPS</v>
      </c>
      <c r="J588" s="12" t="s">
        <v>112</v>
      </c>
      <c r="K588" s="17">
        <v>46029.0</v>
      </c>
      <c r="L588" s="24"/>
      <c r="M588" s="12" t="s">
        <v>137</v>
      </c>
      <c r="N588" s="23"/>
      <c r="O588" s="22"/>
      <c r="P588" s="22"/>
    </row>
    <row r="589" ht="22.5" customHeight="1">
      <c r="A589" s="12" t="s">
        <v>5</v>
      </c>
      <c r="B589" s="20" t="str">
        <f>IFERROR(VLOOKUP(A589,Sheet1!$E$3:$H$27,4,0),"")</f>
        <v>P1</v>
      </c>
      <c r="C589" s="14" t="s">
        <v>198</v>
      </c>
      <c r="D589" s="12" t="s">
        <v>78</v>
      </c>
      <c r="E589" s="13" t="str">
        <f>IFERROR(VLOOKUP(D589,Sheet1!$B$1:$C$45,2,0),"")</f>
        <v>TE</v>
      </c>
      <c r="F589" s="12" t="s">
        <v>179</v>
      </c>
      <c r="G589" s="13" t="str">
        <f t="shared" si="3"/>
        <v>Palangkaraya</v>
      </c>
      <c r="H589" s="15" t="str">
        <f>IFERROR(VLOOKUP(A589,Sheet1!$E$3:$F$27,2,),"")</f>
        <v>Corrective</v>
      </c>
      <c r="I589" s="16" t="str">
        <f>IFERROR(VLOOKUP(A589,Sheet1!$E$3:$G$27,3,0),"")</f>
        <v>Replace Optik,RRU/Soket Power/Replace GPS</v>
      </c>
      <c r="J589" s="12" t="s">
        <v>112</v>
      </c>
      <c r="K589" s="17">
        <v>46029.0</v>
      </c>
      <c r="L589" s="24"/>
      <c r="M589" s="12" t="s">
        <v>137</v>
      </c>
      <c r="N589" s="23"/>
      <c r="O589" s="22"/>
      <c r="P589" s="22"/>
    </row>
    <row r="590" ht="22.5" customHeight="1">
      <c r="A590" s="12" t="s">
        <v>5</v>
      </c>
      <c r="B590" s="20" t="str">
        <f>IFERROR(VLOOKUP(A590,Sheet1!$E$3:$H$27,4,0),"")</f>
        <v>P1</v>
      </c>
      <c r="C590" s="14" t="s">
        <v>401</v>
      </c>
      <c r="D590" s="12" t="s">
        <v>77</v>
      </c>
      <c r="E590" s="13" t="str">
        <f>IFERROR(VLOOKUP(D590,Sheet1!$B$1:$C$45,2,0),"")</f>
        <v>TE</v>
      </c>
      <c r="F590" s="12" t="s">
        <v>179</v>
      </c>
      <c r="G590" s="13" t="str">
        <f t="shared" si="3"/>
        <v>Palangkaraya</v>
      </c>
      <c r="H590" s="15" t="str">
        <f>IFERROR(VLOOKUP(A590,Sheet1!$E$3:$F$27,2,),"")</f>
        <v>Corrective</v>
      </c>
      <c r="I590" s="16" t="str">
        <f>IFERROR(VLOOKUP(A590,Sheet1!$E$3:$G$27,3,0),"")</f>
        <v>Replace Optik,RRU/Soket Power/Replace GPS</v>
      </c>
      <c r="J590" s="12" t="s">
        <v>112</v>
      </c>
      <c r="K590" s="17">
        <v>46029.0</v>
      </c>
      <c r="L590" s="24"/>
      <c r="M590" s="12" t="s">
        <v>137</v>
      </c>
      <c r="N590" s="23"/>
      <c r="O590" s="22"/>
      <c r="P590" s="22"/>
    </row>
    <row r="591" ht="22.5" customHeight="1">
      <c r="A591" s="12" t="s">
        <v>5</v>
      </c>
      <c r="B591" s="20" t="str">
        <f>IFERROR(VLOOKUP(A591,Sheet1!$E$3:$H$27,4,0),"")</f>
        <v>P1</v>
      </c>
      <c r="C591" s="14" t="s">
        <v>401</v>
      </c>
      <c r="D591" s="12" t="s">
        <v>37</v>
      </c>
      <c r="E591" s="13" t="str">
        <f>IFERROR(VLOOKUP(D591,Sheet1!$B$1:$C$45,2,0),"")</f>
        <v>TE</v>
      </c>
      <c r="F591" s="12" t="s">
        <v>179</v>
      </c>
      <c r="G591" s="13" t="str">
        <f t="shared" si="3"/>
        <v>Palangkaraya</v>
      </c>
      <c r="H591" s="15" t="str">
        <f>IFERROR(VLOOKUP(A591,Sheet1!$E$3:$F$27,2,),"")</f>
        <v>Corrective</v>
      </c>
      <c r="I591" s="16" t="str">
        <f>IFERROR(VLOOKUP(A591,Sheet1!$E$3:$G$27,3,0),"")</f>
        <v>Replace Optik,RRU/Soket Power/Replace GPS</v>
      </c>
      <c r="J591" s="12" t="s">
        <v>112</v>
      </c>
      <c r="K591" s="17">
        <v>46029.0</v>
      </c>
      <c r="L591" s="24"/>
      <c r="M591" s="12" t="s">
        <v>137</v>
      </c>
      <c r="N591" s="23"/>
      <c r="O591" s="22"/>
      <c r="P591" s="22"/>
    </row>
    <row r="592" ht="22.5" customHeight="1">
      <c r="A592" s="12" t="s">
        <v>5</v>
      </c>
      <c r="B592" s="20" t="str">
        <f>IFERROR(VLOOKUP(A592,Sheet1!$E$3:$H$27,4,0),"")</f>
        <v>P1</v>
      </c>
      <c r="C592" s="14" t="s">
        <v>402</v>
      </c>
      <c r="D592" s="12" t="s">
        <v>51</v>
      </c>
      <c r="E592" s="13" t="str">
        <f>IFERROR(VLOOKUP(D592,Sheet1!$B$1:$C$45,2,0),"")</f>
        <v>TE</v>
      </c>
      <c r="F592" s="12" t="s">
        <v>179</v>
      </c>
      <c r="G592" s="13" t="str">
        <f t="shared" si="3"/>
        <v>Palangkaraya</v>
      </c>
      <c r="H592" s="15" t="str">
        <f>IFERROR(VLOOKUP(A592,Sheet1!$E$3:$F$27,2,),"")</f>
        <v>Corrective</v>
      </c>
      <c r="I592" s="16" t="str">
        <f>IFERROR(VLOOKUP(A592,Sheet1!$E$3:$G$27,3,0),"")</f>
        <v>Replace Optik,RRU/Soket Power/Replace GPS</v>
      </c>
      <c r="J592" s="12" t="s">
        <v>112</v>
      </c>
      <c r="K592" s="17">
        <v>46029.0</v>
      </c>
      <c r="L592" s="24"/>
      <c r="M592" s="12" t="s">
        <v>137</v>
      </c>
      <c r="N592" s="23"/>
      <c r="O592" s="22"/>
      <c r="P592" s="22"/>
    </row>
    <row r="593" ht="22.5" customHeight="1">
      <c r="A593" s="12" t="s">
        <v>5</v>
      </c>
      <c r="B593" s="20" t="str">
        <f>IFERROR(VLOOKUP(A593,Sheet1!$E$3:$H$27,4,0),"")</f>
        <v>P1</v>
      </c>
      <c r="C593" s="14" t="s">
        <v>376</v>
      </c>
      <c r="D593" s="12" t="s">
        <v>79</v>
      </c>
      <c r="E593" s="13" t="str">
        <f>IFERROR(VLOOKUP(D593,Sheet1!$B$1:$C$45,2,0),"")</f>
        <v>TE</v>
      </c>
      <c r="F593" s="12" t="s">
        <v>179</v>
      </c>
      <c r="G593" s="13" t="str">
        <f t="shared" si="3"/>
        <v>Palangkaraya</v>
      </c>
      <c r="H593" s="15" t="str">
        <f>IFERROR(VLOOKUP(A593,Sheet1!$E$3:$F$27,2,),"")</f>
        <v>Corrective</v>
      </c>
      <c r="I593" s="16" t="str">
        <f>IFERROR(VLOOKUP(A593,Sheet1!$E$3:$G$27,3,0),"")</f>
        <v>Replace Optik,RRU/Soket Power/Replace GPS</v>
      </c>
      <c r="J593" s="12" t="s">
        <v>112</v>
      </c>
      <c r="K593" s="17">
        <v>46029.0</v>
      </c>
      <c r="L593" s="24"/>
      <c r="M593" s="12" t="s">
        <v>137</v>
      </c>
      <c r="N593" s="23"/>
      <c r="O593" s="22"/>
      <c r="P593" s="22"/>
    </row>
    <row r="594" ht="22.5" customHeight="1">
      <c r="A594" s="12" t="s">
        <v>5</v>
      </c>
      <c r="B594" s="20" t="str">
        <f>IFERROR(VLOOKUP(A594,Sheet1!$E$3:$H$27,4,0),"")</f>
        <v>P1</v>
      </c>
      <c r="C594" s="14" t="s">
        <v>302</v>
      </c>
      <c r="D594" s="12" t="s">
        <v>71</v>
      </c>
      <c r="E594" s="13" t="str">
        <f>IFERROR(VLOOKUP(D594,Sheet1!$B$1:$C$45,2,0),"")</f>
        <v>TE</v>
      </c>
      <c r="F594" s="12" t="s">
        <v>179</v>
      </c>
      <c r="G594" s="13" t="str">
        <f t="shared" si="3"/>
        <v>Palangkaraya</v>
      </c>
      <c r="H594" s="15" t="str">
        <f>IFERROR(VLOOKUP(A594,Sheet1!$E$3:$F$27,2,),"")</f>
        <v>Corrective</v>
      </c>
      <c r="I594" s="16" t="str">
        <f>IFERROR(VLOOKUP(A594,Sheet1!$E$3:$G$27,3,0),"")</f>
        <v>Replace Optik,RRU/Soket Power/Replace GPS</v>
      </c>
      <c r="J594" s="12" t="s">
        <v>112</v>
      </c>
      <c r="K594" s="17">
        <v>46029.0</v>
      </c>
      <c r="L594" s="24"/>
      <c r="M594" s="12" t="s">
        <v>137</v>
      </c>
      <c r="N594" s="23"/>
      <c r="O594" s="22"/>
      <c r="P594" s="22"/>
    </row>
    <row r="595" ht="22.5" customHeight="1">
      <c r="A595" s="12" t="s">
        <v>5</v>
      </c>
      <c r="B595" s="20" t="str">
        <f>IFERROR(VLOOKUP(A595,Sheet1!$E$3:$H$27,4,0),"")</f>
        <v>P1</v>
      </c>
      <c r="C595" s="14" t="s">
        <v>302</v>
      </c>
      <c r="D595" s="12" t="s">
        <v>69</v>
      </c>
      <c r="E595" s="13" t="str">
        <f>IFERROR(VLOOKUP(D595,Sheet1!$B$1:$C$45,2,0),"")</f>
        <v>TE</v>
      </c>
      <c r="F595" s="12" t="s">
        <v>179</v>
      </c>
      <c r="G595" s="13" t="str">
        <f t="shared" si="3"/>
        <v>Palangkaraya</v>
      </c>
      <c r="H595" s="15" t="str">
        <f>IFERROR(VLOOKUP(A595,Sheet1!$E$3:$F$27,2,),"")</f>
        <v>Corrective</v>
      </c>
      <c r="I595" s="16" t="str">
        <f>IFERROR(VLOOKUP(A595,Sheet1!$E$3:$G$27,3,0),"")</f>
        <v>Replace Optik,RRU/Soket Power/Replace GPS</v>
      </c>
      <c r="J595" s="12" t="s">
        <v>112</v>
      </c>
      <c r="K595" s="17">
        <v>46029.0</v>
      </c>
      <c r="L595" s="24"/>
      <c r="M595" s="12" t="s">
        <v>137</v>
      </c>
      <c r="N595" s="23"/>
      <c r="O595" s="22"/>
      <c r="P595" s="22"/>
    </row>
    <row r="596" ht="22.5" customHeight="1">
      <c r="A596" s="12" t="s">
        <v>5</v>
      </c>
      <c r="B596" s="20" t="str">
        <f>IFERROR(VLOOKUP(A596,Sheet1!$E$3:$H$27,4,0),"")</f>
        <v>P1</v>
      </c>
      <c r="C596" s="14" t="s">
        <v>268</v>
      </c>
      <c r="D596" s="12" t="s">
        <v>91</v>
      </c>
      <c r="E596" s="13" t="str">
        <f>IFERROR(VLOOKUP(D596,Sheet1!$B$1:$C$45,2,0),"")</f>
        <v>TE</v>
      </c>
      <c r="F596" s="12" t="s">
        <v>179</v>
      </c>
      <c r="G596" s="13" t="str">
        <f t="shared" si="3"/>
        <v>Palangkaraya</v>
      </c>
      <c r="H596" s="15" t="str">
        <f>IFERROR(VLOOKUP(A596,Sheet1!$E$3:$F$27,2,),"")</f>
        <v>Corrective</v>
      </c>
      <c r="I596" s="16" t="str">
        <f>IFERROR(VLOOKUP(A596,Sheet1!$E$3:$G$27,3,0),"")</f>
        <v>Replace Optik,RRU/Soket Power/Replace GPS</v>
      </c>
      <c r="J596" s="12" t="s">
        <v>112</v>
      </c>
      <c r="K596" s="17">
        <v>46029.0</v>
      </c>
      <c r="L596" s="24"/>
      <c r="M596" s="12" t="s">
        <v>137</v>
      </c>
      <c r="N596" s="23"/>
      <c r="O596" s="22"/>
      <c r="P596" s="22"/>
    </row>
    <row r="597" ht="22.5" customHeight="1">
      <c r="A597" s="12" t="s">
        <v>33</v>
      </c>
      <c r="B597" s="20" t="str">
        <f>IFERROR(VLOOKUP(A597,Sheet1!$E$3:$H$27,4,0),"")</f>
        <v>P2</v>
      </c>
      <c r="C597" s="14" t="s">
        <v>394</v>
      </c>
      <c r="D597" s="12" t="s">
        <v>58</v>
      </c>
      <c r="E597" s="13" t="str">
        <f>IFERROR(VLOOKUP(D597,Sheet1!$B$1:$C$45,2,0),"")</f>
        <v>TE</v>
      </c>
      <c r="F597" s="12" t="s">
        <v>179</v>
      </c>
      <c r="G597" s="13" t="str">
        <f t="shared" si="3"/>
        <v>Palangkaraya</v>
      </c>
      <c r="H597" s="15" t="str">
        <f>IFERROR(VLOOKUP(A597,Sheet1!$E$3:$F$27,2,),"")</f>
        <v>Preventive</v>
      </c>
      <c r="I597" s="16" t="str">
        <f>IFERROR(VLOOKUP(A597,Sheet1!$E$3:$G$27,3,0),"")</f>
        <v>Pengukuran dan pengambilan data log serta input Gdoc BBT</v>
      </c>
      <c r="J597" s="12" t="s">
        <v>112</v>
      </c>
      <c r="K597" s="17">
        <v>46029.0</v>
      </c>
      <c r="L597" s="24"/>
      <c r="M597" s="12" t="s">
        <v>137</v>
      </c>
      <c r="N597" s="23"/>
      <c r="O597" s="22"/>
      <c r="P597" s="22"/>
    </row>
    <row r="598" ht="22.5" customHeight="1">
      <c r="A598" s="12" t="s">
        <v>72</v>
      </c>
      <c r="B598" s="20" t="str">
        <f>IFERROR(VLOOKUP(A598,Sheet1!$E$3:$H$27,4,0),"")</f>
        <v>P1</v>
      </c>
      <c r="C598" s="14" t="s">
        <v>217</v>
      </c>
      <c r="D598" s="12" t="s">
        <v>56</v>
      </c>
      <c r="E598" s="13" t="str">
        <f>IFERROR(VLOOKUP(D598,Sheet1!$B$1:$C$45,2,0),"")</f>
        <v>TE</v>
      </c>
      <c r="F598" s="12" t="s">
        <v>179</v>
      </c>
      <c r="G598" s="13" t="str">
        <f t="shared" si="3"/>
        <v>Palangkaraya</v>
      </c>
      <c r="H598" s="15" t="str">
        <f>IFERROR(VLOOKUP(A598,Sheet1!$E$3:$F$27,2,),"")</f>
        <v>Corrective</v>
      </c>
      <c r="I598" s="16" t="str">
        <f>IFERROR(VLOOKUP(A598,Sheet1!$E$3:$G$27,3,0),"")</f>
        <v>Perbaikan Auto,pergantian relay,timer, yang berhubungan genset</v>
      </c>
      <c r="J598" s="12" t="s">
        <v>112</v>
      </c>
      <c r="K598" s="17">
        <v>46029.0</v>
      </c>
      <c r="L598" s="24"/>
      <c r="M598" s="12" t="s">
        <v>137</v>
      </c>
      <c r="N598" s="23"/>
      <c r="O598" s="22"/>
      <c r="P598" s="22"/>
    </row>
    <row r="599" ht="22.5" customHeight="1">
      <c r="A599" s="12" t="s">
        <v>65</v>
      </c>
      <c r="B599" s="20" t="str">
        <f>IFERROR(VLOOKUP(A599,Sheet1!$E$3:$H$27,4,0),"")</f>
        <v>P3</v>
      </c>
      <c r="C599" s="15"/>
      <c r="D599" s="12" t="s">
        <v>83</v>
      </c>
      <c r="E599" s="13" t="str">
        <f>IFERROR(VLOOKUP(D599,Sheet1!$B$1:$C$45,2,0),"")</f>
        <v>PM</v>
      </c>
      <c r="F599" s="12" t="s">
        <v>179</v>
      </c>
      <c r="G599" s="13" t="str">
        <f t="shared" si="3"/>
        <v>Palangkaraya</v>
      </c>
      <c r="H599" s="15" t="str">
        <f>IFERROR(VLOOKUP(A599,Sheet1!$E$3:$F$27,2,),"")</f>
        <v>Standby</v>
      </c>
      <c r="I599" s="16" t="str">
        <f>IFERROR(VLOOKUP(A599,Sheet1!$E$3:$G$27,3,0),"")</f>
        <v>Standby On Call</v>
      </c>
      <c r="J599" s="12" t="s">
        <v>66</v>
      </c>
      <c r="K599" s="17">
        <v>46029.0</v>
      </c>
      <c r="L599" s="24"/>
      <c r="M599" s="12" t="s">
        <v>137</v>
      </c>
      <c r="N599" s="23"/>
      <c r="O599" s="22"/>
      <c r="P599" s="22"/>
    </row>
    <row r="600" ht="22.5" customHeight="1">
      <c r="A600" s="12" t="s">
        <v>65</v>
      </c>
      <c r="B600" s="20" t="str">
        <f>IFERROR(VLOOKUP(A600,Sheet1!$E$3:$H$27,4,0),"")</f>
        <v>P3</v>
      </c>
      <c r="C600" s="15"/>
      <c r="D600" s="12" t="s">
        <v>82</v>
      </c>
      <c r="E600" s="13" t="str">
        <f>IFERROR(VLOOKUP(D600,Sheet1!$B$1:$C$45,2,0),"")</f>
        <v>PM</v>
      </c>
      <c r="F600" s="12" t="s">
        <v>179</v>
      </c>
      <c r="G600" s="13" t="str">
        <f t="shared" si="3"/>
        <v>Palangkaraya</v>
      </c>
      <c r="H600" s="15" t="str">
        <f>IFERROR(VLOOKUP(A600,Sheet1!$E$3:$F$27,2,),"")</f>
        <v>Standby</v>
      </c>
      <c r="I600" s="16" t="str">
        <f>IFERROR(VLOOKUP(A600,Sheet1!$E$3:$G$27,3,0),"")</f>
        <v>Standby On Call</v>
      </c>
      <c r="J600" s="12" t="s">
        <v>66</v>
      </c>
      <c r="K600" s="17">
        <v>46029.0</v>
      </c>
      <c r="L600" s="24"/>
      <c r="M600" s="12" t="s">
        <v>137</v>
      </c>
      <c r="N600" s="23"/>
      <c r="O600" s="22"/>
      <c r="P600" s="22"/>
    </row>
    <row r="601" ht="22.5" customHeight="1">
      <c r="A601" s="12" t="s">
        <v>65</v>
      </c>
      <c r="B601" s="20" t="str">
        <f>IFERROR(VLOOKUP(A601,Sheet1!$E$3:$H$27,4,0),"")</f>
        <v>P3</v>
      </c>
      <c r="C601" s="15"/>
      <c r="D601" s="12" t="s">
        <v>75</v>
      </c>
      <c r="E601" s="13" t="str">
        <f>IFERROR(VLOOKUP(D601,Sheet1!$B$1:$C$45,2,0),"")</f>
        <v>CME</v>
      </c>
      <c r="F601" s="12" t="s">
        <v>179</v>
      </c>
      <c r="G601" s="13" t="str">
        <f t="shared" si="3"/>
        <v>Palangkaraya</v>
      </c>
      <c r="H601" s="15" t="str">
        <f>IFERROR(VLOOKUP(A601,Sheet1!$E$3:$F$27,2,),"")</f>
        <v>Standby</v>
      </c>
      <c r="I601" s="16" t="str">
        <f>IFERROR(VLOOKUP(A601,Sheet1!$E$3:$G$27,3,0),"")</f>
        <v>Standby On Call</v>
      </c>
      <c r="J601" s="12" t="s">
        <v>66</v>
      </c>
      <c r="K601" s="17">
        <v>46029.0</v>
      </c>
      <c r="L601" s="24"/>
      <c r="M601" s="12" t="s">
        <v>137</v>
      </c>
      <c r="N601" s="23"/>
      <c r="O601" s="22"/>
      <c r="P601" s="22"/>
    </row>
    <row r="602" ht="22.5" customHeight="1">
      <c r="A602" s="12" t="s">
        <v>65</v>
      </c>
      <c r="B602" s="20" t="str">
        <f>IFERROR(VLOOKUP(A602,Sheet1!$E$3:$H$27,4,0),"")</f>
        <v>P3</v>
      </c>
      <c r="C602" s="15"/>
      <c r="D602" s="12" t="s">
        <v>35</v>
      </c>
      <c r="E602" s="13" t="str">
        <f>IFERROR(VLOOKUP(D602,Sheet1!$B$1:$C$45,2,0),"")</f>
        <v>MBP</v>
      </c>
      <c r="F602" s="12" t="s">
        <v>179</v>
      </c>
      <c r="G602" s="13" t="str">
        <f t="shared" si="3"/>
        <v>Palangkaraya</v>
      </c>
      <c r="H602" s="15" t="str">
        <f>IFERROR(VLOOKUP(A602,Sheet1!$E$3:$F$27,2,),"")</f>
        <v>Standby</v>
      </c>
      <c r="I602" s="16" t="str">
        <f>IFERROR(VLOOKUP(A602,Sheet1!$E$3:$G$27,3,0),"")</f>
        <v>Standby On Call</v>
      </c>
      <c r="J602" s="12" t="s">
        <v>66</v>
      </c>
      <c r="K602" s="17">
        <v>46029.0</v>
      </c>
      <c r="L602" s="24"/>
      <c r="M602" s="12" t="s">
        <v>137</v>
      </c>
      <c r="N602" s="23"/>
      <c r="O602" s="22"/>
      <c r="P602" s="22"/>
    </row>
    <row r="603" ht="22.5" customHeight="1">
      <c r="A603" s="12" t="s">
        <v>65</v>
      </c>
      <c r="B603" s="20" t="str">
        <f>IFERROR(VLOOKUP(A603,Sheet1!$E$3:$H$27,4,0),"")</f>
        <v>P3</v>
      </c>
      <c r="C603" s="14"/>
      <c r="D603" s="12" t="s">
        <v>48</v>
      </c>
      <c r="E603" s="13" t="str">
        <f>IFERROR(VLOOKUP(D603,Sheet1!$B$1:$C$45,2,0),"")</f>
        <v>MBP</v>
      </c>
      <c r="F603" s="12" t="s">
        <v>179</v>
      </c>
      <c r="G603" s="13" t="str">
        <f t="shared" si="3"/>
        <v>Palangkaraya</v>
      </c>
      <c r="H603" s="15" t="str">
        <f>IFERROR(VLOOKUP(A603,Sheet1!$E$3:$F$27,2,),"")</f>
        <v>Standby</v>
      </c>
      <c r="I603" s="16" t="str">
        <f>IFERROR(VLOOKUP(A603,Sheet1!$E$3:$G$27,3,0),"")</f>
        <v>Standby On Call</v>
      </c>
      <c r="J603" s="12" t="s">
        <v>66</v>
      </c>
      <c r="K603" s="17">
        <v>46029.0</v>
      </c>
      <c r="L603" s="24"/>
      <c r="M603" s="12" t="s">
        <v>137</v>
      </c>
      <c r="N603" s="23"/>
      <c r="O603" s="22"/>
      <c r="P603" s="22"/>
    </row>
    <row r="604" ht="22.5" hidden="1" customHeight="1">
      <c r="A604" s="12" t="s">
        <v>65</v>
      </c>
      <c r="B604" s="20" t="str">
        <f>IFERROR(VLOOKUP(A604,Sheet1!$E$3:$H$27,4,0),"")</f>
        <v>P3</v>
      </c>
      <c r="C604" s="15"/>
      <c r="D604" s="12" t="s">
        <v>54</v>
      </c>
      <c r="E604" s="13" t="str">
        <f>IFERROR(VLOOKUP(D604,Sheet1!$B$1:$C$45,2,0),"")</f>
        <v>MBP</v>
      </c>
      <c r="F604" s="12" t="s">
        <v>179</v>
      </c>
      <c r="G604" s="13" t="str">
        <f t="shared" si="3"/>
        <v>Palangkaraya</v>
      </c>
      <c r="H604" s="15" t="str">
        <f>IFERROR(VLOOKUP(A604,Sheet1!$E$3:$F$27,2,),"")</f>
        <v>Standby</v>
      </c>
      <c r="I604" s="16" t="str">
        <f>IFERROR(VLOOKUP(A604,Sheet1!$E$3:$G$27,3,0),"")</f>
        <v>Standby On Call</v>
      </c>
      <c r="J604" s="12" t="s">
        <v>66</v>
      </c>
      <c r="K604" s="17">
        <v>46029.0</v>
      </c>
      <c r="L604" s="24"/>
      <c r="M604" s="12" t="s">
        <v>137</v>
      </c>
      <c r="N604" s="23"/>
      <c r="O604" s="22"/>
      <c r="P604" s="22"/>
    </row>
    <row r="605" ht="22.5" customHeight="1">
      <c r="A605" s="12" t="s">
        <v>33</v>
      </c>
      <c r="B605" s="20" t="str">
        <f>IFERROR(VLOOKUP(A605,Sheet1!$E$3:$H$27,4,0),"")</f>
        <v>P2</v>
      </c>
      <c r="C605" s="14" t="s">
        <v>403</v>
      </c>
      <c r="D605" s="12" t="s">
        <v>12</v>
      </c>
      <c r="E605" s="13" t="str">
        <f>IFERROR(VLOOKUP(D605,Sheet1!$B$1:$C$45,2,0),"")</f>
        <v>TE</v>
      </c>
      <c r="F605" s="12" t="s">
        <v>108</v>
      </c>
      <c r="G605" s="13" t="str">
        <f t="shared" si="3"/>
        <v>Barito Raya</v>
      </c>
      <c r="H605" s="15" t="str">
        <f>IFERROR(VLOOKUP(A605,Sheet1!$E$3:$F$27,2,),"")</f>
        <v>Preventive</v>
      </c>
      <c r="I605" s="16" t="str">
        <f>IFERROR(VLOOKUP(A605,Sheet1!$E$3:$G$27,3,0),"")</f>
        <v>Pengukuran dan pengambilan data log serta input Gdoc BBT</v>
      </c>
      <c r="J605" s="12" t="s">
        <v>112</v>
      </c>
      <c r="K605" s="17">
        <v>46030.0</v>
      </c>
      <c r="L605" s="17">
        <v>46030.0</v>
      </c>
      <c r="M605" s="12" t="s">
        <v>109</v>
      </c>
      <c r="N605" s="23"/>
      <c r="O605" s="22"/>
      <c r="P605" s="22"/>
    </row>
    <row r="606" ht="22.5" customHeight="1">
      <c r="A606" s="12" t="s">
        <v>33</v>
      </c>
      <c r="B606" s="20" t="str">
        <f>IFERROR(VLOOKUP(A606,Sheet1!$E$3:$H$27,4,0),"")</f>
        <v>P2</v>
      </c>
      <c r="C606" s="14" t="s">
        <v>254</v>
      </c>
      <c r="D606" s="12" t="s">
        <v>16</v>
      </c>
      <c r="E606" s="13" t="str">
        <f>IFERROR(VLOOKUP(D606,Sheet1!$B$1:$C$45,2,0),"")</f>
        <v>TE</v>
      </c>
      <c r="F606" s="12" t="s">
        <v>108</v>
      </c>
      <c r="G606" s="13" t="str">
        <f t="shared" si="3"/>
        <v>Barito Raya</v>
      </c>
      <c r="H606" s="15" t="str">
        <f>IFERROR(VLOOKUP(A606,Sheet1!$E$3:$F$27,2,),"")</f>
        <v>Preventive</v>
      </c>
      <c r="I606" s="16" t="str">
        <f>IFERROR(VLOOKUP(A606,Sheet1!$E$3:$G$27,3,0),"")</f>
        <v>Pengukuran dan pengambilan data log serta input Gdoc BBT</v>
      </c>
      <c r="J606" s="12" t="s">
        <v>112</v>
      </c>
      <c r="K606" s="17">
        <v>46030.0</v>
      </c>
      <c r="L606" s="17">
        <v>46030.0</v>
      </c>
      <c r="M606" s="12" t="s">
        <v>109</v>
      </c>
      <c r="N606" s="23"/>
      <c r="O606" s="22"/>
      <c r="P606" s="22"/>
    </row>
    <row r="607" ht="22.5" customHeight="1">
      <c r="A607" s="12" t="s">
        <v>27</v>
      </c>
      <c r="B607" s="20" t="str">
        <f>IFERROR(VLOOKUP(A607,Sheet1!$E$3:$H$27,4,0),"")</f>
        <v>P2</v>
      </c>
      <c r="C607" s="14" t="s">
        <v>404</v>
      </c>
      <c r="D607" s="12" t="s">
        <v>21</v>
      </c>
      <c r="E607" s="13" t="str">
        <f>IFERROR(VLOOKUP(D607,Sheet1!$B$1:$C$45,2,0),"")</f>
        <v>TE</v>
      </c>
      <c r="F607" s="12" t="s">
        <v>108</v>
      </c>
      <c r="G607" s="13" t="str">
        <f t="shared" si="3"/>
        <v>Barito Raya</v>
      </c>
      <c r="H607" s="15" t="str">
        <f>IFERROR(VLOOKUP(A607,Sheet1!$E$3:$F$27,2,),"")</f>
        <v>Preventive</v>
      </c>
      <c r="I607" s="16" t="str">
        <f>IFERROR(VLOOKUP(A607,Sheet1!$E$3:$G$27,3,0),"")</f>
        <v>Akses/Hub Site problem metro</v>
      </c>
      <c r="J607" s="12" t="s">
        <v>112</v>
      </c>
      <c r="K607" s="17">
        <v>46030.0</v>
      </c>
      <c r="L607" s="17">
        <v>46030.0</v>
      </c>
      <c r="M607" s="12" t="s">
        <v>109</v>
      </c>
      <c r="N607" s="23"/>
      <c r="O607" s="22"/>
      <c r="P607" s="22"/>
    </row>
    <row r="608" ht="22.5" customHeight="1">
      <c r="A608" s="12" t="s">
        <v>52</v>
      </c>
      <c r="B608" s="20" t="str">
        <f>IFERROR(VLOOKUP(A608,Sheet1!$E$3:$H$27,4,0),"")</f>
        <v>P1</v>
      </c>
      <c r="C608" s="14" t="s">
        <v>115</v>
      </c>
      <c r="D608" s="12" t="s">
        <v>26</v>
      </c>
      <c r="E608" s="13" t="str">
        <f>IFERROR(VLOOKUP(D608,Sheet1!$B$1:$C$45,2,0),"")</f>
        <v>TE</v>
      </c>
      <c r="F608" s="12" t="s">
        <v>108</v>
      </c>
      <c r="G608" s="13" t="str">
        <f t="shared" si="3"/>
        <v>Barito Raya</v>
      </c>
      <c r="H608" s="15" t="str">
        <f>IFERROR(VLOOKUP(A608,Sheet1!$E$3:$F$27,2,),"")</f>
        <v>Preventive</v>
      </c>
      <c r="I608" s="16" t="str">
        <f>IFERROR(VLOOKUP(A608,Sheet1!$E$3:$G$27,3,0),"")</f>
        <v>MCB trip/Power upnormal</v>
      </c>
      <c r="J608" s="12" t="s">
        <v>112</v>
      </c>
      <c r="K608" s="17">
        <v>46030.0</v>
      </c>
      <c r="L608" s="17">
        <v>46030.0</v>
      </c>
      <c r="M608" s="12" t="s">
        <v>109</v>
      </c>
      <c r="N608" s="23"/>
      <c r="O608" s="22"/>
      <c r="P608" s="22"/>
    </row>
    <row r="609" ht="22.5" customHeight="1">
      <c r="A609" s="12" t="s">
        <v>52</v>
      </c>
      <c r="B609" s="20" t="str">
        <f>IFERROR(VLOOKUP(A609,Sheet1!$E$3:$H$27,4,0),"")</f>
        <v>P1</v>
      </c>
      <c r="C609" s="14" t="s">
        <v>115</v>
      </c>
      <c r="D609" s="12" t="s">
        <v>88</v>
      </c>
      <c r="E609" s="13" t="str">
        <f>IFERROR(VLOOKUP(D609,Sheet1!$B$1:$C$45,2,0),"")</f>
        <v>TE</v>
      </c>
      <c r="F609" s="12" t="s">
        <v>108</v>
      </c>
      <c r="G609" s="13" t="str">
        <f t="shared" si="3"/>
        <v>Barito Raya</v>
      </c>
      <c r="H609" s="15" t="str">
        <f>IFERROR(VLOOKUP(A609,Sheet1!$E$3:$F$27,2,),"")</f>
        <v>Preventive</v>
      </c>
      <c r="I609" s="16" t="str">
        <f>IFERROR(VLOOKUP(A609,Sheet1!$E$3:$G$27,3,0),"")</f>
        <v>MCB trip/Power upnormal</v>
      </c>
      <c r="J609" s="12" t="s">
        <v>112</v>
      </c>
      <c r="K609" s="17">
        <v>46030.0</v>
      </c>
      <c r="L609" s="17">
        <v>46030.0</v>
      </c>
      <c r="M609" s="12" t="s">
        <v>109</v>
      </c>
      <c r="N609" s="23"/>
      <c r="O609" s="22"/>
      <c r="P609" s="22"/>
    </row>
    <row r="610" ht="22.5" customHeight="1">
      <c r="A610" s="12" t="s">
        <v>52</v>
      </c>
      <c r="B610" s="20" t="str">
        <f>IFERROR(VLOOKUP(A610,Sheet1!$E$3:$H$27,4,0),"")</f>
        <v>P1</v>
      </c>
      <c r="C610" s="14" t="s">
        <v>355</v>
      </c>
      <c r="D610" s="12" t="s">
        <v>32</v>
      </c>
      <c r="E610" s="13" t="str">
        <f>IFERROR(VLOOKUP(D610,Sheet1!$B$1:$C$45,2,0),"")</f>
        <v>TE</v>
      </c>
      <c r="F610" s="12" t="s">
        <v>108</v>
      </c>
      <c r="G610" s="13" t="str">
        <f t="shared" si="3"/>
        <v>Barito Raya</v>
      </c>
      <c r="H610" s="15" t="str">
        <f>IFERROR(VLOOKUP(A610,Sheet1!$E$3:$F$27,2,),"")</f>
        <v>Preventive</v>
      </c>
      <c r="I610" s="16" t="str">
        <f>IFERROR(VLOOKUP(A610,Sheet1!$E$3:$G$27,3,0),"")</f>
        <v>MCB trip/Power upnormal</v>
      </c>
      <c r="J610" s="12" t="s">
        <v>112</v>
      </c>
      <c r="K610" s="17">
        <v>46030.0</v>
      </c>
      <c r="L610" s="17">
        <v>46030.0</v>
      </c>
      <c r="M610" s="12" t="s">
        <v>109</v>
      </c>
      <c r="N610" s="23"/>
      <c r="O610" s="22"/>
      <c r="P610" s="22"/>
    </row>
    <row r="611" ht="22.5" customHeight="1">
      <c r="A611" s="12" t="s">
        <v>70</v>
      </c>
      <c r="B611" s="20" t="str">
        <f>IFERROR(VLOOKUP(A611,Sheet1!$E$3:$H$27,4,0),"")</f>
        <v>P3</v>
      </c>
      <c r="C611" s="15"/>
      <c r="D611" s="12" t="s">
        <v>74</v>
      </c>
      <c r="E611" s="13" t="str">
        <f>IFERROR(VLOOKUP(D611,Sheet1!$B$1:$C$45,2,0),"")</f>
        <v>TE</v>
      </c>
      <c r="F611" s="12" t="s">
        <v>108</v>
      </c>
      <c r="G611" s="13" t="str">
        <f t="shared" si="3"/>
        <v>Barito Raya</v>
      </c>
      <c r="H611" s="15" t="str">
        <f>IFERROR(VLOOKUP(A611,Sheet1!$E$3:$F$27,2,),"")</f>
        <v>Sick</v>
      </c>
      <c r="I611" s="16" t="str">
        <f>IFERROR(VLOOKUP(A611,Sheet1!$E$3:$G$27,3,0),"")</f>
        <v>Sick</v>
      </c>
      <c r="J611" s="20"/>
      <c r="K611" s="17">
        <v>46030.0</v>
      </c>
      <c r="L611" s="17">
        <v>46030.0</v>
      </c>
      <c r="M611" s="13"/>
      <c r="N611" s="23"/>
      <c r="O611" s="22"/>
      <c r="P611" s="22"/>
    </row>
    <row r="612" ht="22.5" customHeight="1">
      <c r="A612" s="12" t="s">
        <v>33</v>
      </c>
      <c r="B612" s="20" t="str">
        <f>IFERROR(VLOOKUP(A612,Sheet1!$E$3:$H$27,4,0),"")</f>
        <v>P2</v>
      </c>
      <c r="C612" s="14" t="s">
        <v>405</v>
      </c>
      <c r="D612" s="12" t="s">
        <v>60</v>
      </c>
      <c r="E612" s="13" t="str">
        <f>IFERROR(VLOOKUP(D612,Sheet1!$B$1:$C$45,2,0),"")</f>
        <v>TE</v>
      </c>
      <c r="F612" s="12" t="s">
        <v>108</v>
      </c>
      <c r="G612" s="13" t="str">
        <f t="shared" si="3"/>
        <v>Barito Raya</v>
      </c>
      <c r="H612" s="15" t="str">
        <f>IFERROR(VLOOKUP(A612,Sheet1!$E$3:$F$27,2,),"")</f>
        <v>Preventive</v>
      </c>
      <c r="I612" s="16" t="str">
        <f>IFERROR(VLOOKUP(A612,Sheet1!$E$3:$G$27,3,0),"")</f>
        <v>Pengukuran dan pengambilan data log serta input Gdoc BBT</v>
      </c>
      <c r="J612" s="12" t="s">
        <v>112</v>
      </c>
      <c r="K612" s="17">
        <v>46030.0</v>
      </c>
      <c r="L612" s="17">
        <v>46030.0</v>
      </c>
      <c r="M612" s="12" t="s">
        <v>109</v>
      </c>
      <c r="N612" s="23"/>
      <c r="O612" s="22"/>
      <c r="P612" s="22"/>
    </row>
    <row r="613" ht="22.5" customHeight="1">
      <c r="A613" s="12" t="s">
        <v>27</v>
      </c>
      <c r="B613" s="20" t="str">
        <f>IFERROR(VLOOKUP(A613,Sheet1!$E$3:$H$27,4,0),"")</f>
        <v>P2</v>
      </c>
      <c r="C613" s="14" t="s">
        <v>406</v>
      </c>
      <c r="D613" s="12" t="s">
        <v>62</v>
      </c>
      <c r="E613" s="13" t="str">
        <f>IFERROR(VLOOKUP(D613,Sheet1!$B$1:$C$45,2,0),"")</f>
        <v>TE</v>
      </c>
      <c r="F613" s="12" t="s">
        <v>108</v>
      </c>
      <c r="G613" s="13" t="str">
        <f t="shared" si="3"/>
        <v>Barito Raya</v>
      </c>
      <c r="H613" s="15" t="str">
        <f>IFERROR(VLOOKUP(A613,Sheet1!$E$3:$F$27,2,),"")</f>
        <v>Preventive</v>
      </c>
      <c r="I613" s="16" t="str">
        <f>IFERROR(VLOOKUP(A613,Sheet1!$E$3:$G$27,3,0),"")</f>
        <v>Akses/Hub Site problem metro</v>
      </c>
      <c r="J613" s="12" t="s">
        <v>112</v>
      </c>
      <c r="K613" s="17">
        <v>46030.0</v>
      </c>
      <c r="L613" s="17">
        <v>46030.0</v>
      </c>
      <c r="M613" s="12" t="s">
        <v>109</v>
      </c>
      <c r="N613" s="23"/>
      <c r="O613" s="22"/>
      <c r="P613" s="22"/>
    </row>
    <row r="614" ht="22.5" customHeight="1">
      <c r="A614" s="12" t="s">
        <v>52</v>
      </c>
      <c r="B614" s="20" t="str">
        <f>IFERROR(VLOOKUP(A614,Sheet1!$E$3:$H$27,4,0),"")</f>
        <v>P1</v>
      </c>
      <c r="C614" s="14" t="s">
        <v>407</v>
      </c>
      <c r="D614" s="12" t="s">
        <v>4</v>
      </c>
      <c r="E614" s="13" t="str">
        <f>IFERROR(VLOOKUP(D614,Sheet1!$B$1:$C$45,2,0),"")</f>
        <v>CME</v>
      </c>
      <c r="F614" s="12" t="s">
        <v>108</v>
      </c>
      <c r="G614" s="13" t="str">
        <f t="shared" si="3"/>
        <v>Barito Raya</v>
      </c>
      <c r="H614" s="15" t="str">
        <f>IFERROR(VLOOKUP(A614,Sheet1!$E$3:$F$27,2,),"")</f>
        <v>Preventive</v>
      </c>
      <c r="I614" s="16" t="str">
        <f>IFERROR(VLOOKUP(A614,Sheet1!$E$3:$G$27,3,0),"")</f>
        <v>MCB trip/Power upnormal</v>
      </c>
      <c r="J614" s="12" t="s">
        <v>112</v>
      </c>
      <c r="K614" s="17">
        <v>46030.0</v>
      </c>
      <c r="L614" s="17">
        <v>46030.0</v>
      </c>
      <c r="M614" s="12" t="s">
        <v>109</v>
      </c>
      <c r="N614" s="23"/>
      <c r="O614" s="22"/>
      <c r="P614" s="22"/>
    </row>
    <row r="615" ht="22.5" customHeight="1">
      <c r="A615" s="12" t="s">
        <v>65</v>
      </c>
      <c r="B615" s="20" t="str">
        <f>IFERROR(VLOOKUP(A615,Sheet1!$E$3:$H$27,4,0),"")</f>
        <v>P3</v>
      </c>
      <c r="C615" s="15"/>
      <c r="D615" s="12" t="s">
        <v>9</v>
      </c>
      <c r="E615" s="13" t="str">
        <f>IFERROR(VLOOKUP(D615,Sheet1!$B$1:$C$45,2,0),"")</f>
        <v>MBP</v>
      </c>
      <c r="F615" s="12" t="s">
        <v>108</v>
      </c>
      <c r="G615" s="13" t="str">
        <f t="shared" si="3"/>
        <v>Barito Raya</v>
      </c>
      <c r="H615" s="15" t="str">
        <f>IFERROR(VLOOKUP(A615,Sheet1!$E$3:$F$27,2,),"")</f>
        <v>Standby</v>
      </c>
      <c r="I615" s="16" t="str">
        <f>IFERROR(VLOOKUP(A615,Sheet1!$E$3:$G$27,3,0),"")</f>
        <v>Standby On Call</v>
      </c>
      <c r="J615" s="20"/>
      <c r="K615" s="17">
        <v>46030.0</v>
      </c>
      <c r="L615" s="17">
        <v>46030.0</v>
      </c>
      <c r="M615" s="13"/>
      <c r="N615" s="23"/>
      <c r="O615" s="22"/>
      <c r="P615" s="22"/>
    </row>
    <row r="616" ht="22.5" customHeight="1">
      <c r="A616" s="12" t="s">
        <v>65</v>
      </c>
      <c r="B616" s="20" t="str">
        <f>IFERROR(VLOOKUP(A616,Sheet1!$E$3:$H$27,4,0),"")</f>
        <v>P3</v>
      </c>
      <c r="C616" s="15"/>
      <c r="D616" s="12" t="s">
        <v>87</v>
      </c>
      <c r="E616" s="13" t="str">
        <f>IFERROR(VLOOKUP(D616,Sheet1!$B$1:$C$45,2,0),"")</f>
        <v>MBP</v>
      </c>
      <c r="F616" s="12" t="s">
        <v>108</v>
      </c>
      <c r="G616" s="13" t="str">
        <f t="shared" si="3"/>
        <v>Barito Raya</v>
      </c>
      <c r="H616" s="15" t="str">
        <f>IFERROR(VLOOKUP(A616,Sheet1!$E$3:$F$27,2,),"")</f>
        <v>Standby</v>
      </c>
      <c r="I616" s="16" t="str">
        <f>IFERROR(VLOOKUP(A616,Sheet1!$E$3:$G$27,3,0),"")</f>
        <v>Standby On Call</v>
      </c>
      <c r="J616" s="20"/>
      <c r="K616" s="17">
        <v>46030.0</v>
      </c>
      <c r="L616" s="17">
        <v>46030.0</v>
      </c>
      <c r="M616" s="13"/>
      <c r="N616" s="23"/>
      <c r="O616" s="22"/>
      <c r="P616" s="22"/>
    </row>
    <row r="617" ht="22.5" customHeight="1">
      <c r="A617" s="12" t="s">
        <v>65</v>
      </c>
      <c r="B617" s="20" t="str">
        <f>IFERROR(VLOOKUP(A617,Sheet1!$E$3:$H$27,4,0),"")</f>
        <v>P3</v>
      </c>
      <c r="C617" s="15"/>
      <c r="D617" s="12" t="s">
        <v>29</v>
      </c>
      <c r="E617" s="13" t="str">
        <f>IFERROR(VLOOKUP(D617,Sheet1!$B$1:$C$45,2,0),"")</f>
        <v>MBP</v>
      </c>
      <c r="F617" s="12" t="s">
        <v>108</v>
      </c>
      <c r="G617" s="13" t="str">
        <f t="shared" si="3"/>
        <v>Barito Raya</v>
      </c>
      <c r="H617" s="15" t="str">
        <f>IFERROR(VLOOKUP(A617,Sheet1!$E$3:$F$27,2,),"")</f>
        <v>Standby</v>
      </c>
      <c r="I617" s="16" t="str">
        <f>IFERROR(VLOOKUP(A617,Sheet1!$E$3:$G$27,3,0),"")</f>
        <v>Standby On Call</v>
      </c>
      <c r="J617" s="20"/>
      <c r="K617" s="17">
        <v>46030.0</v>
      </c>
      <c r="L617" s="17">
        <v>46030.0</v>
      </c>
      <c r="M617" s="13"/>
      <c r="N617" s="23"/>
      <c r="O617" s="22"/>
      <c r="P617" s="22"/>
    </row>
    <row r="618" ht="22.5" customHeight="1">
      <c r="A618" s="12" t="s">
        <v>65</v>
      </c>
      <c r="B618" s="20" t="str">
        <f>IFERROR(VLOOKUP(A618,Sheet1!$E$3:$H$27,4,0),"")</f>
        <v>P3</v>
      </c>
      <c r="C618" s="15"/>
      <c r="D618" s="12" t="s">
        <v>2</v>
      </c>
      <c r="E618" s="13" t="str">
        <f>IFERROR(VLOOKUP(D618,Sheet1!$B$1:$C$45,2,0),"")</f>
        <v>CME</v>
      </c>
      <c r="F618" s="12" t="s">
        <v>108</v>
      </c>
      <c r="G618" s="13" t="str">
        <f t="shared" si="3"/>
        <v>Barito Raya</v>
      </c>
      <c r="H618" s="15" t="str">
        <f>IFERROR(VLOOKUP(A618,Sheet1!$E$3:$F$27,2,),"")</f>
        <v>Standby</v>
      </c>
      <c r="I618" s="16" t="str">
        <f>IFERROR(VLOOKUP(A618,Sheet1!$E$3:$G$27,3,0),"")</f>
        <v>Standby On Call</v>
      </c>
      <c r="J618" s="20"/>
      <c r="K618" s="17">
        <v>46030.0</v>
      </c>
      <c r="L618" s="17">
        <v>46030.0</v>
      </c>
      <c r="M618" s="13"/>
      <c r="N618" s="23"/>
      <c r="O618" s="22"/>
      <c r="P618" s="22"/>
    </row>
    <row r="619" ht="22.5" customHeight="1">
      <c r="A619" s="12" t="s">
        <v>65</v>
      </c>
      <c r="B619" s="20" t="str">
        <f>IFERROR(VLOOKUP(A619,Sheet1!$E$3:$H$27,4,0),"")</f>
        <v>P3</v>
      </c>
      <c r="C619" s="15"/>
      <c r="D619" s="12" t="s">
        <v>0</v>
      </c>
      <c r="E619" s="13" t="str">
        <f>IFERROR(VLOOKUP(D619,Sheet1!$B$1:$C$45,2,0),"")</f>
        <v>MBP</v>
      </c>
      <c r="F619" s="12" t="s">
        <v>108</v>
      </c>
      <c r="G619" s="13" t="str">
        <f t="shared" si="3"/>
        <v>Barito Raya</v>
      </c>
      <c r="H619" s="15" t="str">
        <f>IFERROR(VLOOKUP(A619,Sheet1!$E$3:$F$27,2,),"")</f>
        <v>Standby</v>
      </c>
      <c r="I619" s="16" t="str">
        <f>IFERROR(VLOOKUP(A619,Sheet1!$E$3:$G$27,3,0),"")</f>
        <v>Standby On Call</v>
      </c>
      <c r="J619" s="20"/>
      <c r="K619" s="17">
        <v>46030.0</v>
      </c>
      <c r="L619" s="17">
        <v>46030.0</v>
      </c>
      <c r="M619" s="13"/>
      <c r="N619" s="23"/>
      <c r="O619" s="22"/>
      <c r="P619" s="22"/>
    </row>
    <row r="620" ht="22.5" customHeight="1">
      <c r="A620" s="12" t="s">
        <v>22</v>
      </c>
      <c r="B620" s="20" t="str">
        <f>IFERROR(VLOOKUP(A620,Sheet1!$E$3:$H$27,4,0),"")</f>
        <v>P2</v>
      </c>
      <c r="C620" s="14" t="s">
        <v>408</v>
      </c>
      <c r="D620" s="12" t="s">
        <v>85</v>
      </c>
      <c r="E620" s="13" t="str">
        <f>IFERROR(VLOOKUP(D620,Sheet1!$B$1:$C$45,2,0),"")</f>
        <v>PM</v>
      </c>
      <c r="F620" s="12" t="s">
        <v>108</v>
      </c>
      <c r="G620" s="13" t="str">
        <f t="shared" si="3"/>
        <v>Barito Raya</v>
      </c>
      <c r="H620" s="15" t="str">
        <f>IFERROR(VLOOKUP(A620,Sheet1!$E$3:$F$27,2,),"")</f>
        <v>Preventive</v>
      </c>
      <c r="I620" s="16" t="str">
        <f>IFERROR(VLOOKUP(A620,Sheet1!$E$3:$G$27,3,0),"")</f>
        <v>Preventive Maintenance</v>
      </c>
      <c r="J620" s="12" t="s">
        <v>112</v>
      </c>
      <c r="K620" s="17">
        <v>46030.0</v>
      </c>
      <c r="L620" s="17">
        <v>46030.0</v>
      </c>
      <c r="M620" s="12" t="s">
        <v>109</v>
      </c>
      <c r="N620" s="23"/>
      <c r="O620" s="22"/>
      <c r="P620" s="22"/>
    </row>
    <row r="621" ht="22.5" customHeight="1">
      <c r="A621" s="12" t="s">
        <v>22</v>
      </c>
      <c r="B621" s="20" t="str">
        <f>IFERROR(VLOOKUP(A621,Sheet1!$E$3:$H$27,4,0),"")</f>
        <v>P2</v>
      </c>
      <c r="C621" s="14" t="s">
        <v>408</v>
      </c>
      <c r="D621" s="12" t="s">
        <v>84</v>
      </c>
      <c r="E621" s="13" t="str">
        <f>IFERROR(VLOOKUP(D621,Sheet1!$B$1:$C$45,2,0),"")</f>
        <v>MBP</v>
      </c>
      <c r="F621" s="12" t="s">
        <v>108</v>
      </c>
      <c r="G621" s="13" t="str">
        <f t="shared" si="3"/>
        <v>Barito Raya</v>
      </c>
      <c r="H621" s="15" t="str">
        <f>IFERROR(VLOOKUP(A621,Sheet1!$E$3:$F$27,2,),"")</f>
        <v>Preventive</v>
      </c>
      <c r="I621" s="16" t="str">
        <f>IFERROR(VLOOKUP(A621,Sheet1!$E$3:$G$27,3,0),"")</f>
        <v>Preventive Maintenance</v>
      </c>
      <c r="J621" s="12" t="s">
        <v>112</v>
      </c>
      <c r="K621" s="17">
        <v>46030.0</v>
      </c>
      <c r="L621" s="17">
        <v>46030.0</v>
      </c>
      <c r="M621" s="12" t="s">
        <v>109</v>
      </c>
      <c r="N621" s="23"/>
      <c r="O621" s="22"/>
      <c r="P621" s="22"/>
    </row>
    <row r="622" ht="22.5" customHeight="1">
      <c r="A622" s="12" t="s">
        <v>22</v>
      </c>
      <c r="B622" s="20" t="str">
        <f>IFERROR(VLOOKUP(A622,Sheet1!$E$3:$H$27,4,0),"")</f>
        <v>P2</v>
      </c>
      <c r="C622" s="15"/>
      <c r="D622" s="12" t="s">
        <v>86</v>
      </c>
      <c r="E622" s="13" t="str">
        <f>IFERROR(VLOOKUP(D622,Sheet1!$B$1:$C$45,2,0),"")</f>
        <v>PM</v>
      </c>
      <c r="F622" s="12" t="s">
        <v>108</v>
      </c>
      <c r="G622" s="13" t="str">
        <f t="shared" si="3"/>
        <v>Barito Raya</v>
      </c>
      <c r="H622" s="15" t="str">
        <f>IFERROR(VLOOKUP(A622,Sheet1!$E$3:$F$27,2,),"")</f>
        <v>Preventive</v>
      </c>
      <c r="I622" s="16" t="str">
        <f>IFERROR(VLOOKUP(A622,Sheet1!$E$3:$G$27,3,0),"")</f>
        <v>Preventive Maintenance</v>
      </c>
      <c r="J622" s="20"/>
      <c r="K622" s="17">
        <v>46030.0</v>
      </c>
      <c r="L622" s="17">
        <v>46030.0</v>
      </c>
      <c r="M622" s="13"/>
      <c r="N622" s="23"/>
      <c r="O622" s="22"/>
      <c r="P622" s="22"/>
    </row>
    <row r="623" ht="22.5" customHeight="1">
      <c r="A623" s="12" t="s">
        <v>5</v>
      </c>
      <c r="B623" s="20" t="str">
        <f>IFERROR(VLOOKUP(A623,Sheet1!$E$3:$H$27,4,0),"")</f>
        <v>P1</v>
      </c>
      <c r="C623" s="14" t="s">
        <v>373</v>
      </c>
      <c r="D623" s="12" t="s">
        <v>76</v>
      </c>
      <c r="E623" s="13" t="str">
        <f>IFERROR(VLOOKUP(D623,Sheet1!$B$1:$C$45,2,0),"")</f>
        <v>TE</v>
      </c>
      <c r="F623" s="12" t="s">
        <v>179</v>
      </c>
      <c r="G623" s="13" t="str">
        <f t="shared" si="3"/>
        <v>Palangkaraya</v>
      </c>
      <c r="H623" s="15" t="str">
        <f>IFERROR(VLOOKUP(A623,Sheet1!$E$3:$F$27,2,),"")</f>
        <v>Corrective</v>
      </c>
      <c r="I623" s="16" t="str">
        <f>IFERROR(VLOOKUP(A623,Sheet1!$E$3:$G$27,3,0),"")</f>
        <v>Replace Optik,RRU/Soket Power/Replace GPS</v>
      </c>
      <c r="J623" s="12" t="s">
        <v>112</v>
      </c>
      <c r="K623" s="17">
        <v>46030.0</v>
      </c>
      <c r="L623" s="17">
        <v>46030.0</v>
      </c>
      <c r="M623" s="12" t="s">
        <v>109</v>
      </c>
      <c r="N623" s="23"/>
      <c r="O623" s="22"/>
      <c r="P623" s="22"/>
    </row>
    <row r="624" ht="22.5" customHeight="1">
      <c r="A624" s="12" t="s">
        <v>5</v>
      </c>
      <c r="B624" s="20" t="str">
        <f>IFERROR(VLOOKUP(A624,Sheet1!$E$3:$H$27,4,0),"")</f>
        <v>P1</v>
      </c>
      <c r="C624" s="14" t="s">
        <v>373</v>
      </c>
      <c r="D624" s="12" t="s">
        <v>39</v>
      </c>
      <c r="E624" s="13" t="str">
        <f>IFERROR(VLOOKUP(D624,Sheet1!$B$1:$C$45,2,0),"")</f>
        <v>TE</v>
      </c>
      <c r="F624" s="12" t="s">
        <v>179</v>
      </c>
      <c r="G624" s="13" t="str">
        <f t="shared" si="3"/>
        <v>Palangkaraya</v>
      </c>
      <c r="H624" s="15" t="str">
        <f>IFERROR(VLOOKUP(A624,Sheet1!$E$3:$F$27,2,),"")</f>
        <v>Corrective</v>
      </c>
      <c r="I624" s="16" t="str">
        <f>IFERROR(VLOOKUP(A624,Sheet1!$E$3:$G$27,3,0),"")</f>
        <v>Replace Optik,RRU/Soket Power/Replace GPS</v>
      </c>
      <c r="J624" s="12" t="s">
        <v>112</v>
      </c>
      <c r="K624" s="17">
        <v>46030.0</v>
      </c>
      <c r="L624" s="17">
        <v>46030.0</v>
      </c>
      <c r="M624" s="12" t="s">
        <v>109</v>
      </c>
      <c r="N624" s="23"/>
      <c r="O624" s="22"/>
      <c r="P624" s="22"/>
    </row>
    <row r="625" ht="22.5" customHeight="1">
      <c r="A625" s="12" t="s">
        <v>5</v>
      </c>
      <c r="B625" s="20" t="str">
        <f>IFERROR(VLOOKUP(A625,Sheet1!$E$3:$H$27,4,0),"")</f>
        <v>P1</v>
      </c>
      <c r="C625" s="14" t="s">
        <v>400</v>
      </c>
      <c r="D625" s="12" t="s">
        <v>80</v>
      </c>
      <c r="E625" s="13" t="str">
        <f>IFERROR(VLOOKUP(D625,Sheet1!$B$1:$C$45,2,0),"")</f>
        <v>TE</v>
      </c>
      <c r="F625" s="12" t="s">
        <v>179</v>
      </c>
      <c r="G625" s="13" t="str">
        <f t="shared" si="3"/>
        <v>Palangkaraya</v>
      </c>
      <c r="H625" s="15" t="str">
        <f>IFERROR(VLOOKUP(A625,Sheet1!$E$3:$F$27,2,),"")</f>
        <v>Corrective</v>
      </c>
      <c r="I625" s="16" t="str">
        <f>IFERROR(VLOOKUP(A625,Sheet1!$E$3:$G$27,3,0),"")</f>
        <v>Replace Optik,RRU/Soket Power/Replace GPS</v>
      </c>
      <c r="J625" s="12" t="s">
        <v>112</v>
      </c>
      <c r="K625" s="17">
        <v>46030.0</v>
      </c>
      <c r="L625" s="24"/>
      <c r="M625" s="12" t="s">
        <v>122</v>
      </c>
      <c r="N625" s="23"/>
      <c r="O625" s="22"/>
      <c r="P625" s="22"/>
    </row>
    <row r="626" ht="22.5" customHeight="1">
      <c r="A626" s="12" t="s">
        <v>5</v>
      </c>
      <c r="B626" s="20" t="str">
        <f>IFERROR(VLOOKUP(A626,Sheet1!$E$3:$H$27,4,0),"")</f>
        <v>P1</v>
      </c>
      <c r="C626" s="14" t="s">
        <v>198</v>
      </c>
      <c r="D626" s="12" t="s">
        <v>78</v>
      </c>
      <c r="E626" s="13" t="str">
        <f>IFERROR(VLOOKUP(D626,Sheet1!$B$1:$C$45,2,0),"")</f>
        <v>TE</v>
      </c>
      <c r="F626" s="12" t="s">
        <v>179</v>
      </c>
      <c r="G626" s="13" t="str">
        <f t="shared" si="3"/>
        <v>Palangkaraya</v>
      </c>
      <c r="H626" s="15" t="str">
        <f>IFERROR(VLOOKUP(A626,Sheet1!$E$3:$F$27,2,),"")</f>
        <v>Corrective</v>
      </c>
      <c r="I626" s="16" t="str">
        <f>IFERROR(VLOOKUP(A626,Sheet1!$E$3:$G$27,3,0),"")</f>
        <v>Replace Optik,RRU/Soket Power/Replace GPS</v>
      </c>
      <c r="J626" s="12" t="s">
        <v>112</v>
      </c>
      <c r="K626" s="17">
        <v>46030.0</v>
      </c>
      <c r="L626" s="24"/>
      <c r="M626" s="12" t="s">
        <v>122</v>
      </c>
      <c r="N626" s="23"/>
      <c r="O626" s="22"/>
      <c r="P626" s="22"/>
    </row>
    <row r="627" ht="22.5" customHeight="1">
      <c r="A627" s="12" t="s">
        <v>5</v>
      </c>
      <c r="B627" s="20" t="str">
        <f>IFERROR(VLOOKUP(A627,Sheet1!$E$3:$H$27,4,0),"")</f>
        <v>P1</v>
      </c>
      <c r="C627" s="14" t="s">
        <v>409</v>
      </c>
      <c r="D627" s="12" t="s">
        <v>77</v>
      </c>
      <c r="E627" s="13" t="str">
        <f>IFERROR(VLOOKUP(D627,Sheet1!$B$1:$C$45,2,0),"")</f>
        <v>TE</v>
      </c>
      <c r="F627" s="12" t="s">
        <v>179</v>
      </c>
      <c r="G627" s="13" t="str">
        <f t="shared" si="3"/>
        <v>Palangkaraya</v>
      </c>
      <c r="H627" s="15" t="str">
        <f>IFERROR(VLOOKUP(A627,Sheet1!$E$3:$F$27,2,),"")</f>
        <v>Corrective</v>
      </c>
      <c r="I627" s="16" t="str">
        <f>IFERROR(VLOOKUP(A627,Sheet1!$E$3:$G$27,3,0),"")</f>
        <v>Replace Optik,RRU/Soket Power/Replace GPS</v>
      </c>
      <c r="J627" s="12" t="s">
        <v>112</v>
      </c>
      <c r="K627" s="17">
        <v>46030.0</v>
      </c>
      <c r="L627" s="17">
        <v>46030.0</v>
      </c>
      <c r="M627" s="12" t="s">
        <v>109</v>
      </c>
      <c r="N627" s="23"/>
      <c r="O627" s="22"/>
      <c r="P627" s="22"/>
    </row>
    <row r="628" ht="22.5" customHeight="1">
      <c r="A628" s="12" t="s">
        <v>5</v>
      </c>
      <c r="B628" s="20" t="str">
        <f>IFERROR(VLOOKUP(A628,Sheet1!$E$3:$H$27,4,0),"")</f>
        <v>P1</v>
      </c>
      <c r="C628" s="14" t="s">
        <v>401</v>
      </c>
      <c r="D628" s="12" t="s">
        <v>37</v>
      </c>
      <c r="E628" s="13" t="str">
        <f>IFERROR(VLOOKUP(D628,Sheet1!$B$1:$C$45,2,0),"")</f>
        <v>TE</v>
      </c>
      <c r="F628" s="12" t="s">
        <v>179</v>
      </c>
      <c r="G628" s="13" t="str">
        <f t="shared" si="3"/>
        <v>Palangkaraya</v>
      </c>
      <c r="H628" s="15" t="str">
        <f>IFERROR(VLOOKUP(A628,Sheet1!$E$3:$F$27,2,),"")</f>
        <v>Corrective</v>
      </c>
      <c r="I628" s="16" t="str">
        <f>IFERROR(VLOOKUP(A628,Sheet1!$E$3:$G$27,3,0),"")</f>
        <v>Replace Optik,RRU/Soket Power/Replace GPS</v>
      </c>
      <c r="J628" s="12" t="s">
        <v>112</v>
      </c>
      <c r="K628" s="17">
        <v>46030.0</v>
      </c>
      <c r="L628" s="24"/>
      <c r="M628" s="12" t="s">
        <v>122</v>
      </c>
      <c r="N628" s="23"/>
      <c r="O628" s="22"/>
      <c r="P628" s="22"/>
    </row>
    <row r="629" ht="22.5" customHeight="1">
      <c r="A629" s="12" t="s">
        <v>5</v>
      </c>
      <c r="B629" s="20" t="str">
        <f>IFERROR(VLOOKUP(A629,Sheet1!$E$3:$H$27,4,0),"")</f>
        <v>P1</v>
      </c>
      <c r="C629" s="14" t="s">
        <v>402</v>
      </c>
      <c r="D629" s="12" t="s">
        <v>51</v>
      </c>
      <c r="E629" s="13" t="str">
        <f>IFERROR(VLOOKUP(D629,Sheet1!$B$1:$C$45,2,0),"")</f>
        <v>TE</v>
      </c>
      <c r="F629" s="12" t="s">
        <v>179</v>
      </c>
      <c r="G629" s="13" t="str">
        <f t="shared" si="3"/>
        <v>Palangkaraya</v>
      </c>
      <c r="H629" s="15" t="str">
        <f>IFERROR(VLOOKUP(A629,Sheet1!$E$3:$F$27,2,),"")</f>
        <v>Corrective</v>
      </c>
      <c r="I629" s="16" t="str">
        <f>IFERROR(VLOOKUP(A629,Sheet1!$E$3:$G$27,3,0),"")</f>
        <v>Replace Optik,RRU/Soket Power/Replace GPS</v>
      </c>
      <c r="J629" s="12" t="s">
        <v>112</v>
      </c>
      <c r="K629" s="17">
        <v>46030.0</v>
      </c>
      <c r="L629" s="17">
        <v>46030.0</v>
      </c>
      <c r="M629" s="12" t="s">
        <v>109</v>
      </c>
      <c r="N629" s="23"/>
      <c r="O629" s="22"/>
      <c r="P629" s="22"/>
    </row>
    <row r="630" ht="22.5" customHeight="1">
      <c r="A630" s="12" t="s">
        <v>5</v>
      </c>
      <c r="B630" s="20" t="str">
        <f>IFERROR(VLOOKUP(A630,Sheet1!$E$3:$H$27,4,0),"")</f>
        <v>P1</v>
      </c>
      <c r="C630" s="14" t="s">
        <v>376</v>
      </c>
      <c r="D630" s="12" t="s">
        <v>79</v>
      </c>
      <c r="E630" s="13" t="str">
        <f>IFERROR(VLOOKUP(D630,Sheet1!$B$1:$C$45,2,0),"")</f>
        <v>TE</v>
      </c>
      <c r="F630" s="12" t="s">
        <v>179</v>
      </c>
      <c r="G630" s="13" t="str">
        <f t="shared" si="3"/>
        <v>Palangkaraya</v>
      </c>
      <c r="H630" s="15" t="str">
        <f>IFERROR(VLOOKUP(A630,Sheet1!$E$3:$F$27,2,),"")</f>
        <v>Corrective</v>
      </c>
      <c r="I630" s="16" t="str">
        <f>IFERROR(VLOOKUP(A630,Sheet1!$E$3:$G$27,3,0),"")</f>
        <v>Replace Optik,RRU/Soket Power/Replace GPS</v>
      </c>
      <c r="J630" s="12" t="s">
        <v>112</v>
      </c>
      <c r="K630" s="17">
        <v>46030.0</v>
      </c>
      <c r="L630" s="24"/>
      <c r="M630" s="12" t="s">
        <v>122</v>
      </c>
      <c r="N630" s="23"/>
      <c r="O630" s="22"/>
      <c r="P630" s="22"/>
    </row>
    <row r="631" ht="22.5" customHeight="1">
      <c r="A631" s="12" t="s">
        <v>5</v>
      </c>
      <c r="B631" s="20" t="str">
        <f>IFERROR(VLOOKUP(A631,Sheet1!$E$3:$H$27,4,0),"")</f>
        <v>P1</v>
      </c>
      <c r="C631" s="14" t="s">
        <v>302</v>
      </c>
      <c r="D631" s="12" t="s">
        <v>71</v>
      </c>
      <c r="E631" s="13" t="str">
        <f>IFERROR(VLOOKUP(D631,Sheet1!$B$1:$C$45,2,0),"")</f>
        <v>TE</v>
      </c>
      <c r="F631" s="12" t="s">
        <v>179</v>
      </c>
      <c r="G631" s="13" t="str">
        <f t="shared" si="3"/>
        <v>Palangkaraya</v>
      </c>
      <c r="H631" s="15" t="str">
        <f>IFERROR(VLOOKUP(A631,Sheet1!$E$3:$F$27,2,),"")</f>
        <v>Corrective</v>
      </c>
      <c r="I631" s="16" t="str">
        <f>IFERROR(VLOOKUP(A631,Sheet1!$E$3:$G$27,3,0),"")</f>
        <v>Replace Optik,RRU/Soket Power/Replace GPS</v>
      </c>
      <c r="J631" s="12" t="s">
        <v>112</v>
      </c>
      <c r="K631" s="17">
        <v>46030.0</v>
      </c>
      <c r="L631" s="24"/>
      <c r="M631" s="12" t="s">
        <v>122</v>
      </c>
      <c r="N631" s="23"/>
      <c r="O631" s="22"/>
      <c r="P631" s="22"/>
    </row>
    <row r="632" ht="22.5" customHeight="1">
      <c r="A632" s="12" t="s">
        <v>5</v>
      </c>
      <c r="B632" s="20" t="str">
        <f>IFERROR(VLOOKUP(A632,Sheet1!$E$3:$H$27,4,0),"")</f>
        <v>P1</v>
      </c>
      <c r="C632" s="14" t="s">
        <v>302</v>
      </c>
      <c r="D632" s="12" t="s">
        <v>69</v>
      </c>
      <c r="E632" s="13" t="str">
        <f>IFERROR(VLOOKUP(D632,Sheet1!$B$1:$C$45,2,0),"")</f>
        <v>TE</v>
      </c>
      <c r="F632" s="12" t="s">
        <v>179</v>
      </c>
      <c r="G632" s="13" t="str">
        <f t="shared" si="3"/>
        <v>Palangkaraya</v>
      </c>
      <c r="H632" s="15" t="str">
        <f>IFERROR(VLOOKUP(A632,Sheet1!$E$3:$F$27,2,),"")</f>
        <v>Corrective</v>
      </c>
      <c r="I632" s="16" t="str">
        <f>IFERROR(VLOOKUP(A632,Sheet1!$E$3:$G$27,3,0),"")</f>
        <v>Replace Optik,RRU/Soket Power/Replace GPS</v>
      </c>
      <c r="J632" s="12" t="s">
        <v>112</v>
      </c>
      <c r="K632" s="17">
        <v>46030.0</v>
      </c>
      <c r="L632" s="24"/>
      <c r="M632" s="12" t="s">
        <v>122</v>
      </c>
      <c r="N632" s="23"/>
      <c r="O632" s="22"/>
      <c r="P632" s="22"/>
    </row>
    <row r="633" ht="22.5" customHeight="1">
      <c r="A633" s="12" t="s">
        <v>5</v>
      </c>
      <c r="B633" s="20" t="str">
        <f>IFERROR(VLOOKUP(A633,Sheet1!$E$3:$H$27,4,0),"")</f>
        <v>P1</v>
      </c>
      <c r="C633" s="14" t="s">
        <v>268</v>
      </c>
      <c r="D633" s="12" t="s">
        <v>91</v>
      </c>
      <c r="E633" s="13" t="str">
        <f>IFERROR(VLOOKUP(D633,Sheet1!$B$1:$C$45,2,0),"")</f>
        <v>TE</v>
      </c>
      <c r="F633" s="12" t="s">
        <v>179</v>
      </c>
      <c r="G633" s="13" t="str">
        <f t="shared" si="3"/>
        <v>Palangkaraya</v>
      </c>
      <c r="H633" s="15" t="str">
        <f>IFERROR(VLOOKUP(A633,Sheet1!$E$3:$F$27,2,),"")</f>
        <v>Corrective</v>
      </c>
      <c r="I633" s="16" t="str">
        <f>IFERROR(VLOOKUP(A633,Sheet1!$E$3:$G$27,3,0),"")</f>
        <v>Replace Optik,RRU/Soket Power/Replace GPS</v>
      </c>
      <c r="J633" s="12" t="s">
        <v>112</v>
      </c>
      <c r="K633" s="17">
        <v>46030.0</v>
      </c>
      <c r="L633" s="24"/>
      <c r="M633" s="12" t="s">
        <v>122</v>
      </c>
      <c r="N633" s="23"/>
      <c r="O633" s="22"/>
      <c r="P633" s="22"/>
    </row>
    <row r="634" ht="22.5" customHeight="1">
      <c r="A634" s="12" t="s">
        <v>33</v>
      </c>
      <c r="B634" s="20" t="str">
        <f>IFERROR(VLOOKUP(A634,Sheet1!$E$3:$H$27,4,0),"")</f>
        <v>P2</v>
      </c>
      <c r="C634" s="14" t="s">
        <v>394</v>
      </c>
      <c r="D634" s="12" t="s">
        <v>58</v>
      </c>
      <c r="E634" s="13" t="str">
        <f>IFERROR(VLOOKUP(D634,Sheet1!$B$1:$C$45,2,0),"")</f>
        <v>TE</v>
      </c>
      <c r="F634" s="12" t="s">
        <v>179</v>
      </c>
      <c r="G634" s="13" t="str">
        <f t="shared" si="3"/>
        <v>Palangkaraya</v>
      </c>
      <c r="H634" s="15" t="str">
        <f>IFERROR(VLOOKUP(A634,Sheet1!$E$3:$F$27,2,),"")</f>
        <v>Preventive</v>
      </c>
      <c r="I634" s="16" t="str">
        <f>IFERROR(VLOOKUP(A634,Sheet1!$E$3:$G$27,3,0),"")</f>
        <v>Pengukuran dan pengambilan data log serta input Gdoc BBT</v>
      </c>
      <c r="J634" s="12" t="s">
        <v>112</v>
      </c>
      <c r="K634" s="17">
        <v>46030.0</v>
      </c>
      <c r="L634" s="24"/>
      <c r="M634" s="12" t="s">
        <v>122</v>
      </c>
      <c r="N634" s="23"/>
      <c r="O634" s="22"/>
      <c r="P634" s="22"/>
    </row>
    <row r="635" ht="22.5" customHeight="1">
      <c r="A635" s="12" t="s">
        <v>72</v>
      </c>
      <c r="B635" s="20" t="str">
        <f>IFERROR(VLOOKUP(A635,Sheet1!$E$3:$H$27,4,0),"")</f>
        <v>P1</v>
      </c>
      <c r="C635" s="14" t="s">
        <v>217</v>
      </c>
      <c r="D635" s="12" t="s">
        <v>56</v>
      </c>
      <c r="E635" s="13" t="str">
        <f>IFERROR(VLOOKUP(D635,Sheet1!$B$1:$C$45,2,0),"")</f>
        <v>TE</v>
      </c>
      <c r="F635" s="12" t="s">
        <v>179</v>
      </c>
      <c r="G635" s="13" t="str">
        <f t="shared" si="3"/>
        <v>Palangkaraya</v>
      </c>
      <c r="H635" s="15" t="str">
        <f>IFERROR(VLOOKUP(A635,Sheet1!$E$3:$F$27,2,),"")</f>
        <v>Corrective</v>
      </c>
      <c r="I635" s="16" t="str">
        <f>IFERROR(VLOOKUP(A635,Sheet1!$E$3:$G$27,3,0),"")</f>
        <v>Perbaikan Auto,pergantian relay,timer, yang berhubungan genset</v>
      </c>
      <c r="J635" s="12" t="s">
        <v>112</v>
      </c>
      <c r="K635" s="17">
        <v>46030.0</v>
      </c>
      <c r="L635" s="24"/>
      <c r="M635" s="12" t="s">
        <v>122</v>
      </c>
      <c r="N635" s="23"/>
      <c r="O635" s="22"/>
      <c r="P635" s="22"/>
    </row>
    <row r="636" ht="22.5" customHeight="1">
      <c r="A636" s="12" t="s">
        <v>65</v>
      </c>
      <c r="B636" s="20" t="str">
        <f>IFERROR(VLOOKUP(A636,Sheet1!$E$3:$H$27,4,0),"")</f>
        <v>P3</v>
      </c>
      <c r="C636" s="15"/>
      <c r="D636" s="12" t="s">
        <v>83</v>
      </c>
      <c r="E636" s="13" t="str">
        <f>IFERROR(VLOOKUP(D636,Sheet1!$B$1:$C$45,2,0),"")</f>
        <v>PM</v>
      </c>
      <c r="F636" s="12" t="s">
        <v>179</v>
      </c>
      <c r="G636" s="13" t="str">
        <f t="shared" si="3"/>
        <v>Palangkaraya</v>
      </c>
      <c r="H636" s="15" t="str">
        <f>IFERROR(VLOOKUP(A636,Sheet1!$E$3:$F$27,2,),"")</f>
        <v>Standby</v>
      </c>
      <c r="I636" s="16" t="str">
        <f>IFERROR(VLOOKUP(A636,Sheet1!$E$3:$G$27,3,0),"")</f>
        <v>Standby On Call</v>
      </c>
      <c r="J636" s="12" t="s">
        <v>66</v>
      </c>
      <c r="K636" s="17">
        <v>46030.0</v>
      </c>
      <c r="L636" s="24"/>
      <c r="M636" s="12" t="s">
        <v>137</v>
      </c>
      <c r="N636" s="23"/>
      <c r="O636" s="22"/>
      <c r="P636" s="22"/>
    </row>
    <row r="637" ht="22.5" customHeight="1">
      <c r="A637" s="12" t="s">
        <v>65</v>
      </c>
      <c r="B637" s="20" t="str">
        <f>IFERROR(VLOOKUP(A637,Sheet1!$E$3:$H$27,4,0),"")</f>
        <v>P3</v>
      </c>
      <c r="C637" s="15"/>
      <c r="D637" s="12" t="s">
        <v>82</v>
      </c>
      <c r="E637" s="13" t="str">
        <f>IFERROR(VLOOKUP(D637,Sheet1!$B$1:$C$45,2,0),"")</f>
        <v>PM</v>
      </c>
      <c r="F637" s="12" t="s">
        <v>179</v>
      </c>
      <c r="G637" s="13" t="str">
        <f t="shared" si="3"/>
        <v>Palangkaraya</v>
      </c>
      <c r="H637" s="15" t="str">
        <f>IFERROR(VLOOKUP(A637,Sheet1!$E$3:$F$27,2,),"")</f>
        <v>Standby</v>
      </c>
      <c r="I637" s="16" t="str">
        <f>IFERROR(VLOOKUP(A637,Sheet1!$E$3:$G$27,3,0),"")</f>
        <v>Standby On Call</v>
      </c>
      <c r="J637" s="12" t="s">
        <v>66</v>
      </c>
      <c r="K637" s="17">
        <v>46030.0</v>
      </c>
      <c r="L637" s="24"/>
      <c r="M637" s="12" t="s">
        <v>137</v>
      </c>
      <c r="N637" s="23"/>
      <c r="O637" s="22"/>
      <c r="P637" s="22"/>
    </row>
    <row r="638" ht="22.5" customHeight="1">
      <c r="A638" s="12" t="s">
        <v>65</v>
      </c>
      <c r="B638" s="20" t="str">
        <f>IFERROR(VLOOKUP(A638,Sheet1!$E$3:$H$27,4,0),"")</f>
        <v>P3</v>
      </c>
      <c r="C638" s="15"/>
      <c r="D638" s="12" t="s">
        <v>75</v>
      </c>
      <c r="E638" s="13" t="str">
        <f>IFERROR(VLOOKUP(D638,Sheet1!$B$1:$C$45,2,0),"")</f>
        <v>CME</v>
      </c>
      <c r="F638" s="12" t="s">
        <v>179</v>
      </c>
      <c r="G638" s="13" t="str">
        <f t="shared" si="3"/>
        <v>Palangkaraya</v>
      </c>
      <c r="H638" s="15" t="str">
        <f>IFERROR(VLOOKUP(A638,Sheet1!$E$3:$F$27,2,),"")</f>
        <v>Standby</v>
      </c>
      <c r="I638" s="16" t="str">
        <f>IFERROR(VLOOKUP(A638,Sheet1!$E$3:$G$27,3,0),"")</f>
        <v>Standby On Call</v>
      </c>
      <c r="J638" s="12" t="s">
        <v>66</v>
      </c>
      <c r="K638" s="17">
        <v>46030.0</v>
      </c>
      <c r="L638" s="24"/>
      <c r="M638" s="12" t="s">
        <v>137</v>
      </c>
      <c r="N638" s="23"/>
      <c r="O638" s="22"/>
      <c r="P638" s="22"/>
    </row>
    <row r="639" ht="22.5" customHeight="1">
      <c r="A639" s="12" t="s">
        <v>65</v>
      </c>
      <c r="B639" s="20" t="str">
        <f>IFERROR(VLOOKUP(A639,Sheet1!$E$3:$H$27,4,0),"")</f>
        <v>P3</v>
      </c>
      <c r="C639" s="15"/>
      <c r="D639" s="12" t="s">
        <v>35</v>
      </c>
      <c r="E639" s="13" t="str">
        <f>IFERROR(VLOOKUP(D639,Sheet1!$B$1:$C$45,2,0),"")</f>
        <v>MBP</v>
      </c>
      <c r="F639" s="12" t="s">
        <v>179</v>
      </c>
      <c r="G639" s="13" t="str">
        <f t="shared" si="3"/>
        <v>Palangkaraya</v>
      </c>
      <c r="H639" s="15" t="str">
        <f>IFERROR(VLOOKUP(A639,Sheet1!$E$3:$F$27,2,),"")</f>
        <v>Standby</v>
      </c>
      <c r="I639" s="16" t="str">
        <f>IFERROR(VLOOKUP(A639,Sheet1!$E$3:$G$27,3,0),"")</f>
        <v>Standby On Call</v>
      </c>
      <c r="J639" s="12" t="s">
        <v>66</v>
      </c>
      <c r="K639" s="17">
        <v>46030.0</v>
      </c>
      <c r="L639" s="24"/>
      <c r="M639" s="12" t="s">
        <v>137</v>
      </c>
      <c r="N639" s="23"/>
      <c r="O639" s="22"/>
      <c r="P639" s="22"/>
    </row>
    <row r="640" ht="22.5" hidden="1" customHeight="1">
      <c r="A640" s="12" t="s">
        <v>65</v>
      </c>
      <c r="B640" s="20" t="str">
        <f>IFERROR(VLOOKUP(A640,Sheet1!$E$3:$H$27,4,0),"")</f>
        <v>P3</v>
      </c>
      <c r="C640" s="14"/>
      <c r="D640" s="12" t="s">
        <v>48</v>
      </c>
      <c r="E640" s="13" t="str">
        <f>IFERROR(VLOOKUP(D640,Sheet1!$B$1:$C$45,2,0),"")</f>
        <v>MBP</v>
      </c>
      <c r="F640" s="12" t="s">
        <v>179</v>
      </c>
      <c r="G640" s="13" t="str">
        <f t="shared" si="3"/>
        <v>Palangkaraya</v>
      </c>
      <c r="H640" s="15" t="str">
        <f>IFERROR(VLOOKUP(A640,Sheet1!$E$3:$F$27,2,),"")</f>
        <v>Standby</v>
      </c>
      <c r="I640" s="16" t="str">
        <f>IFERROR(VLOOKUP(A640,Sheet1!$E$3:$G$27,3,0),"")</f>
        <v>Standby On Call</v>
      </c>
      <c r="J640" s="12" t="s">
        <v>66</v>
      </c>
      <c r="K640" s="17">
        <v>46030.0</v>
      </c>
      <c r="L640" s="24"/>
      <c r="M640" s="12" t="s">
        <v>137</v>
      </c>
      <c r="N640" s="23"/>
      <c r="O640" s="22"/>
      <c r="P640" s="22"/>
    </row>
    <row r="641" ht="22.5" customHeight="1">
      <c r="A641" s="12" t="s">
        <v>52</v>
      </c>
      <c r="B641" s="20" t="str">
        <f>IFERROR(VLOOKUP(A641,Sheet1!$E$3:$H$27,4,0),"")</f>
        <v>P1</v>
      </c>
      <c r="C641" s="14" t="s">
        <v>410</v>
      </c>
      <c r="D641" s="12" t="s">
        <v>12</v>
      </c>
      <c r="E641" s="13" t="str">
        <f>IFERROR(VLOOKUP(D641,Sheet1!$B$1:$C$45,2,0),"")</f>
        <v>TE</v>
      </c>
      <c r="F641" s="12" t="s">
        <v>108</v>
      </c>
      <c r="G641" s="13" t="str">
        <f t="shared" si="3"/>
        <v>Barito Raya</v>
      </c>
      <c r="H641" s="15" t="str">
        <f>IFERROR(VLOOKUP(A641,Sheet1!$E$3:$F$27,2,),"")</f>
        <v>Preventive</v>
      </c>
      <c r="I641" s="16" t="str">
        <f>IFERROR(VLOOKUP(A641,Sheet1!$E$3:$G$27,3,0),"")</f>
        <v>MCB trip/Power upnormal</v>
      </c>
      <c r="J641" s="12" t="s">
        <v>112</v>
      </c>
      <c r="K641" s="17">
        <v>46031.0</v>
      </c>
      <c r="L641" s="17">
        <v>46031.0</v>
      </c>
      <c r="M641" s="12" t="s">
        <v>109</v>
      </c>
      <c r="N641" s="23"/>
      <c r="O641" s="22"/>
      <c r="P641" s="22"/>
    </row>
    <row r="642" ht="22.5" customHeight="1">
      <c r="A642" s="12" t="s">
        <v>52</v>
      </c>
      <c r="B642" s="20" t="str">
        <f>IFERROR(VLOOKUP(A642,Sheet1!$E$3:$H$27,4,0),"")</f>
        <v>P1</v>
      </c>
      <c r="C642" s="14" t="s">
        <v>366</v>
      </c>
      <c r="D642" s="12" t="s">
        <v>16</v>
      </c>
      <c r="E642" s="13" t="str">
        <f>IFERROR(VLOOKUP(D642,Sheet1!$B$1:$C$45,2,0),"")</f>
        <v>TE</v>
      </c>
      <c r="F642" s="12" t="s">
        <v>108</v>
      </c>
      <c r="G642" s="13" t="str">
        <f t="shared" si="3"/>
        <v>Barito Raya</v>
      </c>
      <c r="H642" s="15" t="str">
        <f>IFERROR(VLOOKUP(A642,Sheet1!$E$3:$F$27,2,),"")</f>
        <v>Preventive</v>
      </c>
      <c r="I642" s="16" t="str">
        <f>IFERROR(VLOOKUP(A642,Sheet1!$E$3:$G$27,3,0),"")</f>
        <v>MCB trip/Power upnormal</v>
      </c>
      <c r="J642" s="12" t="s">
        <v>112</v>
      </c>
      <c r="K642" s="17">
        <v>46031.0</v>
      </c>
      <c r="L642" s="17">
        <v>46031.0</v>
      </c>
      <c r="M642" s="12" t="s">
        <v>109</v>
      </c>
      <c r="N642" s="23"/>
      <c r="O642" s="22"/>
      <c r="P642" s="22"/>
    </row>
    <row r="643" ht="22.5" customHeight="1">
      <c r="A643" s="12" t="s">
        <v>52</v>
      </c>
      <c r="B643" s="20" t="str">
        <f>IFERROR(VLOOKUP(A643,Sheet1!$E$3:$H$27,4,0),"")</f>
        <v>P1</v>
      </c>
      <c r="C643" s="14" t="s">
        <v>411</v>
      </c>
      <c r="D643" s="12" t="s">
        <v>21</v>
      </c>
      <c r="E643" s="13" t="str">
        <f>IFERROR(VLOOKUP(D643,Sheet1!$B$1:$C$45,2,0),"")</f>
        <v>TE</v>
      </c>
      <c r="F643" s="12" t="s">
        <v>108</v>
      </c>
      <c r="G643" s="13" t="str">
        <f t="shared" si="3"/>
        <v>Barito Raya</v>
      </c>
      <c r="H643" s="15" t="str">
        <f>IFERROR(VLOOKUP(A643,Sheet1!$E$3:$F$27,2,),"")</f>
        <v>Preventive</v>
      </c>
      <c r="I643" s="16" t="str">
        <f>IFERROR(VLOOKUP(A643,Sheet1!$E$3:$G$27,3,0),"")</f>
        <v>MCB trip/Power upnormal</v>
      </c>
      <c r="J643" s="12" t="s">
        <v>112</v>
      </c>
      <c r="K643" s="17">
        <v>46031.0</v>
      </c>
      <c r="L643" s="17">
        <v>46031.0</v>
      </c>
      <c r="M643" s="12" t="s">
        <v>109</v>
      </c>
      <c r="N643" s="23"/>
      <c r="O643" s="22"/>
      <c r="P643" s="22"/>
    </row>
    <row r="644" ht="22.5" customHeight="1">
      <c r="A644" s="12" t="s">
        <v>52</v>
      </c>
      <c r="B644" s="20" t="str">
        <f>IFERROR(VLOOKUP(A644,Sheet1!$E$3:$H$27,4,0),"")</f>
        <v>P1</v>
      </c>
      <c r="C644" s="14" t="s">
        <v>396</v>
      </c>
      <c r="D644" s="12" t="s">
        <v>26</v>
      </c>
      <c r="E644" s="13" t="str">
        <f>IFERROR(VLOOKUP(D644,Sheet1!$B$1:$C$45,2,0),"")</f>
        <v>TE</v>
      </c>
      <c r="F644" s="12" t="s">
        <v>108</v>
      </c>
      <c r="G644" s="13" t="str">
        <f t="shared" si="3"/>
        <v>Barito Raya</v>
      </c>
      <c r="H644" s="15" t="str">
        <f>IFERROR(VLOOKUP(A644,Sheet1!$E$3:$F$27,2,),"")</f>
        <v>Preventive</v>
      </c>
      <c r="I644" s="16" t="str">
        <f>IFERROR(VLOOKUP(A644,Sheet1!$E$3:$G$27,3,0),"")</f>
        <v>MCB trip/Power upnormal</v>
      </c>
      <c r="J644" s="12" t="s">
        <v>112</v>
      </c>
      <c r="K644" s="17">
        <v>46031.0</v>
      </c>
      <c r="L644" s="17">
        <v>46031.0</v>
      </c>
      <c r="M644" s="12" t="s">
        <v>109</v>
      </c>
      <c r="N644" s="23"/>
      <c r="O644" s="22"/>
      <c r="P644" s="22"/>
    </row>
    <row r="645" ht="22.5" customHeight="1">
      <c r="A645" s="12" t="s">
        <v>52</v>
      </c>
      <c r="B645" s="20" t="str">
        <f>IFERROR(VLOOKUP(A645,Sheet1!$E$3:$H$27,4,0),"")</f>
        <v>P1</v>
      </c>
      <c r="C645" s="14" t="s">
        <v>396</v>
      </c>
      <c r="D645" s="12" t="s">
        <v>88</v>
      </c>
      <c r="E645" s="13" t="str">
        <f>IFERROR(VLOOKUP(D645,Sheet1!$B$1:$C$45,2,0),"")</f>
        <v>TE</v>
      </c>
      <c r="F645" s="12" t="s">
        <v>108</v>
      </c>
      <c r="G645" s="13" t="str">
        <f t="shared" si="3"/>
        <v>Barito Raya</v>
      </c>
      <c r="H645" s="15" t="str">
        <f>IFERROR(VLOOKUP(A645,Sheet1!$E$3:$F$27,2,),"")</f>
        <v>Preventive</v>
      </c>
      <c r="I645" s="16" t="str">
        <f>IFERROR(VLOOKUP(A645,Sheet1!$E$3:$G$27,3,0),"")</f>
        <v>MCB trip/Power upnormal</v>
      </c>
      <c r="J645" s="12" t="s">
        <v>112</v>
      </c>
      <c r="K645" s="17">
        <v>46031.0</v>
      </c>
      <c r="L645" s="17">
        <v>46031.0</v>
      </c>
      <c r="M645" s="12" t="s">
        <v>109</v>
      </c>
      <c r="N645" s="23"/>
      <c r="O645" s="22"/>
      <c r="P645" s="22"/>
    </row>
    <row r="646" ht="22.5" customHeight="1">
      <c r="A646" s="12" t="s">
        <v>52</v>
      </c>
      <c r="B646" s="20" t="str">
        <f>IFERROR(VLOOKUP(A646,Sheet1!$E$3:$H$27,4,0),"")</f>
        <v>P1</v>
      </c>
      <c r="C646" s="14" t="s">
        <v>265</v>
      </c>
      <c r="D646" s="12" t="s">
        <v>32</v>
      </c>
      <c r="E646" s="13" t="str">
        <f>IFERROR(VLOOKUP(D646,Sheet1!$B$1:$C$45,2,0),"")</f>
        <v>TE</v>
      </c>
      <c r="F646" s="12" t="s">
        <v>108</v>
      </c>
      <c r="G646" s="13" t="str">
        <f t="shared" si="3"/>
        <v>Barito Raya</v>
      </c>
      <c r="H646" s="15" t="str">
        <f>IFERROR(VLOOKUP(A646,Sheet1!$E$3:$F$27,2,),"")</f>
        <v>Preventive</v>
      </c>
      <c r="I646" s="16" t="str">
        <f>IFERROR(VLOOKUP(A646,Sheet1!$E$3:$G$27,3,0),"")</f>
        <v>MCB trip/Power upnormal</v>
      </c>
      <c r="J646" s="12" t="s">
        <v>112</v>
      </c>
      <c r="K646" s="17">
        <v>46031.0</v>
      </c>
      <c r="L646" s="17">
        <v>46031.0</v>
      </c>
      <c r="M646" s="12" t="s">
        <v>109</v>
      </c>
      <c r="N646" s="23"/>
      <c r="O646" s="22"/>
      <c r="P646" s="22"/>
    </row>
    <row r="647" ht="22.5" customHeight="1">
      <c r="A647" s="12" t="s">
        <v>70</v>
      </c>
      <c r="B647" s="20" t="str">
        <f>IFERROR(VLOOKUP(A647,Sheet1!$E$3:$H$27,4,0),"")</f>
        <v>P3</v>
      </c>
      <c r="C647" s="15"/>
      <c r="D647" s="12" t="s">
        <v>74</v>
      </c>
      <c r="E647" s="13" t="str">
        <f>IFERROR(VLOOKUP(D647,Sheet1!$B$1:$C$45,2,0),"")</f>
        <v>TE</v>
      </c>
      <c r="F647" s="12" t="s">
        <v>108</v>
      </c>
      <c r="G647" s="13" t="str">
        <f t="shared" si="3"/>
        <v>Barito Raya</v>
      </c>
      <c r="H647" s="15" t="str">
        <f>IFERROR(VLOOKUP(A647,Sheet1!$E$3:$F$27,2,),"")</f>
        <v>Sick</v>
      </c>
      <c r="I647" s="16" t="str">
        <f>IFERROR(VLOOKUP(A647,Sheet1!$E$3:$G$27,3,0),"")</f>
        <v>Sick</v>
      </c>
      <c r="J647" s="20"/>
      <c r="K647" s="17">
        <v>46031.0</v>
      </c>
      <c r="L647" s="17">
        <v>46031.0</v>
      </c>
      <c r="M647" s="13"/>
      <c r="N647" s="23"/>
      <c r="O647" s="22"/>
      <c r="P647" s="22"/>
    </row>
    <row r="648" ht="22.5" customHeight="1">
      <c r="A648" s="12" t="s">
        <v>52</v>
      </c>
      <c r="B648" s="20" t="str">
        <f>IFERROR(VLOOKUP(A648,Sheet1!$E$3:$H$27,4,0),"")</f>
        <v>P1</v>
      </c>
      <c r="C648" s="14" t="s">
        <v>412</v>
      </c>
      <c r="D648" s="12" t="s">
        <v>60</v>
      </c>
      <c r="E648" s="13" t="str">
        <f>IFERROR(VLOOKUP(D648,Sheet1!$B$1:$C$45,2,0),"")</f>
        <v>TE</v>
      </c>
      <c r="F648" s="12" t="s">
        <v>108</v>
      </c>
      <c r="G648" s="13" t="str">
        <f t="shared" si="3"/>
        <v>Barito Raya</v>
      </c>
      <c r="H648" s="15" t="str">
        <f>IFERROR(VLOOKUP(A648,Sheet1!$E$3:$F$27,2,),"")</f>
        <v>Preventive</v>
      </c>
      <c r="I648" s="16" t="str">
        <f>IFERROR(VLOOKUP(A648,Sheet1!$E$3:$G$27,3,0),"")</f>
        <v>MCB trip/Power upnormal</v>
      </c>
      <c r="J648" s="12" t="s">
        <v>112</v>
      </c>
      <c r="K648" s="17">
        <v>46031.0</v>
      </c>
      <c r="L648" s="17">
        <v>46031.0</v>
      </c>
      <c r="M648" s="12" t="s">
        <v>109</v>
      </c>
      <c r="N648" s="23"/>
      <c r="O648" s="22"/>
      <c r="P648" s="22"/>
    </row>
    <row r="649" ht="22.5" customHeight="1">
      <c r="A649" s="12" t="s">
        <v>52</v>
      </c>
      <c r="B649" s="20" t="str">
        <f>IFERROR(VLOOKUP(A649,Sheet1!$E$3:$H$27,4,0),"")</f>
        <v>P1</v>
      </c>
      <c r="C649" s="14" t="s">
        <v>413</v>
      </c>
      <c r="D649" s="12" t="s">
        <v>62</v>
      </c>
      <c r="E649" s="13" t="str">
        <f>IFERROR(VLOOKUP(D649,Sheet1!$B$1:$C$45,2,0),"")</f>
        <v>TE</v>
      </c>
      <c r="F649" s="12" t="s">
        <v>108</v>
      </c>
      <c r="G649" s="13" t="str">
        <f t="shared" si="3"/>
        <v>Barito Raya</v>
      </c>
      <c r="H649" s="15" t="str">
        <f>IFERROR(VLOOKUP(A649,Sheet1!$E$3:$F$27,2,),"")</f>
        <v>Preventive</v>
      </c>
      <c r="I649" s="16" t="str">
        <f>IFERROR(VLOOKUP(A649,Sheet1!$E$3:$G$27,3,0),"")</f>
        <v>MCB trip/Power upnormal</v>
      </c>
      <c r="J649" s="12" t="s">
        <v>112</v>
      </c>
      <c r="K649" s="17">
        <v>46031.0</v>
      </c>
      <c r="L649" s="17">
        <v>46031.0</v>
      </c>
      <c r="M649" s="12" t="s">
        <v>109</v>
      </c>
      <c r="N649" s="23"/>
      <c r="O649" s="22"/>
      <c r="P649" s="22"/>
    </row>
    <row r="650" ht="22.5" customHeight="1">
      <c r="A650" s="12" t="s">
        <v>65</v>
      </c>
      <c r="B650" s="20" t="str">
        <f>IFERROR(VLOOKUP(A650,Sheet1!$E$3:$H$27,4,0),"")</f>
        <v>P3</v>
      </c>
      <c r="C650" s="15"/>
      <c r="D650" s="12" t="s">
        <v>4</v>
      </c>
      <c r="E650" s="13" t="str">
        <f>IFERROR(VLOOKUP(D650,Sheet1!$B$1:$C$45,2,0),"")</f>
        <v>CME</v>
      </c>
      <c r="F650" s="12" t="s">
        <v>108</v>
      </c>
      <c r="G650" s="13" t="str">
        <f t="shared" si="3"/>
        <v>Barito Raya</v>
      </c>
      <c r="H650" s="15" t="str">
        <f>IFERROR(VLOOKUP(A650,Sheet1!$E$3:$F$27,2,),"")</f>
        <v>Standby</v>
      </c>
      <c r="I650" s="16" t="str">
        <f>IFERROR(VLOOKUP(A650,Sheet1!$E$3:$G$27,3,0),"")</f>
        <v>Standby On Call</v>
      </c>
      <c r="J650" s="20"/>
      <c r="K650" s="17">
        <v>46031.0</v>
      </c>
      <c r="L650" s="17">
        <v>46031.0</v>
      </c>
      <c r="M650" s="13"/>
      <c r="N650" s="23"/>
      <c r="O650" s="22"/>
      <c r="P650" s="22"/>
    </row>
    <row r="651" ht="22.5" customHeight="1">
      <c r="A651" s="12" t="s">
        <v>52</v>
      </c>
      <c r="B651" s="20" t="str">
        <f>IFERROR(VLOOKUP(A651,Sheet1!$E$3:$H$27,4,0),"")</f>
        <v>P1</v>
      </c>
      <c r="C651" s="14" t="s">
        <v>323</v>
      </c>
      <c r="D651" s="12" t="s">
        <v>9</v>
      </c>
      <c r="E651" s="13" t="str">
        <f>IFERROR(VLOOKUP(D651,Sheet1!$B$1:$C$45,2,0),"")</f>
        <v>MBP</v>
      </c>
      <c r="F651" s="12" t="s">
        <v>108</v>
      </c>
      <c r="G651" s="13" t="str">
        <f t="shared" si="3"/>
        <v>Barito Raya</v>
      </c>
      <c r="H651" s="15" t="str">
        <f>IFERROR(VLOOKUP(A651,Sheet1!$E$3:$F$27,2,),"")</f>
        <v>Preventive</v>
      </c>
      <c r="I651" s="16" t="str">
        <f>IFERROR(VLOOKUP(A651,Sheet1!$E$3:$G$27,3,0),"")</f>
        <v>MCB trip/Power upnormal</v>
      </c>
      <c r="J651" s="12" t="s">
        <v>112</v>
      </c>
      <c r="K651" s="17">
        <v>46031.0</v>
      </c>
      <c r="L651" s="17">
        <v>46031.0</v>
      </c>
      <c r="M651" s="12" t="s">
        <v>109</v>
      </c>
      <c r="N651" s="23"/>
      <c r="O651" s="22"/>
      <c r="P651" s="22"/>
    </row>
    <row r="652" ht="22.5" customHeight="1">
      <c r="A652" s="12" t="s">
        <v>65</v>
      </c>
      <c r="B652" s="20" t="str">
        <f>IFERROR(VLOOKUP(A652,Sheet1!$E$3:$H$27,4,0),"")</f>
        <v>P3</v>
      </c>
      <c r="C652" s="15"/>
      <c r="D652" s="12" t="s">
        <v>87</v>
      </c>
      <c r="E652" s="13" t="str">
        <f>IFERROR(VLOOKUP(D652,Sheet1!$B$1:$C$45,2,0),"")</f>
        <v>MBP</v>
      </c>
      <c r="F652" s="12" t="s">
        <v>108</v>
      </c>
      <c r="G652" s="13" t="str">
        <f t="shared" si="3"/>
        <v>Barito Raya</v>
      </c>
      <c r="H652" s="15" t="str">
        <f>IFERROR(VLOOKUP(A652,Sheet1!$E$3:$F$27,2,),"")</f>
        <v>Standby</v>
      </c>
      <c r="I652" s="16" t="str">
        <f>IFERROR(VLOOKUP(A652,Sheet1!$E$3:$G$27,3,0),"")</f>
        <v>Standby On Call</v>
      </c>
      <c r="J652" s="20"/>
      <c r="K652" s="17">
        <v>46031.0</v>
      </c>
      <c r="L652" s="17">
        <v>46031.0</v>
      </c>
      <c r="M652" s="13"/>
      <c r="N652" s="23"/>
      <c r="O652" s="22"/>
      <c r="P652" s="22"/>
    </row>
    <row r="653" ht="22.5" customHeight="1">
      <c r="A653" s="12" t="s">
        <v>65</v>
      </c>
      <c r="B653" s="20" t="str">
        <f>IFERROR(VLOOKUP(A653,Sheet1!$E$3:$H$27,4,0),"")</f>
        <v>P3</v>
      </c>
      <c r="C653" s="15"/>
      <c r="D653" s="12" t="s">
        <v>29</v>
      </c>
      <c r="E653" s="13" t="str">
        <f>IFERROR(VLOOKUP(D653,Sheet1!$B$1:$C$45,2,0),"")</f>
        <v>MBP</v>
      </c>
      <c r="F653" s="12" t="s">
        <v>108</v>
      </c>
      <c r="G653" s="13" t="str">
        <f t="shared" si="3"/>
        <v>Barito Raya</v>
      </c>
      <c r="H653" s="15" t="str">
        <f>IFERROR(VLOOKUP(A653,Sheet1!$E$3:$F$27,2,),"")</f>
        <v>Standby</v>
      </c>
      <c r="I653" s="16" t="str">
        <f>IFERROR(VLOOKUP(A653,Sheet1!$E$3:$G$27,3,0),"")</f>
        <v>Standby On Call</v>
      </c>
      <c r="J653" s="20"/>
      <c r="K653" s="17">
        <v>46031.0</v>
      </c>
      <c r="L653" s="17">
        <v>46031.0</v>
      </c>
      <c r="M653" s="13"/>
      <c r="N653" s="23"/>
      <c r="O653" s="22"/>
      <c r="P653" s="22"/>
    </row>
    <row r="654" ht="22.5" customHeight="1">
      <c r="A654" s="12" t="s">
        <v>65</v>
      </c>
      <c r="B654" s="20" t="str">
        <f>IFERROR(VLOOKUP(A654,Sheet1!$E$3:$H$27,4,0),"")</f>
        <v>P3</v>
      </c>
      <c r="C654" s="15"/>
      <c r="D654" s="12" t="s">
        <v>2</v>
      </c>
      <c r="E654" s="13" t="str">
        <f>IFERROR(VLOOKUP(D654,Sheet1!$B$1:$C$45,2,0),"")</f>
        <v>CME</v>
      </c>
      <c r="F654" s="12" t="s">
        <v>108</v>
      </c>
      <c r="G654" s="13" t="str">
        <f t="shared" si="3"/>
        <v>Barito Raya</v>
      </c>
      <c r="H654" s="15" t="str">
        <f>IFERROR(VLOOKUP(A654,Sheet1!$E$3:$F$27,2,),"")</f>
        <v>Standby</v>
      </c>
      <c r="I654" s="16" t="str">
        <f>IFERROR(VLOOKUP(A654,Sheet1!$E$3:$G$27,3,0),"")</f>
        <v>Standby On Call</v>
      </c>
      <c r="J654" s="20"/>
      <c r="K654" s="17">
        <v>46031.0</v>
      </c>
      <c r="L654" s="17">
        <v>46031.0</v>
      </c>
      <c r="M654" s="13"/>
      <c r="N654" s="23"/>
      <c r="O654" s="22"/>
      <c r="P654" s="22"/>
    </row>
    <row r="655" ht="22.5" customHeight="1">
      <c r="A655" s="12" t="s">
        <v>52</v>
      </c>
      <c r="B655" s="20" t="str">
        <f>IFERROR(VLOOKUP(A655,Sheet1!$E$3:$H$27,4,0),"")</f>
        <v>P1</v>
      </c>
      <c r="C655" s="14" t="s">
        <v>206</v>
      </c>
      <c r="D655" s="12" t="s">
        <v>0</v>
      </c>
      <c r="E655" s="13" t="str">
        <f>IFERROR(VLOOKUP(D655,Sheet1!$B$1:$C$45,2,0),"")</f>
        <v>MBP</v>
      </c>
      <c r="F655" s="12" t="s">
        <v>108</v>
      </c>
      <c r="G655" s="13" t="str">
        <f t="shared" si="3"/>
        <v>Barito Raya</v>
      </c>
      <c r="H655" s="15" t="str">
        <f>IFERROR(VLOOKUP(A655,Sheet1!$E$3:$F$27,2,),"")</f>
        <v>Preventive</v>
      </c>
      <c r="I655" s="16" t="str">
        <f>IFERROR(VLOOKUP(A655,Sheet1!$E$3:$G$27,3,0),"")</f>
        <v>MCB trip/Power upnormal</v>
      </c>
      <c r="J655" s="12" t="s">
        <v>112</v>
      </c>
      <c r="K655" s="17">
        <v>46031.0</v>
      </c>
      <c r="L655" s="17">
        <v>46031.0</v>
      </c>
      <c r="M655" s="12" t="s">
        <v>109</v>
      </c>
      <c r="N655" s="23"/>
      <c r="O655" s="22"/>
      <c r="P655" s="22"/>
    </row>
    <row r="656" ht="22.5" customHeight="1">
      <c r="A656" s="12" t="s">
        <v>22</v>
      </c>
      <c r="B656" s="20" t="str">
        <f>IFERROR(VLOOKUP(A656,Sheet1!$E$3:$H$27,4,0),"")</f>
        <v>P2</v>
      </c>
      <c r="C656" s="15"/>
      <c r="D656" s="12" t="s">
        <v>85</v>
      </c>
      <c r="E656" s="13" t="str">
        <f>IFERROR(VLOOKUP(D656,Sheet1!$B$1:$C$45,2,0),"")</f>
        <v>PM</v>
      </c>
      <c r="F656" s="12" t="s">
        <v>108</v>
      </c>
      <c r="G656" s="13" t="str">
        <f t="shared" si="3"/>
        <v>Barito Raya</v>
      </c>
      <c r="H656" s="15" t="str">
        <f>IFERROR(VLOOKUP(A656,Sheet1!$E$3:$F$27,2,),"")</f>
        <v>Preventive</v>
      </c>
      <c r="I656" s="16" t="str">
        <f>IFERROR(VLOOKUP(A656,Sheet1!$E$3:$G$27,3,0),"")</f>
        <v>Preventive Maintenance</v>
      </c>
      <c r="J656" s="12" t="s">
        <v>112</v>
      </c>
      <c r="K656" s="17">
        <v>46031.0</v>
      </c>
      <c r="L656" s="17">
        <v>46031.0</v>
      </c>
      <c r="M656" s="12" t="s">
        <v>109</v>
      </c>
      <c r="N656" s="23"/>
      <c r="O656" s="22"/>
      <c r="P656" s="22"/>
    </row>
    <row r="657" ht="22.5" customHeight="1">
      <c r="A657" s="12" t="s">
        <v>22</v>
      </c>
      <c r="B657" s="20" t="str">
        <f>IFERROR(VLOOKUP(A657,Sheet1!$E$3:$H$27,4,0),"")</f>
        <v>P2</v>
      </c>
      <c r="C657" s="15"/>
      <c r="D657" s="12" t="s">
        <v>84</v>
      </c>
      <c r="E657" s="13" t="str">
        <f>IFERROR(VLOOKUP(D657,Sheet1!$B$1:$C$45,2,0),"")</f>
        <v>MBP</v>
      </c>
      <c r="F657" s="12" t="s">
        <v>108</v>
      </c>
      <c r="G657" s="13" t="str">
        <f t="shared" si="3"/>
        <v>Barito Raya</v>
      </c>
      <c r="H657" s="15" t="str">
        <f>IFERROR(VLOOKUP(A657,Sheet1!$E$3:$F$27,2,),"")</f>
        <v>Preventive</v>
      </c>
      <c r="I657" s="16" t="str">
        <f>IFERROR(VLOOKUP(A657,Sheet1!$E$3:$G$27,3,0),"")</f>
        <v>Preventive Maintenance</v>
      </c>
      <c r="J657" s="12" t="s">
        <v>112</v>
      </c>
      <c r="K657" s="17">
        <v>46031.0</v>
      </c>
      <c r="L657" s="17">
        <v>46031.0</v>
      </c>
      <c r="M657" s="12" t="s">
        <v>109</v>
      </c>
      <c r="N657" s="23"/>
      <c r="O657" s="22"/>
      <c r="P657" s="22"/>
    </row>
    <row r="658" ht="22.5" customHeight="1">
      <c r="A658" s="12" t="s">
        <v>22</v>
      </c>
      <c r="B658" s="20" t="str">
        <f>IFERROR(VLOOKUP(A658,Sheet1!$E$3:$H$27,4,0),"")</f>
        <v>P2</v>
      </c>
      <c r="C658" s="15"/>
      <c r="D658" s="12" t="s">
        <v>86</v>
      </c>
      <c r="E658" s="13" t="str">
        <f>IFERROR(VLOOKUP(D658,Sheet1!$B$1:$C$45,2,0),"")</f>
        <v>PM</v>
      </c>
      <c r="F658" s="12" t="s">
        <v>108</v>
      </c>
      <c r="G658" s="13" t="str">
        <f t="shared" si="3"/>
        <v>Barito Raya</v>
      </c>
      <c r="H658" s="15" t="str">
        <f>IFERROR(VLOOKUP(A658,Sheet1!$E$3:$F$27,2,),"")</f>
        <v>Preventive</v>
      </c>
      <c r="I658" s="16" t="str">
        <f>IFERROR(VLOOKUP(A658,Sheet1!$E$3:$G$27,3,0),"")</f>
        <v>Preventive Maintenance</v>
      </c>
      <c r="J658" s="12" t="s">
        <v>112</v>
      </c>
      <c r="K658" s="17">
        <v>46031.0</v>
      </c>
      <c r="L658" s="17">
        <v>46031.0</v>
      </c>
      <c r="M658" s="12" t="s">
        <v>109</v>
      </c>
      <c r="N658" s="23"/>
      <c r="O658" s="22"/>
      <c r="P658" s="22"/>
    </row>
    <row r="659" ht="22.5" customHeight="1">
      <c r="A659" s="12" t="s">
        <v>65</v>
      </c>
      <c r="B659" s="20" t="str">
        <f>IFERROR(VLOOKUP(A659,Sheet1!$E$3:$H$27,4,0),"")</f>
        <v>P3</v>
      </c>
      <c r="C659" s="14"/>
      <c r="D659" s="12" t="s">
        <v>76</v>
      </c>
      <c r="E659" s="13" t="str">
        <f>IFERROR(VLOOKUP(D659,Sheet1!$B$1:$C$45,2,0),"")</f>
        <v>TE</v>
      </c>
      <c r="F659" s="12" t="s">
        <v>179</v>
      </c>
      <c r="G659" s="13" t="str">
        <f t="shared" si="3"/>
        <v>Palangkaraya</v>
      </c>
      <c r="H659" s="15" t="str">
        <f>IFERROR(VLOOKUP(A659,Sheet1!$E$3:$F$27,2,),"")</f>
        <v>Standby</v>
      </c>
      <c r="I659" s="16" t="str">
        <f>IFERROR(VLOOKUP(A659,Sheet1!$E$3:$G$27,3,0),"")</f>
        <v>Standby On Call</v>
      </c>
      <c r="J659" s="12" t="s">
        <v>66</v>
      </c>
      <c r="K659" s="17">
        <v>46031.0</v>
      </c>
      <c r="L659" s="24"/>
      <c r="M659" s="12" t="s">
        <v>137</v>
      </c>
      <c r="N659" s="23"/>
      <c r="O659" s="22"/>
      <c r="P659" s="22"/>
    </row>
    <row r="660" ht="22.5" customHeight="1">
      <c r="A660" s="12" t="s">
        <v>65</v>
      </c>
      <c r="B660" s="20" t="str">
        <f>IFERROR(VLOOKUP(A660,Sheet1!$E$3:$H$27,4,0),"")</f>
        <v>P3</v>
      </c>
      <c r="C660" s="14"/>
      <c r="D660" s="12" t="s">
        <v>39</v>
      </c>
      <c r="E660" s="13" t="str">
        <f>IFERROR(VLOOKUP(D660,Sheet1!$B$1:$C$45,2,0),"")</f>
        <v>TE</v>
      </c>
      <c r="F660" s="12" t="s">
        <v>179</v>
      </c>
      <c r="G660" s="13" t="str">
        <f t="shared" si="3"/>
        <v>Palangkaraya</v>
      </c>
      <c r="H660" s="15" t="str">
        <f>IFERROR(VLOOKUP(A660,Sheet1!$E$3:$F$27,2,),"")</f>
        <v>Standby</v>
      </c>
      <c r="I660" s="16" t="str">
        <f>IFERROR(VLOOKUP(A660,Sheet1!$E$3:$G$27,3,0),"")</f>
        <v>Standby On Call</v>
      </c>
      <c r="J660" s="12" t="s">
        <v>66</v>
      </c>
      <c r="K660" s="17">
        <v>46031.0</v>
      </c>
      <c r="L660" s="24"/>
      <c r="M660" s="12" t="s">
        <v>137</v>
      </c>
      <c r="N660" s="23"/>
      <c r="O660" s="22"/>
      <c r="P660" s="22"/>
    </row>
    <row r="661" ht="22.5" customHeight="1">
      <c r="A661" s="12" t="s">
        <v>5</v>
      </c>
      <c r="B661" s="20" t="str">
        <f>IFERROR(VLOOKUP(A661,Sheet1!$E$3:$H$27,4,0),"")</f>
        <v>P1</v>
      </c>
      <c r="C661" s="14" t="s">
        <v>400</v>
      </c>
      <c r="D661" s="12" t="s">
        <v>80</v>
      </c>
      <c r="E661" s="13" t="str">
        <f>IFERROR(VLOOKUP(D661,Sheet1!$B$1:$C$45,2,0),"")</f>
        <v>TE</v>
      </c>
      <c r="F661" s="12" t="s">
        <v>179</v>
      </c>
      <c r="G661" s="13" t="str">
        <f t="shared" si="3"/>
        <v>Palangkaraya</v>
      </c>
      <c r="H661" s="15" t="str">
        <f>IFERROR(VLOOKUP(A661,Sheet1!$E$3:$F$27,2,),"")</f>
        <v>Corrective</v>
      </c>
      <c r="I661" s="16" t="str">
        <f>IFERROR(VLOOKUP(A661,Sheet1!$E$3:$G$27,3,0),"")</f>
        <v>Replace Optik,RRU/Soket Power/Replace GPS</v>
      </c>
      <c r="J661" s="12" t="s">
        <v>112</v>
      </c>
      <c r="K661" s="17">
        <v>46031.0</v>
      </c>
      <c r="L661" s="24"/>
      <c r="M661" s="12" t="s">
        <v>137</v>
      </c>
      <c r="N661" s="23"/>
      <c r="O661" s="22"/>
      <c r="P661" s="22"/>
    </row>
    <row r="662" ht="22.5" customHeight="1">
      <c r="A662" s="12" t="s">
        <v>5</v>
      </c>
      <c r="B662" s="20" t="str">
        <f>IFERROR(VLOOKUP(A662,Sheet1!$E$3:$H$27,4,0),"")</f>
        <v>P1</v>
      </c>
      <c r="C662" s="14" t="s">
        <v>198</v>
      </c>
      <c r="D662" s="12" t="s">
        <v>78</v>
      </c>
      <c r="E662" s="13" t="str">
        <f>IFERROR(VLOOKUP(D662,Sheet1!$B$1:$C$45,2,0),"")</f>
        <v>TE</v>
      </c>
      <c r="F662" s="12" t="s">
        <v>179</v>
      </c>
      <c r="G662" s="13" t="str">
        <f t="shared" si="3"/>
        <v>Palangkaraya</v>
      </c>
      <c r="H662" s="15" t="str">
        <f>IFERROR(VLOOKUP(A662,Sheet1!$E$3:$F$27,2,),"")</f>
        <v>Corrective</v>
      </c>
      <c r="I662" s="16" t="str">
        <f>IFERROR(VLOOKUP(A662,Sheet1!$E$3:$G$27,3,0),"")</f>
        <v>Replace Optik,RRU/Soket Power/Replace GPS</v>
      </c>
      <c r="J662" s="12" t="s">
        <v>112</v>
      </c>
      <c r="K662" s="17">
        <v>46031.0</v>
      </c>
      <c r="L662" s="24"/>
      <c r="M662" s="12" t="s">
        <v>137</v>
      </c>
      <c r="N662" s="23"/>
      <c r="O662" s="22"/>
      <c r="P662" s="22"/>
    </row>
    <row r="663" ht="22.5" customHeight="1">
      <c r="A663" s="12" t="s">
        <v>5</v>
      </c>
      <c r="B663" s="20" t="str">
        <f>IFERROR(VLOOKUP(A663,Sheet1!$E$3:$H$27,4,0),"")</f>
        <v>P1</v>
      </c>
      <c r="C663" s="14" t="s">
        <v>198</v>
      </c>
      <c r="D663" s="12" t="s">
        <v>77</v>
      </c>
      <c r="E663" s="13" t="str">
        <f>IFERROR(VLOOKUP(D663,Sheet1!$B$1:$C$45,2,0),"")</f>
        <v>TE</v>
      </c>
      <c r="F663" s="12" t="s">
        <v>179</v>
      </c>
      <c r="G663" s="13" t="str">
        <f t="shared" si="3"/>
        <v>Palangkaraya</v>
      </c>
      <c r="H663" s="15" t="str">
        <f>IFERROR(VLOOKUP(A663,Sheet1!$E$3:$F$27,2,),"")</f>
        <v>Corrective</v>
      </c>
      <c r="I663" s="16" t="str">
        <f>IFERROR(VLOOKUP(A663,Sheet1!$E$3:$G$27,3,0),"")</f>
        <v>Replace Optik,RRU/Soket Power/Replace GPS</v>
      </c>
      <c r="J663" s="12" t="s">
        <v>112</v>
      </c>
      <c r="K663" s="17">
        <v>46031.0</v>
      </c>
      <c r="L663" s="24"/>
      <c r="M663" s="12" t="s">
        <v>137</v>
      </c>
      <c r="N663" s="23"/>
      <c r="O663" s="22"/>
      <c r="P663" s="22"/>
    </row>
    <row r="664" ht="22.5" customHeight="1">
      <c r="A664" s="12" t="s">
        <v>5</v>
      </c>
      <c r="B664" s="20" t="str">
        <f>IFERROR(VLOOKUP(A664,Sheet1!$E$3:$H$27,4,0),"")</f>
        <v>P1</v>
      </c>
      <c r="C664" s="14" t="s">
        <v>401</v>
      </c>
      <c r="D664" s="12" t="s">
        <v>37</v>
      </c>
      <c r="E664" s="13" t="str">
        <f>IFERROR(VLOOKUP(D664,Sheet1!$B$1:$C$45,2,0),"")</f>
        <v>TE</v>
      </c>
      <c r="F664" s="12" t="s">
        <v>179</v>
      </c>
      <c r="G664" s="13" t="str">
        <f t="shared" si="3"/>
        <v>Palangkaraya</v>
      </c>
      <c r="H664" s="15" t="str">
        <f>IFERROR(VLOOKUP(A664,Sheet1!$E$3:$F$27,2,),"")</f>
        <v>Corrective</v>
      </c>
      <c r="I664" s="16" t="str">
        <f>IFERROR(VLOOKUP(A664,Sheet1!$E$3:$G$27,3,0),"")</f>
        <v>Replace Optik,RRU/Soket Power/Replace GPS</v>
      </c>
      <c r="J664" s="12" t="s">
        <v>112</v>
      </c>
      <c r="K664" s="17">
        <v>46031.0</v>
      </c>
      <c r="L664" s="24"/>
      <c r="M664" s="12" t="s">
        <v>137</v>
      </c>
      <c r="N664" s="23"/>
      <c r="O664" s="22"/>
      <c r="P664" s="22"/>
    </row>
    <row r="665" ht="22.5" customHeight="1">
      <c r="A665" s="12" t="s">
        <v>5</v>
      </c>
      <c r="B665" s="20" t="str">
        <f>IFERROR(VLOOKUP(A665,Sheet1!$E$3:$H$27,4,0),"")</f>
        <v>P1</v>
      </c>
      <c r="C665" s="14" t="s">
        <v>376</v>
      </c>
      <c r="D665" s="12" t="s">
        <v>51</v>
      </c>
      <c r="E665" s="13" t="str">
        <f>IFERROR(VLOOKUP(D665,Sheet1!$B$1:$C$45,2,0),"")</f>
        <v>TE</v>
      </c>
      <c r="F665" s="12" t="s">
        <v>179</v>
      </c>
      <c r="G665" s="13" t="str">
        <f t="shared" si="3"/>
        <v>Palangkaraya</v>
      </c>
      <c r="H665" s="15" t="str">
        <f>IFERROR(VLOOKUP(A665,Sheet1!$E$3:$F$27,2,),"")</f>
        <v>Corrective</v>
      </c>
      <c r="I665" s="16" t="str">
        <f>IFERROR(VLOOKUP(A665,Sheet1!$E$3:$G$27,3,0),"")</f>
        <v>Replace Optik,RRU/Soket Power/Replace GPS</v>
      </c>
      <c r="J665" s="12" t="s">
        <v>112</v>
      </c>
      <c r="K665" s="17">
        <v>46031.0</v>
      </c>
      <c r="L665" s="24"/>
      <c r="M665" s="12" t="s">
        <v>137</v>
      </c>
      <c r="N665" s="23"/>
      <c r="O665" s="22"/>
      <c r="P665" s="22"/>
    </row>
    <row r="666" ht="22.5" customHeight="1">
      <c r="A666" s="12" t="s">
        <v>5</v>
      </c>
      <c r="B666" s="20" t="str">
        <f>IFERROR(VLOOKUP(A666,Sheet1!$E$3:$H$27,4,0),"")</f>
        <v>P1</v>
      </c>
      <c r="C666" s="14" t="s">
        <v>376</v>
      </c>
      <c r="D666" s="12" t="s">
        <v>79</v>
      </c>
      <c r="E666" s="13" t="str">
        <f>IFERROR(VLOOKUP(D666,Sheet1!$B$1:$C$45,2,0),"")</f>
        <v>TE</v>
      </c>
      <c r="F666" s="12" t="s">
        <v>179</v>
      </c>
      <c r="G666" s="13" t="str">
        <f t="shared" si="3"/>
        <v>Palangkaraya</v>
      </c>
      <c r="H666" s="15" t="str">
        <f>IFERROR(VLOOKUP(A666,Sheet1!$E$3:$F$27,2,),"")</f>
        <v>Corrective</v>
      </c>
      <c r="I666" s="16" t="str">
        <f>IFERROR(VLOOKUP(A666,Sheet1!$E$3:$G$27,3,0),"")</f>
        <v>Replace Optik,RRU/Soket Power/Replace GPS</v>
      </c>
      <c r="J666" s="12" t="s">
        <v>112</v>
      </c>
      <c r="K666" s="17">
        <v>46031.0</v>
      </c>
      <c r="L666" s="24"/>
      <c r="M666" s="12" t="s">
        <v>137</v>
      </c>
      <c r="N666" s="23"/>
      <c r="O666" s="22"/>
      <c r="P666" s="22"/>
    </row>
    <row r="667" ht="22.5" customHeight="1">
      <c r="A667" s="12" t="s">
        <v>5</v>
      </c>
      <c r="B667" s="20" t="str">
        <f>IFERROR(VLOOKUP(A667,Sheet1!$E$3:$H$27,4,0),"")</f>
        <v>P1</v>
      </c>
      <c r="C667" s="14" t="s">
        <v>414</v>
      </c>
      <c r="D667" s="12" t="s">
        <v>71</v>
      </c>
      <c r="E667" s="13" t="str">
        <f>IFERROR(VLOOKUP(D667,Sheet1!$B$1:$C$45,2,0),"")</f>
        <v>TE</v>
      </c>
      <c r="F667" s="12" t="s">
        <v>179</v>
      </c>
      <c r="G667" s="13" t="str">
        <f t="shared" si="3"/>
        <v>Palangkaraya</v>
      </c>
      <c r="H667" s="15" t="str">
        <f>IFERROR(VLOOKUP(A667,Sheet1!$E$3:$F$27,2,),"")</f>
        <v>Corrective</v>
      </c>
      <c r="I667" s="16" t="str">
        <f>IFERROR(VLOOKUP(A667,Sheet1!$E$3:$G$27,3,0),"")</f>
        <v>Replace Optik,RRU/Soket Power/Replace GPS</v>
      </c>
      <c r="J667" s="12" t="s">
        <v>112</v>
      </c>
      <c r="K667" s="17">
        <v>46031.0</v>
      </c>
      <c r="L667" s="24"/>
      <c r="M667" s="12" t="s">
        <v>137</v>
      </c>
      <c r="N667" s="23"/>
      <c r="O667" s="22"/>
      <c r="P667" s="22"/>
    </row>
    <row r="668" ht="22.5" customHeight="1">
      <c r="A668" s="12" t="s">
        <v>5</v>
      </c>
      <c r="B668" s="20" t="str">
        <f>IFERROR(VLOOKUP(A668,Sheet1!$E$3:$H$27,4,0),"")</f>
        <v>P1</v>
      </c>
      <c r="C668" s="14" t="s">
        <v>414</v>
      </c>
      <c r="D668" s="12" t="s">
        <v>69</v>
      </c>
      <c r="E668" s="13" t="str">
        <f>IFERROR(VLOOKUP(D668,Sheet1!$B$1:$C$45,2,0),"")</f>
        <v>TE</v>
      </c>
      <c r="F668" s="12" t="s">
        <v>179</v>
      </c>
      <c r="G668" s="13" t="str">
        <f t="shared" si="3"/>
        <v>Palangkaraya</v>
      </c>
      <c r="H668" s="15" t="str">
        <f>IFERROR(VLOOKUP(A668,Sheet1!$E$3:$F$27,2,),"")</f>
        <v>Corrective</v>
      </c>
      <c r="I668" s="16" t="str">
        <f>IFERROR(VLOOKUP(A668,Sheet1!$E$3:$G$27,3,0),"")</f>
        <v>Replace Optik,RRU/Soket Power/Replace GPS</v>
      </c>
      <c r="J668" s="12" t="s">
        <v>112</v>
      </c>
      <c r="K668" s="17">
        <v>46031.0</v>
      </c>
      <c r="L668" s="24"/>
      <c r="M668" s="12" t="s">
        <v>137</v>
      </c>
      <c r="N668" s="23"/>
      <c r="O668" s="22"/>
      <c r="P668" s="22"/>
    </row>
    <row r="669" ht="22.5" customHeight="1">
      <c r="A669" s="12" t="s">
        <v>5</v>
      </c>
      <c r="B669" s="20" t="str">
        <f>IFERROR(VLOOKUP(A669,Sheet1!$E$3:$H$27,4,0),"")</f>
        <v>P1</v>
      </c>
      <c r="C669" s="14" t="s">
        <v>415</v>
      </c>
      <c r="D669" s="12" t="s">
        <v>91</v>
      </c>
      <c r="E669" s="13" t="str">
        <f>IFERROR(VLOOKUP(D669,Sheet1!$B$1:$C$45,2,0),"")</f>
        <v>TE</v>
      </c>
      <c r="F669" s="12" t="s">
        <v>179</v>
      </c>
      <c r="G669" s="13" t="str">
        <f t="shared" si="3"/>
        <v>Palangkaraya</v>
      </c>
      <c r="H669" s="15" t="str">
        <f>IFERROR(VLOOKUP(A669,Sheet1!$E$3:$F$27,2,),"")</f>
        <v>Corrective</v>
      </c>
      <c r="I669" s="16" t="str">
        <f>IFERROR(VLOOKUP(A669,Sheet1!$E$3:$G$27,3,0),"")</f>
        <v>Replace Optik,RRU/Soket Power/Replace GPS</v>
      </c>
      <c r="J669" s="12" t="s">
        <v>112</v>
      </c>
      <c r="K669" s="17">
        <v>46031.0</v>
      </c>
      <c r="L669" s="24"/>
      <c r="M669" s="12" t="s">
        <v>137</v>
      </c>
      <c r="N669" s="23"/>
      <c r="O669" s="22"/>
      <c r="P669" s="22"/>
    </row>
    <row r="670" ht="22.5" customHeight="1">
      <c r="A670" s="12" t="s">
        <v>33</v>
      </c>
      <c r="B670" s="20" t="str">
        <f>IFERROR(VLOOKUP(A670,Sheet1!$E$3:$H$27,4,0),"")</f>
        <v>P2</v>
      </c>
      <c r="C670" s="14" t="s">
        <v>215</v>
      </c>
      <c r="D670" s="12" t="s">
        <v>58</v>
      </c>
      <c r="E670" s="13" t="str">
        <f>IFERROR(VLOOKUP(D670,Sheet1!$B$1:$C$45,2,0),"")</f>
        <v>TE</v>
      </c>
      <c r="F670" s="12" t="s">
        <v>179</v>
      </c>
      <c r="G670" s="13" t="str">
        <f t="shared" si="3"/>
        <v>Palangkaraya</v>
      </c>
      <c r="H670" s="15" t="str">
        <f>IFERROR(VLOOKUP(A670,Sheet1!$E$3:$F$27,2,),"")</f>
        <v>Preventive</v>
      </c>
      <c r="I670" s="16" t="str">
        <f>IFERROR(VLOOKUP(A670,Sheet1!$E$3:$G$27,3,0),"")</f>
        <v>Pengukuran dan pengambilan data log serta input Gdoc BBT</v>
      </c>
      <c r="J670" s="12" t="s">
        <v>112</v>
      </c>
      <c r="K670" s="17">
        <v>46031.0</v>
      </c>
      <c r="L670" s="24"/>
      <c r="M670" s="12" t="s">
        <v>137</v>
      </c>
      <c r="N670" s="23"/>
      <c r="O670" s="22"/>
      <c r="P670" s="22"/>
    </row>
    <row r="671" ht="22.5" customHeight="1">
      <c r="A671" s="12" t="s">
        <v>72</v>
      </c>
      <c r="B671" s="20" t="str">
        <f>IFERROR(VLOOKUP(A671,Sheet1!$E$3:$H$27,4,0),"")</f>
        <v>P1</v>
      </c>
      <c r="C671" s="14" t="s">
        <v>217</v>
      </c>
      <c r="D671" s="12" t="s">
        <v>56</v>
      </c>
      <c r="E671" s="13" t="str">
        <f>IFERROR(VLOOKUP(D671,Sheet1!$B$1:$C$45,2,0),"")</f>
        <v>TE</v>
      </c>
      <c r="F671" s="12" t="s">
        <v>179</v>
      </c>
      <c r="G671" s="13" t="str">
        <f t="shared" si="3"/>
        <v>Palangkaraya</v>
      </c>
      <c r="H671" s="15" t="str">
        <f>IFERROR(VLOOKUP(A671,Sheet1!$E$3:$F$27,2,),"")</f>
        <v>Corrective</v>
      </c>
      <c r="I671" s="16" t="str">
        <f>IFERROR(VLOOKUP(A671,Sheet1!$E$3:$G$27,3,0),"")</f>
        <v>Perbaikan Auto,pergantian relay,timer, yang berhubungan genset</v>
      </c>
      <c r="J671" s="12" t="s">
        <v>112</v>
      </c>
      <c r="K671" s="17">
        <v>46031.0</v>
      </c>
      <c r="L671" s="24"/>
      <c r="M671" s="12" t="s">
        <v>137</v>
      </c>
      <c r="N671" s="23"/>
      <c r="O671" s="22"/>
      <c r="P671" s="22"/>
    </row>
    <row r="672" ht="22.5" customHeight="1">
      <c r="A672" s="12" t="s">
        <v>65</v>
      </c>
      <c r="B672" s="20" t="str">
        <f>IFERROR(VLOOKUP(A672,Sheet1!$E$3:$H$27,4,0),"")</f>
        <v>P3</v>
      </c>
      <c r="C672" s="14" t="s">
        <v>416</v>
      </c>
      <c r="D672" s="12" t="s">
        <v>83</v>
      </c>
      <c r="E672" s="13" t="str">
        <f>IFERROR(VLOOKUP(D672,Sheet1!$B$1:$C$45,2,0),"")</f>
        <v>PM</v>
      </c>
      <c r="F672" s="12" t="s">
        <v>179</v>
      </c>
      <c r="G672" s="13" t="str">
        <f t="shared" si="3"/>
        <v>Palangkaraya</v>
      </c>
      <c r="H672" s="15" t="str">
        <f>IFERROR(VLOOKUP(A672,Sheet1!$E$3:$F$27,2,),"")</f>
        <v>Standby</v>
      </c>
      <c r="I672" s="16" t="str">
        <f>IFERROR(VLOOKUP(A672,Sheet1!$E$3:$G$27,3,0),"")</f>
        <v>Standby On Call</v>
      </c>
      <c r="J672" s="12" t="s">
        <v>112</v>
      </c>
      <c r="K672" s="17">
        <v>46031.0</v>
      </c>
      <c r="L672" s="24"/>
      <c r="M672" s="12" t="s">
        <v>137</v>
      </c>
      <c r="N672" s="23"/>
      <c r="O672" s="22"/>
      <c r="P672" s="22"/>
    </row>
    <row r="673" ht="22.5" customHeight="1">
      <c r="A673" s="12" t="s">
        <v>65</v>
      </c>
      <c r="B673" s="20" t="str">
        <f>IFERROR(VLOOKUP(A673,Sheet1!$E$3:$H$27,4,0),"")</f>
        <v>P3</v>
      </c>
      <c r="C673" s="14" t="s">
        <v>204</v>
      </c>
      <c r="D673" s="12" t="s">
        <v>82</v>
      </c>
      <c r="E673" s="13" t="str">
        <f>IFERROR(VLOOKUP(D673,Sheet1!$B$1:$C$45,2,0),"")</f>
        <v>PM</v>
      </c>
      <c r="F673" s="12" t="s">
        <v>179</v>
      </c>
      <c r="G673" s="13" t="str">
        <f t="shared" si="3"/>
        <v>Palangkaraya</v>
      </c>
      <c r="H673" s="15" t="str">
        <f>IFERROR(VLOOKUP(A673,Sheet1!$E$3:$F$27,2,),"")</f>
        <v>Standby</v>
      </c>
      <c r="I673" s="16" t="str">
        <f>IFERROR(VLOOKUP(A673,Sheet1!$E$3:$G$27,3,0),"")</f>
        <v>Standby On Call</v>
      </c>
      <c r="J673" s="12" t="s">
        <v>112</v>
      </c>
      <c r="K673" s="17">
        <v>46031.0</v>
      </c>
      <c r="L673" s="24"/>
      <c r="M673" s="12" t="s">
        <v>137</v>
      </c>
      <c r="N673" s="23"/>
      <c r="O673" s="22"/>
      <c r="P673" s="22"/>
    </row>
    <row r="674" ht="22.5" customHeight="1">
      <c r="A674" s="12" t="s">
        <v>65</v>
      </c>
      <c r="B674" s="20" t="str">
        <f>IFERROR(VLOOKUP(A674,Sheet1!$E$3:$H$27,4,0),"")</f>
        <v>P3</v>
      </c>
      <c r="C674" s="15"/>
      <c r="D674" s="12" t="s">
        <v>75</v>
      </c>
      <c r="E674" s="13" t="str">
        <f>IFERROR(VLOOKUP(D674,Sheet1!$B$1:$C$45,2,0),"")</f>
        <v>CME</v>
      </c>
      <c r="F674" s="12" t="s">
        <v>179</v>
      </c>
      <c r="G674" s="13" t="str">
        <f t="shared" si="3"/>
        <v>Palangkaraya</v>
      </c>
      <c r="H674" s="15" t="str">
        <f>IFERROR(VLOOKUP(A674,Sheet1!$E$3:$F$27,2,),"")</f>
        <v>Standby</v>
      </c>
      <c r="I674" s="16" t="str">
        <f>IFERROR(VLOOKUP(A674,Sheet1!$E$3:$G$27,3,0),"")</f>
        <v>Standby On Call</v>
      </c>
      <c r="J674" s="12" t="s">
        <v>66</v>
      </c>
      <c r="K674" s="17">
        <v>46031.0</v>
      </c>
      <c r="L674" s="24"/>
      <c r="M674" s="12" t="s">
        <v>137</v>
      </c>
      <c r="N674" s="23"/>
      <c r="O674" s="22"/>
      <c r="P674" s="22"/>
    </row>
    <row r="675" ht="22.5" customHeight="1">
      <c r="A675" s="12" t="s">
        <v>65</v>
      </c>
      <c r="B675" s="20" t="str">
        <f>IFERROR(VLOOKUP(A675,Sheet1!$E$3:$H$27,4,0),"")</f>
        <v>P3</v>
      </c>
      <c r="C675" s="15"/>
      <c r="D675" s="12" t="s">
        <v>35</v>
      </c>
      <c r="E675" s="13" t="str">
        <f>IFERROR(VLOOKUP(D675,Sheet1!$B$1:$C$45,2,0),"")</f>
        <v>MBP</v>
      </c>
      <c r="F675" s="12" t="s">
        <v>179</v>
      </c>
      <c r="G675" s="13" t="str">
        <f t="shared" si="3"/>
        <v>Palangkaraya</v>
      </c>
      <c r="H675" s="15" t="str">
        <f>IFERROR(VLOOKUP(A675,Sheet1!$E$3:$F$27,2,),"")</f>
        <v>Standby</v>
      </c>
      <c r="I675" s="16" t="str">
        <f>IFERROR(VLOOKUP(A675,Sheet1!$E$3:$G$27,3,0),"")</f>
        <v>Standby On Call</v>
      </c>
      <c r="J675" s="12" t="s">
        <v>66</v>
      </c>
      <c r="K675" s="17">
        <v>46031.0</v>
      </c>
      <c r="L675" s="24"/>
      <c r="M675" s="12" t="s">
        <v>137</v>
      </c>
      <c r="N675" s="23"/>
      <c r="O675" s="22"/>
      <c r="P675" s="22"/>
    </row>
    <row r="676" ht="22.5" customHeight="1">
      <c r="A676" s="12" t="s">
        <v>65</v>
      </c>
      <c r="B676" s="20" t="str">
        <f>IFERROR(VLOOKUP(A676,Sheet1!$E$3:$H$27,4,0),"")</f>
        <v>P3</v>
      </c>
      <c r="C676" s="15"/>
      <c r="D676" s="12" t="s">
        <v>45</v>
      </c>
      <c r="E676" s="13" t="str">
        <f>IFERROR(VLOOKUP(D676,Sheet1!$B$1:$C$45,2,0),"")</f>
        <v>MBP</v>
      </c>
      <c r="F676" s="12" t="s">
        <v>179</v>
      </c>
      <c r="G676" s="13" t="str">
        <f t="shared" si="3"/>
        <v>Palangkaraya</v>
      </c>
      <c r="H676" s="15" t="str">
        <f>IFERROR(VLOOKUP(A676,Sheet1!$E$3:$F$27,2,),"")</f>
        <v>Standby</v>
      </c>
      <c r="I676" s="16" t="str">
        <f>IFERROR(VLOOKUP(A676,Sheet1!$E$3:$G$27,3,0),"")</f>
        <v>Standby On Call</v>
      </c>
      <c r="J676" s="12" t="s">
        <v>66</v>
      </c>
      <c r="K676" s="17">
        <v>46031.0</v>
      </c>
      <c r="L676" s="24"/>
      <c r="M676" s="12" t="s">
        <v>137</v>
      </c>
      <c r="N676" s="23"/>
      <c r="O676" s="22"/>
      <c r="P676" s="22"/>
    </row>
    <row r="677" ht="22.5" customHeight="1">
      <c r="A677" s="12" t="s">
        <v>65</v>
      </c>
      <c r="B677" s="20" t="str">
        <f>IFERROR(VLOOKUP(A677,Sheet1!$E$3:$H$27,4,0),"")</f>
        <v>P3</v>
      </c>
      <c r="C677" s="15"/>
      <c r="D677" s="12" t="s">
        <v>48</v>
      </c>
      <c r="E677" s="13" t="str">
        <f>IFERROR(VLOOKUP(D677,Sheet1!$B$1:$C$45,2,0),"")</f>
        <v>MBP</v>
      </c>
      <c r="F677" s="12" t="s">
        <v>179</v>
      </c>
      <c r="G677" s="13" t="str">
        <f t="shared" si="3"/>
        <v>Palangkaraya</v>
      </c>
      <c r="H677" s="15" t="str">
        <f>IFERROR(VLOOKUP(A677,Sheet1!$E$3:$F$27,2,),"")</f>
        <v>Standby</v>
      </c>
      <c r="I677" s="16" t="str">
        <f>IFERROR(VLOOKUP(A677,Sheet1!$E$3:$G$27,3,0),"")</f>
        <v>Standby On Call</v>
      </c>
      <c r="J677" s="12" t="s">
        <v>66</v>
      </c>
      <c r="K677" s="17">
        <v>46031.0</v>
      </c>
      <c r="L677" s="24"/>
      <c r="M677" s="12" t="s">
        <v>137</v>
      </c>
      <c r="N677" s="23"/>
      <c r="O677" s="22"/>
      <c r="P677" s="22"/>
    </row>
    <row r="678" ht="22.5" customHeight="1">
      <c r="A678" s="12" t="s">
        <v>65</v>
      </c>
      <c r="B678" s="20" t="str">
        <f>IFERROR(VLOOKUP(A678,Sheet1!$E$3:$H$27,4,0),"")</f>
        <v>P3</v>
      </c>
      <c r="C678" s="15"/>
      <c r="D678" s="12" t="s">
        <v>54</v>
      </c>
      <c r="E678" s="13" t="str">
        <f>IFERROR(VLOOKUP(D678,Sheet1!$B$1:$C$45,2,0),"")</f>
        <v>MBP</v>
      </c>
      <c r="F678" s="12" t="s">
        <v>179</v>
      </c>
      <c r="G678" s="13" t="str">
        <f t="shared" si="3"/>
        <v>Palangkaraya</v>
      </c>
      <c r="H678" s="15" t="str">
        <f>IFERROR(VLOOKUP(A678,Sheet1!$E$3:$F$27,2,),"")</f>
        <v>Standby</v>
      </c>
      <c r="I678" s="16" t="str">
        <f>IFERROR(VLOOKUP(A678,Sheet1!$E$3:$G$27,3,0),"")</f>
        <v>Standby On Call</v>
      </c>
      <c r="J678" s="12" t="s">
        <v>66</v>
      </c>
      <c r="K678" s="17">
        <v>46031.0</v>
      </c>
      <c r="L678" s="24"/>
      <c r="M678" s="12" t="s">
        <v>137</v>
      </c>
      <c r="N678" s="23"/>
      <c r="O678" s="22"/>
      <c r="P678" s="22"/>
    </row>
    <row r="679" ht="22.5" customHeight="1">
      <c r="A679" s="12" t="s">
        <v>65</v>
      </c>
      <c r="B679" s="20" t="str">
        <f>IFERROR(VLOOKUP(A679,Sheet1!$E$3:$H$27,4,0),"")</f>
        <v>P3</v>
      </c>
      <c r="C679" s="15"/>
      <c r="D679" s="12" t="s">
        <v>12</v>
      </c>
      <c r="E679" s="13" t="str">
        <f>IFERROR(VLOOKUP(D679,Sheet1!$B$1:$C$45,2,0),"")</f>
        <v>TE</v>
      </c>
      <c r="F679" s="12" t="s">
        <v>108</v>
      </c>
      <c r="G679" s="13" t="str">
        <f t="shared" si="3"/>
        <v>Barito Raya</v>
      </c>
      <c r="H679" s="15" t="str">
        <f>IFERROR(VLOOKUP(A679,Sheet1!$E$3:$F$27,2,),"")</f>
        <v>Standby</v>
      </c>
      <c r="I679" s="16" t="str">
        <f>IFERROR(VLOOKUP(A679,Sheet1!$E$3:$G$27,3,0),"")</f>
        <v>Standby On Call</v>
      </c>
      <c r="J679" s="20"/>
      <c r="K679" s="17">
        <v>46034.0</v>
      </c>
      <c r="L679" s="17">
        <v>46034.0</v>
      </c>
      <c r="M679" s="13"/>
      <c r="N679" s="23"/>
      <c r="O679" s="22"/>
      <c r="P679" s="22"/>
    </row>
    <row r="680" ht="22.5" customHeight="1">
      <c r="A680" s="12" t="s">
        <v>5</v>
      </c>
      <c r="B680" s="20" t="str">
        <f>IFERROR(VLOOKUP(A680,Sheet1!$E$3:$H$27,4,0),"")</f>
        <v>P1</v>
      </c>
      <c r="C680" s="14" t="s">
        <v>336</v>
      </c>
      <c r="D680" s="12" t="s">
        <v>16</v>
      </c>
      <c r="E680" s="13" t="str">
        <f>IFERROR(VLOOKUP(D680,Sheet1!$B$1:$C$45,2,0),"")</f>
        <v>TE</v>
      </c>
      <c r="F680" s="12" t="s">
        <v>108</v>
      </c>
      <c r="G680" s="13" t="str">
        <f t="shared" si="3"/>
        <v>Barito Raya</v>
      </c>
      <c r="H680" s="15" t="str">
        <f>IFERROR(VLOOKUP(A680,Sheet1!$E$3:$F$27,2,),"")</f>
        <v>Corrective</v>
      </c>
      <c r="I680" s="16" t="str">
        <f>IFERROR(VLOOKUP(A680,Sheet1!$E$3:$G$27,3,0),"")</f>
        <v>Replace Optik,RRU/Soket Power/Replace GPS</v>
      </c>
      <c r="J680" s="12" t="s">
        <v>112</v>
      </c>
      <c r="K680" s="17">
        <v>46034.0</v>
      </c>
      <c r="L680" s="17">
        <v>46034.0</v>
      </c>
      <c r="M680" s="12" t="s">
        <v>122</v>
      </c>
      <c r="N680" s="18" t="s">
        <v>417</v>
      </c>
      <c r="O680" s="19"/>
      <c r="P680" s="19"/>
    </row>
    <row r="681" ht="22.5" customHeight="1">
      <c r="A681" s="12" t="s">
        <v>5</v>
      </c>
      <c r="B681" s="20" t="str">
        <f>IFERROR(VLOOKUP(A681,Sheet1!$E$3:$H$27,4,0),"")</f>
        <v>P1</v>
      </c>
      <c r="C681" s="14" t="s">
        <v>336</v>
      </c>
      <c r="D681" s="12" t="s">
        <v>21</v>
      </c>
      <c r="E681" s="13" t="str">
        <f>IFERROR(VLOOKUP(D681,Sheet1!$B$1:$C$45,2,0),"")</f>
        <v>TE</v>
      </c>
      <c r="F681" s="12" t="s">
        <v>108</v>
      </c>
      <c r="G681" s="13" t="str">
        <f t="shared" si="3"/>
        <v>Barito Raya</v>
      </c>
      <c r="H681" s="15" t="str">
        <f>IFERROR(VLOOKUP(A681,Sheet1!$E$3:$F$27,2,),"")</f>
        <v>Corrective</v>
      </c>
      <c r="I681" s="16" t="str">
        <f>IFERROR(VLOOKUP(A681,Sheet1!$E$3:$G$27,3,0),"")</f>
        <v>Replace Optik,RRU/Soket Power/Replace GPS</v>
      </c>
      <c r="J681" s="12" t="s">
        <v>112</v>
      </c>
      <c r="K681" s="17">
        <v>46034.0</v>
      </c>
      <c r="L681" s="17">
        <v>46034.0</v>
      </c>
      <c r="M681" s="12" t="s">
        <v>122</v>
      </c>
      <c r="N681" s="18" t="s">
        <v>417</v>
      </c>
      <c r="O681" s="19"/>
      <c r="P681" s="19"/>
    </row>
    <row r="682" ht="22.5" customHeight="1">
      <c r="A682" s="12" t="s">
        <v>52</v>
      </c>
      <c r="B682" s="20" t="str">
        <f>IFERROR(VLOOKUP(A682,Sheet1!$E$3:$H$27,4,0),"")</f>
        <v>P1</v>
      </c>
      <c r="C682" s="14" t="s">
        <v>396</v>
      </c>
      <c r="D682" s="12" t="s">
        <v>26</v>
      </c>
      <c r="E682" s="13" t="str">
        <f>IFERROR(VLOOKUP(D682,Sheet1!$B$1:$C$45,2,0),"")</f>
        <v>TE</v>
      </c>
      <c r="F682" s="12" t="s">
        <v>108</v>
      </c>
      <c r="G682" s="13" t="str">
        <f t="shared" si="3"/>
        <v>Barito Raya</v>
      </c>
      <c r="H682" s="15" t="str">
        <f>IFERROR(VLOOKUP(A682,Sheet1!$E$3:$F$27,2,),"")</f>
        <v>Preventive</v>
      </c>
      <c r="I682" s="16" t="str">
        <f>IFERROR(VLOOKUP(A682,Sheet1!$E$3:$G$27,3,0),"")</f>
        <v>MCB trip/Power upnormal</v>
      </c>
      <c r="J682" s="12" t="s">
        <v>112</v>
      </c>
      <c r="K682" s="17">
        <v>46034.0</v>
      </c>
      <c r="L682" s="17">
        <v>46034.0</v>
      </c>
      <c r="M682" s="12" t="s">
        <v>109</v>
      </c>
      <c r="N682" s="23"/>
      <c r="O682" s="22"/>
      <c r="P682" s="22"/>
    </row>
    <row r="683" ht="22.5" customHeight="1">
      <c r="A683" s="12" t="s">
        <v>52</v>
      </c>
      <c r="B683" s="20" t="str">
        <f>IFERROR(VLOOKUP(A683,Sheet1!$E$3:$H$27,4,0),"")</f>
        <v>P1</v>
      </c>
      <c r="C683" s="14" t="s">
        <v>396</v>
      </c>
      <c r="D683" s="12" t="s">
        <v>88</v>
      </c>
      <c r="E683" s="13" t="str">
        <f>IFERROR(VLOOKUP(D683,Sheet1!$B$1:$C$45,2,0),"")</f>
        <v>TE</v>
      </c>
      <c r="F683" s="12" t="s">
        <v>108</v>
      </c>
      <c r="G683" s="13" t="str">
        <f t="shared" si="3"/>
        <v>Barito Raya</v>
      </c>
      <c r="H683" s="15" t="str">
        <f>IFERROR(VLOOKUP(A683,Sheet1!$E$3:$F$27,2,),"")</f>
        <v>Preventive</v>
      </c>
      <c r="I683" s="16" t="str">
        <f>IFERROR(VLOOKUP(A683,Sheet1!$E$3:$G$27,3,0),"")</f>
        <v>MCB trip/Power upnormal</v>
      </c>
      <c r="J683" s="12" t="s">
        <v>112</v>
      </c>
      <c r="K683" s="17">
        <v>46034.0</v>
      </c>
      <c r="L683" s="17">
        <v>46034.0</v>
      </c>
      <c r="M683" s="12" t="s">
        <v>109</v>
      </c>
      <c r="N683" s="23"/>
      <c r="O683" s="22"/>
      <c r="P683" s="22"/>
    </row>
    <row r="684" ht="22.5" customHeight="1">
      <c r="A684" s="12" t="s">
        <v>52</v>
      </c>
      <c r="B684" s="20" t="str">
        <f>IFERROR(VLOOKUP(A684,Sheet1!$E$3:$H$27,4,0),"")</f>
        <v>P1</v>
      </c>
      <c r="C684" s="14" t="s">
        <v>289</v>
      </c>
      <c r="D684" s="12" t="s">
        <v>32</v>
      </c>
      <c r="E684" s="13" t="str">
        <f>IFERROR(VLOOKUP(D684,Sheet1!$B$1:$C$45,2,0),"")</f>
        <v>TE</v>
      </c>
      <c r="F684" s="12" t="s">
        <v>108</v>
      </c>
      <c r="G684" s="13" t="str">
        <f t="shared" si="3"/>
        <v>Barito Raya</v>
      </c>
      <c r="H684" s="15" t="str">
        <f>IFERROR(VLOOKUP(A684,Sheet1!$E$3:$F$27,2,),"")</f>
        <v>Preventive</v>
      </c>
      <c r="I684" s="16" t="str">
        <f>IFERROR(VLOOKUP(A684,Sheet1!$E$3:$G$27,3,0),"")</f>
        <v>MCB trip/Power upnormal</v>
      </c>
      <c r="J684" s="12" t="s">
        <v>112</v>
      </c>
      <c r="K684" s="17">
        <v>46034.0</v>
      </c>
      <c r="L684" s="17">
        <v>46034.0</v>
      </c>
      <c r="M684" s="12" t="s">
        <v>109</v>
      </c>
      <c r="N684" s="23"/>
      <c r="O684" s="22"/>
      <c r="P684" s="22"/>
    </row>
    <row r="685" ht="22.5" customHeight="1">
      <c r="A685" s="12" t="s">
        <v>70</v>
      </c>
      <c r="B685" s="20" t="str">
        <f>IFERROR(VLOOKUP(A685,Sheet1!$E$3:$H$27,4,0),"")</f>
        <v>P3</v>
      </c>
      <c r="C685" s="15"/>
      <c r="D685" s="12" t="s">
        <v>74</v>
      </c>
      <c r="E685" s="13" t="str">
        <f>IFERROR(VLOOKUP(D685,Sheet1!$B$1:$C$45,2,0),"")</f>
        <v>TE</v>
      </c>
      <c r="F685" s="12" t="s">
        <v>108</v>
      </c>
      <c r="G685" s="13" t="str">
        <f t="shared" si="3"/>
        <v>Barito Raya</v>
      </c>
      <c r="H685" s="15" t="str">
        <f>IFERROR(VLOOKUP(A685,Sheet1!$E$3:$F$27,2,),"")</f>
        <v>Sick</v>
      </c>
      <c r="I685" s="16" t="str">
        <f>IFERROR(VLOOKUP(A685,Sheet1!$E$3:$G$27,3,0),"")</f>
        <v>Sick</v>
      </c>
      <c r="J685" s="20"/>
      <c r="K685" s="17">
        <v>46034.0</v>
      </c>
      <c r="L685" s="17">
        <v>46034.0</v>
      </c>
      <c r="M685" s="13"/>
      <c r="N685" s="23"/>
      <c r="O685" s="22"/>
      <c r="P685" s="22"/>
    </row>
    <row r="686" ht="22.5" customHeight="1">
      <c r="A686" s="12" t="s">
        <v>22</v>
      </c>
      <c r="B686" s="20" t="str">
        <f>IFERROR(VLOOKUP(A686,Sheet1!$E$3:$H$27,4,0),"")</f>
        <v>P2</v>
      </c>
      <c r="C686" s="14" t="s">
        <v>262</v>
      </c>
      <c r="D686" s="12" t="s">
        <v>60</v>
      </c>
      <c r="E686" s="13" t="str">
        <f>IFERROR(VLOOKUP(D686,Sheet1!$B$1:$C$45,2,0),"")</f>
        <v>TE</v>
      </c>
      <c r="F686" s="12" t="s">
        <v>108</v>
      </c>
      <c r="G686" s="13" t="str">
        <f t="shared" si="3"/>
        <v>Barito Raya</v>
      </c>
      <c r="H686" s="15" t="str">
        <f>IFERROR(VLOOKUP(A686,Sheet1!$E$3:$F$27,2,),"")</f>
        <v>Preventive</v>
      </c>
      <c r="I686" s="16" t="str">
        <f>IFERROR(VLOOKUP(A686,Sheet1!$E$3:$G$27,3,0),"")</f>
        <v>Preventive Maintenance</v>
      </c>
      <c r="J686" s="12" t="s">
        <v>112</v>
      </c>
      <c r="K686" s="17">
        <v>46034.0</v>
      </c>
      <c r="L686" s="17">
        <v>46034.0</v>
      </c>
      <c r="M686" s="12" t="s">
        <v>109</v>
      </c>
      <c r="N686" s="23"/>
      <c r="O686" s="22"/>
      <c r="P686" s="22"/>
    </row>
    <row r="687" ht="22.5" customHeight="1">
      <c r="A687" s="12" t="s">
        <v>14</v>
      </c>
      <c r="B687" s="20" t="str">
        <f>IFERROR(VLOOKUP(A687,Sheet1!$E$3:$H$27,4,0),"")</f>
        <v>P1</v>
      </c>
      <c r="C687" s="14" t="s">
        <v>383</v>
      </c>
      <c r="D687" s="12" t="s">
        <v>62</v>
      </c>
      <c r="E687" s="13" t="str">
        <f>IFERROR(VLOOKUP(D687,Sheet1!$B$1:$C$45,2,0),"")</f>
        <v>TE</v>
      </c>
      <c r="F687" s="12" t="s">
        <v>108</v>
      </c>
      <c r="G687" s="13" t="str">
        <f t="shared" si="3"/>
        <v>Barito Raya</v>
      </c>
      <c r="H687" s="15" t="str">
        <f>IFERROR(VLOOKUP(A687,Sheet1!$E$3:$F$27,2,),"")</f>
        <v>Corrective</v>
      </c>
      <c r="I687" s="16" t="str">
        <f>IFERROR(VLOOKUP(A687,Sheet1!$E$3:$G$27,3,0),"")</f>
        <v>Pemadaman,MCB Trip,Transmisi problem</v>
      </c>
      <c r="J687" s="12" t="s">
        <v>112</v>
      </c>
      <c r="K687" s="17">
        <v>46034.0</v>
      </c>
      <c r="L687" s="17">
        <v>46034.0</v>
      </c>
      <c r="M687" s="12" t="s">
        <v>109</v>
      </c>
      <c r="N687" s="23"/>
      <c r="O687" s="22"/>
      <c r="P687" s="22"/>
    </row>
    <row r="688" ht="22.5" customHeight="1">
      <c r="A688" s="12" t="s">
        <v>65</v>
      </c>
      <c r="B688" s="20" t="str">
        <f>IFERROR(VLOOKUP(A688,Sheet1!$E$3:$H$27,4,0),"")</f>
        <v>P3</v>
      </c>
      <c r="C688" s="15"/>
      <c r="D688" s="12" t="s">
        <v>4</v>
      </c>
      <c r="E688" s="13" t="str">
        <f>IFERROR(VLOOKUP(D688,Sheet1!$B$1:$C$45,2,0),"")</f>
        <v>CME</v>
      </c>
      <c r="F688" s="12" t="s">
        <v>108</v>
      </c>
      <c r="G688" s="13" t="str">
        <f t="shared" si="3"/>
        <v>Barito Raya</v>
      </c>
      <c r="H688" s="15" t="str">
        <f>IFERROR(VLOOKUP(A688,Sheet1!$E$3:$F$27,2,),"")</f>
        <v>Standby</v>
      </c>
      <c r="I688" s="16" t="str">
        <f>IFERROR(VLOOKUP(A688,Sheet1!$E$3:$G$27,3,0),"")</f>
        <v>Standby On Call</v>
      </c>
      <c r="J688" s="20"/>
      <c r="K688" s="17">
        <v>46034.0</v>
      </c>
      <c r="L688" s="17">
        <v>46034.0</v>
      </c>
      <c r="M688" s="13"/>
      <c r="N688" s="23"/>
      <c r="O688" s="22"/>
      <c r="P688" s="22"/>
    </row>
    <row r="689" ht="22.5" customHeight="1">
      <c r="A689" s="12" t="s">
        <v>65</v>
      </c>
      <c r="B689" s="20" t="str">
        <f>IFERROR(VLOOKUP(A689,Sheet1!$E$3:$H$27,4,0),"")</f>
        <v>P3</v>
      </c>
      <c r="C689" s="15"/>
      <c r="D689" s="12" t="s">
        <v>9</v>
      </c>
      <c r="E689" s="13" t="str">
        <f>IFERROR(VLOOKUP(D689,Sheet1!$B$1:$C$45,2,0),"")</f>
        <v>MBP</v>
      </c>
      <c r="F689" s="12" t="s">
        <v>108</v>
      </c>
      <c r="G689" s="13" t="str">
        <f t="shared" si="3"/>
        <v>Barito Raya</v>
      </c>
      <c r="H689" s="15" t="str">
        <f>IFERROR(VLOOKUP(A689,Sheet1!$E$3:$F$27,2,),"")</f>
        <v>Standby</v>
      </c>
      <c r="I689" s="16" t="str">
        <f>IFERROR(VLOOKUP(A689,Sheet1!$E$3:$G$27,3,0),"")</f>
        <v>Standby On Call</v>
      </c>
      <c r="J689" s="20"/>
      <c r="K689" s="17">
        <v>46034.0</v>
      </c>
      <c r="L689" s="17">
        <v>46034.0</v>
      </c>
      <c r="M689" s="13"/>
      <c r="N689" s="23"/>
      <c r="O689" s="22"/>
      <c r="P689" s="22"/>
    </row>
    <row r="690" ht="22.5" customHeight="1">
      <c r="A690" s="12" t="s">
        <v>65</v>
      </c>
      <c r="B690" s="20" t="str">
        <f>IFERROR(VLOOKUP(A690,Sheet1!$E$3:$H$27,4,0),"")</f>
        <v>P3</v>
      </c>
      <c r="C690" s="15"/>
      <c r="D690" s="12" t="s">
        <v>87</v>
      </c>
      <c r="E690" s="13" t="str">
        <f>IFERROR(VLOOKUP(D690,Sheet1!$B$1:$C$45,2,0),"")</f>
        <v>MBP</v>
      </c>
      <c r="F690" s="12" t="s">
        <v>108</v>
      </c>
      <c r="G690" s="13" t="str">
        <f t="shared" si="3"/>
        <v>Barito Raya</v>
      </c>
      <c r="H690" s="15" t="str">
        <f>IFERROR(VLOOKUP(A690,Sheet1!$E$3:$F$27,2,),"")</f>
        <v>Standby</v>
      </c>
      <c r="I690" s="16" t="str">
        <f>IFERROR(VLOOKUP(A690,Sheet1!$E$3:$G$27,3,0),"")</f>
        <v>Standby On Call</v>
      </c>
      <c r="J690" s="20"/>
      <c r="K690" s="17">
        <v>46034.0</v>
      </c>
      <c r="L690" s="17">
        <v>46034.0</v>
      </c>
      <c r="M690" s="13"/>
      <c r="N690" s="23"/>
      <c r="O690" s="22"/>
      <c r="P690" s="22"/>
    </row>
    <row r="691" ht="22.5" customHeight="1">
      <c r="A691" s="12" t="s">
        <v>65</v>
      </c>
      <c r="B691" s="20" t="str">
        <f>IFERROR(VLOOKUP(A691,Sheet1!$E$3:$H$27,4,0),"")</f>
        <v>P3</v>
      </c>
      <c r="C691" s="15"/>
      <c r="D691" s="12" t="s">
        <v>29</v>
      </c>
      <c r="E691" s="13" t="str">
        <f>IFERROR(VLOOKUP(D691,Sheet1!$B$1:$C$45,2,0),"")</f>
        <v>MBP</v>
      </c>
      <c r="F691" s="12" t="s">
        <v>108</v>
      </c>
      <c r="G691" s="13" t="str">
        <f t="shared" si="3"/>
        <v>Barito Raya</v>
      </c>
      <c r="H691" s="15" t="str">
        <f>IFERROR(VLOOKUP(A691,Sheet1!$E$3:$F$27,2,),"")</f>
        <v>Standby</v>
      </c>
      <c r="I691" s="16" t="str">
        <f>IFERROR(VLOOKUP(A691,Sheet1!$E$3:$G$27,3,0),"")</f>
        <v>Standby On Call</v>
      </c>
      <c r="J691" s="20"/>
      <c r="K691" s="17">
        <v>46034.0</v>
      </c>
      <c r="L691" s="17">
        <v>46034.0</v>
      </c>
      <c r="M691" s="13"/>
      <c r="N691" s="23"/>
      <c r="O691" s="22"/>
      <c r="P691" s="22"/>
    </row>
    <row r="692" ht="22.5" customHeight="1">
      <c r="A692" s="12" t="s">
        <v>65</v>
      </c>
      <c r="B692" s="20" t="str">
        <f>IFERROR(VLOOKUP(A692,Sheet1!$E$3:$H$27,4,0),"")</f>
        <v>P3</v>
      </c>
      <c r="C692" s="15"/>
      <c r="D692" s="12" t="s">
        <v>2</v>
      </c>
      <c r="E692" s="13" t="str">
        <f>IFERROR(VLOOKUP(D692,Sheet1!$B$1:$C$45,2,0),"")</f>
        <v>CME</v>
      </c>
      <c r="F692" s="12" t="s">
        <v>108</v>
      </c>
      <c r="G692" s="13" t="str">
        <f t="shared" si="3"/>
        <v>Barito Raya</v>
      </c>
      <c r="H692" s="15" t="str">
        <f>IFERROR(VLOOKUP(A692,Sheet1!$E$3:$F$27,2,),"")</f>
        <v>Standby</v>
      </c>
      <c r="I692" s="16" t="str">
        <f>IFERROR(VLOOKUP(A692,Sheet1!$E$3:$G$27,3,0),"")</f>
        <v>Standby On Call</v>
      </c>
      <c r="J692" s="20"/>
      <c r="K692" s="17">
        <v>46034.0</v>
      </c>
      <c r="L692" s="17">
        <v>46034.0</v>
      </c>
      <c r="M692" s="13"/>
      <c r="N692" s="23"/>
      <c r="O692" s="22"/>
      <c r="P692" s="22"/>
    </row>
    <row r="693" ht="22.5" customHeight="1">
      <c r="A693" s="12" t="s">
        <v>65</v>
      </c>
      <c r="B693" s="20" t="str">
        <f>IFERROR(VLOOKUP(A693,Sheet1!$E$3:$H$27,4,0),"")</f>
        <v>P3</v>
      </c>
      <c r="C693" s="15"/>
      <c r="D693" s="12" t="s">
        <v>0</v>
      </c>
      <c r="E693" s="13" t="str">
        <f>IFERROR(VLOOKUP(D693,Sheet1!$B$1:$C$45,2,0),"")</f>
        <v>MBP</v>
      </c>
      <c r="F693" s="12" t="s">
        <v>108</v>
      </c>
      <c r="G693" s="13" t="str">
        <f t="shared" si="3"/>
        <v>Barito Raya</v>
      </c>
      <c r="H693" s="15" t="str">
        <f>IFERROR(VLOOKUP(A693,Sheet1!$E$3:$F$27,2,),"")</f>
        <v>Standby</v>
      </c>
      <c r="I693" s="16" t="str">
        <f>IFERROR(VLOOKUP(A693,Sheet1!$E$3:$G$27,3,0),"")</f>
        <v>Standby On Call</v>
      </c>
      <c r="J693" s="20"/>
      <c r="K693" s="17">
        <v>46034.0</v>
      </c>
      <c r="L693" s="17">
        <v>46034.0</v>
      </c>
      <c r="M693" s="13"/>
      <c r="N693" s="23"/>
      <c r="O693" s="22"/>
      <c r="P693" s="22"/>
    </row>
    <row r="694" ht="22.5" customHeight="1">
      <c r="A694" s="12" t="s">
        <v>22</v>
      </c>
      <c r="B694" s="20" t="str">
        <f>IFERROR(VLOOKUP(A694,Sheet1!$E$3:$H$27,4,0),"")</f>
        <v>P2</v>
      </c>
      <c r="C694" s="15"/>
      <c r="D694" s="12" t="s">
        <v>85</v>
      </c>
      <c r="E694" s="13" t="str">
        <f>IFERROR(VLOOKUP(D694,Sheet1!$B$1:$C$45,2,0),"")</f>
        <v>PM</v>
      </c>
      <c r="F694" s="12" t="s">
        <v>108</v>
      </c>
      <c r="G694" s="13" t="str">
        <f t="shared" si="3"/>
        <v>Barito Raya</v>
      </c>
      <c r="H694" s="15" t="str">
        <f>IFERROR(VLOOKUP(A694,Sheet1!$E$3:$F$27,2,),"")</f>
        <v>Preventive</v>
      </c>
      <c r="I694" s="16" t="str">
        <f>IFERROR(VLOOKUP(A694,Sheet1!$E$3:$G$27,3,0),"")</f>
        <v>Preventive Maintenance</v>
      </c>
      <c r="J694" s="12" t="s">
        <v>112</v>
      </c>
      <c r="K694" s="17">
        <v>46034.0</v>
      </c>
      <c r="L694" s="17">
        <v>46034.0</v>
      </c>
      <c r="M694" s="12" t="s">
        <v>109</v>
      </c>
      <c r="N694" s="23"/>
      <c r="O694" s="22"/>
      <c r="P694" s="22"/>
    </row>
    <row r="695" ht="22.5" customHeight="1">
      <c r="A695" s="12" t="s">
        <v>22</v>
      </c>
      <c r="B695" s="20" t="str">
        <f>IFERROR(VLOOKUP(A695,Sheet1!$E$3:$H$27,4,0),"")</f>
        <v>P2</v>
      </c>
      <c r="C695" s="15"/>
      <c r="D695" s="12" t="s">
        <v>84</v>
      </c>
      <c r="E695" s="13" t="str">
        <f>IFERROR(VLOOKUP(D695,Sheet1!$B$1:$C$45,2,0),"")</f>
        <v>MBP</v>
      </c>
      <c r="F695" s="12" t="s">
        <v>108</v>
      </c>
      <c r="G695" s="13" t="str">
        <f t="shared" si="3"/>
        <v>Barito Raya</v>
      </c>
      <c r="H695" s="15" t="str">
        <f>IFERROR(VLOOKUP(A695,Sheet1!$E$3:$F$27,2,),"")</f>
        <v>Preventive</v>
      </c>
      <c r="I695" s="16" t="str">
        <f>IFERROR(VLOOKUP(A695,Sheet1!$E$3:$G$27,3,0),"")</f>
        <v>Preventive Maintenance</v>
      </c>
      <c r="J695" s="12" t="s">
        <v>112</v>
      </c>
      <c r="K695" s="17">
        <v>46034.0</v>
      </c>
      <c r="L695" s="17">
        <v>46034.0</v>
      </c>
      <c r="M695" s="12" t="s">
        <v>109</v>
      </c>
      <c r="N695" s="23"/>
      <c r="O695" s="22"/>
      <c r="P695" s="22"/>
    </row>
    <row r="696" ht="22.5" customHeight="1">
      <c r="A696" s="12" t="s">
        <v>22</v>
      </c>
      <c r="B696" s="20" t="str">
        <f>IFERROR(VLOOKUP(A696,Sheet1!$E$3:$H$27,4,0),"")</f>
        <v>P2</v>
      </c>
      <c r="C696" s="14" t="s">
        <v>418</v>
      </c>
      <c r="D696" s="12" t="s">
        <v>86</v>
      </c>
      <c r="E696" s="13" t="str">
        <f>IFERROR(VLOOKUP(D696,Sheet1!$B$1:$C$45,2,0),"")</f>
        <v>PM</v>
      </c>
      <c r="F696" s="12" t="s">
        <v>108</v>
      </c>
      <c r="G696" s="13" t="str">
        <f t="shared" si="3"/>
        <v>Barito Raya</v>
      </c>
      <c r="H696" s="15" t="str">
        <f>IFERROR(VLOOKUP(A696,Sheet1!$E$3:$F$27,2,),"")</f>
        <v>Preventive</v>
      </c>
      <c r="I696" s="16" t="str">
        <f>IFERROR(VLOOKUP(A696,Sheet1!$E$3:$G$27,3,0),"")</f>
        <v>Preventive Maintenance</v>
      </c>
      <c r="J696" s="12" t="s">
        <v>112</v>
      </c>
      <c r="K696" s="17">
        <v>46034.0</v>
      </c>
      <c r="L696" s="17">
        <v>46034.0</v>
      </c>
      <c r="M696" s="12" t="s">
        <v>109</v>
      </c>
      <c r="N696" s="23"/>
      <c r="O696" s="22"/>
      <c r="P696" s="22"/>
    </row>
    <row r="697" ht="22.5" customHeight="1">
      <c r="A697" s="12" t="s">
        <v>5</v>
      </c>
      <c r="B697" s="20" t="str">
        <f>IFERROR(VLOOKUP(A697,Sheet1!$E$3:$H$27,4,0),"")</f>
        <v>P1</v>
      </c>
      <c r="C697" s="14" t="s">
        <v>401</v>
      </c>
      <c r="D697" s="12" t="s">
        <v>76</v>
      </c>
      <c r="E697" s="13" t="str">
        <f>IFERROR(VLOOKUP(D697,Sheet1!$B$1:$C$45,2,0),"")</f>
        <v>TE</v>
      </c>
      <c r="F697" s="12" t="s">
        <v>179</v>
      </c>
      <c r="G697" s="13" t="str">
        <f t="shared" si="3"/>
        <v>Palangkaraya</v>
      </c>
      <c r="H697" s="15" t="str">
        <f>IFERROR(VLOOKUP(A697,Sheet1!$E$3:$F$27,2,),"")</f>
        <v>Corrective</v>
      </c>
      <c r="I697" s="16" t="str">
        <f>IFERROR(VLOOKUP(A697,Sheet1!$E$3:$G$27,3,0),"")</f>
        <v>Replace Optik,RRU/Soket Power/Replace GPS</v>
      </c>
      <c r="J697" s="12" t="s">
        <v>112</v>
      </c>
      <c r="K697" s="17">
        <v>46034.0</v>
      </c>
      <c r="L697" s="24"/>
      <c r="M697" s="12" t="s">
        <v>137</v>
      </c>
      <c r="N697" s="23"/>
      <c r="O697" s="22"/>
      <c r="P697" s="22"/>
    </row>
    <row r="698" ht="22.5" customHeight="1">
      <c r="A698" s="12" t="s">
        <v>14</v>
      </c>
      <c r="B698" s="20" t="str">
        <f>IFERROR(VLOOKUP(A698,Sheet1!$E$3:$H$27,4,0),"")</f>
        <v>P1</v>
      </c>
      <c r="C698" s="14" t="s">
        <v>363</v>
      </c>
      <c r="D698" s="12" t="s">
        <v>42</v>
      </c>
      <c r="E698" s="13" t="str">
        <f>IFERROR(VLOOKUP(D698,Sheet1!$B$1:$C$45,2,0),"")</f>
        <v>TE</v>
      </c>
      <c r="F698" s="12" t="s">
        <v>179</v>
      </c>
      <c r="G698" s="13" t="str">
        <f t="shared" si="3"/>
        <v>Palangkaraya</v>
      </c>
      <c r="H698" s="15" t="str">
        <f>IFERROR(VLOOKUP(A698,Sheet1!$E$3:$F$27,2,),"")</f>
        <v>Corrective</v>
      </c>
      <c r="I698" s="16" t="str">
        <f>IFERROR(VLOOKUP(A698,Sheet1!$E$3:$G$27,3,0),"")</f>
        <v>Pemadaman,MCB Trip,Transmisi problem</v>
      </c>
      <c r="J698" s="12" t="s">
        <v>112</v>
      </c>
      <c r="K698" s="17">
        <v>46034.0</v>
      </c>
      <c r="L698" s="24"/>
      <c r="M698" s="12" t="s">
        <v>137</v>
      </c>
      <c r="N698" s="23"/>
      <c r="O698" s="22"/>
      <c r="P698" s="22"/>
    </row>
    <row r="699" ht="22.5" customHeight="1">
      <c r="A699" s="12" t="s">
        <v>5</v>
      </c>
      <c r="B699" s="20" t="str">
        <f>IFERROR(VLOOKUP(A699,Sheet1!$E$3:$H$27,4,0),"")</f>
        <v>P1</v>
      </c>
      <c r="C699" s="14" t="s">
        <v>198</v>
      </c>
      <c r="D699" s="12" t="s">
        <v>80</v>
      </c>
      <c r="E699" s="13" t="str">
        <f>IFERROR(VLOOKUP(D699,Sheet1!$B$1:$C$45,2,0),"")</f>
        <v>TE</v>
      </c>
      <c r="F699" s="12" t="s">
        <v>179</v>
      </c>
      <c r="G699" s="13" t="str">
        <f t="shared" si="3"/>
        <v>Palangkaraya</v>
      </c>
      <c r="H699" s="15" t="str">
        <f>IFERROR(VLOOKUP(A699,Sheet1!$E$3:$F$27,2,),"")</f>
        <v>Corrective</v>
      </c>
      <c r="I699" s="16" t="str">
        <f>IFERROR(VLOOKUP(A699,Sheet1!$E$3:$G$27,3,0),"")</f>
        <v>Replace Optik,RRU/Soket Power/Replace GPS</v>
      </c>
      <c r="J699" s="12" t="s">
        <v>112</v>
      </c>
      <c r="K699" s="17">
        <v>46034.0</v>
      </c>
      <c r="L699" s="24"/>
      <c r="M699" s="12" t="s">
        <v>137</v>
      </c>
      <c r="N699" s="23"/>
      <c r="O699" s="22"/>
      <c r="P699" s="22"/>
    </row>
    <row r="700" ht="22.5" customHeight="1">
      <c r="A700" s="12" t="s">
        <v>5</v>
      </c>
      <c r="B700" s="20" t="str">
        <f>IFERROR(VLOOKUP(A700,Sheet1!$E$3:$H$27,4,0),"")</f>
        <v>P1</v>
      </c>
      <c r="C700" s="14" t="s">
        <v>401</v>
      </c>
      <c r="D700" s="12" t="s">
        <v>78</v>
      </c>
      <c r="E700" s="13" t="str">
        <f>IFERROR(VLOOKUP(D700,Sheet1!$B$1:$C$45,2,0),"")</f>
        <v>TE</v>
      </c>
      <c r="F700" s="12" t="s">
        <v>179</v>
      </c>
      <c r="G700" s="13" t="str">
        <f t="shared" si="3"/>
        <v>Palangkaraya</v>
      </c>
      <c r="H700" s="15" t="str">
        <f>IFERROR(VLOOKUP(A700,Sheet1!$E$3:$F$27,2,),"")</f>
        <v>Corrective</v>
      </c>
      <c r="I700" s="16" t="str">
        <f>IFERROR(VLOOKUP(A700,Sheet1!$E$3:$G$27,3,0),"")</f>
        <v>Replace Optik,RRU/Soket Power/Replace GPS</v>
      </c>
      <c r="J700" s="12" t="s">
        <v>112</v>
      </c>
      <c r="K700" s="17">
        <v>46034.0</v>
      </c>
      <c r="L700" s="24"/>
      <c r="M700" s="12" t="s">
        <v>137</v>
      </c>
      <c r="N700" s="23"/>
      <c r="O700" s="22"/>
      <c r="P700" s="22"/>
    </row>
    <row r="701" ht="22.5" customHeight="1">
      <c r="A701" s="12" t="s">
        <v>5</v>
      </c>
      <c r="B701" s="20" t="str">
        <f>IFERROR(VLOOKUP(A701,Sheet1!$E$3:$H$27,4,0),"")</f>
        <v>P1</v>
      </c>
      <c r="C701" s="14" t="s">
        <v>363</v>
      </c>
      <c r="D701" s="12" t="s">
        <v>77</v>
      </c>
      <c r="E701" s="13" t="str">
        <f>IFERROR(VLOOKUP(D701,Sheet1!$B$1:$C$45,2,0),"")</f>
        <v>TE</v>
      </c>
      <c r="F701" s="12" t="s">
        <v>179</v>
      </c>
      <c r="G701" s="13" t="str">
        <f t="shared" si="3"/>
        <v>Palangkaraya</v>
      </c>
      <c r="H701" s="15" t="str">
        <f>IFERROR(VLOOKUP(A701,Sheet1!$E$3:$F$27,2,),"")</f>
        <v>Corrective</v>
      </c>
      <c r="I701" s="16" t="str">
        <f>IFERROR(VLOOKUP(A701,Sheet1!$E$3:$G$27,3,0),"")</f>
        <v>Replace Optik,RRU/Soket Power/Replace GPS</v>
      </c>
      <c r="J701" s="12" t="s">
        <v>112</v>
      </c>
      <c r="K701" s="17">
        <v>46034.0</v>
      </c>
      <c r="L701" s="24"/>
      <c r="M701" s="12" t="s">
        <v>137</v>
      </c>
      <c r="N701" s="23"/>
      <c r="O701" s="22"/>
      <c r="P701" s="22"/>
    </row>
    <row r="702" ht="22.5" customHeight="1">
      <c r="A702" s="12" t="s">
        <v>33</v>
      </c>
      <c r="B702" s="20" t="str">
        <f>IFERROR(VLOOKUP(A702,Sheet1!$E$3:$H$27,4,0),"")</f>
        <v>P2</v>
      </c>
      <c r="C702" s="14" t="s">
        <v>419</v>
      </c>
      <c r="D702" s="12" t="s">
        <v>37</v>
      </c>
      <c r="E702" s="13" t="str">
        <f>IFERROR(VLOOKUP(D702,Sheet1!$B$1:$C$45,2,0),"")</f>
        <v>TE</v>
      </c>
      <c r="F702" s="12" t="s">
        <v>179</v>
      </c>
      <c r="G702" s="13" t="str">
        <f t="shared" si="3"/>
        <v>Palangkaraya</v>
      </c>
      <c r="H702" s="15" t="str">
        <f>IFERROR(VLOOKUP(A702,Sheet1!$E$3:$F$27,2,),"")</f>
        <v>Preventive</v>
      </c>
      <c r="I702" s="16" t="str">
        <f>IFERROR(VLOOKUP(A702,Sheet1!$E$3:$G$27,3,0),"")</f>
        <v>Pengukuran dan pengambilan data log serta input Gdoc BBT</v>
      </c>
      <c r="J702" s="12" t="s">
        <v>112</v>
      </c>
      <c r="K702" s="17">
        <v>46034.0</v>
      </c>
      <c r="L702" s="24"/>
      <c r="M702" s="12" t="s">
        <v>137</v>
      </c>
      <c r="N702" s="23"/>
      <c r="O702" s="22"/>
      <c r="P702" s="22"/>
    </row>
    <row r="703" ht="22.5" customHeight="1">
      <c r="A703" s="12" t="s">
        <v>5</v>
      </c>
      <c r="B703" s="20" t="str">
        <f>IFERROR(VLOOKUP(A703,Sheet1!$E$3:$H$27,4,0),"")</f>
        <v>P1</v>
      </c>
      <c r="C703" s="14" t="s">
        <v>376</v>
      </c>
      <c r="D703" s="12" t="s">
        <v>51</v>
      </c>
      <c r="E703" s="13" t="str">
        <f>IFERROR(VLOOKUP(D703,Sheet1!$B$1:$C$45,2,0),"")</f>
        <v>TE</v>
      </c>
      <c r="F703" s="12" t="s">
        <v>179</v>
      </c>
      <c r="G703" s="13" t="str">
        <f t="shared" si="3"/>
        <v>Palangkaraya</v>
      </c>
      <c r="H703" s="15" t="str">
        <f>IFERROR(VLOOKUP(A703,Sheet1!$E$3:$F$27,2,),"")</f>
        <v>Corrective</v>
      </c>
      <c r="I703" s="16" t="str">
        <f>IFERROR(VLOOKUP(A703,Sheet1!$E$3:$G$27,3,0),"")</f>
        <v>Replace Optik,RRU/Soket Power/Replace GPS</v>
      </c>
      <c r="J703" s="12" t="s">
        <v>112</v>
      </c>
      <c r="K703" s="17">
        <v>46034.0</v>
      </c>
      <c r="L703" s="24"/>
      <c r="M703" s="12" t="s">
        <v>137</v>
      </c>
      <c r="N703" s="23"/>
      <c r="O703" s="22"/>
      <c r="P703" s="22"/>
    </row>
    <row r="704" ht="22.5" customHeight="1">
      <c r="A704" s="12" t="s">
        <v>5</v>
      </c>
      <c r="B704" s="20" t="str">
        <f>IFERROR(VLOOKUP(A704,Sheet1!$E$3:$H$27,4,0),"")</f>
        <v>P1</v>
      </c>
      <c r="C704" s="14" t="s">
        <v>376</v>
      </c>
      <c r="D704" s="12" t="s">
        <v>79</v>
      </c>
      <c r="E704" s="13" t="str">
        <f>IFERROR(VLOOKUP(D704,Sheet1!$B$1:$C$45,2,0),"")</f>
        <v>TE</v>
      </c>
      <c r="F704" s="12" t="s">
        <v>179</v>
      </c>
      <c r="G704" s="13" t="str">
        <f t="shared" si="3"/>
        <v>Palangkaraya</v>
      </c>
      <c r="H704" s="15" t="str">
        <f>IFERROR(VLOOKUP(A704,Sheet1!$E$3:$F$27,2,),"")</f>
        <v>Corrective</v>
      </c>
      <c r="I704" s="16" t="str">
        <f>IFERROR(VLOOKUP(A704,Sheet1!$E$3:$G$27,3,0),"")</f>
        <v>Replace Optik,RRU/Soket Power/Replace GPS</v>
      </c>
      <c r="J704" s="12" t="s">
        <v>112</v>
      </c>
      <c r="K704" s="17">
        <v>46034.0</v>
      </c>
      <c r="L704" s="24"/>
      <c r="M704" s="12" t="s">
        <v>137</v>
      </c>
      <c r="N704" s="23"/>
      <c r="O704" s="22"/>
      <c r="P704" s="22"/>
    </row>
    <row r="705" ht="22.5" customHeight="1">
      <c r="A705" s="12" t="s">
        <v>5</v>
      </c>
      <c r="B705" s="20" t="str">
        <f>IFERROR(VLOOKUP(A705,Sheet1!$E$3:$H$27,4,0),"")</f>
        <v>P1</v>
      </c>
      <c r="C705" s="14" t="s">
        <v>414</v>
      </c>
      <c r="D705" s="12" t="s">
        <v>71</v>
      </c>
      <c r="E705" s="13" t="str">
        <f>IFERROR(VLOOKUP(D705,Sheet1!$B$1:$C$45,2,0),"")</f>
        <v>TE</v>
      </c>
      <c r="F705" s="12" t="s">
        <v>179</v>
      </c>
      <c r="G705" s="13" t="str">
        <f t="shared" si="3"/>
        <v>Palangkaraya</v>
      </c>
      <c r="H705" s="15" t="str">
        <f>IFERROR(VLOOKUP(A705,Sheet1!$E$3:$F$27,2,),"")</f>
        <v>Corrective</v>
      </c>
      <c r="I705" s="16" t="str">
        <f>IFERROR(VLOOKUP(A705,Sheet1!$E$3:$G$27,3,0),"")</f>
        <v>Replace Optik,RRU/Soket Power/Replace GPS</v>
      </c>
      <c r="J705" s="12" t="s">
        <v>112</v>
      </c>
      <c r="K705" s="17">
        <v>46034.0</v>
      </c>
      <c r="L705" s="24"/>
      <c r="M705" s="12" t="s">
        <v>137</v>
      </c>
      <c r="N705" s="23"/>
      <c r="O705" s="22"/>
      <c r="P705" s="22"/>
    </row>
    <row r="706" ht="22.5" customHeight="1">
      <c r="A706" s="12" t="s">
        <v>5</v>
      </c>
      <c r="B706" s="20" t="str">
        <f>IFERROR(VLOOKUP(A706,Sheet1!$E$3:$H$27,4,0),"")</f>
        <v>P1</v>
      </c>
      <c r="C706" s="14" t="s">
        <v>414</v>
      </c>
      <c r="D706" s="12" t="s">
        <v>69</v>
      </c>
      <c r="E706" s="13" t="str">
        <f>IFERROR(VLOOKUP(D706,Sheet1!$B$1:$C$45,2,0),"")</f>
        <v>TE</v>
      </c>
      <c r="F706" s="12" t="s">
        <v>179</v>
      </c>
      <c r="G706" s="13" t="str">
        <f t="shared" si="3"/>
        <v>Palangkaraya</v>
      </c>
      <c r="H706" s="15" t="str">
        <f>IFERROR(VLOOKUP(A706,Sheet1!$E$3:$F$27,2,),"")</f>
        <v>Corrective</v>
      </c>
      <c r="I706" s="16" t="str">
        <f>IFERROR(VLOOKUP(A706,Sheet1!$E$3:$G$27,3,0),"")</f>
        <v>Replace Optik,RRU/Soket Power/Replace GPS</v>
      </c>
      <c r="J706" s="12" t="s">
        <v>112</v>
      </c>
      <c r="K706" s="17">
        <v>46034.0</v>
      </c>
      <c r="L706" s="24"/>
      <c r="M706" s="12" t="s">
        <v>137</v>
      </c>
      <c r="N706" s="23"/>
      <c r="O706" s="22"/>
      <c r="P706" s="22"/>
    </row>
    <row r="707" ht="22.5" customHeight="1">
      <c r="A707" s="12" t="s">
        <v>5</v>
      </c>
      <c r="B707" s="20" t="str">
        <f>IFERROR(VLOOKUP(A707,Sheet1!$E$3:$H$27,4,0),"")</f>
        <v>P1</v>
      </c>
      <c r="C707" s="14" t="s">
        <v>268</v>
      </c>
      <c r="D707" s="12" t="s">
        <v>91</v>
      </c>
      <c r="E707" s="13" t="str">
        <f>IFERROR(VLOOKUP(D707,Sheet1!$B$1:$C$45,2,0),"")</f>
        <v>TE</v>
      </c>
      <c r="F707" s="12" t="s">
        <v>179</v>
      </c>
      <c r="G707" s="13" t="str">
        <f t="shared" si="3"/>
        <v>Palangkaraya</v>
      </c>
      <c r="H707" s="15" t="str">
        <f>IFERROR(VLOOKUP(A707,Sheet1!$E$3:$F$27,2,),"")</f>
        <v>Corrective</v>
      </c>
      <c r="I707" s="16" t="str">
        <f>IFERROR(VLOOKUP(A707,Sheet1!$E$3:$G$27,3,0),"")</f>
        <v>Replace Optik,RRU/Soket Power/Replace GPS</v>
      </c>
      <c r="J707" s="12" t="s">
        <v>112</v>
      </c>
      <c r="K707" s="17">
        <v>46034.0</v>
      </c>
      <c r="L707" s="24"/>
      <c r="M707" s="12" t="s">
        <v>137</v>
      </c>
      <c r="N707" s="23"/>
      <c r="O707" s="22"/>
      <c r="P707" s="22"/>
    </row>
    <row r="708" ht="22.5" customHeight="1">
      <c r="A708" s="12" t="s">
        <v>52</v>
      </c>
      <c r="B708" s="20" t="str">
        <f>IFERROR(VLOOKUP(A708,Sheet1!$E$3:$H$27,4,0),"")</f>
        <v>P1</v>
      </c>
      <c r="C708" s="14" t="s">
        <v>415</v>
      </c>
      <c r="D708" s="12" t="s">
        <v>58</v>
      </c>
      <c r="E708" s="13" t="str">
        <f>IFERROR(VLOOKUP(D708,Sheet1!$B$1:$C$45,2,0),"")</f>
        <v>TE</v>
      </c>
      <c r="F708" s="12" t="s">
        <v>179</v>
      </c>
      <c r="G708" s="13" t="str">
        <f t="shared" si="3"/>
        <v>Palangkaraya</v>
      </c>
      <c r="H708" s="15" t="str">
        <f>IFERROR(VLOOKUP(A708,Sheet1!$E$3:$F$27,2,),"")</f>
        <v>Preventive</v>
      </c>
      <c r="I708" s="16" t="str">
        <f>IFERROR(VLOOKUP(A708,Sheet1!$E$3:$G$27,3,0),"")</f>
        <v>MCB trip/Power upnormal</v>
      </c>
      <c r="J708" s="12" t="s">
        <v>112</v>
      </c>
      <c r="K708" s="17">
        <v>46034.0</v>
      </c>
      <c r="L708" s="24"/>
      <c r="M708" s="12" t="s">
        <v>137</v>
      </c>
      <c r="N708" s="23"/>
      <c r="O708" s="22"/>
      <c r="P708" s="22"/>
    </row>
    <row r="709" ht="22.5" customHeight="1">
      <c r="A709" s="12" t="s">
        <v>72</v>
      </c>
      <c r="B709" s="20" t="str">
        <f>IFERROR(VLOOKUP(A709,Sheet1!$E$3:$H$27,4,0),"")</f>
        <v>P1</v>
      </c>
      <c r="C709" s="14" t="s">
        <v>217</v>
      </c>
      <c r="D709" s="12" t="s">
        <v>56</v>
      </c>
      <c r="E709" s="13" t="str">
        <f>IFERROR(VLOOKUP(D709,Sheet1!$B$1:$C$45,2,0),"")</f>
        <v>TE</v>
      </c>
      <c r="F709" s="12" t="s">
        <v>179</v>
      </c>
      <c r="G709" s="13" t="str">
        <f t="shared" si="3"/>
        <v>Palangkaraya</v>
      </c>
      <c r="H709" s="15" t="str">
        <f>IFERROR(VLOOKUP(A709,Sheet1!$E$3:$F$27,2,),"")</f>
        <v>Corrective</v>
      </c>
      <c r="I709" s="16" t="str">
        <f>IFERROR(VLOOKUP(A709,Sheet1!$E$3:$G$27,3,0),"")</f>
        <v>Perbaikan Auto,pergantian relay,timer, yang berhubungan genset</v>
      </c>
      <c r="J709" s="12" t="s">
        <v>112</v>
      </c>
      <c r="K709" s="17">
        <v>46034.0</v>
      </c>
      <c r="L709" s="24"/>
      <c r="M709" s="12" t="s">
        <v>137</v>
      </c>
      <c r="N709" s="23"/>
      <c r="O709" s="22"/>
      <c r="P709" s="22"/>
    </row>
    <row r="710" ht="22.5" customHeight="1">
      <c r="A710" s="12" t="s">
        <v>65</v>
      </c>
      <c r="B710" s="20" t="str">
        <f>IFERROR(VLOOKUP(A710,Sheet1!$E$3:$H$27,4,0),"")</f>
        <v>P3</v>
      </c>
      <c r="C710" s="14" t="s">
        <v>394</v>
      </c>
      <c r="D710" s="12" t="s">
        <v>83</v>
      </c>
      <c r="E710" s="13" t="str">
        <f>IFERROR(VLOOKUP(D710,Sheet1!$B$1:$C$45,2,0),"")</f>
        <v>PM</v>
      </c>
      <c r="F710" s="12" t="s">
        <v>179</v>
      </c>
      <c r="G710" s="13" t="str">
        <f t="shared" si="3"/>
        <v>Palangkaraya</v>
      </c>
      <c r="H710" s="15" t="str">
        <f>IFERROR(VLOOKUP(A710,Sheet1!$E$3:$F$27,2,),"")</f>
        <v>Standby</v>
      </c>
      <c r="I710" s="16" t="str">
        <f>IFERROR(VLOOKUP(A710,Sheet1!$E$3:$G$27,3,0),"")</f>
        <v>Standby On Call</v>
      </c>
      <c r="J710" s="12" t="s">
        <v>112</v>
      </c>
      <c r="K710" s="17">
        <v>46034.0</v>
      </c>
      <c r="L710" s="24"/>
      <c r="M710" s="12" t="s">
        <v>137</v>
      </c>
      <c r="N710" s="23"/>
      <c r="O710" s="22"/>
      <c r="P710" s="22"/>
    </row>
    <row r="711" ht="22.5" customHeight="1">
      <c r="A711" s="12" t="s">
        <v>65</v>
      </c>
      <c r="B711" s="20" t="str">
        <f>IFERROR(VLOOKUP(A711,Sheet1!$E$3:$H$27,4,0),"")</f>
        <v>P3</v>
      </c>
      <c r="C711" s="14" t="s">
        <v>218</v>
      </c>
      <c r="D711" s="12" t="s">
        <v>82</v>
      </c>
      <c r="E711" s="13" t="str">
        <f>IFERROR(VLOOKUP(D711,Sheet1!$B$1:$C$45,2,0),"")</f>
        <v>PM</v>
      </c>
      <c r="F711" s="12" t="s">
        <v>179</v>
      </c>
      <c r="G711" s="13" t="str">
        <f t="shared" si="3"/>
        <v>Palangkaraya</v>
      </c>
      <c r="H711" s="15" t="str">
        <f>IFERROR(VLOOKUP(A711,Sheet1!$E$3:$F$27,2,),"")</f>
        <v>Standby</v>
      </c>
      <c r="I711" s="16" t="str">
        <f>IFERROR(VLOOKUP(A711,Sheet1!$E$3:$G$27,3,0),"")</f>
        <v>Standby On Call</v>
      </c>
      <c r="J711" s="12" t="s">
        <v>112</v>
      </c>
      <c r="K711" s="17">
        <v>46034.0</v>
      </c>
      <c r="L711" s="24"/>
      <c r="M711" s="12" t="s">
        <v>137</v>
      </c>
      <c r="N711" s="23"/>
      <c r="O711" s="22"/>
      <c r="P711" s="22"/>
    </row>
    <row r="712" ht="22.5" customHeight="1">
      <c r="A712" s="12" t="s">
        <v>65</v>
      </c>
      <c r="B712" s="20" t="str">
        <f>IFERROR(VLOOKUP(A712,Sheet1!$E$3:$H$27,4,0),"")</f>
        <v>P3</v>
      </c>
      <c r="C712" s="15"/>
      <c r="D712" s="12" t="s">
        <v>75</v>
      </c>
      <c r="E712" s="13" t="str">
        <f>IFERROR(VLOOKUP(D712,Sheet1!$B$1:$C$45,2,0),"")</f>
        <v>CME</v>
      </c>
      <c r="F712" s="12" t="s">
        <v>179</v>
      </c>
      <c r="G712" s="13" t="str">
        <f t="shared" si="3"/>
        <v>Palangkaraya</v>
      </c>
      <c r="H712" s="15" t="str">
        <f>IFERROR(VLOOKUP(A712,Sheet1!$E$3:$F$27,2,),"")</f>
        <v>Standby</v>
      </c>
      <c r="I712" s="16" t="str">
        <f>IFERROR(VLOOKUP(A712,Sheet1!$E$3:$G$27,3,0),"")</f>
        <v>Standby On Call</v>
      </c>
      <c r="J712" s="12" t="s">
        <v>66</v>
      </c>
      <c r="K712" s="17">
        <v>46034.0</v>
      </c>
      <c r="L712" s="24"/>
      <c r="M712" s="12" t="s">
        <v>137</v>
      </c>
      <c r="N712" s="23"/>
      <c r="O712" s="22"/>
      <c r="P712" s="22"/>
    </row>
    <row r="713" ht="22.5" customHeight="1">
      <c r="A713" s="12" t="s">
        <v>65</v>
      </c>
      <c r="B713" s="20" t="str">
        <f>IFERROR(VLOOKUP(A713,Sheet1!$E$3:$H$27,4,0),"")</f>
        <v>P3</v>
      </c>
      <c r="C713" s="15"/>
      <c r="D713" s="12" t="s">
        <v>35</v>
      </c>
      <c r="E713" s="13" t="str">
        <f>IFERROR(VLOOKUP(D713,Sheet1!$B$1:$C$45,2,0),"")</f>
        <v>MBP</v>
      </c>
      <c r="F713" s="12" t="s">
        <v>179</v>
      </c>
      <c r="G713" s="13" t="str">
        <f t="shared" si="3"/>
        <v>Palangkaraya</v>
      </c>
      <c r="H713" s="15" t="str">
        <f>IFERROR(VLOOKUP(A713,Sheet1!$E$3:$F$27,2,),"")</f>
        <v>Standby</v>
      </c>
      <c r="I713" s="16" t="str">
        <f>IFERROR(VLOOKUP(A713,Sheet1!$E$3:$G$27,3,0),"")</f>
        <v>Standby On Call</v>
      </c>
      <c r="J713" s="12" t="s">
        <v>66</v>
      </c>
      <c r="K713" s="17">
        <v>46034.0</v>
      </c>
      <c r="L713" s="24"/>
      <c r="M713" s="12" t="s">
        <v>137</v>
      </c>
      <c r="N713" s="23"/>
      <c r="O713" s="22"/>
      <c r="P713" s="22"/>
    </row>
    <row r="714" ht="22.5" customHeight="1">
      <c r="A714" s="12" t="s">
        <v>65</v>
      </c>
      <c r="B714" s="20" t="str">
        <f>IFERROR(VLOOKUP(A714,Sheet1!$E$3:$H$27,4,0),"")</f>
        <v>P3</v>
      </c>
      <c r="C714" s="15"/>
      <c r="D714" s="12" t="s">
        <v>45</v>
      </c>
      <c r="E714" s="13" t="str">
        <f>IFERROR(VLOOKUP(D714,Sheet1!$B$1:$C$45,2,0),"")</f>
        <v>MBP</v>
      </c>
      <c r="F714" s="12" t="s">
        <v>179</v>
      </c>
      <c r="G714" s="13" t="str">
        <f t="shared" si="3"/>
        <v>Palangkaraya</v>
      </c>
      <c r="H714" s="15" t="str">
        <f>IFERROR(VLOOKUP(A714,Sheet1!$E$3:$F$27,2,),"")</f>
        <v>Standby</v>
      </c>
      <c r="I714" s="16" t="str">
        <f>IFERROR(VLOOKUP(A714,Sheet1!$E$3:$G$27,3,0),"")</f>
        <v>Standby On Call</v>
      </c>
      <c r="J714" s="12" t="s">
        <v>66</v>
      </c>
      <c r="K714" s="17">
        <v>46034.0</v>
      </c>
      <c r="L714" s="24"/>
      <c r="M714" s="12" t="s">
        <v>137</v>
      </c>
      <c r="N714" s="23"/>
      <c r="O714" s="22"/>
      <c r="P714" s="22"/>
    </row>
    <row r="715" ht="22.5" customHeight="1">
      <c r="A715" s="12" t="s">
        <v>65</v>
      </c>
      <c r="B715" s="20" t="str">
        <f>IFERROR(VLOOKUP(A715,Sheet1!$E$3:$H$27,4,0),"")</f>
        <v>P3</v>
      </c>
      <c r="C715" s="15"/>
      <c r="D715" s="12" t="s">
        <v>48</v>
      </c>
      <c r="E715" s="13" t="str">
        <f>IFERROR(VLOOKUP(D715,Sheet1!$B$1:$C$45,2,0),"")</f>
        <v>MBP</v>
      </c>
      <c r="F715" s="12" t="s">
        <v>179</v>
      </c>
      <c r="G715" s="13" t="str">
        <f t="shared" si="3"/>
        <v>Palangkaraya</v>
      </c>
      <c r="H715" s="15" t="str">
        <f>IFERROR(VLOOKUP(A715,Sheet1!$E$3:$F$27,2,),"")</f>
        <v>Standby</v>
      </c>
      <c r="I715" s="16" t="str">
        <f>IFERROR(VLOOKUP(A715,Sheet1!$E$3:$G$27,3,0),"")</f>
        <v>Standby On Call</v>
      </c>
      <c r="J715" s="12" t="s">
        <v>66</v>
      </c>
      <c r="K715" s="17">
        <v>46034.0</v>
      </c>
      <c r="L715" s="24"/>
      <c r="M715" s="12" t="s">
        <v>137</v>
      </c>
      <c r="N715" s="23"/>
      <c r="O715" s="22"/>
      <c r="P715" s="22"/>
    </row>
    <row r="716" ht="22.5" hidden="1" customHeight="1">
      <c r="A716" s="12" t="s">
        <v>65</v>
      </c>
      <c r="B716" s="20" t="str">
        <f>IFERROR(VLOOKUP(A716,Sheet1!$E$3:$H$27,4,0),"")</f>
        <v>P3</v>
      </c>
      <c r="C716" s="15"/>
      <c r="D716" s="12" t="s">
        <v>54</v>
      </c>
      <c r="E716" s="13" t="str">
        <f>IFERROR(VLOOKUP(D716,Sheet1!$B$1:$C$45,2,0),"")</f>
        <v>MBP</v>
      </c>
      <c r="F716" s="12" t="s">
        <v>179</v>
      </c>
      <c r="G716" s="13" t="str">
        <f t="shared" si="3"/>
        <v>Palangkaraya</v>
      </c>
      <c r="H716" s="15" t="str">
        <f>IFERROR(VLOOKUP(A716,Sheet1!$E$3:$F$27,2,),"")</f>
        <v>Standby</v>
      </c>
      <c r="I716" s="16" t="str">
        <f>IFERROR(VLOOKUP(A716,Sheet1!$E$3:$G$27,3,0),"")</f>
        <v>Standby On Call</v>
      </c>
      <c r="J716" s="12" t="s">
        <v>66</v>
      </c>
      <c r="K716" s="17">
        <v>46034.0</v>
      </c>
      <c r="L716" s="24"/>
      <c r="M716" s="12" t="s">
        <v>137</v>
      </c>
      <c r="N716" s="23"/>
      <c r="O716" s="22"/>
      <c r="P716" s="22"/>
    </row>
    <row r="717" ht="22.5" customHeight="1">
      <c r="A717" s="12" t="s">
        <v>30</v>
      </c>
      <c r="B717" s="20" t="str">
        <f>IFERROR(VLOOKUP(A717,Sheet1!$E$3:$H$27,4,0),"")</f>
        <v>P3</v>
      </c>
      <c r="C717" s="14" t="s">
        <v>420</v>
      </c>
      <c r="D717" s="12" t="s">
        <v>12</v>
      </c>
      <c r="E717" s="13" t="str">
        <f>IFERROR(VLOOKUP(D717,Sheet1!$B$1:$C$45,2,0),"")</f>
        <v>TE</v>
      </c>
      <c r="F717" s="12" t="s">
        <v>108</v>
      </c>
      <c r="G717" s="13" t="str">
        <f t="shared" si="3"/>
        <v>Barito Raya</v>
      </c>
      <c r="H717" s="15" t="str">
        <f>IFERROR(VLOOKUP(A717,Sheet1!$E$3:$F$27,2,),"")</f>
        <v>Preventive</v>
      </c>
      <c r="I717" s="16" t="str">
        <f>IFERROR(VLOOKUP(A717,Sheet1!$E$3:$G$27,3,0),"")</f>
        <v>Pengawalan akses Vendor</v>
      </c>
      <c r="J717" s="12" t="s">
        <v>112</v>
      </c>
      <c r="K717" s="17">
        <v>46035.0</v>
      </c>
      <c r="L717" s="17">
        <v>46035.0</v>
      </c>
      <c r="M717" s="12" t="s">
        <v>137</v>
      </c>
      <c r="N717" s="23"/>
      <c r="O717" s="22"/>
      <c r="P717" s="22"/>
    </row>
    <row r="718" ht="22.5" customHeight="1">
      <c r="A718" s="12" t="s">
        <v>5</v>
      </c>
      <c r="B718" s="20" t="str">
        <f>IFERROR(VLOOKUP(A718,Sheet1!$E$3:$H$27,4,0),"")</f>
        <v>P1</v>
      </c>
      <c r="C718" s="14" t="s">
        <v>336</v>
      </c>
      <c r="D718" s="12" t="s">
        <v>16</v>
      </c>
      <c r="E718" s="13" t="str">
        <f>IFERROR(VLOOKUP(D718,Sheet1!$B$1:$C$45,2,0),"")</f>
        <v>TE</v>
      </c>
      <c r="F718" s="12" t="s">
        <v>108</v>
      </c>
      <c r="G718" s="13" t="str">
        <f t="shared" si="3"/>
        <v>Barito Raya</v>
      </c>
      <c r="H718" s="15" t="str">
        <f>IFERROR(VLOOKUP(A718,Sheet1!$E$3:$F$27,2,),"")</f>
        <v>Corrective</v>
      </c>
      <c r="I718" s="16" t="str">
        <f>IFERROR(VLOOKUP(A718,Sheet1!$E$3:$G$27,3,0),"")</f>
        <v>Replace Optik,RRU/Soket Power/Replace GPS</v>
      </c>
      <c r="J718" s="12" t="s">
        <v>172</v>
      </c>
      <c r="K718" s="17">
        <v>46035.0</v>
      </c>
      <c r="L718" s="17">
        <v>46035.0</v>
      </c>
      <c r="M718" s="12" t="s">
        <v>137</v>
      </c>
      <c r="N718" s="23"/>
      <c r="O718" s="22"/>
      <c r="P718" s="22"/>
    </row>
    <row r="719" ht="22.5" customHeight="1">
      <c r="A719" s="12" t="s">
        <v>5</v>
      </c>
      <c r="B719" s="20" t="str">
        <f>IFERROR(VLOOKUP(A719,Sheet1!$E$3:$H$27,4,0),"")</f>
        <v>P1</v>
      </c>
      <c r="C719" s="14" t="s">
        <v>336</v>
      </c>
      <c r="D719" s="12" t="s">
        <v>21</v>
      </c>
      <c r="E719" s="13" t="str">
        <f>IFERROR(VLOOKUP(D719,Sheet1!$B$1:$C$45,2,0),"")</f>
        <v>TE</v>
      </c>
      <c r="F719" s="12" t="s">
        <v>108</v>
      </c>
      <c r="G719" s="13" t="str">
        <f t="shared" si="3"/>
        <v>Barito Raya</v>
      </c>
      <c r="H719" s="15" t="str">
        <f>IFERROR(VLOOKUP(A719,Sheet1!$E$3:$F$27,2,),"")</f>
        <v>Corrective</v>
      </c>
      <c r="I719" s="16" t="str">
        <f>IFERROR(VLOOKUP(A719,Sheet1!$E$3:$G$27,3,0),"")</f>
        <v>Replace Optik,RRU/Soket Power/Replace GPS</v>
      </c>
      <c r="J719" s="12" t="s">
        <v>172</v>
      </c>
      <c r="K719" s="17">
        <v>46035.0</v>
      </c>
      <c r="L719" s="17">
        <v>46035.0</v>
      </c>
      <c r="M719" s="12" t="s">
        <v>137</v>
      </c>
      <c r="N719" s="23"/>
      <c r="O719" s="22"/>
      <c r="P719" s="22"/>
    </row>
    <row r="720" ht="22.5" customHeight="1">
      <c r="A720" s="12" t="s">
        <v>65</v>
      </c>
      <c r="B720" s="20" t="str">
        <f>IFERROR(VLOOKUP(A720,Sheet1!$E$3:$H$27,4,0),"")</f>
        <v>P3</v>
      </c>
      <c r="C720" s="15"/>
      <c r="D720" s="12" t="s">
        <v>26</v>
      </c>
      <c r="E720" s="13" t="str">
        <f>IFERROR(VLOOKUP(D720,Sheet1!$B$1:$C$45,2,0),"")</f>
        <v>TE</v>
      </c>
      <c r="F720" s="12" t="s">
        <v>108</v>
      </c>
      <c r="G720" s="13" t="str">
        <f t="shared" si="3"/>
        <v>Barito Raya</v>
      </c>
      <c r="H720" s="15" t="str">
        <f>IFERROR(VLOOKUP(A720,Sheet1!$E$3:$F$27,2,),"")</f>
        <v>Standby</v>
      </c>
      <c r="I720" s="16" t="str">
        <f>IFERROR(VLOOKUP(A720,Sheet1!$E$3:$G$27,3,0),"")</f>
        <v>Standby On Call</v>
      </c>
      <c r="J720" s="20"/>
      <c r="K720" s="17">
        <v>46035.0</v>
      </c>
      <c r="L720" s="17">
        <v>46035.0</v>
      </c>
      <c r="M720" s="13"/>
      <c r="N720" s="23"/>
      <c r="O720" s="22"/>
      <c r="P720" s="22"/>
    </row>
    <row r="721" ht="22.5" customHeight="1">
      <c r="A721" s="12" t="s">
        <v>65</v>
      </c>
      <c r="B721" s="20" t="str">
        <f>IFERROR(VLOOKUP(A721,Sheet1!$E$3:$H$27,4,0),"")</f>
        <v>P3</v>
      </c>
      <c r="C721" s="15"/>
      <c r="D721" s="12" t="s">
        <v>88</v>
      </c>
      <c r="E721" s="13" t="str">
        <f>IFERROR(VLOOKUP(D721,Sheet1!$B$1:$C$45,2,0),"")</f>
        <v>TE</v>
      </c>
      <c r="F721" s="12" t="s">
        <v>108</v>
      </c>
      <c r="G721" s="13" t="str">
        <f t="shared" si="3"/>
        <v>Barito Raya</v>
      </c>
      <c r="H721" s="15" t="str">
        <f>IFERROR(VLOOKUP(A721,Sheet1!$E$3:$F$27,2,),"")</f>
        <v>Standby</v>
      </c>
      <c r="I721" s="16" t="str">
        <f>IFERROR(VLOOKUP(A721,Sheet1!$E$3:$G$27,3,0),"")</f>
        <v>Standby On Call</v>
      </c>
      <c r="J721" s="20"/>
      <c r="K721" s="17">
        <v>46035.0</v>
      </c>
      <c r="L721" s="17">
        <v>46035.0</v>
      </c>
      <c r="M721" s="13"/>
      <c r="N721" s="23"/>
      <c r="O721" s="22"/>
      <c r="P721" s="22"/>
    </row>
    <row r="722" ht="22.5" customHeight="1">
      <c r="A722" s="12" t="s">
        <v>72</v>
      </c>
      <c r="B722" s="20" t="str">
        <f>IFERROR(VLOOKUP(A722,Sheet1!$E$3:$H$27,4,0),"")</f>
        <v>P1</v>
      </c>
      <c r="C722" s="14" t="s">
        <v>421</v>
      </c>
      <c r="D722" s="12" t="s">
        <v>32</v>
      </c>
      <c r="E722" s="13" t="str">
        <f>IFERROR(VLOOKUP(D722,Sheet1!$B$1:$C$45,2,0),"")</f>
        <v>TE</v>
      </c>
      <c r="F722" s="12" t="s">
        <v>108</v>
      </c>
      <c r="G722" s="13" t="str">
        <f t="shared" si="3"/>
        <v>Barito Raya</v>
      </c>
      <c r="H722" s="15" t="str">
        <f>IFERROR(VLOOKUP(A722,Sheet1!$E$3:$F$27,2,),"")</f>
        <v>Corrective</v>
      </c>
      <c r="I722" s="16" t="str">
        <f>IFERROR(VLOOKUP(A722,Sheet1!$E$3:$G$27,3,0),"")</f>
        <v>Perbaikan Auto,pergantian relay,timer, yang berhubungan genset</v>
      </c>
      <c r="J722" s="12" t="s">
        <v>112</v>
      </c>
      <c r="K722" s="17">
        <v>46035.0</v>
      </c>
      <c r="L722" s="17">
        <v>46035.0</v>
      </c>
      <c r="M722" s="12" t="s">
        <v>137</v>
      </c>
      <c r="N722" s="23"/>
      <c r="O722" s="22"/>
      <c r="P722" s="22"/>
    </row>
    <row r="723" ht="22.5" customHeight="1">
      <c r="A723" s="12" t="s">
        <v>52</v>
      </c>
      <c r="B723" s="20" t="str">
        <f>IFERROR(VLOOKUP(A723,Sheet1!$E$3:$H$27,4,0),"")</f>
        <v>P1</v>
      </c>
      <c r="C723" s="14" t="s">
        <v>422</v>
      </c>
      <c r="D723" s="12" t="s">
        <v>74</v>
      </c>
      <c r="E723" s="13" t="str">
        <f>IFERROR(VLOOKUP(D723,Sheet1!$B$1:$C$45,2,0),"")</f>
        <v>TE</v>
      </c>
      <c r="F723" s="12" t="s">
        <v>108</v>
      </c>
      <c r="G723" s="13" t="str">
        <f t="shared" si="3"/>
        <v>Barito Raya</v>
      </c>
      <c r="H723" s="15" t="str">
        <f>IFERROR(VLOOKUP(A723,Sheet1!$E$3:$F$27,2,),"")</f>
        <v>Preventive</v>
      </c>
      <c r="I723" s="16" t="str">
        <f>IFERROR(VLOOKUP(A723,Sheet1!$E$3:$G$27,3,0),"")</f>
        <v>MCB trip/Power upnormal</v>
      </c>
      <c r="J723" s="12" t="s">
        <v>112</v>
      </c>
      <c r="K723" s="17">
        <v>46035.0</v>
      </c>
      <c r="L723" s="17">
        <v>46035.0</v>
      </c>
      <c r="M723" s="12" t="s">
        <v>137</v>
      </c>
      <c r="N723" s="23"/>
      <c r="O723" s="22"/>
      <c r="P723" s="22"/>
    </row>
    <row r="724" ht="22.5" customHeight="1">
      <c r="A724" s="12" t="s">
        <v>22</v>
      </c>
      <c r="B724" s="20" t="str">
        <f>IFERROR(VLOOKUP(A724,Sheet1!$E$3:$H$27,4,0),"")</f>
        <v>P2</v>
      </c>
      <c r="C724" s="15"/>
      <c r="D724" s="12" t="s">
        <v>60</v>
      </c>
      <c r="E724" s="13" t="str">
        <f>IFERROR(VLOOKUP(D724,Sheet1!$B$1:$C$45,2,0),"")</f>
        <v>TE</v>
      </c>
      <c r="F724" s="12" t="s">
        <v>108</v>
      </c>
      <c r="G724" s="13" t="str">
        <f t="shared" si="3"/>
        <v>Barito Raya</v>
      </c>
      <c r="H724" s="15" t="str">
        <f>IFERROR(VLOOKUP(A724,Sheet1!$E$3:$F$27,2,),"")</f>
        <v>Preventive</v>
      </c>
      <c r="I724" s="16" t="str">
        <f>IFERROR(VLOOKUP(A724,Sheet1!$E$3:$G$27,3,0),"")</f>
        <v>Preventive Maintenance</v>
      </c>
      <c r="J724" s="12" t="s">
        <v>112</v>
      </c>
      <c r="K724" s="17">
        <v>46035.0</v>
      </c>
      <c r="L724" s="17">
        <v>46035.0</v>
      </c>
      <c r="M724" s="12" t="s">
        <v>137</v>
      </c>
      <c r="N724" s="23"/>
      <c r="O724" s="22"/>
      <c r="P724" s="22"/>
    </row>
    <row r="725" ht="22.5" customHeight="1">
      <c r="A725" s="12" t="s">
        <v>14</v>
      </c>
      <c r="B725" s="20" t="str">
        <f>IFERROR(VLOOKUP(A725,Sheet1!$E$3:$H$27,4,0),"")</f>
        <v>P1</v>
      </c>
      <c r="C725" s="14" t="s">
        <v>423</v>
      </c>
      <c r="D725" s="12" t="s">
        <v>62</v>
      </c>
      <c r="E725" s="13" t="str">
        <f>IFERROR(VLOOKUP(D725,Sheet1!$B$1:$C$45,2,0),"")</f>
        <v>TE</v>
      </c>
      <c r="F725" s="12" t="s">
        <v>108</v>
      </c>
      <c r="G725" s="13" t="str">
        <f t="shared" si="3"/>
        <v>Barito Raya</v>
      </c>
      <c r="H725" s="15" t="str">
        <f>IFERROR(VLOOKUP(A725,Sheet1!$E$3:$F$27,2,),"")</f>
        <v>Corrective</v>
      </c>
      <c r="I725" s="16" t="str">
        <f>IFERROR(VLOOKUP(A725,Sheet1!$E$3:$G$27,3,0),"")</f>
        <v>Pemadaman,MCB Trip,Transmisi problem</v>
      </c>
      <c r="J725" s="12" t="s">
        <v>112</v>
      </c>
      <c r="K725" s="17">
        <v>46035.0</v>
      </c>
      <c r="L725" s="17">
        <v>46035.0</v>
      </c>
      <c r="M725" s="12" t="s">
        <v>137</v>
      </c>
      <c r="N725" s="23"/>
      <c r="O725" s="22"/>
      <c r="P725" s="22"/>
    </row>
    <row r="726" ht="22.5" customHeight="1">
      <c r="A726" s="12" t="s">
        <v>65</v>
      </c>
      <c r="B726" s="20" t="str">
        <f>IFERROR(VLOOKUP(A726,Sheet1!$E$3:$H$27,4,0),"")</f>
        <v>P3</v>
      </c>
      <c r="C726" s="15"/>
      <c r="D726" s="12" t="s">
        <v>9</v>
      </c>
      <c r="E726" s="13" t="str">
        <f>IFERROR(VLOOKUP(D726,Sheet1!$B$1:$C$45,2,0),"")</f>
        <v>MBP</v>
      </c>
      <c r="F726" s="12" t="s">
        <v>108</v>
      </c>
      <c r="G726" s="13" t="str">
        <f t="shared" si="3"/>
        <v>Barito Raya</v>
      </c>
      <c r="H726" s="15" t="str">
        <f>IFERROR(VLOOKUP(A726,Sheet1!$E$3:$F$27,2,),"")</f>
        <v>Standby</v>
      </c>
      <c r="I726" s="16" t="str">
        <f>IFERROR(VLOOKUP(A726,Sheet1!$E$3:$G$27,3,0),"")</f>
        <v>Standby On Call</v>
      </c>
      <c r="J726" s="20"/>
      <c r="K726" s="17">
        <v>46035.0</v>
      </c>
      <c r="L726" s="17">
        <v>46035.0</v>
      </c>
      <c r="M726" s="13"/>
      <c r="N726" s="23"/>
      <c r="O726" s="22"/>
      <c r="P726" s="22"/>
    </row>
    <row r="727" ht="22.5" customHeight="1">
      <c r="A727" s="12" t="s">
        <v>65</v>
      </c>
      <c r="B727" s="20" t="str">
        <f>IFERROR(VLOOKUP(A727,Sheet1!$E$3:$H$27,4,0),"")</f>
        <v>P3</v>
      </c>
      <c r="C727" s="15"/>
      <c r="D727" s="12" t="s">
        <v>4</v>
      </c>
      <c r="E727" s="13" t="str">
        <f>IFERROR(VLOOKUP(D727,Sheet1!$B$1:$C$45,2,0),"")</f>
        <v>CME</v>
      </c>
      <c r="F727" s="12" t="s">
        <v>108</v>
      </c>
      <c r="G727" s="13" t="str">
        <f t="shared" si="3"/>
        <v>Barito Raya</v>
      </c>
      <c r="H727" s="15" t="str">
        <f>IFERROR(VLOOKUP(A727,Sheet1!$E$3:$F$27,2,),"")</f>
        <v>Standby</v>
      </c>
      <c r="I727" s="16" t="str">
        <f>IFERROR(VLOOKUP(A727,Sheet1!$E$3:$G$27,3,0),"")</f>
        <v>Standby On Call</v>
      </c>
      <c r="J727" s="20"/>
      <c r="K727" s="17">
        <v>46035.0</v>
      </c>
      <c r="L727" s="17">
        <v>46035.0</v>
      </c>
      <c r="M727" s="13"/>
      <c r="N727" s="23"/>
      <c r="O727" s="22"/>
      <c r="P727" s="22"/>
    </row>
    <row r="728" ht="22.5" customHeight="1">
      <c r="A728" s="12" t="s">
        <v>65</v>
      </c>
      <c r="B728" s="20" t="str">
        <f>IFERROR(VLOOKUP(A728,Sheet1!$E$3:$H$27,4,0),"")</f>
        <v>P3</v>
      </c>
      <c r="C728" s="15"/>
      <c r="D728" s="12" t="s">
        <v>87</v>
      </c>
      <c r="E728" s="13" t="str">
        <f>IFERROR(VLOOKUP(D728,Sheet1!$B$1:$C$45,2,0),"")</f>
        <v>MBP</v>
      </c>
      <c r="F728" s="12" t="s">
        <v>108</v>
      </c>
      <c r="G728" s="13" t="str">
        <f t="shared" si="3"/>
        <v>Barito Raya</v>
      </c>
      <c r="H728" s="15" t="str">
        <f>IFERROR(VLOOKUP(A728,Sheet1!$E$3:$F$27,2,),"")</f>
        <v>Standby</v>
      </c>
      <c r="I728" s="16" t="str">
        <f>IFERROR(VLOOKUP(A728,Sheet1!$E$3:$G$27,3,0),"")</f>
        <v>Standby On Call</v>
      </c>
      <c r="J728" s="20"/>
      <c r="K728" s="17">
        <v>46035.0</v>
      </c>
      <c r="L728" s="17">
        <v>46035.0</v>
      </c>
      <c r="M728" s="13"/>
      <c r="N728" s="23"/>
      <c r="O728" s="22"/>
      <c r="P728" s="22"/>
    </row>
    <row r="729" ht="22.5" customHeight="1">
      <c r="A729" s="12" t="s">
        <v>65</v>
      </c>
      <c r="B729" s="20" t="str">
        <f>IFERROR(VLOOKUP(A729,Sheet1!$E$3:$H$27,4,0),"")</f>
        <v>P3</v>
      </c>
      <c r="C729" s="15"/>
      <c r="D729" s="12" t="s">
        <v>29</v>
      </c>
      <c r="E729" s="13" t="str">
        <f>IFERROR(VLOOKUP(D729,Sheet1!$B$1:$C$45,2,0),"")</f>
        <v>MBP</v>
      </c>
      <c r="F729" s="12" t="s">
        <v>108</v>
      </c>
      <c r="G729" s="13" t="str">
        <f t="shared" si="3"/>
        <v>Barito Raya</v>
      </c>
      <c r="H729" s="15" t="str">
        <f>IFERROR(VLOOKUP(A729,Sheet1!$E$3:$F$27,2,),"")</f>
        <v>Standby</v>
      </c>
      <c r="I729" s="16" t="str">
        <f>IFERROR(VLOOKUP(A729,Sheet1!$E$3:$G$27,3,0),"")</f>
        <v>Standby On Call</v>
      </c>
      <c r="J729" s="20"/>
      <c r="K729" s="17">
        <v>46035.0</v>
      </c>
      <c r="L729" s="17">
        <v>46035.0</v>
      </c>
      <c r="M729" s="13"/>
      <c r="N729" s="23"/>
      <c r="O729" s="22"/>
      <c r="P729" s="22"/>
    </row>
    <row r="730" ht="22.5" customHeight="1">
      <c r="A730" s="12" t="s">
        <v>65</v>
      </c>
      <c r="B730" s="20" t="str">
        <f>IFERROR(VLOOKUP(A730,Sheet1!$E$3:$H$27,4,0),"")</f>
        <v>P3</v>
      </c>
      <c r="C730" s="15"/>
      <c r="D730" s="12" t="s">
        <v>2</v>
      </c>
      <c r="E730" s="13" t="str">
        <f>IFERROR(VLOOKUP(D730,Sheet1!$B$1:$C$45,2,0),"")</f>
        <v>CME</v>
      </c>
      <c r="F730" s="12" t="s">
        <v>108</v>
      </c>
      <c r="G730" s="13" t="str">
        <f t="shared" si="3"/>
        <v>Barito Raya</v>
      </c>
      <c r="H730" s="15" t="str">
        <f>IFERROR(VLOOKUP(A730,Sheet1!$E$3:$F$27,2,),"")</f>
        <v>Standby</v>
      </c>
      <c r="I730" s="16" t="str">
        <f>IFERROR(VLOOKUP(A730,Sheet1!$E$3:$G$27,3,0),"")</f>
        <v>Standby On Call</v>
      </c>
      <c r="J730" s="20"/>
      <c r="K730" s="17">
        <v>46035.0</v>
      </c>
      <c r="L730" s="17">
        <v>46035.0</v>
      </c>
      <c r="M730" s="13"/>
      <c r="N730" s="23"/>
      <c r="O730" s="22"/>
      <c r="P730" s="22"/>
    </row>
    <row r="731" ht="22.5" customHeight="1">
      <c r="A731" s="12" t="s">
        <v>52</v>
      </c>
      <c r="B731" s="20" t="str">
        <f>IFERROR(VLOOKUP(A731,Sheet1!$E$3:$H$27,4,0),"")</f>
        <v>P1</v>
      </c>
      <c r="C731" s="14" t="s">
        <v>424</v>
      </c>
      <c r="D731" s="12" t="s">
        <v>0</v>
      </c>
      <c r="E731" s="13" t="str">
        <f>IFERROR(VLOOKUP(D731,Sheet1!$B$1:$C$45,2,0),"")</f>
        <v>MBP</v>
      </c>
      <c r="F731" s="12" t="s">
        <v>108</v>
      </c>
      <c r="G731" s="13" t="str">
        <f t="shared" si="3"/>
        <v>Barito Raya</v>
      </c>
      <c r="H731" s="15" t="str">
        <f>IFERROR(VLOOKUP(A731,Sheet1!$E$3:$F$27,2,),"")</f>
        <v>Preventive</v>
      </c>
      <c r="I731" s="16" t="str">
        <f>IFERROR(VLOOKUP(A731,Sheet1!$E$3:$G$27,3,0),"")</f>
        <v>MCB trip/Power upnormal</v>
      </c>
      <c r="J731" s="12" t="s">
        <v>112</v>
      </c>
      <c r="K731" s="17">
        <v>46035.0</v>
      </c>
      <c r="L731" s="17">
        <v>46035.0</v>
      </c>
      <c r="M731" s="12" t="s">
        <v>137</v>
      </c>
      <c r="N731" s="23"/>
      <c r="O731" s="22"/>
      <c r="P731" s="22"/>
    </row>
    <row r="732" ht="22.5" customHeight="1">
      <c r="A732" s="12" t="s">
        <v>22</v>
      </c>
      <c r="B732" s="20" t="str">
        <f>IFERROR(VLOOKUP(A732,Sheet1!$E$3:$H$27,4,0),"")</f>
        <v>P2</v>
      </c>
      <c r="C732" s="15"/>
      <c r="D732" s="12" t="s">
        <v>85</v>
      </c>
      <c r="E732" s="13" t="str">
        <f>IFERROR(VLOOKUP(D732,Sheet1!$B$1:$C$45,2,0),"")</f>
        <v>PM</v>
      </c>
      <c r="F732" s="12" t="s">
        <v>108</v>
      </c>
      <c r="G732" s="13" t="str">
        <f t="shared" si="3"/>
        <v>Barito Raya</v>
      </c>
      <c r="H732" s="15" t="str">
        <f>IFERROR(VLOOKUP(A732,Sheet1!$E$3:$F$27,2,),"")</f>
        <v>Preventive</v>
      </c>
      <c r="I732" s="16" t="str">
        <f>IFERROR(VLOOKUP(A732,Sheet1!$E$3:$G$27,3,0),"")</f>
        <v>Preventive Maintenance</v>
      </c>
      <c r="J732" s="12" t="s">
        <v>112</v>
      </c>
      <c r="K732" s="17">
        <v>46035.0</v>
      </c>
      <c r="L732" s="17">
        <v>46035.0</v>
      </c>
      <c r="M732" s="12" t="s">
        <v>137</v>
      </c>
      <c r="N732" s="23"/>
      <c r="O732" s="22"/>
      <c r="P732" s="22"/>
    </row>
    <row r="733" ht="22.5" customHeight="1">
      <c r="A733" s="12" t="s">
        <v>22</v>
      </c>
      <c r="B733" s="20" t="str">
        <f>IFERROR(VLOOKUP(A733,Sheet1!$E$3:$H$27,4,0),"")</f>
        <v>P2</v>
      </c>
      <c r="C733" s="15"/>
      <c r="D733" s="12" t="s">
        <v>84</v>
      </c>
      <c r="E733" s="13" t="str">
        <f>IFERROR(VLOOKUP(D733,Sheet1!$B$1:$C$45,2,0),"")</f>
        <v>MBP</v>
      </c>
      <c r="F733" s="12" t="s">
        <v>108</v>
      </c>
      <c r="G733" s="13" t="str">
        <f t="shared" si="3"/>
        <v>Barito Raya</v>
      </c>
      <c r="H733" s="15" t="str">
        <f>IFERROR(VLOOKUP(A733,Sheet1!$E$3:$F$27,2,),"")</f>
        <v>Preventive</v>
      </c>
      <c r="I733" s="16" t="str">
        <f>IFERROR(VLOOKUP(A733,Sheet1!$E$3:$G$27,3,0),"")</f>
        <v>Preventive Maintenance</v>
      </c>
      <c r="J733" s="12" t="s">
        <v>112</v>
      </c>
      <c r="K733" s="17">
        <v>46035.0</v>
      </c>
      <c r="L733" s="17">
        <v>46035.0</v>
      </c>
      <c r="M733" s="12" t="s">
        <v>137</v>
      </c>
      <c r="N733" s="23"/>
      <c r="O733" s="22"/>
      <c r="P733" s="22"/>
    </row>
    <row r="734" ht="22.5" customHeight="1">
      <c r="A734" s="12" t="s">
        <v>22</v>
      </c>
      <c r="B734" s="20" t="str">
        <f>IFERROR(VLOOKUP(A734,Sheet1!$E$3:$H$27,4,0),"")</f>
        <v>P2</v>
      </c>
      <c r="C734" s="14" t="s">
        <v>425</v>
      </c>
      <c r="D734" s="12" t="s">
        <v>86</v>
      </c>
      <c r="E734" s="13" t="str">
        <f>IFERROR(VLOOKUP(D734,Sheet1!$B$1:$C$45,2,0),"")</f>
        <v>PM</v>
      </c>
      <c r="F734" s="12" t="s">
        <v>108</v>
      </c>
      <c r="G734" s="13" t="str">
        <f t="shared" si="3"/>
        <v>Barito Raya</v>
      </c>
      <c r="H734" s="15" t="str">
        <f>IFERROR(VLOOKUP(A734,Sheet1!$E$3:$F$27,2,),"")</f>
        <v>Preventive</v>
      </c>
      <c r="I734" s="16" t="str">
        <f>IFERROR(VLOOKUP(A734,Sheet1!$E$3:$G$27,3,0),"")</f>
        <v>Preventive Maintenance</v>
      </c>
      <c r="J734" s="12" t="s">
        <v>112</v>
      </c>
      <c r="K734" s="17">
        <v>46035.0</v>
      </c>
      <c r="L734" s="17">
        <v>46035.0</v>
      </c>
      <c r="M734" s="12" t="s">
        <v>137</v>
      </c>
      <c r="N734" s="23"/>
      <c r="O734" s="22"/>
      <c r="P734" s="22"/>
    </row>
    <row r="735" ht="22.5" customHeight="1">
      <c r="A735" s="12" t="s">
        <v>5</v>
      </c>
      <c r="B735" s="20" t="str">
        <f>IFERROR(VLOOKUP(A735,Sheet1!$E$3:$H$27,4,0),"")</f>
        <v>P1</v>
      </c>
      <c r="C735" s="14" t="s">
        <v>401</v>
      </c>
      <c r="D735" s="12" t="s">
        <v>76</v>
      </c>
      <c r="E735" s="13" t="str">
        <f>IFERROR(VLOOKUP(D735,Sheet1!$B$1:$C$45,2,0),"")</f>
        <v>TE</v>
      </c>
      <c r="F735" s="12" t="s">
        <v>179</v>
      </c>
      <c r="G735" s="13" t="str">
        <f t="shared" si="3"/>
        <v>Palangkaraya</v>
      </c>
      <c r="H735" s="15" t="str">
        <f>IFERROR(VLOOKUP(A735,Sheet1!$E$3:$F$27,2,),"")</f>
        <v>Corrective</v>
      </c>
      <c r="I735" s="16" t="str">
        <f>IFERROR(VLOOKUP(A735,Sheet1!$E$3:$G$27,3,0),"")</f>
        <v>Replace Optik,RRU/Soket Power/Replace GPS</v>
      </c>
      <c r="J735" s="12" t="s">
        <v>112</v>
      </c>
      <c r="K735" s="17">
        <v>46035.0</v>
      </c>
      <c r="L735" s="17">
        <v>46035.0</v>
      </c>
      <c r="M735" s="12" t="s">
        <v>109</v>
      </c>
      <c r="N735" s="23"/>
      <c r="O735" s="22"/>
      <c r="P735" s="22"/>
    </row>
    <row r="736" ht="22.5" customHeight="1">
      <c r="A736" s="12" t="s">
        <v>14</v>
      </c>
      <c r="B736" s="20" t="str">
        <f>IFERROR(VLOOKUP(A736,Sheet1!$E$3:$H$27,4,0),"")</f>
        <v>P1</v>
      </c>
      <c r="C736" s="14" t="s">
        <v>363</v>
      </c>
      <c r="D736" s="12" t="s">
        <v>42</v>
      </c>
      <c r="E736" s="13" t="str">
        <f>IFERROR(VLOOKUP(D736,Sheet1!$B$1:$C$45,2,0),"")</f>
        <v>TE</v>
      </c>
      <c r="F736" s="12" t="s">
        <v>179</v>
      </c>
      <c r="G736" s="13" t="str">
        <f t="shared" si="3"/>
        <v>Palangkaraya</v>
      </c>
      <c r="H736" s="15" t="str">
        <f>IFERROR(VLOOKUP(A736,Sheet1!$E$3:$F$27,2,),"")</f>
        <v>Corrective</v>
      </c>
      <c r="I736" s="16" t="str">
        <f>IFERROR(VLOOKUP(A736,Sheet1!$E$3:$G$27,3,0),"")</f>
        <v>Pemadaman,MCB Trip,Transmisi problem</v>
      </c>
      <c r="J736" s="12" t="s">
        <v>112</v>
      </c>
      <c r="K736" s="17">
        <v>46035.0</v>
      </c>
      <c r="L736" s="17">
        <v>46035.0</v>
      </c>
      <c r="M736" s="12" t="s">
        <v>109</v>
      </c>
      <c r="N736" s="23"/>
      <c r="O736" s="22"/>
      <c r="P736" s="22"/>
    </row>
    <row r="737" ht="22.5" customHeight="1">
      <c r="A737" s="12" t="s">
        <v>5</v>
      </c>
      <c r="B737" s="20" t="str">
        <f>IFERROR(VLOOKUP(A737,Sheet1!$E$3:$H$27,4,0),"")</f>
        <v>P1</v>
      </c>
      <c r="C737" s="14" t="s">
        <v>198</v>
      </c>
      <c r="D737" s="12" t="s">
        <v>80</v>
      </c>
      <c r="E737" s="13" t="str">
        <f>IFERROR(VLOOKUP(D737,Sheet1!$B$1:$C$45,2,0),"")</f>
        <v>TE</v>
      </c>
      <c r="F737" s="12" t="s">
        <v>179</v>
      </c>
      <c r="G737" s="13" t="str">
        <f t="shared" si="3"/>
        <v>Palangkaraya</v>
      </c>
      <c r="H737" s="15" t="str">
        <f>IFERROR(VLOOKUP(A737,Sheet1!$E$3:$F$27,2,),"")</f>
        <v>Corrective</v>
      </c>
      <c r="I737" s="16" t="str">
        <f>IFERROR(VLOOKUP(A737,Sheet1!$E$3:$G$27,3,0),"")</f>
        <v>Replace Optik,RRU/Soket Power/Replace GPS</v>
      </c>
      <c r="J737" s="12" t="s">
        <v>112</v>
      </c>
      <c r="K737" s="17">
        <v>46035.0</v>
      </c>
      <c r="L737" s="17">
        <v>46035.0</v>
      </c>
      <c r="M737" s="12" t="s">
        <v>109</v>
      </c>
      <c r="N737" s="23"/>
      <c r="O737" s="22"/>
      <c r="P737" s="22"/>
    </row>
    <row r="738" ht="22.5" customHeight="1">
      <c r="A738" s="12" t="s">
        <v>5</v>
      </c>
      <c r="B738" s="20" t="str">
        <f>IFERROR(VLOOKUP(A738,Sheet1!$E$3:$H$27,4,0),"")</f>
        <v>P1</v>
      </c>
      <c r="C738" s="14" t="s">
        <v>401</v>
      </c>
      <c r="D738" s="12" t="s">
        <v>78</v>
      </c>
      <c r="E738" s="13" t="str">
        <f>IFERROR(VLOOKUP(D738,Sheet1!$B$1:$C$45,2,0),"")</f>
        <v>TE</v>
      </c>
      <c r="F738" s="12" t="s">
        <v>179</v>
      </c>
      <c r="G738" s="13" t="str">
        <f t="shared" si="3"/>
        <v>Palangkaraya</v>
      </c>
      <c r="H738" s="15" t="str">
        <f>IFERROR(VLOOKUP(A738,Sheet1!$E$3:$F$27,2,),"")</f>
        <v>Corrective</v>
      </c>
      <c r="I738" s="16" t="str">
        <f>IFERROR(VLOOKUP(A738,Sheet1!$E$3:$G$27,3,0),"")</f>
        <v>Replace Optik,RRU/Soket Power/Replace GPS</v>
      </c>
      <c r="J738" s="12" t="s">
        <v>112</v>
      </c>
      <c r="K738" s="17">
        <v>46035.0</v>
      </c>
      <c r="L738" s="17">
        <v>46035.0</v>
      </c>
      <c r="M738" s="12" t="s">
        <v>109</v>
      </c>
      <c r="N738" s="23"/>
      <c r="O738" s="22"/>
      <c r="P738" s="22"/>
    </row>
    <row r="739" ht="22.5" customHeight="1">
      <c r="A739" s="12" t="s">
        <v>5</v>
      </c>
      <c r="B739" s="20" t="str">
        <f>IFERROR(VLOOKUP(A739,Sheet1!$E$3:$H$27,4,0),"")</f>
        <v>P1</v>
      </c>
      <c r="C739" s="14" t="s">
        <v>363</v>
      </c>
      <c r="D739" s="12" t="s">
        <v>77</v>
      </c>
      <c r="E739" s="13" t="str">
        <f>IFERROR(VLOOKUP(D739,Sheet1!$B$1:$C$45,2,0),"")</f>
        <v>TE</v>
      </c>
      <c r="F739" s="12" t="s">
        <v>179</v>
      </c>
      <c r="G739" s="13" t="str">
        <f t="shared" si="3"/>
        <v>Palangkaraya</v>
      </c>
      <c r="H739" s="15" t="str">
        <f>IFERROR(VLOOKUP(A739,Sheet1!$E$3:$F$27,2,),"")</f>
        <v>Corrective</v>
      </c>
      <c r="I739" s="16" t="str">
        <f>IFERROR(VLOOKUP(A739,Sheet1!$E$3:$G$27,3,0),"")</f>
        <v>Replace Optik,RRU/Soket Power/Replace GPS</v>
      </c>
      <c r="J739" s="12" t="s">
        <v>112</v>
      </c>
      <c r="K739" s="17">
        <v>46035.0</v>
      </c>
      <c r="L739" s="17">
        <v>46035.0</v>
      </c>
      <c r="M739" s="12" t="s">
        <v>109</v>
      </c>
      <c r="N739" s="23"/>
      <c r="O739" s="22"/>
      <c r="P739" s="22"/>
    </row>
    <row r="740" ht="22.5" customHeight="1">
      <c r="A740" s="12" t="s">
        <v>33</v>
      </c>
      <c r="B740" s="20" t="str">
        <f>IFERROR(VLOOKUP(A740,Sheet1!$E$3:$H$27,4,0),"")</f>
        <v>P2</v>
      </c>
      <c r="C740" s="14" t="s">
        <v>419</v>
      </c>
      <c r="D740" s="12" t="s">
        <v>37</v>
      </c>
      <c r="E740" s="13" t="str">
        <f>IFERROR(VLOOKUP(D740,Sheet1!$B$1:$C$45,2,0),"")</f>
        <v>TE</v>
      </c>
      <c r="F740" s="12" t="s">
        <v>179</v>
      </c>
      <c r="G740" s="13" t="str">
        <f t="shared" si="3"/>
        <v>Palangkaraya</v>
      </c>
      <c r="H740" s="15" t="str">
        <f>IFERROR(VLOOKUP(A740,Sheet1!$E$3:$F$27,2,),"")</f>
        <v>Preventive</v>
      </c>
      <c r="I740" s="16" t="str">
        <f>IFERROR(VLOOKUP(A740,Sheet1!$E$3:$G$27,3,0),"")</f>
        <v>Pengukuran dan pengambilan data log serta input Gdoc BBT</v>
      </c>
      <c r="J740" s="12" t="s">
        <v>112</v>
      </c>
      <c r="K740" s="17">
        <v>46035.0</v>
      </c>
      <c r="L740" s="17">
        <v>46035.0</v>
      </c>
      <c r="M740" s="12" t="s">
        <v>109</v>
      </c>
      <c r="N740" s="23"/>
      <c r="O740" s="22"/>
      <c r="P740" s="22"/>
    </row>
    <row r="741" ht="22.5" customHeight="1">
      <c r="A741" s="12" t="s">
        <v>14</v>
      </c>
      <c r="B741" s="20" t="str">
        <f>IFERROR(VLOOKUP(A741,Sheet1!$E$3:$H$27,4,0),"")</f>
        <v>P1</v>
      </c>
      <c r="C741" s="14" t="s">
        <v>402</v>
      </c>
      <c r="D741" s="12" t="s">
        <v>51</v>
      </c>
      <c r="E741" s="13" t="str">
        <f>IFERROR(VLOOKUP(D741,Sheet1!$B$1:$C$45,2,0),"")</f>
        <v>TE</v>
      </c>
      <c r="F741" s="12" t="s">
        <v>179</v>
      </c>
      <c r="G741" s="13" t="str">
        <f t="shared" si="3"/>
        <v>Palangkaraya</v>
      </c>
      <c r="H741" s="15" t="str">
        <f>IFERROR(VLOOKUP(A741,Sheet1!$E$3:$F$27,2,),"")</f>
        <v>Corrective</v>
      </c>
      <c r="I741" s="16" t="str">
        <f>IFERROR(VLOOKUP(A741,Sheet1!$E$3:$G$27,3,0),"")</f>
        <v>Pemadaman,MCB Trip,Transmisi problem</v>
      </c>
      <c r="J741" s="12" t="s">
        <v>112</v>
      </c>
      <c r="K741" s="17">
        <v>46035.0</v>
      </c>
      <c r="L741" s="17">
        <v>46035.0</v>
      </c>
      <c r="M741" s="12" t="s">
        <v>122</v>
      </c>
      <c r="N741" s="23"/>
      <c r="O741" s="22"/>
      <c r="P741" s="22"/>
    </row>
    <row r="742" ht="22.5" customHeight="1">
      <c r="A742" s="12" t="s">
        <v>14</v>
      </c>
      <c r="B742" s="20" t="str">
        <f>IFERROR(VLOOKUP(A742,Sheet1!$E$3:$H$27,4,0),"")</f>
        <v>P1</v>
      </c>
      <c r="C742" s="14" t="s">
        <v>402</v>
      </c>
      <c r="D742" s="12" t="s">
        <v>79</v>
      </c>
      <c r="E742" s="13" t="str">
        <f>IFERROR(VLOOKUP(D742,Sheet1!$B$1:$C$45,2,0),"")</f>
        <v>TE</v>
      </c>
      <c r="F742" s="12" t="s">
        <v>179</v>
      </c>
      <c r="G742" s="13" t="str">
        <f t="shared" si="3"/>
        <v>Palangkaraya</v>
      </c>
      <c r="H742" s="15" t="str">
        <f>IFERROR(VLOOKUP(A742,Sheet1!$E$3:$F$27,2,),"")</f>
        <v>Corrective</v>
      </c>
      <c r="I742" s="16" t="str">
        <f>IFERROR(VLOOKUP(A742,Sheet1!$E$3:$G$27,3,0),"")</f>
        <v>Pemadaman,MCB Trip,Transmisi problem</v>
      </c>
      <c r="J742" s="12" t="s">
        <v>112</v>
      </c>
      <c r="K742" s="17">
        <v>46035.0</v>
      </c>
      <c r="L742" s="17">
        <v>46035.0</v>
      </c>
      <c r="M742" s="12" t="s">
        <v>122</v>
      </c>
      <c r="N742" s="23"/>
      <c r="O742" s="22"/>
      <c r="P742" s="22"/>
    </row>
    <row r="743" ht="22.5" customHeight="1">
      <c r="A743" s="12" t="s">
        <v>5</v>
      </c>
      <c r="B743" s="20" t="str">
        <f>IFERROR(VLOOKUP(A743,Sheet1!$E$3:$H$27,4,0),"")</f>
        <v>P1</v>
      </c>
      <c r="C743" s="14" t="s">
        <v>302</v>
      </c>
      <c r="D743" s="12" t="s">
        <v>71</v>
      </c>
      <c r="E743" s="13" t="str">
        <f>IFERROR(VLOOKUP(D743,Sheet1!$B$1:$C$45,2,0),"")</f>
        <v>TE</v>
      </c>
      <c r="F743" s="12" t="s">
        <v>179</v>
      </c>
      <c r="G743" s="13" t="str">
        <f t="shared" si="3"/>
        <v>Palangkaraya</v>
      </c>
      <c r="H743" s="15" t="str">
        <f>IFERROR(VLOOKUP(A743,Sheet1!$E$3:$F$27,2,),"")</f>
        <v>Corrective</v>
      </c>
      <c r="I743" s="16" t="str">
        <f>IFERROR(VLOOKUP(A743,Sheet1!$E$3:$G$27,3,0),"")</f>
        <v>Replace Optik,RRU/Soket Power/Replace GPS</v>
      </c>
      <c r="J743" s="12" t="s">
        <v>112</v>
      </c>
      <c r="K743" s="17">
        <v>46035.0</v>
      </c>
      <c r="L743" s="17">
        <v>46035.0</v>
      </c>
      <c r="M743" s="12" t="s">
        <v>122</v>
      </c>
      <c r="N743" s="23"/>
      <c r="O743" s="22"/>
      <c r="P743" s="22"/>
    </row>
    <row r="744" ht="22.5" customHeight="1">
      <c r="A744" s="12" t="s">
        <v>5</v>
      </c>
      <c r="B744" s="20" t="str">
        <f>IFERROR(VLOOKUP(A744,Sheet1!$E$3:$H$27,4,0),"")</f>
        <v>P1</v>
      </c>
      <c r="C744" s="14" t="s">
        <v>302</v>
      </c>
      <c r="D744" s="12" t="s">
        <v>69</v>
      </c>
      <c r="E744" s="13" t="str">
        <f>IFERROR(VLOOKUP(D744,Sheet1!$B$1:$C$45,2,0),"")</f>
        <v>TE</v>
      </c>
      <c r="F744" s="12" t="s">
        <v>179</v>
      </c>
      <c r="G744" s="13" t="str">
        <f t="shared" si="3"/>
        <v>Palangkaraya</v>
      </c>
      <c r="H744" s="15" t="str">
        <f>IFERROR(VLOOKUP(A744,Sheet1!$E$3:$F$27,2,),"")</f>
        <v>Corrective</v>
      </c>
      <c r="I744" s="16" t="str">
        <f>IFERROR(VLOOKUP(A744,Sheet1!$E$3:$G$27,3,0),"")</f>
        <v>Replace Optik,RRU/Soket Power/Replace GPS</v>
      </c>
      <c r="J744" s="12" t="s">
        <v>112</v>
      </c>
      <c r="K744" s="17">
        <v>46035.0</v>
      </c>
      <c r="L744" s="17">
        <v>46035.0</v>
      </c>
      <c r="M744" s="12" t="s">
        <v>122</v>
      </c>
      <c r="N744" s="23"/>
      <c r="O744" s="22"/>
      <c r="P744" s="22"/>
    </row>
    <row r="745" ht="22.5" customHeight="1">
      <c r="A745" s="12" t="s">
        <v>5</v>
      </c>
      <c r="B745" s="20" t="str">
        <f>IFERROR(VLOOKUP(A745,Sheet1!$E$3:$H$27,4,0),"")</f>
        <v>P1</v>
      </c>
      <c r="C745" s="14" t="s">
        <v>268</v>
      </c>
      <c r="D745" s="12" t="s">
        <v>91</v>
      </c>
      <c r="E745" s="13" t="str">
        <f>IFERROR(VLOOKUP(D745,Sheet1!$B$1:$C$45,2,0),"")</f>
        <v>TE</v>
      </c>
      <c r="F745" s="12" t="s">
        <v>179</v>
      </c>
      <c r="G745" s="13" t="str">
        <f t="shared" si="3"/>
        <v>Palangkaraya</v>
      </c>
      <c r="H745" s="15" t="str">
        <f>IFERROR(VLOOKUP(A745,Sheet1!$E$3:$F$27,2,),"")</f>
        <v>Corrective</v>
      </c>
      <c r="I745" s="16" t="str">
        <f>IFERROR(VLOOKUP(A745,Sheet1!$E$3:$G$27,3,0),"")</f>
        <v>Replace Optik,RRU/Soket Power/Replace GPS</v>
      </c>
      <c r="J745" s="12" t="s">
        <v>112</v>
      </c>
      <c r="K745" s="17">
        <v>46035.0</v>
      </c>
      <c r="L745" s="17">
        <v>46035.0</v>
      </c>
      <c r="M745" s="12" t="s">
        <v>122</v>
      </c>
      <c r="N745" s="23"/>
      <c r="O745" s="22"/>
      <c r="P745" s="22"/>
    </row>
    <row r="746" ht="22.5" customHeight="1">
      <c r="A746" s="12" t="s">
        <v>52</v>
      </c>
      <c r="B746" s="20" t="str">
        <f>IFERROR(VLOOKUP(A746,Sheet1!$E$3:$H$27,4,0),"")</f>
        <v>P1</v>
      </c>
      <c r="C746" s="14" t="s">
        <v>415</v>
      </c>
      <c r="D746" s="12" t="s">
        <v>58</v>
      </c>
      <c r="E746" s="13" t="str">
        <f>IFERROR(VLOOKUP(D746,Sheet1!$B$1:$C$45,2,0),"")</f>
        <v>TE</v>
      </c>
      <c r="F746" s="12" t="s">
        <v>179</v>
      </c>
      <c r="G746" s="13" t="str">
        <f t="shared" si="3"/>
        <v>Palangkaraya</v>
      </c>
      <c r="H746" s="15" t="str">
        <f>IFERROR(VLOOKUP(A746,Sheet1!$E$3:$F$27,2,),"")</f>
        <v>Preventive</v>
      </c>
      <c r="I746" s="16" t="str">
        <f>IFERROR(VLOOKUP(A746,Sheet1!$E$3:$G$27,3,0),"")</f>
        <v>MCB trip/Power upnormal</v>
      </c>
      <c r="J746" s="12" t="s">
        <v>112</v>
      </c>
      <c r="K746" s="17">
        <v>46035.0</v>
      </c>
      <c r="L746" s="17">
        <v>46035.0</v>
      </c>
      <c r="M746" s="12" t="s">
        <v>109</v>
      </c>
      <c r="N746" s="23"/>
      <c r="O746" s="22"/>
      <c r="P746" s="22"/>
    </row>
    <row r="747" ht="22.5" customHeight="1">
      <c r="A747" s="12" t="s">
        <v>72</v>
      </c>
      <c r="B747" s="20" t="str">
        <f>IFERROR(VLOOKUP(A747,Sheet1!$E$3:$H$27,4,0),"")</f>
        <v>P1</v>
      </c>
      <c r="C747" s="14" t="s">
        <v>217</v>
      </c>
      <c r="D747" s="12" t="s">
        <v>56</v>
      </c>
      <c r="E747" s="13" t="str">
        <f>IFERROR(VLOOKUP(D747,Sheet1!$B$1:$C$45,2,0),"")</f>
        <v>TE</v>
      </c>
      <c r="F747" s="12" t="s">
        <v>179</v>
      </c>
      <c r="G747" s="13" t="str">
        <f t="shared" si="3"/>
        <v>Palangkaraya</v>
      </c>
      <c r="H747" s="15" t="str">
        <f>IFERROR(VLOOKUP(A747,Sheet1!$E$3:$F$27,2,),"")</f>
        <v>Corrective</v>
      </c>
      <c r="I747" s="16" t="str">
        <f>IFERROR(VLOOKUP(A747,Sheet1!$E$3:$G$27,3,0),"")</f>
        <v>Perbaikan Auto,pergantian relay,timer, yang berhubungan genset</v>
      </c>
      <c r="J747" s="12" t="s">
        <v>112</v>
      </c>
      <c r="K747" s="17">
        <v>46035.0</v>
      </c>
      <c r="L747" s="17">
        <v>46035.0</v>
      </c>
      <c r="M747" s="12" t="s">
        <v>137</v>
      </c>
      <c r="N747" s="23"/>
      <c r="O747" s="22"/>
      <c r="P747" s="22"/>
    </row>
    <row r="748" ht="22.5" customHeight="1">
      <c r="A748" s="12" t="s">
        <v>22</v>
      </c>
      <c r="B748" s="20" t="str">
        <f>IFERROR(VLOOKUP(A748,Sheet1!$E$3:$H$27,4,0),"")</f>
        <v>P2</v>
      </c>
      <c r="C748" s="14" t="s">
        <v>426</v>
      </c>
      <c r="D748" s="12" t="s">
        <v>83</v>
      </c>
      <c r="E748" s="13" t="str">
        <f>IFERROR(VLOOKUP(D748,Sheet1!$B$1:$C$45,2,0),"")</f>
        <v>PM</v>
      </c>
      <c r="F748" s="12" t="s">
        <v>179</v>
      </c>
      <c r="G748" s="13" t="str">
        <f t="shared" si="3"/>
        <v>Palangkaraya</v>
      </c>
      <c r="H748" s="15" t="str">
        <f>IFERROR(VLOOKUP(A748,Sheet1!$E$3:$F$27,2,),"")</f>
        <v>Preventive</v>
      </c>
      <c r="I748" s="16" t="str">
        <f>IFERROR(VLOOKUP(A748,Sheet1!$E$3:$G$27,3,0),"")</f>
        <v>Preventive Maintenance</v>
      </c>
      <c r="J748" s="12" t="s">
        <v>112</v>
      </c>
      <c r="K748" s="17">
        <v>46035.0</v>
      </c>
      <c r="L748" s="17">
        <v>46035.0</v>
      </c>
      <c r="M748" s="12" t="s">
        <v>137</v>
      </c>
      <c r="N748" s="23"/>
      <c r="O748" s="22"/>
      <c r="P748" s="22"/>
    </row>
    <row r="749" ht="22.5" customHeight="1">
      <c r="A749" s="12" t="s">
        <v>22</v>
      </c>
      <c r="B749" s="20" t="str">
        <f>IFERROR(VLOOKUP(A749,Sheet1!$E$3:$H$27,4,0),"")</f>
        <v>P2</v>
      </c>
      <c r="C749" s="14" t="s">
        <v>427</v>
      </c>
      <c r="D749" s="12" t="s">
        <v>82</v>
      </c>
      <c r="E749" s="13" t="str">
        <f>IFERROR(VLOOKUP(D749,Sheet1!$B$1:$C$45,2,0),"")</f>
        <v>PM</v>
      </c>
      <c r="F749" s="12" t="s">
        <v>179</v>
      </c>
      <c r="G749" s="13" t="str">
        <f t="shared" si="3"/>
        <v>Palangkaraya</v>
      </c>
      <c r="H749" s="15" t="str">
        <f>IFERROR(VLOOKUP(A749,Sheet1!$E$3:$F$27,2,),"")</f>
        <v>Preventive</v>
      </c>
      <c r="I749" s="16" t="str">
        <f>IFERROR(VLOOKUP(A749,Sheet1!$E$3:$G$27,3,0),"")</f>
        <v>Preventive Maintenance</v>
      </c>
      <c r="J749" s="12" t="s">
        <v>112</v>
      </c>
      <c r="K749" s="17">
        <v>46035.0</v>
      </c>
      <c r="L749" s="17">
        <v>46035.0</v>
      </c>
      <c r="M749" s="12" t="s">
        <v>137</v>
      </c>
      <c r="N749" s="23"/>
      <c r="O749" s="22"/>
      <c r="P749" s="22"/>
    </row>
    <row r="750" ht="22.5" customHeight="1">
      <c r="A750" s="12" t="s">
        <v>65</v>
      </c>
      <c r="B750" s="20" t="str">
        <f>IFERROR(VLOOKUP(A750,Sheet1!$E$3:$H$27,4,0),"")</f>
        <v>P3</v>
      </c>
      <c r="C750" s="15"/>
      <c r="D750" s="12" t="s">
        <v>75</v>
      </c>
      <c r="E750" s="13" t="str">
        <f>IFERROR(VLOOKUP(D750,Sheet1!$B$1:$C$45,2,0),"")</f>
        <v>CME</v>
      </c>
      <c r="F750" s="12" t="s">
        <v>179</v>
      </c>
      <c r="G750" s="13" t="str">
        <f t="shared" si="3"/>
        <v>Palangkaraya</v>
      </c>
      <c r="H750" s="15" t="str">
        <f>IFERROR(VLOOKUP(A750,Sheet1!$E$3:$F$27,2,),"")</f>
        <v>Standby</v>
      </c>
      <c r="I750" s="16" t="str">
        <f>IFERROR(VLOOKUP(A750,Sheet1!$E$3:$G$27,3,0),"")</f>
        <v>Standby On Call</v>
      </c>
      <c r="J750" s="12" t="s">
        <v>66</v>
      </c>
      <c r="K750" s="17">
        <v>46035.0</v>
      </c>
      <c r="L750" s="17">
        <v>46035.0</v>
      </c>
      <c r="M750" s="12" t="s">
        <v>137</v>
      </c>
      <c r="N750" s="23"/>
      <c r="O750" s="22"/>
      <c r="P750" s="22"/>
    </row>
    <row r="751" ht="22.5" customHeight="1">
      <c r="A751" s="12" t="s">
        <v>65</v>
      </c>
      <c r="B751" s="20" t="str">
        <f>IFERROR(VLOOKUP(A751,Sheet1!$E$3:$H$27,4,0),"")</f>
        <v>P3</v>
      </c>
      <c r="C751" s="15"/>
      <c r="D751" s="12" t="s">
        <v>35</v>
      </c>
      <c r="E751" s="13" t="str">
        <f>IFERROR(VLOOKUP(D751,Sheet1!$B$1:$C$45,2,0),"")</f>
        <v>MBP</v>
      </c>
      <c r="F751" s="12" t="s">
        <v>179</v>
      </c>
      <c r="G751" s="13" t="str">
        <f t="shared" si="3"/>
        <v>Palangkaraya</v>
      </c>
      <c r="H751" s="15" t="str">
        <f>IFERROR(VLOOKUP(A751,Sheet1!$E$3:$F$27,2,),"")</f>
        <v>Standby</v>
      </c>
      <c r="I751" s="16" t="str">
        <f>IFERROR(VLOOKUP(A751,Sheet1!$E$3:$G$27,3,0),"")</f>
        <v>Standby On Call</v>
      </c>
      <c r="J751" s="12" t="s">
        <v>66</v>
      </c>
      <c r="K751" s="17">
        <v>46035.0</v>
      </c>
      <c r="L751" s="17">
        <v>46035.0</v>
      </c>
      <c r="M751" s="12" t="s">
        <v>137</v>
      </c>
      <c r="N751" s="23"/>
      <c r="O751" s="22"/>
      <c r="P751" s="22"/>
    </row>
    <row r="752" ht="22.5" customHeight="1">
      <c r="A752" s="12" t="s">
        <v>65</v>
      </c>
      <c r="B752" s="20" t="str">
        <f>IFERROR(VLOOKUP(A752,Sheet1!$E$3:$H$27,4,0),"")</f>
        <v>P3</v>
      </c>
      <c r="C752" s="15"/>
      <c r="D752" s="12" t="s">
        <v>45</v>
      </c>
      <c r="E752" s="13" t="str">
        <f>IFERROR(VLOOKUP(D752,Sheet1!$B$1:$C$45,2,0),"")</f>
        <v>MBP</v>
      </c>
      <c r="F752" s="12" t="s">
        <v>179</v>
      </c>
      <c r="G752" s="13" t="str">
        <f t="shared" si="3"/>
        <v>Palangkaraya</v>
      </c>
      <c r="H752" s="15" t="str">
        <f>IFERROR(VLOOKUP(A752,Sheet1!$E$3:$F$27,2,),"")</f>
        <v>Standby</v>
      </c>
      <c r="I752" s="16" t="str">
        <f>IFERROR(VLOOKUP(A752,Sheet1!$E$3:$G$27,3,0),"")</f>
        <v>Standby On Call</v>
      </c>
      <c r="J752" s="12" t="s">
        <v>66</v>
      </c>
      <c r="K752" s="17">
        <v>46035.0</v>
      </c>
      <c r="L752" s="17">
        <v>46035.0</v>
      </c>
      <c r="M752" s="12" t="s">
        <v>137</v>
      </c>
      <c r="N752" s="23"/>
      <c r="O752" s="22"/>
      <c r="P752" s="22"/>
    </row>
    <row r="753" ht="22.5" customHeight="1">
      <c r="A753" s="12" t="s">
        <v>65</v>
      </c>
      <c r="B753" s="20" t="str">
        <f>IFERROR(VLOOKUP(A753,Sheet1!$E$3:$H$27,4,0),"")</f>
        <v>P3</v>
      </c>
      <c r="C753" s="15"/>
      <c r="D753" s="12" t="s">
        <v>48</v>
      </c>
      <c r="E753" s="13" t="str">
        <f>IFERROR(VLOOKUP(D753,Sheet1!$B$1:$C$45,2,0),"")</f>
        <v>MBP</v>
      </c>
      <c r="F753" s="12" t="s">
        <v>179</v>
      </c>
      <c r="G753" s="13" t="str">
        <f t="shared" si="3"/>
        <v>Palangkaraya</v>
      </c>
      <c r="H753" s="15" t="str">
        <f>IFERROR(VLOOKUP(A753,Sheet1!$E$3:$F$27,2,),"")</f>
        <v>Standby</v>
      </c>
      <c r="I753" s="16" t="str">
        <f>IFERROR(VLOOKUP(A753,Sheet1!$E$3:$G$27,3,0),"")</f>
        <v>Standby On Call</v>
      </c>
      <c r="J753" s="12" t="s">
        <v>66</v>
      </c>
      <c r="K753" s="17">
        <v>46035.0</v>
      </c>
      <c r="L753" s="17">
        <v>46035.0</v>
      </c>
      <c r="M753" s="12" t="s">
        <v>137</v>
      </c>
      <c r="N753" s="23"/>
      <c r="O753" s="22"/>
      <c r="P753" s="22"/>
    </row>
    <row r="754" ht="22.5" customHeight="1">
      <c r="A754" s="12" t="s">
        <v>65</v>
      </c>
      <c r="B754" s="20" t="str">
        <f>IFERROR(VLOOKUP(A754,Sheet1!$E$3:$H$27,4,0),"")</f>
        <v>P3</v>
      </c>
      <c r="C754" s="15"/>
      <c r="D754" s="12" t="s">
        <v>54</v>
      </c>
      <c r="E754" s="13" t="str">
        <f>IFERROR(VLOOKUP(D754,Sheet1!$B$1:$C$45,2,0),"")</f>
        <v>MBP</v>
      </c>
      <c r="F754" s="12" t="s">
        <v>179</v>
      </c>
      <c r="G754" s="13" t="str">
        <f t="shared" si="3"/>
        <v>Palangkaraya</v>
      </c>
      <c r="H754" s="15" t="str">
        <f>IFERROR(VLOOKUP(A754,Sheet1!$E$3:$F$27,2,),"")</f>
        <v>Standby</v>
      </c>
      <c r="I754" s="16" t="str">
        <f>IFERROR(VLOOKUP(A754,Sheet1!$E$3:$G$27,3,0),"")</f>
        <v>Standby On Call</v>
      </c>
      <c r="J754" s="12" t="s">
        <v>66</v>
      </c>
      <c r="K754" s="17">
        <v>46035.0</v>
      </c>
      <c r="L754" s="17">
        <v>46035.0</v>
      </c>
      <c r="M754" s="12" t="s">
        <v>137</v>
      </c>
      <c r="N754" s="23"/>
      <c r="O754" s="22"/>
      <c r="P754" s="22"/>
    </row>
    <row r="755" ht="22.5" customHeight="1">
      <c r="A755" s="12" t="s">
        <v>14</v>
      </c>
      <c r="B755" s="20" t="str">
        <f>IFERROR(VLOOKUP(A755,Sheet1!$E$3:$H$27,4,0),"")</f>
        <v>P1</v>
      </c>
      <c r="C755" s="14" t="s">
        <v>402</v>
      </c>
      <c r="D755" s="12" t="s">
        <v>80</v>
      </c>
      <c r="E755" s="13" t="str">
        <f>IFERROR(VLOOKUP(D755,Sheet1!$B$1:$C$45,2,0),"")</f>
        <v>TE</v>
      </c>
      <c r="F755" s="12" t="s">
        <v>179</v>
      </c>
      <c r="G755" s="13" t="str">
        <f t="shared" si="3"/>
        <v>Palangkaraya</v>
      </c>
      <c r="H755" s="15" t="str">
        <f>IFERROR(VLOOKUP(A755,Sheet1!$E$3:$F$27,2,),"")</f>
        <v>Corrective</v>
      </c>
      <c r="I755" s="16" t="str">
        <f>IFERROR(VLOOKUP(A755,Sheet1!$E$3:$G$27,3,0),"")</f>
        <v>Pemadaman,MCB Trip,Transmisi problem</v>
      </c>
      <c r="J755" s="12" t="s">
        <v>112</v>
      </c>
      <c r="K755" s="17">
        <v>46036.0</v>
      </c>
      <c r="L755" s="17">
        <v>46036.0</v>
      </c>
      <c r="M755" s="12" t="s">
        <v>122</v>
      </c>
      <c r="N755" s="23"/>
      <c r="O755" s="22"/>
      <c r="P755" s="22"/>
    </row>
    <row r="756" ht="22.5" customHeight="1">
      <c r="A756" s="12" t="s">
        <v>22</v>
      </c>
      <c r="B756" s="20" t="str">
        <f>IFERROR(VLOOKUP(A756,Sheet1!$E$3:$H$27,4,0),"")</f>
        <v>P2</v>
      </c>
      <c r="C756" s="14" t="s">
        <v>428</v>
      </c>
      <c r="D756" s="12" t="s">
        <v>42</v>
      </c>
      <c r="E756" s="13" t="str">
        <f>IFERROR(VLOOKUP(D756,Sheet1!$B$1:$C$45,2,0),"")</f>
        <v>TE</v>
      </c>
      <c r="F756" s="12" t="s">
        <v>179</v>
      </c>
      <c r="G756" s="13" t="str">
        <f t="shared" si="3"/>
        <v>Palangkaraya</v>
      </c>
      <c r="H756" s="15" t="str">
        <f>IFERROR(VLOOKUP(A756,Sheet1!$E$3:$F$27,2,),"")</f>
        <v>Preventive</v>
      </c>
      <c r="I756" s="16" t="str">
        <f>IFERROR(VLOOKUP(A756,Sheet1!$E$3:$G$27,3,0),"")</f>
        <v>Preventive Maintenance</v>
      </c>
      <c r="J756" s="12" t="s">
        <v>112</v>
      </c>
      <c r="K756" s="17">
        <v>46036.0</v>
      </c>
      <c r="L756" s="17">
        <v>46036.0</v>
      </c>
      <c r="M756" s="12" t="s">
        <v>109</v>
      </c>
      <c r="N756" s="23"/>
      <c r="O756" s="22"/>
      <c r="P756" s="22"/>
    </row>
    <row r="757" ht="22.5" customHeight="1">
      <c r="A757" s="12" t="s">
        <v>22</v>
      </c>
      <c r="B757" s="20" t="str">
        <f>IFERROR(VLOOKUP(A757,Sheet1!$E$3:$H$27,4,0),"")</f>
        <v>P2</v>
      </c>
      <c r="C757" s="14" t="s">
        <v>429</v>
      </c>
      <c r="D757" s="12" t="s">
        <v>77</v>
      </c>
      <c r="E757" s="13" t="str">
        <f>IFERROR(VLOOKUP(D757,Sheet1!$B$1:$C$45,2,0),"")</f>
        <v>TE</v>
      </c>
      <c r="F757" s="12" t="s">
        <v>179</v>
      </c>
      <c r="G757" s="13" t="str">
        <f t="shared" si="3"/>
        <v>Palangkaraya</v>
      </c>
      <c r="H757" s="15" t="str">
        <f>IFERROR(VLOOKUP(A757,Sheet1!$E$3:$F$27,2,),"")</f>
        <v>Preventive</v>
      </c>
      <c r="I757" s="16" t="str">
        <f>IFERROR(VLOOKUP(A757,Sheet1!$E$3:$G$27,3,0),"")</f>
        <v>Preventive Maintenance</v>
      </c>
      <c r="J757" s="12" t="s">
        <v>112</v>
      </c>
      <c r="K757" s="17">
        <v>46036.0</v>
      </c>
      <c r="L757" s="17">
        <v>46036.0</v>
      </c>
      <c r="M757" s="12" t="s">
        <v>109</v>
      </c>
      <c r="N757" s="23"/>
      <c r="O757" s="22"/>
      <c r="P757" s="22"/>
    </row>
    <row r="758" ht="22.5" customHeight="1">
      <c r="A758" s="12" t="s">
        <v>33</v>
      </c>
      <c r="B758" s="20" t="str">
        <f>IFERROR(VLOOKUP(A758,Sheet1!$E$3:$H$27,4,0),"")</f>
        <v>P2</v>
      </c>
      <c r="C758" s="14" t="s">
        <v>297</v>
      </c>
      <c r="D758" s="12" t="s">
        <v>78</v>
      </c>
      <c r="E758" s="13" t="str">
        <f>IFERROR(VLOOKUP(D758,Sheet1!$B$1:$C$45,2,0),"")</f>
        <v>TE</v>
      </c>
      <c r="F758" s="12" t="s">
        <v>179</v>
      </c>
      <c r="G758" s="13" t="str">
        <f t="shared" si="3"/>
        <v>Palangkaraya</v>
      </c>
      <c r="H758" s="15" t="str">
        <f>IFERROR(VLOOKUP(A758,Sheet1!$E$3:$F$27,2,),"")</f>
        <v>Preventive</v>
      </c>
      <c r="I758" s="16" t="str">
        <f>IFERROR(VLOOKUP(A758,Sheet1!$E$3:$G$27,3,0),"")</f>
        <v>Pengukuran dan pengambilan data log serta input Gdoc BBT</v>
      </c>
      <c r="J758" s="12" t="s">
        <v>112</v>
      </c>
      <c r="K758" s="17">
        <v>46036.0</v>
      </c>
      <c r="L758" s="17">
        <v>46036.0</v>
      </c>
      <c r="M758" s="12" t="s">
        <v>122</v>
      </c>
      <c r="N758" s="23"/>
      <c r="O758" s="22"/>
      <c r="P758" s="22"/>
    </row>
    <row r="759" ht="22.5" customHeight="1">
      <c r="A759" s="12" t="s">
        <v>5</v>
      </c>
      <c r="B759" s="20" t="str">
        <f>IFERROR(VLOOKUP(A759,Sheet1!$E$3:$H$27,4,0),"")</f>
        <v>P1</v>
      </c>
      <c r="C759" s="14" t="s">
        <v>430</v>
      </c>
      <c r="D759" s="12" t="s">
        <v>77</v>
      </c>
      <c r="E759" s="13" t="str">
        <f>IFERROR(VLOOKUP(D759,Sheet1!$B$1:$C$45,2,0),"")</f>
        <v>TE</v>
      </c>
      <c r="F759" s="12" t="s">
        <v>179</v>
      </c>
      <c r="G759" s="13" t="str">
        <f t="shared" si="3"/>
        <v>Palangkaraya</v>
      </c>
      <c r="H759" s="15" t="str">
        <f>IFERROR(VLOOKUP(A759,Sheet1!$E$3:$F$27,2,),"")</f>
        <v>Corrective</v>
      </c>
      <c r="I759" s="16" t="str">
        <f>IFERROR(VLOOKUP(A759,Sheet1!$E$3:$G$27,3,0),"")</f>
        <v>Replace Optik,RRU/Soket Power/Replace GPS</v>
      </c>
      <c r="J759" s="12" t="s">
        <v>112</v>
      </c>
      <c r="K759" s="17">
        <v>46036.0</v>
      </c>
      <c r="L759" s="17">
        <v>46036.0</v>
      </c>
      <c r="M759" s="12" t="s">
        <v>122</v>
      </c>
      <c r="N759" s="23"/>
      <c r="O759" s="22"/>
      <c r="P759" s="22"/>
    </row>
    <row r="760" ht="22.5" customHeight="1">
      <c r="A760" s="12" t="s">
        <v>52</v>
      </c>
      <c r="B760" s="20" t="str">
        <f>IFERROR(VLOOKUP(A760,Sheet1!$E$3:$H$27,4,0),"")</f>
        <v>P1</v>
      </c>
      <c r="C760" s="14" t="s">
        <v>431</v>
      </c>
      <c r="D760" s="12" t="s">
        <v>37</v>
      </c>
      <c r="E760" s="13" t="str">
        <f>IFERROR(VLOOKUP(D760,Sheet1!$B$1:$C$45,2,0),"")</f>
        <v>TE</v>
      </c>
      <c r="F760" s="12" t="s">
        <v>179</v>
      </c>
      <c r="G760" s="13" t="str">
        <f t="shared" si="3"/>
        <v>Palangkaraya</v>
      </c>
      <c r="H760" s="15" t="str">
        <f>IFERROR(VLOOKUP(A760,Sheet1!$E$3:$F$27,2,),"")</f>
        <v>Preventive</v>
      </c>
      <c r="I760" s="16" t="str">
        <f>IFERROR(VLOOKUP(A760,Sheet1!$E$3:$G$27,3,0),"")</f>
        <v>MCB trip/Power upnormal</v>
      </c>
      <c r="J760" s="12" t="s">
        <v>112</v>
      </c>
      <c r="K760" s="17">
        <v>46036.0</v>
      </c>
      <c r="L760" s="17">
        <v>46036.0</v>
      </c>
      <c r="M760" s="12" t="s">
        <v>109</v>
      </c>
      <c r="N760" s="23"/>
      <c r="O760" s="22"/>
      <c r="P760" s="22"/>
    </row>
    <row r="761" ht="22.5" customHeight="1">
      <c r="A761" s="12" t="s">
        <v>14</v>
      </c>
      <c r="B761" s="20" t="str">
        <f>IFERROR(VLOOKUP(A761,Sheet1!$E$3:$H$27,4,0),"")</f>
        <v>P1</v>
      </c>
      <c r="C761" s="14" t="s">
        <v>402</v>
      </c>
      <c r="D761" s="12" t="s">
        <v>51</v>
      </c>
      <c r="E761" s="13" t="str">
        <f>IFERROR(VLOOKUP(D761,Sheet1!$B$1:$C$45,2,0),"")</f>
        <v>TE</v>
      </c>
      <c r="F761" s="12" t="s">
        <v>179</v>
      </c>
      <c r="G761" s="13" t="str">
        <f t="shared" si="3"/>
        <v>Palangkaraya</v>
      </c>
      <c r="H761" s="15" t="str">
        <f>IFERROR(VLOOKUP(A761,Sheet1!$E$3:$F$27,2,),"")</f>
        <v>Corrective</v>
      </c>
      <c r="I761" s="16" t="str">
        <f>IFERROR(VLOOKUP(A761,Sheet1!$E$3:$G$27,3,0),"")</f>
        <v>Pemadaman,MCB Trip,Transmisi problem</v>
      </c>
      <c r="J761" s="12" t="s">
        <v>112</v>
      </c>
      <c r="K761" s="17">
        <v>46036.0</v>
      </c>
      <c r="L761" s="17">
        <v>46036.0</v>
      </c>
      <c r="M761" s="12" t="s">
        <v>122</v>
      </c>
      <c r="N761" s="23"/>
      <c r="O761" s="22"/>
      <c r="P761" s="22"/>
    </row>
    <row r="762" ht="22.5" customHeight="1">
      <c r="A762" s="12" t="s">
        <v>14</v>
      </c>
      <c r="B762" s="20" t="str">
        <f>IFERROR(VLOOKUP(A762,Sheet1!$E$3:$H$27,4,0),"")</f>
        <v>P1</v>
      </c>
      <c r="C762" s="14" t="s">
        <v>402</v>
      </c>
      <c r="D762" s="12" t="s">
        <v>79</v>
      </c>
      <c r="E762" s="13" t="str">
        <f>IFERROR(VLOOKUP(D762,Sheet1!$B$1:$C$45,2,0),"")</f>
        <v>TE</v>
      </c>
      <c r="F762" s="12" t="s">
        <v>179</v>
      </c>
      <c r="G762" s="13" t="str">
        <f t="shared" si="3"/>
        <v>Palangkaraya</v>
      </c>
      <c r="H762" s="15" t="str">
        <f>IFERROR(VLOOKUP(A762,Sheet1!$E$3:$F$27,2,),"")</f>
        <v>Corrective</v>
      </c>
      <c r="I762" s="16" t="str">
        <f>IFERROR(VLOOKUP(A762,Sheet1!$E$3:$G$27,3,0),"")</f>
        <v>Pemadaman,MCB Trip,Transmisi problem</v>
      </c>
      <c r="J762" s="12" t="s">
        <v>112</v>
      </c>
      <c r="K762" s="17">
        <v>46036.0</v>
      </c>
      <c r="L762" s="17">
        <v>46036.0</v>
      </c>
      <c r="M762" s="12" t="s">
        <v>122</v>
      </c>
      <c r="N762" s="23"/>
      <c r="O762" s="22"/>
      <c r="P762" s="22"/>
    </row>
    <row r="763" ht="22.5" customHeight="1">
      <c r="A763" s="12" t="s">
        <v>5</v>
      </c>
      <c r="B763" s="20" t="str">
        <f>IFERROR(VLOOKUP(A763,Sheet1!$E$3:$H$27,4,0),"")</f>
        <v>P1</v>
      </c>
      <c r="C763" s="14" t="s">
        <v>302</v>
      </c>
      <c r="D763" s="12" t="s">
        <v>71</v>
      </c>
      <c r="E763" s="13" t="str">
        <f>IFERROR(VLOOKUP(D763,Sheet1!$B$1:$C$45,2,0),"")</f>
        <v>TE</v>
      </c>
      <c r="F763" s="12" t="s">
        <v>179</v>
      </c>
      <c r="G763" s="13" t="str">
        <f t="shared" si="3"/>
        <v>Palangkaraya</v>
      </c>
      <c r="H763" s="15" t="str">
        <f>IFERROR(VLOOKUP(A763,Sheet1!$E$3:$F$27,2,),"")</f>
        <v>Corrective</v>
      </c>
      <c r="I763" s="16" t="str">
        <f>IFERROR(VLOOKUP(A763,Sheet1!$E$3:$G$27,3,0),"")</f>
        <v>Replace Optik,RRU/Soket Power/Replace GPS</v>
      </c>
      <c r="J763" s="12" t="s">
        <v>112</v>
      </c>
      <c r="K763" s="17">
        <v>46036.0</v>
      </c>
      <c r="L763" s="17">
        <v>46036.0</v>
      </c>
      <c r="M763" s="12" t="s">
        <v>122</v>
      </c>
      <c r="N763" s="23"/>
      <c r="O763" s="22"/>
      <c r="P763" s="22"/>
    </row>
    <row r="764" ht="22.5" customHeight="1">
      <c r="A764" s="12" t="s">
        <v>5</v>
      </c>
      <c r="B764" s="20" t="str">
        <f>IFERROR(VLOOKUP(A764,Sheet1!$E$3:$H$27,4,0),"")</f>
        <v>P1</v>
      </c>
      <c r="C764" s="14" t="s">
        <v>302</v>
      </c>
      <c r="D764" s="12" t="s">
        <v>69</v>
      </c>
      <c r="E764" s="13" t="str">
        <f>IFERROR(VLOOKUP(D764,Sheet1!$B$1:$C$45,2,0),"")</f>
        <v>TE</v>
      </c>
      <c r="F764" s="12" t="s">
        <v>179</v>
      </c>
      <c r="G764" s="13" t="str">
        <f t="shared" si="3"/>
        <v>Palangkaraya</v>
      </c>
      <c r="H764" s="15" t="str">
        <f>IFERROR(VLOOKUP(A764,Sheet1!$E$3:$F$27,2,),"")</f>
        <v>Corrective</v>
      </c>
      <c r="I764" s="16" t="str">
        <f>IFERROR(VLOOKUP(A764,Sheet1!$E$3:$G$27,3,0),"")</f>
        <v>Replace Optik,RRU/Soket Power/Replace GPS</v>
      </c>
      <c r="J764" s="12" t="s">
        <v>112</v>
      </c>
      <c r="K764" s="17">
        <v>46036.0</v>
      </c>
      <c r="L764" s="17">
        <v>46036.0</v>
      </c>
      <c r="M764" s="12" t="s">
        <v>122</v>
      </c>
      <c r="N764" s="23"/>
      <c r="O764" s="22"/>
      <c r="P764" s="22"/>
    </row>
    <row r="765" ht="22.5" customHeight="1">
      <c r="A765" s="12" t="s">
        <v>5</v>
      </c>
      <c r="B765" s="20" t="str">
        <f>IFERROR(VLOOKUP(A765,Sheet1!$E$3:$H$27,4,0),"")</f>
        <v>P1</v>
      </c>
      <c r="C765" s="14" t="s">
        <v>268</v>
      </c>
      <c r="D765" s="12" t="s">
        <v>91</v>
      </c>
      <c r="E765" s="13" t="str">
        <f>IFERROR(VLOOKUP(D765,Sheet1!$B$1:$C$45,2,0),"")</f>
        <v>TE</v>
      </c>
      <c r="F765" s="12" t="s">
        <v>179</v>
      </c>
      <c r="G765" s="13" t="str">
        <f t="shared" si="3"/>
        <v>Palangkaraya</v>
      </c>
      <c r="H765" s="15" t="str">
        <f>IFERROR(VLOOKUP(A765,Sheet1!$E$3:$F$27,2,),"")</f>
        <v>Corrective</v>
      </c>
      <c r="I765" s="16" t="str">
        <f>IFERROR(VLOOKUP(A765,Sheet1!$E$3:$G$27,3,0),"")</f>
        <v>Replace Optik,RRU/Soket Power/Replace GPS</v>
      </c>
      <c r="J765" s="12" t="s">
        <v>112</v>
      </c>
      <c r="K765" s="17">
        <v>46036.0</v>
      </c>
      <c r="L765" s="17">
        <v>46036.0</v>
      </c>
      <c r="M765" s="12" t="s">
        <v>137</v>
      </c>
      <c r="N765" s="23"/>
      <c r="O765" s="22"/>
      <c r="P765" s="22"/>
    </row>
    <row r="766" ht="22.5" customHeight="1">
      <c r="A766" s="12" t="s">
        <v>52</v>
      </c>
      <c r="B766" s="20" t="str">
        <f>IFERROR(VLOOKUP(A766,Sheet1!$E$3:$H$27,4,0),"")</f>
        <v>P1</v>
      </c>
      <c r="C766" s="14" t="s">
        <v>415</v>
      </c>
      <c r="D766" s="12" t="s">
        <v>58</v>
      </c>
      <c r="E766" s="13" t="str">
        <f>IFERROR(VLOOKUP(D766,Sheet1!$B$1:$C$45,2,0),"")</f>
        <v>TE</v>
      </c>
      <c r="F766" s="12" t="s">
        <v>179</v>
      </c>
      <c r="G766" s="13" t="str">
        <f t="shared" si="3"/>
        <v>Palangkaraya</v>
      </c>
      <c r="H766" s="15" t="str">
        <f>IFERROR(VLOOKUP(A766,Sheet1!$E$3:$F$27,2,),"")</f>
        <v>Preventive</v>
      </c>
      <c r="I766" s="16" t="str">
        <f>IFERROR(VLOOKUP(A766,Sheet1!$E$3:$G$27,3,0),"")</f>
        <v>MCB trip/Power upnormal</v>
      </c>
      <c r="J766" s="12" t="s">
        <v>112</v>
      </c>
      <c r="K766" s="17">
        <v>46036.0</v>
      </c>
      <c r="L766" s="17">
        <v>46036.0</v>
      </c>
      <c r="M766" s="12" t="s">
        <v>137</v>
      </c>
      <c r="N766" s="23"/>
      <c r="O766" s="22"/>
      <c r="P766" s="22"/>
    </row>
    <row r="767" ht="22.5" customHeight="1">
      <c r="A767" s="12" t="s">
        <v>72</v>
      </c>
      <c r="B767" s="20" t="str">
        <f>IFERROR(VLOOKUP(A767,Sheet1!$E$3:$H$27,4,0),"")</f>
        <v>P1</v>
      </c>
      <c r="C767" s="14" t="s">
        <v>217</v>
      </c>
      <c r="D767" s="12" t="s">
        <v>56</v>
      </c>
      <c r="E767" s="13" t="str">
        <f>IFERROR(VLOOKUP(D767,Sheet1!$B$1:$C$45,2,0),"")</f>
        <v>TE</v>
      </c>
      <c r="F767" s="12" t="s">
        <v>179</v>
      </c>
      <c r="G767" s="13" t="str">
        <f t="shared" si="3"/>
        <v>Palangkaraya</v>
      </c>
      <c r="H767" s="15" t="str">
        <f>IFERROR(VLOOKUP(A767,Sheet1!$E$3:$F$27,2,),"")</f>
        <v>Corrective</v>
      </c>
      <c r="I767" s="16" t="str">
        <f>IFERROR(VLOOKUP(A767,Sheet1!$E$3:$G$27,3,0),"")</f>
        <v>Perbaikan Auto,pergantian relay,timer, yang berhubungan genset</v>
      </c>
      <c r="J767" s="12" t="s">
        <v>112</v>
      </c>
      <c r="K767" s="17">
        <v>46036.0</v>
      </c>
      <c r="L767" s="17">
        <v>46036.0</v>
      </c>
      <c r="M767" s="12" t="s">
        <v>137</v>
      </c>
      <c r="N767" s="23"/>
      <c r="O767" s="22"/>
      <c r="P767" s="22"/>
    </row>
    <row r="768" ht="22.5" customHeight="1">
      <c r="A768" s="12" t="s">
        <v>22</v>
      </c>
      <c r="B768" s="20" t="str">
        <f>IFERROR(VLOOKUP(A768,Sheet1!$E$3:$H$27,4,0),"")</f>
        <v>P2</v>
      </c>
      <c r="C768" s="14" t="s">
        <v>426</v>
      </c>
      <c r="D768" s="12" t="s">
        <v>83</v>
      </c>
      <c r="E768" s="13" t="str">
        <f>IFERROR(VLOOKUP(D768,Sheet1!$B$1:$C$45,2,0),"")</f>
        <v>PM</v>
      </c>
      <c r="F768" s="12" t="s">
        <v>179</v>
      </c>
      <c r="G768" s="13" t="str">
        <f t="shared" si="3"/>
        <v>Palangkaraya</v>
      </c>
      <c r="H768" s="15" t="str">
        <f>IFERROR(VLOOKUP(A768,Sheet1!$E$3:$F$27,2,),"")</f>
        <v>Preventive</v>
      </c>
      <c r="I768" s="16" t="str">
        <f>IFERROR(VLOOKUP(A768,Sheet1!$E$3:$G$27,3,0),"")</f>
        <v>Preventive Maintenance</v>
      </c>
      <c r="J768" s="12" t="s">
        <v>112</v>
      </c>
      <c r="K768" s="17">
        <v>46036.0</v>
      </c>
      <c r="L768" s="17">
        <v>46036.0</v>
      </c>
      <c r="M768" s="12" t="s">
        <v>109</v>
      </c>
      <c r="N768" s="23"/>
      <c r="O768" s="22"/>
      <c r="P768" s="22"/>
    </row>
    <row r="769" ht="22.5" customHeight="1">
      <c r="A769" s="12" t="s">
        <v>22</v>
      </c>
      <c r="B769" s="20" t="str">
        <f>IFERROR(VLOOKUP(A769,Sheet1!$E$3:$H$27,4,0),"")</f>
        <v>P2</v>
      </c>
      <c r="C769" s="14" t="s">
        <v>427</v>
      </c>
      <c r="D769" s="12" t="s">
        <v>82</v>
      </c>
      <c r="E769" s="13" t="str">
        <f>IFERROR(VLOOKUP(D769,Sheet1!$B$1:$C$45,2,0),"")</f>
        <v>PM</v>
      </c>
      <c r="F769" s="12" t="s">
        <v>179</v>
      </c>
      <c r="G769" s="13" t="str">
        <f t="shared" si="3"/>
        <v>Palangkaraya</v>
      </c>
      <c r="H769" s="15" t="str">
        <f>IFERROR(VLOOKUP(A769,Sheet1!$E$3:$F$27,2,),"")</f>
        <v>Preventive</v>
      </c>
      <c r="I769" s="16" t="str">
        <f>IFERROR(VLOOKUP(A769,Sheet1!$E$3:$G$27,3,0),"")</f>
        <v>Preventive Maintenance</v>
      </c>
      <c r="J769" s="12" t="s">
        <v>112</v>
      </c>
      <c r="K769" s="17">
        <v>46036.0</v>
      </c>
      <c r="L769" s="17">
        <v>46036.0</v>
      </c>
      <c r="M769" s="12" t="s">
        <v>109</v>
      </c>
      <c r="N769" s="23"/>
      <c r="O769" s="22"/>
      <c r="P769" s="22"/>
    </row>
    <row r="770" ht="22.5" customHeight="1">
      <c r="A770" s="12" t="s">
        <v>22</v>
      </c>
      <c r="B770" s="20" t="str">
        <f>IFERROR(VLOOKUP(A770,Sheet1!$E$3:$H$27,4,0),"")</f>
        <v>P2</v>
      </c>
      <c r="C770" s="14" t="s">
        <v>199</v>
      </c>
      <c r="D770" s="12" t="s">
        <v>75</v>
      </c>
      <c r="E770" s="13" t="str">
        <f>IFERROR(VLOOKUP(D770,Sheet1!$B$1:$C$45,2,0),"")</f>
        <v>CME</v>
      </c>
      <c r="F770" s="12" t="s">
        <v>179</v>
      </c>
      <c r="G770" s="13" t="str">
        <f t="shared" si="3"/>
        <v>Palangkaraya</v>
      </c>
      <c r="H770" s="15" t="str">
        <f>IFERROR(VLOOKUP(A770,Sheet1!$E$3:$F$27,2,),"")</f>
        <v>Preventive</v>
      </c>
      <c r="I770" s="16" t="str">
        <f>IFERROR(VLOOKUP(A770,Sheet1!$E$3:$G$27,3,0),"")</f>
        <v>Preventive Maintenance</v>
      </c>
      <c r="J770" s="12" t="s">
        <v>112</v>
      </c>
      <c r="K770" s="17">
        <v>46036.0</v>
      </c>
      <c r="L770" s="17">
        <v>46036.0</v>
      </c>
      <c r="M770" s="12" t="s">
        <v>109</v>
      </c>
      <c r="N770" s="23"/>
      <c r="O770" s="22"/>
      <c r="P770" s="22"/>
    </row>
    <row r="771" ht="22.5" customHeight="1">
      <c r="A771" s="12" t="s">
        <v>52</v>
      </c>
      <c r="B771" s="20" t="str">
        <f>IFERROR(VLOOKUP(A771,Sheet1!$E$3:$H$27,4,0),"")</f>
        <v>P1</v>
      </c>
      <c r="C771" s="14" t="s">
        <v>415</v>
      </c>
      <c r="D771" s="12" t="s">
        <v>54</v>
      </c>
      <c r="E771" s="13" t="str">
        <f>IFERROR(VLOOKUP(D771,Sheet1!$B$1:$C$45,2,0),"")</f>
        <v>MBP</v>
      </c>
      <c r="F771" s="12" t="s">
        <v>179</v>
      </c>
      <c r="G771" s="13" t="str">
        <f t="shared" si="3"/>
        <v>Palangkaraya</v>
      </c>
      <c r="H771" s="15" t="str">
        <f>IFERROR(VLOOKUP(A771,Sheet1!$E$3:$F$27,2,),"")</f>
        <v>Preventive</v>
      </c>
      <c r="I771" s="16" t="str">
        <f>IFERROR(VLOOKUP(A771,Sheet1!$E$3:$G$27,3,0),"")</f>
        <v>MCB trip/Power upnormal</v>
      </c>
      <c r="J771" s="12" t="s">
        <v>112</v>
      </c>
      <c r="K771" s="17">
        <v>46036.0</v>
      </c>
      <c r="L771" s="17">
        <v>46036.0</v>
      </c>
      <c r="M771" s="12" t="s">
        <v>137</v>
      </c>
      <c r="N771" s="23"/>
      <c r="O771" s="22"/>
      <c r="P771" s="22"/>
    </row>
    <row r="772" ht="22.5" customHeight="1">
      <c r="A772" s="12" t="s">
        <v>65</v>
      </c>
      <c r="B772" s="20" t="str">
        <f>IFERROR(VLOOKUP(A772,Sheet1!$E$3:$H$27,4,0),"")</f>
        <v>P3</v>
      </c>
      <c r="C772" s="15"/>
      <c r="D772" s="12" t="s">
        <v>45</v>
      </c>
      <c r="E772" s="13" t="str">
        <f>IFERROR(VLOOKUP(D772,Sheet1!$B$1:$C$45,2,0),"")</f>
        <v>MBP</v>
      </c>
      <c r="F772" s="12" t="s">
        <v>179</v>
      </c>
      <c r="G772" s="13" t="str">
        <f t="shared" si="3"/>
        <v>Palangkaraya</v>
      </c>
      <c r="H772" s="15" t="str">
        <f>IFERROR(VLOOKUP(A772,Sheet1!$E$3:$F$27,2,),"")</f>
        <v>Standby</v>
      </c>
      <c r="I772" s="16" t="str">
        <f>IFERROR(VLOOKUP(A772,Sheet1!$E$3:$G$27,3,0),"")</f>
        <v>Standby On Call</v>
      </c>
      <c r="J772" s="12" t="s">
        <v>66</v>
      </c>
      <c r="K772" s="17">
        <v>46036.0</v>
      </c>
      <c r="L772" s="17">
        <v>46036.0</v>
      </c>
      <c r="M772" s="13"/>
      <c r="N772" s="23"/>
      <c r="O772" s="22"/>
      <c r="P772" s="22"/>
    </row>
    <row r="773" ht="22.5" customHeight="1">
      <c r="A773" s="12" t="s">
        <v>65</v>
      </c>
      <c r="B773" s="20" t="str">
        <f>IFERROR(VLOOKUP(A773,Sheet1!$E$3:$H$27,4,0),"")</f>
        <v>P3</v>
      </c>
      <c r="C773" s="15"/>
      <c r="D773" s="12" t="s">
        <v>35</v>
      </c>
      <c r="E773" s="13" t="str">
        <f>IFERROR(VLOOKUP(D773,Sheet1!$B$1:$C$45,2,0),"")</f>
        <v>MBP</v>
      </c>
      <c r="F773" s="12" t="s">
        <v>179</v>
      </c>
      <c r="G773" s="13" t="str">
        <f t="shared" si="3"/>
        <v>Palangkaraya</v>
      </c>
      <c r="H773" s="15" t="str">
        <f>IFERROR(VLOOKUP(A773,Sheet1!$E$3:$F$27,2,),"")</f>
        <v>Standby</v>
      </c>
      <c r="I773" s="16" t="str">
        <f>IFERROR(VLOOKUP(A773,Sheet1!$E$3:$G$27,3,0),"")</f>
        <v>Standby On Call</v>
      </c>
      <c r="J773" s="12" t="s">
        <v>66</v>
      </c>
      <c r="K773" s="17">
        <v>46036.0</v>
      </c>
      <c r="L773" s="17">
        <v>46036.0</v>
      </c>
      <c r="M773" s="13"/>
      <c r="N773" s="23"/>
      <c r="O773" s="22"/>
      <c r="P773" s="22"/>
    </row>
    <row r="774" ht="22.5" hidden="1" customHeight="1">
      <c r="A774" s="12" t="s">
        <v>65</v>
      </c>
      <c r="B774" s="20" t="str">
        <f>IFERROR(VLOOKUP(A774,Sheet1!$E$3:$H$27,4,0),"")</f>
        <v>P3</v>
      </c>
      <c r="C774" s="15"/>
      <c r="D774" s="12" t="s">
        <v>48</v>
      </c>
      <c r="E774" s="13" t="str">
        <f>IFERROR(VLOOKUP(D774,Sheet1!$B$1:$C$45,2,0),"")</f>
        <v>MBP</v>
      </c>
      <c r="F774" s="12" t="s">
        <v>179</v>
      </c>
      <c r="G774" s="13" t="str">
        <f t="shared" si="3"/>
        <v>Palangkaraya</v>
      </c>
      <c r="H774" s="15" t="str">
        <f>IFERROR(VLOOKUP(A774,Sheet1!$E$3:$F$27,2,),"")</f>
        <v>Standby</v>
      </c>
      <c r="I774" s="16" t="str">
        <f>IFERROR(VLOOKUP(A774,Sheet1!$E$3:$G$27,3,0),"")</f>
        <v>Standby On Call</v>
      </c>
      <c r="J774" s="12" t="s">
        <v>66</v>
      </c>
      <c r="K774" s="17">
        <v>46036.0</v>
      </c>
      <c r="L774" s="24"/>
      <c r="M774" s="13"/>
      <c r="N774" s="23"/>
      <c r="O774" s="22"/>
      <c r="P774" s="22"/>
    </row>
    <row r="775" ht="22.5" hidden="1" customHeight="1">
      <c r="A775" s="12" t="s">
        <v>65</v>
      </c>
      <c r="B775" s="20" t="str">
        <f>IFERROR(VLOOKUP(A775,Sheet1!$E$3:$H$27,4,0),"")</f>
        <v>P3</v>
      </c>
      <c r="C775" s="15"/>
      <c r="D775" s="12" t="s">
        <v>54</v>
      </c>
      <c r="E775" s="13" t="str">
        <f>IFERROR(VLOOKUP(D775,Sheet1!$B$1:$C$45,2,0),"")</f>
        <v>MBP</v>
      </c>
      <c r="F775" s="12" t="s">
        <v>179</v>
      </c>
      <c r="G775" s="13" t="str">
        <f t="shared" si="3"/>
        <v>Palangkaraya</v>
      </c>
      <c r="H775" s="15" t="str">
        <f>IFERROR(VLOOKUP(A775,Sheet1!$E$3:$F$27,2,),"")</f>
        <v>Standby</v>
      </c>
      <c r="I775" s="16" t="str">
        <f>IFERROR(VLOOKUP(A775,Sheet1!$E$3:$G$27,3,0),"")</f>
        <v>Standby On Call</v>
      </c>
      <c r="J775" s="12" t="s">
        <v>66</v>
      </c>
      <c r="K775" s="17">
        <v>46036.0</v>
      </c>
      <c r="L775" s="24"/>
      <c r="M775" s="13"/>
      <c r="N775" s="23"/>
      <c r="O775" s="22"/>
      <c r="P775" s="22"/>
    </row>
    <row r="776" ht="22.5" customHeight="1">
      <c r="A776" s="12" t="s">
        <v>52</v>
      </c>
      <c r="B776" s="20" t="str">
        <f>IFERROR(VLOOKUP(A776,Sheet1!$E$3:$H$27,4,0),"")</f>
        <v>P1</v>
      </c>
      <c r="C776" s="14" t="s">
        <v>273</v>
      </c>
      <c r="D776" s="12" t="s">
        <v>12</v>
      </c>
      <c r="E776" s="13" t="str">
        <f>IFERROR(VLOOKUP(D776,Sheet1!$B$1:$C$45,2,0),"")</f>
        <v>TE</v>
      </c>
      <c r="F776" s="12" t="s">
        <v>108</v>
      </c>
      <c r="G776" s="13" t="str">
        <f t="shared" si="3"/>
        <v>Barito Raya</v>
      </c>
      <c r="H776" s="15" t="str">
        <f>IFERROR(VLOOKUP(A776,Sheet1!$E$3:$F$27,2,),"")</f>
        <v>Preventive</v>
      </c>
      <c r="I776" s="16" t="str">
        <f>IFERROR(VLOOKUP(A776,Sheet1!$E$3:$G$27,3,0),"")</f>
        <v>MCB trip/Power upnormal</v>
      </c>
      <c r="J776" s="12" t="s">
        <v>112</v>
      </c>
      <c r="K776" s="17">
        <v>46036.0</v>
      </c>
      <c r="L776" s="17">
        <v>46036.0</v>
      </c>
      <c r="M776" s="12" t="s">
        <v>109</v>
      </c>
      <c r="N776" s="18" t="s">
        <v>432</v>
      </c>
      <c r="O776" s="19"/>
      <c r="P776" s="19"/>
    </row>
    <row r="777" ht="22.5" customHeight="1">
      <c r="A777" s="12" t="s">
        <v>65</v>
      </c>
      <c r="B777" s="20" t="str">
        <f>IFERROR(VLOOKUP(A777,Sheet1!$E$3:$H$27,4,0),"")</f>
        <v>P3</v>
      </c>
      <c r="C777" s="15"/>
      <c r="D777" s="12" t="s">
        <v>16</v>
      </c>
      <c r="E777" s="13" t="str">
        <f>IFERROR(VLOOKUP(D777,Sheet1!$B$1:$C$45,2,0),"")</f>
        <v>TE</v>
      </c>
      <c r="F777" s="12" t="s">
        <v>108</v>
      </c>
      <c r="G777" s="13" t="str">
        <f t="shared" si="3"/>
        <v>Barito Raya</v>
      </c>
      <c r="H777" s="15" t="str">
        <f>IFERROR(VLOOKUP(A777,Sheet1!$E$3:$F$27,2,),"")</f>
        <v>Standby</v>
      </c>
      <c r="I777" s="16" t="str">
        <f>IFERROR(VLOOKUP(A777,Sheet1!$E$3:$G$27,3,0),"")</f>
        <v>Standby On Call</v>
      </c>
      <c r="J777" s="20"/>
      <c r="K777" s="17">
        <v>46036.0</v>
      </c>
      <c r="L777" s="17">
        <v>46036.0</v>
      </c>
      <c r="M777" s="13"/>
      <c r="N777" s="23"/>
      <c r="O777" s="22"/>
      <c r="P777" s="22"/>
    </row>
    <row r="778" ht="22.5" customHeight="1">
      <c r="A778" s="12" t="s">
        <v>5</v>
      </c>
      <c r="B778" s="20" t="str">
        <f>IFERROR(VLOOKUP(A778,Sheet1!$E$3:$H$27,4,0),"")</f>
        <v>P1</v>
      </c>
      <c r="C778" s="14" t="s">
        <v>336</v>
      </c>
      <c r="D778" s="12" t="s">
        <v>21</v>
      </c>
      <c r="E778" s="13" t="str">
        <f>IFERROR(VLOOKUP(D778,Sheet1!$B$1:$C$45,2,0),"")</f>
        <v>TE</v>
      </c>
      <c r="F778" s="12" t="s">
        <v>108</v>
      </c>
      <c r="G778" s="13" t="str">
        <f t="shared" si="3"/>
        <v>Barito Raya</v>
      </c>
      <c r="H778" s="15" t="str">
        <f>IFERROR(VLOOKUP(A778,Sheet1!$E$3:$F$27,2,),"")</f>
        <v>Corrective</v>
      </c>
      <c r="I778" s="16" t="str">
        <f>IFERROR(VLOOKUP(A778,Sheet1!$E$3:$G$27,3,0),"")</f>
        <v>Replace Optik,RRU/Soket Power/Replace GPS</v>
      </c>
      <c r="J778" s="12" t="s">
        <v>112</v>
      </c>
      <c r="K778" s="17">
        <v>46036.0</v>
      </c>
      <c r="L778" s="17">
        <v>46036.0</v>
      </c>
      <c r="M778" s="12" t="s">
        <v>109</v>
      </c>
      <c r="N778" s="18" t="s">
        <v>433</v>
      </c>
      <c r="O778" s="19"/>
      <c r="P778" s="19"/>
    </row>
    <row r="779" ht="22.5" customHeight="1">
      <c r="A779" s="12" t="s">
        <v>55</v>
      </c>
      <c r="B779" s="20" t="str">
        <f>IFERROR(VLOOKUP(A779,Sheet1!$E$3:$H$27,4,0),"")</f>
        <v>P2</v>
      </c>
      <c r="C779" s="14" t="s">
        <v>396</v>
      </c>
      <c r="D779" s="12" t="s">
        <v>26</v>
      </c>
      <c r="E779" s="13" t="str">
        <f>IFERROR(VLOOKUP(D779,Sheet1!$B$1:$C$45,2,0),"")</f>
        <v>TE</v>
      </c>
      <c r="F779" s="12" t="s">
        <v>108</v>
      </c>
      <c r="G779" s="13" t="str">
        <f t="shared" si="3"/>
        <v>Barito Raya</v>
      </c>
      <c r="H779" s="15" t="str">
        <f>IFERROR(VLOOKUP(A779,Sheet1!$E$3:$F$27,2,),"")</f>
        <v>Corrective</v>
      </c>
      <c r="I779" s="16" t="str">
        <f>IFERROR(VLOOKUP(A779,Sheet1!$E$3:$G$27,3,0),"")</f>
        <v>Penambahan Modul Recti</v>
      </c>
      <c r="J779" s="12" t="s">
        <v>112</v>
      </c>
      <c r="K779" s="17">
        <v>46036.0</v>
      </c>
      <c r="L779" s="17">
        <v>46036.0</v>
      </c>
      <c r="M779" s="12" t="s">
        <v>109</v>
      </c>
      <c r="N779" s="23"/>
      <c r="O779" s="22"/>
      <c r="P779" s="22"/>
    </row>
    <row r="780" ht="22.5" customHeight="1">
      <c r="A780" s="12" t="s">
        <v>70</v>
      </c>
      <c r="B780" s="20" t="str">
        <f>IFERROR(VLOOKUP(A780,Sheet1!$E$3:$H$27,4,0),"")</f>
        <v>P3</v>
      </c>
      <c r="C780" s="15"/>
      <c r="D780" s="12" t="s">
        <v>88</v>
      </c>
      <c r="E780" s="13" t="str">
        <f>IFERROR(VLOOKUP(D780,Sheet1!$B$1:$C$45,2,0),"")</f>
        <v>TE</v>
      </c>
      <c r="F780" s="12" t="s">
        <v>108</v>
      </c>
      <c r="G780" s="13" t="str">
        <f t="shared" si="3"/>
        <v>Barito Raya</v>
      </c>
      <c r="H780" s="15" t="str">
        <f>IFERROR(VLOOKUP(A780,Sheet1!$E$3:$F$27,2,),"")</f>
        <v>Sick</v>
      </c>
      <c r="I780" s="16" t="str">
        <f>IFERROR(VLOOKUP(A780,Sheet1!$E$3:$G$27,3,0),"")</f>
        <v>Sick</v>
      </c>
      <c r="J780" s="20"/>
      <c r="K780" s="17">
        <v>46036.0</v>
      </c>
      <c r="L780" s="17">
        <v>46036.0</v>
      </c>
      <c r="M780" s="13"/>
      <c r="N780" s="23"/>
      <c r="O780" s="22"/>
      <c r="P780" s="22"/>
    </row>
    <row r="781" ht="22.5" customHeight="1">
      <c r="A781" s="12" t="s">
        <v>52</v>
      </c>
      <c r="B781" s="20" t="str">
        <f>IFERROR(VLOOKUP(A781,Sheet1!$E$3:$H$27,4,0),"")</f>
        <v>P1</v>
      </c>
      <c r="C781" s="14" t="s">
        <v>434</v>
      </c>
      <c r="D781" s="12" t="s">
        <v>32</v>
      </c>
      <c r="E781" s="13" t="str">
        <f>IFERROR(VLOOKUP(D781,Sheet1!$B$1:$C$45,2,0),"")</f>
        <v>TE</v>
      </c>
      <c r="F781" s="12" t="s">
        <v>108</v>
      </c>
      <c r="G781" s="13" t="str">
        <f t="shared" si="3"/>
        <v>Barito Raya</v>
      </c>
      <c r="H781" s="15" t="str">
        <f>IFERROR(VLOOKUP(A781,Sheet1!$E$3:$F$27,2,),"")</f>
        <v>Preventive</v>
      </c>
      <c r="I781" s="16" t="str">
        <f>IFERROR(VLOOKUP(A781,Sheet1!$E$3:$G$27,3,0),"")</f>
        <v>MCB trip/Power upnormal</v>
      </c>
      <c r="J781" s="12" t="s">
        <v>112</v>
      </c>
      <c r="K781" s="17">
        <v>46036.0</v>
      </c>
      <c r="L781" s="17">
        <v>46036.0</v>
      </c>
      <c r="M781" s="12" t="s">
        <v>109</v>
      </c>
      <c r="N781" s="23"/>
      <c r="O781" s="22"/>
      <c r="P781" s="22"/>
    </row>
    <row r="782" ht="22.5" customHeight="1">
      <c r="A782" s="12" t="s">
        <v>14</v>
      </c>
      <c r="B782" s="20" t="str">
        <f>IFERROR(VLOOKUP(A782,Sheet1!$E$3:$H$27,4,0),"")</f>
        <v>P1</v>
      </c>
      <c r="C782" s="14" t="s">
        <v>435</v>
      </c>
      <c r="D782" s="12" t="s">
        <v>74</v>
      </c>
      <c r="E782" s="13" t="str">
        <f>IFERROR(VLOOKUP(D782,Sheet1!$B$1:$C$45,2,0),"")</f>
        <v>TE</v>
      </c>
      <c r="F782" s="12" t="s">
        <v>108</v>
      </c>
      <c r="G782" s="13" t="str">
        <f t="shared" si="3"/>
        <v>Barito Raya</v>
      </c>
      <c r="H782" s="15" t="str">
        <f>IFERROR(VLOOKUP(A782,Sheet1!$E$3:$F$27,2,),"")</f>
        <v>Corrective</v>
      </c>
      <c r="I782" s="16" t="str">
        <f>IFERROR(VLOOKUP(A782,Sheet1!$E$3:$G$27,3,0),"")</f>
        <v>Pemadaman,MCB Trip,Transmisi problem</v>
      </c>
      <c r="J782" s="12" t="s">
        <v>112</v>
      </c>
      <c r="K782" s="17">
        <v>46036.0</v>
      </c>
      <c r="L782" s="17">
        <v>46036.0</v>
      </c>
      <c r="M782" s="12" t="s">
        <v>109</v>
      </c>
      <c r="N782" s="23"/>
      <c r="O782" s="22"/>
      <c r="P782" s="22"/>
    </row>
    <row r="783" ht="22.5" customHeight="1">
      <c r="A783" s="12" t="s">
        <v>14</v>
      </c>
      <c r="B783" s="20" t="str">
        <f>IFERROR(VLOOKUP(A783,Sheet1!$E$3:$H$27,4,0),"")</f>
        <v>P1</v>
      </c>
      <c r="C783" s="14" t="s">
        <v>436</v>
      </c>
      <c r="D783" s="12" t="s">
        <v>60</v>
      </c>
      <c r="E783" s="13" t="str">
        <f>IFERROR(VLOOKUP(D783,Sheet1!$B$1:$C$45,2,0),"")</f>
        <v>TE</v>
      </c>
      <c r="F783" s="12" t="s">
        <v>108</v>
      </c>
      <c r="G783" s="13" t="str">
        <f t="shared" si="3"/>
        <v>Barito Raya</v>
      </c>
      <c r="H783" s="15" t="str">
        <f>IFERROR(VLOOKUP(A783,Sheet1!$E$3:$F$27,2,),"")</f>
        <v>Corrective</v>
      </c>
      <c r="I783" s="16" t="str">
        <f>IFERROR(VLOOKUP(A783,Sheet1!$E$3:$G$27,3,0),"")</f>
        <v>Pemadaman,MCB Trip,Transmisi problem</v>
      </c>
      <c r="J783" s="12" t="s">
        <v>112</v>
      </c>
      <c r="K783" s="17">
        <v>46036.0</v>
      </c>
      <c r="L783" s="17">
        <v>46036.0</v>
      </c>
      <c r="M783" s="12" t="s">
        <v>109</v>
      </c>
      <c r="N783" s="23"/>
      <c r="O783" s="22"/>
      <c r="P783" s="22"/>
    </row>
    <row r="784" ht="22.5" customHeight="1">
      <c r="A784" s="12" t="s">
        <v>30</v>
      </c>
      <c r="B784" s="20" t="str">
        <f>IFERROR(VLOOKUP(A784,Sheet1!$E$3:$H$27,4,0),"")</f>
        <v>P3</v>
      </c>
      <c r="C784" s="14" t="s">
        <v>280</v>
      </c>
      <c r="D784" s="12" t="s">
        <v>62</v>
      </c>
      <c r="E784" s="13" t="str">
        <f>IFERROR(VLOOKUP(D784,Sheet1!$B$1:$C$45,2,0),"")</f>
        <v>TE</v>
      </c>
      <c r="F784" s="12" t="s">
        <v>108</v>
      </c>
      <c r="G784" s="13" t="str">
        <f t="shared" si="3"/>
        <v>Barito Raya</v>
      </c>
      <c r="H784" s="15" t="str">
        <f>IFERROR(VLOOKUP(A784,Sheet1!$E$3:$F$27,2,),"")</f>
        <v>Preventive</v>
      </c>
      <c r="I784" s="16" t="str">
        <f>IFERROR(VLOOKUP(A784,Sheet1!$E$3:$G$27,3,0),"")</f>
        <v>Pengawalan akses Vendor</v>
      </c>
      <c r="J784" s="12" t="s">
        <v>112</v>
      </c>
      <c r="K784" s="17">
        <v>46036.0</v>
      </c>
      <c r="L784" s="17">
        <v>46036.0</v>
      </c>
      <c r="M784" s="12" t="s">
        <v>109</v>
      </c>
      <c r="N784" s="23"/>
      <c r="O784" s="22"/>
      <c r="P784" s="22"/>
    </row>
    <row r="785" ht="22.5" customHeight="1">
      <c r="A785" s="12" t="s">
        <v>65</v>
      </c>
      <c r="B785" s="20" t="str">
        <f>IFERROR(VLOOKUP(A785,Sheet1!$E$3:$H$27,4,0),"")</f>
        <v>P3</v>
      </c>
      <c r="C785" s="15"/>
      <c r="D785" s="12" t="s">
        <v>9</v>
      </c>
      <c r="E785" s="13" t="str">
        <f>IFERROR(VLOOKUP(D785,Sheet1!$B$1:$C$45,2,0),"")</f>
        <v>MBP</v>
      </c>
      <c r="F785" s="12" t="s">
        <v>108</v>
      </c>
      <c r="G785" s="13" t="str">
        <f t="shared" si="3"/>
        <v>Barito Raya</v>
      </c>
      <c r="H785" s="15" t="str">
        <f>IFERROR(VLOOKUP(A785,Sheet1!$E$3:$F$27,2,),"")</f>
        <v>Standby</v>
      </c>
      <c r="I785" s="16" t="str">
        <f>IFERROR(VLOOKUP(A785,Sheet1!$E$3:$G$27,3,0),"")</f>
        <v>Standby On Call</v>
      </c>
      <c r="J785" s="12" t="s">
        <v>66</v>
      </c>
      <c r="K785" s="17">
        <v>46036.0</v>
      </c>
      <c r="L785" s="17">
        <v>46036.0</v>
      </c>
      <c r="M785" s="13"/>
      <c r="N785" s="23"/>
      <c r="O785" s="22"/>
      <c r="P785" s="22"/>
    </row>
    <row r="786" ht="22.5" customHeight="1">
      <c r="A786" s="12" t="s">
        <v>5</v>
      </c>
      <c r="B786" s="20" t="str">
        <f>IFERROR(VLOOKUP(A786,Sheet1!$E$3:$H$27,4,0),"")</f>
        <v>P1</v>
      </c>
      <c r="C786" s="14" t="s">
        <v>336</v>
      </c>
      <c r="D786" s="12" t="s">
        <v>4</v>
      </c>
      <c r="E786" s="13" t="str">
        <f>IFERROR(VLOOKUP(D786,Sheet1!$B$1:$C$45,2,0),"")</f>
        <v>CME</v>
      </c>
      <c r="F786" s="12" t="s">
        <v>108</v>
      </c>
      <c r="G786" s="13" t="str">
        <f t="shared" si="3"/>
        <v>Barito Raya</v>
      </c>
      <c r="H786" s="15" t="str">
        <f>IFERROR(VLOOKUP(A786,Sheet1!$E$3:$F$27,2,),"")</f>
        <v>Corrective</v>
      </c>
      <c r="I786" s="16" t="str">
        <f>IFERROR(VLOOKUP(A786,Sheet1!$E$3:$G$27,3,0),"")</f>
        <v>Replace Optik,RRU/Soket Power/Replace GPS</v>
      </c>
      <c r="J786" s="12" t="s">
        <v>112</v>
      </c>
      <c r="K786" s="17">
        <v>46036.0</v>
      </c>
      <c r="L786" s="17">
        <v>46036.0</v>
      </c>
      <c r="M786" s="12" t="s">
        <v>109</v>
      </c>
      <c r="N786" s="18" t="s">
        <v>433</v>
      </c>
      <c r="O786" s="19"/>
      <c r="P786" s="19"/>
    </row>
    <row r="787" ht="22.5" customHeight="1">
      <c r="A787" s="12" t="s">
        <v>65</v>
      </c>
      <c r="B787" s="20" t="str">
        <f>IFERROR(VLOOKUP(A787,Sheet1!$E$3:$H$27,4,0),"")</f>
        <v>P3</v>
      </c>
      <c r="C787" s="15"/>
      <c r="D787" s="12" t="s">
        <v>87</v>
      </c>
      <c r="E787" s="13" t="str">
        <f>IFERROR(VLOOKUP(D787,Sheet1!$B$1:$C$45,2,0),"")</f>
        <v>MBP</v>
      </c>
      <c r="F787" s="12" t="s">
        <v>108</v>
      </c>
      <c r="G787" s="13" t="str">
        <f t="shared" si="3"/>
        <v>Barito Raya</v>
      </c>
      <c r="H787" s="15" t="str">
        <f>IFERROR(VLOOKUP(A787,Sheet1!$E$3:$F$27,2,),"")</f>
        <v>Standby</v>
      </c>
      <c r="I787" s="16" t="str">
        <f>IFERROR(VLOOKUP(A787,Sheet1!$E$3:$G$27,3,0),"")</f>
        <v>Standby On Call</v>
      </c>
      <c r="J787" s="12" t="s">
        <v>66</v>
      </c>
      <c r="K787" s="17">
        <v>46036.0</v>
      </c>
      <c r="L787" s="17">
        <v>46036.0</v>
      </c>
      <c r="M787" s="13"/>
      <c r="N787" s="23"/>
      <c r="O787" s="22"/>
      <c r="P787" s="22"/>
    </row>
    <row r="788" ht="22.5" customHeight="1">
      <c r="A788" s="12" t="s">
        <v>52</v>
      </c>
      <c r="B788" s="20" t="str">
        <f>IFERROR(VLOOKUP(A788,Sheet1!$E$3:$H$27,4,0),"")</f>
        <v>P1</v>
      </c>
      <c r="C788" s="14" t="s">
        <v>434</v>
      </c>
      <c r="D788" s="12" t="s">
        <v>29</v>
      </c>
      <c r="E788" s="13" t="str">
        <f>IFERROR(VLOOKUP(D788,Sheet1!$B$1:$C$45,2,0),"")</f>
        <v>MBP</v>
      </c>
      <c r="F788" s="12" t="s">
        <v>108</v>
      </c>
      <c r="G788" s="13" t="str">
        <f t="shared" si="3"/>
        <v>Barito Raya</v>
      </c>
      <c r="H788" s="15" t="str">
        <f>IFERROR(VLOOKUP(A788,Sheet1!$E$3:$F$27,2,),"")</f>
        <v>Preventive</v>
      </c>
      <c r="I788" s="16" t="str">
        <f>IFERROR(VLOOKUP(A788,Sheet1!$E$3:$G$27,3,0),"")</f>
        <v>MCB trip/Power upnormal</v>
      </c>
      <c r="J788" s="12" t="s">
        <v>112</v>
      </c>
      <c r="K788" s="17">
        <v>46036.0</v>
      </c>
      <c r="L788" s="17">
        <v>46036.0</v>
      </c>
      <c r="M788" s="12" t="s">
        <v>122</v>
      </c>
      <c r="N788" s="23"/>
      <c r="O788" s="22"/>
      <c r="P788" s="22"/>
    </row>
    <row r="789" ht="22.5" customHeight="1">
      <c r="A789" s="12" t="s">
        <v>22</v>
      </c>
      <c r="B789" s="20" t="str">
        <f>IFERROR(VLOOKUP(A789,Sheet1!$E$3:$H$27,4,0),"")</f>
        <v>P2</v>
      </c>
      <c r="C789" s="14" t="s">
        <v>321</v>
      </c>
      <c r="D789" s="12" t="s">
        <v>85</v>
      </c>
      <c r="E789" s="13" t="str">
        <f>IFERROR(VLOOKUP(D789,Sheet1!$B$1:$C$45,2,0),"")</f>
        <v>PM</v>
      </c>
      <c r="F789" s="12" t="s">
        <v>108</v>
      </c>
      <c r="G789" s="13" t="str">
        <f t="shared" si="3"/>
        <v>Barito Raya</v>
      </c>
      <c r="H789" s="15" t="str">
        <f>IFERROR(VLOOKUP(A789,Sheet1!$E$3:$F$27,2,),"")</f>
        <v>Preventive</v>
      </c>
      <c r="I789" s="16" t="str">
        <f>IFERROR(VLOOKUP(A789,Sheet1!$E$3:$G$27,3,0),"")</f>
        <v>Preventive Maintenance</v>
      </c>
      <c r="J789" s="12" t="s">
        <v>112</v>
      </c>
      <c r="K789" s="17">
        <v>46036.0</v>
      </c>
      <c r="L789" s="17">
        <v>46036.0</v>
      </c>
      <c r="M789" s="12" t="s">
        <v>109</v>
      </c>
      <c r="N789" s="23"/>
      <c r="O789" s="22"/>
      <c r="P789" s="22"/>
    </row>
    <row r="790" ht="22.5" customHeight="1">
      <c r="A790" s="12" t="s">
        <v>22</v>
      </c>
      <c r="B790" s="20" t="str">
        <f>IFERROR(VLOOKUP(A790,Sheet1!$E$3:$H$27,4,0),"")</f>
        <v>P2</v>
      </c>
      <c r="C790" s="14" t="s">
        <v>321</v>
      </c>
      <c r="D790" s="12" t="s">
        <v>84</v>
      </c>
      <c r="E790" s="13" t="str">
        <f>IFERROR(VLOOKUP(D790,Sheet1!$B$1:$C$45,2,0),"")</f>
        <v>MBP</v>
      </c>
      <c r="F790" s="12" t="s">
        <v>108</v>
      </c>
      <c r="G790" s="13" t="str">
        <f t="shared" si="3"/>
        <v>Barito Raya</v>
      </c>
      <c r="H790" s="15" t="str">
        <f>IFERROR(VLOOKUP(A790,Sheet1!$E$3:$F$27,2,),"")</f>
        <v>Preventive</v>
      </c>
      <c r="I790" s="16" t="str">
        <f>IFERROR(VLOOKUP(A790,Sheet1!$E$3:$G$27,3,0),"")</f>
        <v>Preventive Maintenance</v>
      </c>
      <c r="J790" s="12" t="s">
        <v>112</v>
      </c>
      <c r="K790" s="17">
        <v>46036.0</v>
      </c>
      <c r="L790" s="17">
        <v>46036.0</v>
      </c>
      <c r="M790" s="12" t="s">
        <v>109</v>
      </c>
      <c r="N790" s="23"/>
      <c r="O790" s="22"/>
      <c r="P790" s="22"/>
    </row>
    <row r="791" ht="22.5" customHeight="1">
      <c r="A791" s="12" t="s">
        <v>22</v>
      </c>
      <c r="B791" s="20" t="str">
        <f>IFERROR(VLOOKUP(A791,Sheet1!$E$3:$H$27,4,0),"")</f>
        <v>P2</v>
      </c>
      <c r="C791" s="14" t="s">
        <v>313</v>
      </c>
      <c r="D791" s="12" t="s">
        <v>86</v>
      </c>
      <c r="E791" s="13" t="str">
        <f>IFERROR(VLOOKUP(D791,Sheet1!$B$1:$C$45,2,0),"")</f>
        <v>PM</v>
      </c>
      <c r="F791" s="12" t="s">
        <v>108</v>
      </c>
      <c r="G791" s="13" t="str">
        <f t="shared" si="3"/>
        <v>Barito Raya</v>
      </c>
      <c r="H791" s="15" t="str">
        <f>IFERROR(VLOOKUP(A791,Sheet1!$E$3:$F$27,2,),"")</f>
        <v>Preventive</v>
      </c>
      <c r="I791" s="16" t="str">
        <f>IFERROR(VLOOKUP(A791,Sheet1!$E$3:$G$27,3,0),"")</f>
        <v>Preventive Maintenance</v>
      </c>
      <c r="J791" s="12" t="s">
        <v>112</v>
      </c>
      <c r="K791" s="17">
        <v>46036.0</v>
      </c>
      <c r="L791" s="17">
        <v>46036.0</v>
      </c>
      <c r="M791" s="12" t="s">
        <v>109</v>
      </c>
      <c r="N791" s="23"/>
      <c r="O791" s="22"/>
      <c r="P791" s="22"/>
    </row>
    <row r="792" ht="22.5" customHeight="1">
      <c r="A792" s="12" t="s">
        <v>52</v>
      </c>
      <c r="B792" s="20" t="str">
        <f>IFERROR(VLOOKUP(A792,Sheet1!$E$3:$H$27,4,0),"")</f>
        <v>P1</v>
      </c>
      <c r="C792" s="14" t="s">
        <v>263</v>
      </c>
      <c r="D792" s="12" t="s">
        <v>2</v>
      </c>
      <c r="E792" s="13" t="str">
        <f>IFERROR(VLOOKUP(D792,Sheet1!$B$1:$C$45,2,0),"")</f>
        <v>CME</v>
      </c>
      <c r="F792" s="12" t="s">
        <v>108</v>
      </c>
      <c r="G792" s="13" t="str">
        <f t="shared" si="3"/>
        <v>Barito Raya</v>
      </c>
      <c r="H792" s="15" t="str">
        <f>IFERROR(VLOOKUP(A792,Sheet1!$E$3:$F$27,2,),"")</f>
        <v>Preventive</v>
      </c>
      <c r="I792" s="16" t="str">
        <f>IFERROR(VLOOKUP(A792,Sheet1!$E$3:$G$27,3,0),"")</f>
        <v>MCB trip/Power upnormal</v>
      </c>
      <c r="J792" s="12" t="s">
        <v>112</v>
      </c>
      <c r="K792" s="17">
        <v>46036.0</v>
      </c>
      <c r="L792" s="17">
        <v>46036.0</v>
      </c>
      <c r="M792" s="12" t="s">
        <v>122</v>
      </c>
      <c r="N792" s="18" t="s">
        <v>437</v>
      </c>
      <c r="O792" s="19"/>
      <c r="P792" s="19"/>
    </row>
    <row r="793" ht="22.5" customHeight="1">
      <c r="A793" s="12" t="s">
        <v>33</v>
      </c>
      <c r="B793" s="20" t="str">
        <f>IFERROR(VLOOKUP(A793,Sheet1!$E$3:$H$27,4,0),"")</f>
        <v>P2</v>
      </c>
      <c r="C793" s="14" t="s">
        <v>438</v>
      </c>
      <c r="D793" s="12" t="s">
        <v>62</v>
      </c>
      <c r="E793" s="13" t="str">
        <f>IFERROR(VLOOKUP(D793,Sheet1!$B$1:$C$45,2,0),"")</f>
        <v>TE</v>
      </c>
      <c r="F793" s="12" t="s">
        <v>108</v>
      </c>
      <c r="G793" s="13" t="str">
        <f t="shared" si="3"/>
        <v>Barito Raya</v>
      </c>
      <c r="H793" s="15" t="str">
        <f>IFERROR(VLOOKUP(A793,Sheet1!$E$3:$F$27,2,),"")</f>
        <v>Preventive</v>
      </c>
      <c r="I793" s="16" t="str">
        <f>IFERROR(VLOOKUP(A793,Sheet1!$E$3:$G$27,3,0),"")</f>
        <v>Pengukuran dan pengambilan data log serta input Gdoc BBT</v>
      </c>
      <c r="J793" s="12" t="s">
        <v>112</v>
      </c>
      <c r="K793" s="17">
        <v>46308.0</v>
      </c>
      <c r="L793" s="17">
        <v>46308.0</v>
      </c>
      <c r="M793" s="12" t="s">
        <v>137</v>
      </c>
      <c r="N793" s="23"/>
      <c r="O793" s="22"/>
      <c r="P793" s="22"/>
    </row>
    <row r="794" ht="22.5" customHeight="1">
      <c r="A794" s="12" t="s">
        <v>52</v>
      </c>
      <c r="B794" s="20" t="str">
        <f>IFERROR(VLOOKUP(A794,Sheet1!$E$3:$H$27,4,0),"")</f>
        <v>P1</v>
      </c>
      <c r="C794" s="14" t="s">
        <v>150</v>
      </c>
      <c r="D794" s="12" t="s">
        <v>29</v>
      </c>
      <c r="E794" s="13" t="str">
        <f>IFERROR(VLOOKUP(D794,Sheet1!$B$1:$C$45,2,0),"")</f>
        <v>MBP</v>
      </c>
      <c r="F794" s="12" t="s">
        <v>108</v>
      </c>
      <c r="G794" s="13" t="str">
        <f t="shared" si="3"/>
        <v>Barito Raya</v>
      </c>
      <c r="H794" s="15" t="str">
        <f>IFERROR(VLOOKUP(A794,Sheet1!$E$3:$F$27,2,),"")</f>
        <v>Preventive</v>
      </c>
      <c r="I794" s="16" t="str">
        <f>IFERROR(VLOOKUP(A794,Sheet1!$E$3:$G$27,3,0),"")</f>
        <v>MCB trip/Power upnormal</v>
      </c>
      <c r="J794" s="12" t="s">
        <v>112</v>
      </c>
      <c r="K794" s="17">
        <v>46308.0</v>
      </c>
      <c r="L794" s="17">
        <v>46308.0</v>
      </c>
      <c r="M794" s="12" t="s">
        <v>137</v>
      </c>
      <c r="N794" s="18" t="s">
        <v>127</v>
      </c>
      <c r="O794" s="22"/>
      <c r="P794" s="22"/>
    </row>
    <row r="795" ht="22.5" customHeight="1">
      <c r="A795" s="12" t="s">
        <v>52</v>
      </c>
      <c r="B795" s="20" t="str">
        <f>IFERROR(VLOOKUP(A795,Sheet1!$E$3:$H$27,4,0),"")</f>
        <v>P1</v>
      </c>
      <c r="C795" s="14" t="s">
        <v>126</v>
      </c>
      <c r="D795" s="12" t="s">
        <v>4</v>
      </c>
      <c r="E795" s="13" t="str">
        <f>IFERROR(VLOOKUP(D795,Sheet1!$B$1:$C$45,2,0),"")</f>
        <v>CME</v>
      </c>
      <c r="F795" s="12" t="s">
        <v>108</v>
      </c>
      <c r="G795" s="13" t="str">
        <f t="shared" si="3"/>
        <v>Barito Raya</v>
      </c>
      <c r="H795" s="15" t="str">
        <f>IFERROR(VLOOKUP(A795,Sheet1!$E$3:$F$27,2,),"")</f>
        <v>Preventive</v>
      </c>
      <c r="I795" s="16" t="str">
        <f>IFERROR(VLOOKUP(A795,Sheet1!$E$3:$G$27,3,0),"")</f>
        <v>MCB trip/Power upnormal</v>
      </c>
      <c r="J795" s="12" t="s">
        <v>112</v>
      </c>
      <c r="K795" s="17">
        <v>46308.0</v>
      </c>
      <c r="L795" s="17">
        <v>46308.0</v>
      </c>
      <c r="M795" s="12" t="s">
        <v>137</v>
      </c>
      <c r="N795" s="18" t="s">
        <v>127</v>
      </c>
      <c r="O795" s="22"/>
      <c r="P795" s="22"/>
    </row>
    <row r="796" ht="22.5" customHeight="1">
      <c r="A796" s="12" t="s">
        <v>52</v>
      </c>
      <c r="B796" s="20" t="str">
        <f>IFERROR(VLOOKUP(A796,Sheet1!$E$3:$H$27,4,0),"")</f>
        <v>P1</v>
      </c>
      <c r="C796" s="14" t="s">
        <v>128</v>
      </c>
      <c r="D796" s="12" t="s">
        <v>9</v>
      </c>
      <c r="E796" s="13" t="str">
        <f>IFERROR(VLOOKUP(D796,Sheet1!$B$1:$C$45,2,0),"")</f>
        <v>MBP</v>
      </c>
      <c r="F796" s="12" t="s">
        <v>108</v>
      </c>
      <c r="G796" s="13" t="str">
        <f t="shared" si="3"/>
        <v>Barito Raya</v>
      </c>
      <c r="H796" s="15" t="str">
        <f>IFERROR(VLOOKUP(A796,Sheet1!$E$3:$F$27,2,),"")</f>
        <v>Preventive</v>
      </c>
      <c r="I796" s="16" t="str">
        <f>IFERROR(VLOOKUP(A796,Sheet1!$E$3:$G$27,3,0),"")</f>
        <v>MCB trip/Power upnormal</v>
      </c>
      <c r="J796" s="12" t="s">
        <v>112</v>
      </c>
      <c r="K796" s="17">
        <v>46308.0</v>
      </c>
      <c r="L796" s="17">
        <v>46308.0</v>
      </c>
      <c r="M796" s="12" t="s">
        <v>137</v>
      </c>
      <c r="N796" s="18" t="s">
        <v>127</v>
      </c>
      <c r="O796" s="22"/>
      <c r="P796" s="22"/>
    </row>
    <row r="797" ht="22.5" customHeight="1">
      <c r="A797" s="12" t="s">
        <v>52</v>
      </c>
      <c r="B797" s="20" t="str">
        <f>IFERROR(VLOOKUP(A797,Sheet1!$E$3:$H$27,4,0),"")</f>
        <v>P1</v>
      </c>
      <c r="C797" s="14" t="s">
        <v>151</v>
      </c>
      <c r="D797" s="12" t="s">
        <v>0</v>
      </c>
      <c r="E797" s="13" t="str">
        <f>IFERROR(VLOOKUP(D797,Sheet1!$B$1:$C$45,2,0),"")</f>
        <v>MBP</v>
      </c>
      <c r="F797" s="12" t="s">
        <v>108</v>
      </c>
      <c r="G797" s="13" t="str">
        <f t="shared" si="3"/>
        <v>Barito Raya</v>
      </c>
      <c r="H797" s="15" t="str">
        <f>IFERROR(VLOOKUP(A797,Sheet1!$E$3:$F$27,2,),"")</f>
        <v>Preventive</v>
      </c>
      <c r="I797" s="16" t="str">
        <f>IFERROR(VLOOKUP(A797,Sheet1!$E$3:$G$27,3,0),"")</f>
        <v>MCB trip/Power upnormal</v>
      </c>
      <c r="J797" s="12" t="s">
        <v>112</v>
      </c>
      <c r="K797" s="17">
        <v>46308.0</v>
      </c>
      <c r="L797" s="17">
        <v>46308.0</v>
      </c>
      <c r="M797" s="12" t="s">
        <v>137</v>
      </c>
      <c r="N797" s="18" t="s">
        <v>127</v>
      </c>
      <c r="O797" s="22"/>
      <c r="P797" s="22"/>
    </row>
    <row r="798" ht="22.5" customHeight="1">
      <c r="A798" s="12" t="s">
        <v>52</v>
      </c>
      <c r="B798" s="20" t="str">
        <f>IFERROR(VLOOKUP(A798,Sheet1!$E$3:$H$27,4,0),"")</f>
        <v>P1</v>
      </c>
      <c r="C798" s="14" t="s">
        <v>130</v>
      </c>
      <c r="D798" s="12" t="s">
        <v>2</v>
      </c>
      <c r="E798" s="13" t="str">
        <f>IFERROR(VLOOKUP(D798,Sheet1!$B$1:$C$45,2,0),"")</f>
        <v>CME</v>
      </c>
      <c r="F798" s="12" t="s">
        <v>108</v>
      </c>
      <c r="G798" s="13" t="str">
        <f t="shared" si="3"/>
        <v>Barito Raya</v>
      </c>
      <c r="H798" s="15" t="str">
        <f>IFERROR(VLOOKUP(A798,Sheet1!$E$3:$F$27,2,),"")</f>
        <v>Preventive</v>
      </c>
      <c r="I798" s="16" t="str">
        <f>IFERROR(VLOOKUP(A798,Sheet1!$E$3:$G$27,3,0),"")</f>
        <v>MCB trip/Power upnormal</v>
      </c>
      <c r="J798" s="12" t="s">
        <v>112</v>
      </c>
      <c r="K798" s="17">
        <v>46308.0</v>
      </c>
      <c r="L798" s="17">
        <v>46308.0</v>
      </c>
      <c r="M798" s="12" t="s">
        <v>137</v>
      </c>
      <c r="N798" s="18" t="s">
        <v>127</v>
      </c>
      <c r="O798" s="22"/>
      <c r="P798" s="22"/>
    </row>
    <row r="799" ht="22.5" customHeight="1">
      <c r="A799" s="12" t="s">
        <v>52</v>
      </c>
      <c r="B799" s="20" t="str">
        <f>IFERROR(VLOOKUP(A799,Sheet1!$E$3:$H$27,4,0),"")</f>
        <v>P1</v>
      </c>
      <c r="C799" s="14" t="s">
        <v>131</v>
      </c>
      <c r="D799" s="12" t="s">
        <v>87</v>
      </c>
      <c r="E799" s="13" t="str">
        <f>IFERROR(VLOOKUP(D799,Sheet1!$B$1:$C$45,2,0),"")</f>
        <v>MBP</v>
      </c>
      <c r="F799" s="12" t="s">
        <v>108</v>
      </c>
      <c r="G799" s="13" t="str">
        <f t="shared" si="3"/>
        <v>Barito Raya</v>
      </c>
      <c r="H799" s="15" t="str">
        <f>IFERROR(VLOOKUP(A799,Sheet1!$E$3:$F$27,2,),"")</f>
        <v>Preventive</v>
      </c>
      <c r="I799" s="16" t="str">
        <f>IFERROR(VLOOKUP(A799,Sheet1!$E$3:$G$27,3,0),"")</f>
        <v>MCB trip/Power upnormal</v>
      </c>
      <c r="J799" s="12" t="s">
        <v>112</v>
      </c>
      <c r="K799" s="17">
        <v>46308.0</v>
      </c>
      <c r="L799" s="17">
        <v>46308.0</v>
      </c>
      <c r="M799" s="12" t="s">
        <v>137</v>
      </c>
      <c r="N799" s="18" t="s">
        <v>127</v>
      </c>
      <c r="O799" s="22"/>
      <c r="P799" s="22"/>
    </row>
    <row r="800" ht="22.5" customHeight="1">
      <c r="A800" s="12" t="s">
        <v>22</v>
      </c>
      <c r="B800" s="12" t="s">
        <v>20</v>
      </c>
      <c r="C800" s="14" t="s">
        <v>157</v>
      </c>
      <c r="D800" s="12" t="s">
        <v>85</v>
      </c>
      <c r="E800" s="12" t="s">
        <v>3</v>
      </c>
      <c r="F800" s="12" t="s">
        <v>108</v>
      </c>
      <c r="G800" s="12" t="s">
        <v>155</v>
      </c>
      <c r="H800" s="15" t="str">
        <f>IFERROR(VLOOKUP(A800,Sheet1!$E$3:$F$27,2,),"")</f>
        <v>Preventive</v>
      </c>
      <c r="I800" s="16" t="str">
        <f>IFERROR(VLOOKUP(A800,Sheet1!$E$3:$G$27,3,0),"")</f>
        <v>Preventive Maintenance</v>
      </c>
      <c r="J800" s="12" t="s">
        <v>112</v>
      </c>
      <c r="K800" s="17">
        <v>46308.0</v>
      </c>
      <c r="L800" s="17">
        <v>46308.0</v>
      </c>
      <c r="M800" s="12" t="s">
        <v>137</v>
      </c>
      <c r="N800" s="23"/>
      <c r="O800" s="22"/>
      <c r="P800" s="22"/>
    </row>
    <row r="801" ht="22.5" customHeight="1">
      <c r="A801" s="12" t="s">
        <v>22</v>
      </c>
      <c r="B801" s="12" t="s">
        <v>20</v>
      </c>
      <c r="C801" s="14" t="s">
        <v>157</v>
      </c>
      <c r="D801" s="12" t="s">
        <v>84</v>
      </c>
      <c r="E801" s="12" t="s">
        <v>1</v>
      </c>
      <c r="F801" s="12" t="s">
        <v>108</v>
      </c>
      <c r="G801" s="12" t="s">
        <v>155</v>
      </c>
      <c r="H801" s="15" t="str">
        <f>IFERROR(VLOOKUP(A801,Sheet1!$E$3:$F$27,2,),"")</f>
        <v>Preventive</v>
      </c>
      <c r="I801" s="16" t="str">
        <f>IFERROR(VLOOKUP(A801,Sheet1!$E$3:$G$27,3,0),"")</f>
        <v>Preventive Maintenance</v>
      </c>
      <c r="J801" s="12" t="s">
        <v>112</v>
      </c>
      <c r="K801" s="17">
        <v>46308.0</v>
      </c>
      <c r="L801" s="17">
        <v>46308.0</v>
      </c>
      <c r="M801" s="12" t="s">
        <v>137</v>
      </c>
      <c r="N801" s="23"/>
      <c r="O801" s="22"/>
      <c r="P801" s="22"/>
    </row>
    <row r="802" ht="22.5" customHeight="1">
      <c r="A802" s="12" t="s">
        <v>22</v>
      </c>
      <c r="B802" s="12" t="s">
        <v>31</v>
      </c>
      <c r="C802" s="14" t="s">
        <v>209</v>
      </c>
      <c r="D802" s="12" t="s">
        <v>86</v>
      </c>
      <c r="E802" s="12" t="s">
        <v>3</v>
      </c>
      <c r="F802" s="12" t="s">
        <v>108</v>
      </c>
      <c r="G802" s="12" t="s">
        <v>155</v>
      </c>
      <c r="H802" s="15" t="str">
        <f>IFERROR(VLOOKUP(A802,Sheet1!$E$3:$F$27,2,),"")</f>
        <v>Preventive</v>
      </c>
      <c r="I802" s="16" t="str">
        <f>IFERROR(VLOOKUP(A802,Sheet1!$E$3:$G$27,3,0),"")</f>
        <v>Preventive Maintenance</v>
      </c>
      <c r="J802" s="12" t="s">
        <v>112</v>
      </c>
      <c r="K802" s="17">
        <v>46308.0</v>
      </c>
      <c r="L802" s="17">
        <v>46308.0</v>
      </c>
      <c r="M802" s="12" t="s">
        <v>137</v>
      </c>
      <c r="N802" s="23"/>
      <c r="O802" s="22"/>
      <c r="P802" s="22"/>
    </row>
    <row r="803" ht="22.5" customHeight="1">
      <c r="A803" s="12" t="s">
        <v>14</v>
      </c>
      <c r="B803" s="20" t="str">
        <f>IFERROR(VLOOKUP(A803,Sheet1!$E$3:$H$27,4,0),"")</f>
        <v>P1</v>
      </c>
      <c r="C803" s="14" t="s">
        <v>439</v>
      </c>
      <c r="D803" s="12" t="s">
        <v>51</v>
      </c>
      <c r="E803" s="13" t="str">
        <f>IFERROR(VLOOKUP(D803,Sheet1!$B$1:$C$45,2,0),"")</f>
        <v>TE</v>
      </c>
      <c r="F803" s="12" t="s">
        <v>108</v>
      </c>
      <c r="G803" s="13" t="str">
        <f t="shared" ref="G803:G1138" si="4">IFERROR(IFS(F803="Winda Sokenda","Barito Raya",F803="Doni Damara","Palangkaraya"),"")</f>
        <v>Barito Raya</v>
      </c>
      <c r="H803" s="15" t="str">
        <f>IFERROR(VLOOKUP(A803,Sheet1!$E$3:$F$27,2,),"")</f>
        <v>Corrective</v>
      </c>
      <c r="I803" s="16" t="str">
        <f>IFERROR(VLOOKUP(A803,Sheet1!$E$3:$G$27,3,0),"")</f>
        <v>Pemadaman,MCB Trip,Transmisi problem</v>
      </c>
      <c r="J803" s="12" t="s">
        <v>112</v>
      </c>
      <c r="K803" s="17">
        <v>46308.0</v>
      </c>
      <c r="L803" s="17">
        <v>46308.0</v>
      </c>
      <c r="M803" s="12" t="s">
        <v>137</v>
      </c>
      <c r="N803" s="23"/>
      <c r="O803" s="22"/>
      <c r="P803" s="22"/>
    </row>
    <row r="804" ht="22.5" customHeight="1">
      <c r="A804" s="12"/>
      <c r="B804" s="20" t="str">
        <f>IFERROR(VLOOKUP(A804,Sheet1!$E$3:$H$27,4,0),"")</f>
        <v/>
      </c>
      <c r="C804" s="14"/>
      <c r="D804" s="12"/>
      <c r="E804" s="13" t="str">
        <f>IFERROR(VLOOKUP(D804,Sheet1!$B$1:$C$45,2,0),"")</f>
        <v/>
      </c>
      <c r="F804" s="12" t="s">
        <v>108</v>
      </c>
      <c r="G804" s="13" t="str">
        <f t="shared" si="4"/>
        <v>Barito Raya</v>
      </c>
      <c r="H804" s="15" t="str">
        <f>IFERROR(VLOOKUP(A804,Sheet1!$E$3:$F$27,2,),"")</f>
        <v/>
      </c>
      <c r="I804" s="16" t="str">
        <f>IFERROR(VLOOKUP(A804,Sheet1!$E$3:$G$27,3,0),"")</f>
        <v/>
      </c>
      <c r="J804" s="12"/>
      <c r="K804" s="17"/>
      <c r="L804" s="17"/>
      <c r="M804" s="13"/>
      <c r="N804" s="23"/>
      <c r="O804" s="22"/>
      <c r="P804" s="22"/>
    </row>
    <row r="805" ht="22.5" customHeight="1">
      <c r="A805" s="12"/>
      <c r="B805" s="20" t="str">
        <f>IFERROR(VLOOKUP(A805,Sheet1!$E$3:$H$27,4,0),"")</f>
        <v/>
      </c>
      <c r="C805" s="14"/>
      <c r="D805" s="12"/>
      <c r="E805" s="13" t="str">
        <f>IFERROR(VLOOKUP(D805,Sheet1!$B$1:$C$45,2,0),"")</f>
        <v/>
      </c>
      <c r="F805" s="12" t="s">
        <v>108</v>
      </c>
      <c r="G805" s="13" t="str">
        <f t="shared" si="4"/>
        <v>Barito Raya</v>
      </c>
      <c r="H805" s="15" t="str">
        <f>IFERROR(VLOOKUP(A805,Sheet1!$E$3:$F$27,2,),"")</f>
        <v/>
      </c>
      <c r="I805" s="16" t="str">
        <f>IFERROR(VLOOKUP(A805,Sheet1!$E$3:$G$27,3,0),"")</f>
        <v/>
      </c>
      <c r="J805" s="12"/>
      <c r="K805" s="17"/>
      <c r="L805" s="17"/>
      <c r="M805" s="12"/>
      <c r="N805" s="23"/>
      <c r="O805" s="22"/>
      <c r="P805" s="22"/>
    </row>
    <row r="806" ht="22.5" customHeight="1">
      <c r="A806" s="12"/>
      <c r="B806" s="20" t="str">
        <f>IFERROR(VLOOKUP(A806,Sheet1!$E$3:$H$27,4,0),"")</f>
        <v/>
      </c>
      <c r="C806" s="14"/>
      <c r="D806" s="12"/>
      <c r="E806" s="13" t="str">
        <f>IFERROR(VLOOKUP(D806,Sheet1!$B$1:$C$45,2,0),"")</f>
        <v/>
      </c>
      <c r="F806" s="12" t="s">
        <v>108</v>
      </c>
      <c r="G806" s="13" t="str">
        <f t="shared" si="4"/>
        <v>Barito Raya</v>
      </c>
      <c r="H806" s="15" t="str">
        <f>IFERROR(VLOOKUP(A806,Sheet1!$E$3:$F$27,2,),"")</f>
        <v/>
      </c>
      <c r="I806" s="16" t="str">
        <f>IFERROR(VLOOKUP(A806,Sheet1!$E$3:$G$27,3,0),"")</f>
        <v/>
      </c>
      <c r="J806" s="12"/>
      <c r="K806" s="17"/>
      <c r="L806" s="17"/>
      <c r="M806" s="12"/>
      <c r="N806" s="23"/>
      <c r="O806" s="22"/>
      <c r="P806" s="22"/>
    </row>
    <row r="807" ht="22.5" customHeight="1">
      <c r="A807" s="12"/>
      <c r="B807" s="20" t="str">
        <f>IFERROR(VLOOKUP(A807,Sheet1!$E$3:$H$27,4,0),"")</f>
        <v/>
      </c>
      <c r="C807" s="14"/>
      <c r="D807" s="12"/>
      <c r="E807" s="13" t="str">
        <f>IFERROR(VLOOKUP(D807,Sheet1!$B$1:$C$45,2,0),"")</f>
        <v/>
      </c>
      <c r="F807" s="12" t="s">
        <v>108</v>
      </c>
      <c r="G807" s="13" t="str">
        <f t="shared" si="4"/>
        <v>Barito Raya</v>
      </c>
      <c r="H807" s="15" t="str">
        <f>IFERROR(VLOOKUP(A807,Sheet1!$E$3:$F$27,2,),"")</f>
        <v/>
      </c>
      <c r="I807" s="16" t="str">
        <f>IFERROR(VLOOKUP(A807,Sheet1!$E$3:$G$27,3,0),"")</f>
        <v/>
      </c>
      <c r="J807" s="12"/>
      <c r="K807" s="17"/>
      <c r="L807" s="17"/>
      <c r="M807" s="12"/>
      <c r="N807" s="23"/>
      <c r="O807" s="22"/>
      <c r="P807" s="22"/>
    </row>
    <row r="808" ht="22.5" customHeight="1">
      <c r="A808" s="12"/>
      <c r="B808" s="20" t="str">
        <f>IFERROR(VLOOKUP(A808,Sheet1!$E$3:$H$27,4,0),"")</f>
        <v/>
      </c>
      <c r="C808" s="14"/>
      <c r="D808" s="12"/>
      <c r="E808" s="13" t="str">
        <f>IFERROR(VLOOKUP(D808,Sheet1!$B$1:$C$45,2,0),"")</f>
        <v/>
      </c>
      <c r="F808" s="12" t="s">
        <v>108</v>
      </c>
      <c r="G808" s="13" t="str">
        <f t="shared" si="4"/>
        <v>Barito Raya</v>
      </c>
      <c r="H808" s="15" t="str">
        <f>IFERROR(VLOOKUP(A808,Sheet1!$E$3:$F$27,2,),"")</f>
        <v/>
      </c>
      <c r="I808" s="16" t="str">
        <f>IFERROR(VLOOKUP(A808,Sheet1!$E$3:$G$27,3,0),"")</f>
        <v/>
      </c>
      <c r="J808" s="12"/>
      <c r="K808" s="17"/>
      <c r="L808" s="17"/>
      <c r="M808" s="12"/>
      <c r="N808" s="23"/>
      <c r="O808" s="22"/>
      <c r="P808" s="22"/>
    </row>
    <row r="809" ht="22.5" customHeight="1">
      <c r="A809" s="12"/>
      <c r="B809" s="20" t="str">
        <f>IFERROR(VLOOKUP(A809,Sheet1!$E$3:$H$27,4,0),"")</f>
        <v/>
      </c>
      <c r="C809" s="14"/>
      <c r="D809" s="12"/>
      <c r="E809" s="13" t="str">
        <f>IFERROR(VLOOKUP(D809,Sheet1!$B$1:$C$45,2,0),"")</f>
        <v/>
      </c>
      <c r="F809" s="12" t="s">
        <v>108</v>
      </c>
      <c r="G809" s="13" t="str">
        <f t="shared" si="4"/>
        <v>Barito Raya</v>
      </c>
      <c r="H809" s="15" t="str">
        <f>IFERROR(VLOOKUP(A809,Sheet1!$E$3:$F$27,2,),"")</f>
        <v/>
      </c>
      <c r="I809" s="16" t="str">
        <f>IFERROR(VLOOKUP(A809,Sheet1!$E$3:$G$27,3,0),"")</f>
        <v/>
      </c>
      <c r="J809" s="12"/>
      <c r="K809" s="17"/>
      <c r="L809" s="17"/>
      <c r="M809" s="12"/>
      <c r="N809" s="23"/>
      <c r="O809" s="22"/>
      <c r="P809" s="22"/>
    </row>
    <row r="810" ht="22.5" customHeight="1">
      <c r="A810" s="12" t="s">
        <v>22</v>
      </c>
      <c r="B810" s="20" t="str">
        <f>IFERROR(VLOOKUP(A810,Sheet1!$E$3:$H$27,4,0),"")</f>
        <v>P2</v>
      </c>
      <c r="C810" s="14" t="s">
        <v>440</v>
      </c>
      <c r="D810" s="12" t="s">
        <v>86</v>
      </c>
      <c r="E810" s="13" t="str">
        <f>IFERROR(VLOOKUP(D810,Sheet1!$B$1:$C$45,2,0),"")</f>
        <v>PM</v>
      </c>
      <c r="F810" s="12" t="s">
        <v>108</v>
      </c>
      <c r="G810" s="13" t="str">
        <f t="shared" si="4"/>
        <v>Barito Raya</v>
      </c>
      <c r="H810" s="15" t="str">
        <f>IFERROR(VLOOKUP(A810,Sheet1!$E$3:$F$27,2,),"")</f>
        <v>Preventive</v>
      </c>
      <c r="I810" s="16" t="str">
        <f>IFERROR(VLOOKUP(A810,Sheet1!$E$3:$G$27,3,0),"")</f>
        <v>Preventive Maintenance</v>
      </c>
      <c r="J810" s="12" t="s">
        <v>112</v>
      </c>
      <c r="K810" s="17">
        <v>46135.0</v>
      </c>
      <c r="L810" s="17">
        <v>46135.0</v>
      </c>
      <c r="M810" s="12" t="s">
        <v>122</v>
      </c>
      <c r="N810" s="18" t="s">
        <v>441</v>
      </c>
      <c r="O810" s="19"/>
      <c r="P810" s="19"/>
    </row>
    <row r="811" ht="22.5" customHeight="1">
      <c r="A811" s="12" t="s">
        <v>14</v>
      </c>
      <c r="B811" s="20" t="str">
        <f>IFERROR(VLOOKUP(A811,Sheet1!$E$3:$H$27,4,0),"")</f>
        <v>P1</v>
      </c>
      <c r="C811" s="14" t="s">
        <v>402</v>
      </c>
      <c r="D811" s="12" t="s">
        <v>37</v>
      </c>
      <c r="E811" s="13" t="str">
        <f>IFERROR(VLOOKUP(D811,Sheet1!$B$1:$C$45,2,0),"")</f>
        <v>TE</v>
      </c>
      <c r="F811" s="12" t="s">
        <v>179</v>
      </c>
      <c r="G811" s="13" t="str">
        <f t="shared" si="4"/>
        <v>Palangkaraya</v>
      </c>
      <c r="H811" s="15" t="str">
        <f>IFERROR(VLOOKUP(A811,Sheet1!$E$3:$F$27,2,),"")</f>
        <v>Corrective</v>
      </c>
      <c r="I811" s="16" t="str">
        <f>IFERROR(VLOOKUP(A811,Sheet1!$E$3:$G$27,3,0),"")</f>
        <v>Pemadaman,MCB Trip,Transmisi problem</v>
      </c>
      <c r="J811" s="12" t="s">
        <v>112</v>
      </c>
      <c r="K811" s="17">
        <v>46037.0</v>
      </c>
      <c r="L811" s="17">
        <v>46037.0</v>
      </c>
      <c r="M811" s="12" t="s">
        <v>137</v>
      </c>
      <c r="N811" s="23"/>
      <c r="O811" s="22"/>
      <c r="P811" s="22"/>
    </row>
    <row r="812" ht="22.5" customHeight="1">
      <c r="A812" s="12" t="s">
        <v>22</v>
      </c>
      <c r="B812" s="20" t="str">
        <f>IFERROR(VLOOKUP(A812,Sheet1!$E$3:$H$27,4,0),"")</f>
        <v>P2</v>
      </c>
      <c r="C812" s="14" t="s">
        <v>442</v>
      </c>
      <c r="D812" s="12" t="s">
        <v>42</v>
      </c>
      <c r="E812" s="13" t="str">
        <f>IFERROR(VLOOKUP(D812,Sheet1!$B$1:$C$45,2,0),"")</f>
        <v>TE</v>
      </c>
      <c r="F812" s="12" t="s">
        <v>179</v>
      </c>
      <c r="G812" s="13" t="str">
        <f t="shared" si="4"/>
        <v>Palangkaraya</v>
      </c>
      <c r="H812" s="15" t="str">
        <f>IFERROR(VLOOKUP(A812,Sheet1!$E$3:$F$27,2,),"")</f>
        <v>Preventive</v>
      </c>
      <c r="I812" s="16" t="str">
        <f>IFERROR(VLOOKUP(A812,Sheet1!$E$3:$G$27,3,0),"")</f>
        <v>Preventive Maintenance</v>
      </c>
      <c r="J812" s="12" t="s">
        <v>112</v>
      </c>
      <c r="K812" s="17">
        <v>46037.0</v>
      </c>
      <c r="L812" s="17">
        <v>46037.0</v>
      </c>
      <c r="M812" s="12" t="s">
        <v>122</v>
      </c>
      <c r="N812" s="23"/>
      <c r="O812" s="22"/>
      <c r="P812" s="22"/>
    </row>
    <row r="813" ht="22.5" customHeight="1">
      <c r="A813" s="12" t="s">
        <v>22</v>
      </c>
      <c r="B813" s="20" t="str">
        <f>IFERROR(VLOOKUP(A813,Sheet1!$E$3:$H$27,4,0),"")</f>
        <v>P2</v>
      </c>
      <c r="C813" s="14" t="s">
        <v>442</v>
      </c>
      <c r="D813" s="12" t="s">
        <v>77</v>
      </c>
      <c r="E813" s="13" t="str">
        <f>IFERROR(VLOOKUP(D813,Sheet1!$B$1:$C$45,2,0),"")</f>
        <v>TE</v>
      </c>
      <c r="F813" s="12" t="s">
        <v>179</v>
      </c>
      <c r="G813" s="13" t="str">
        <f t="shared" si="4"/>
        <v>Palangkaraya</v>
      </c>
      <c r="H813" s="15" t="str">
        <f>IFERROR(VLOOKUP(A813,Sheet1!$E$3:$F$27,2,),"")</f>
        <v>Preventive</v>
      </c>
      <c r="I813" s="16" t="str">
        <f>IFERROR(VLOOKUP(A813,Sheet1!$E$3:$G$27,3,0),"")</f>
        <v>Preventive Maintenance</v>
      </c>
      <c r="J813" s="12" t="s">
        <v>112</v>
      </c>
      <c r="K813" s="17">
        <v>46037.0</v>
      </c>
      <c r="L813" s="17">
        <v>46037.0</v>
      </c>
      <c r="M813" s="12" t="s">
        <v>122</v>
      </c>
      <c r="N813" s="23"/>
      <c r="O813" s="22"/>
      <c r="P813" s="22"/>
    </row>
    <row r="814" ht="22.5" customHeight="1">
      <c r="A814" s="12" t="s">
        <v>33</v>
      </c>
      <c r="B814" s="20" t="str">
        <f>IFERROR(VLOOKUP(A814,Sheet1!$E$3:$H$27,4,0),"")</f>
        <v>P2</v>
      </c>
      <c r="C814" s="14" t="s">
        <v>430</v>
      </c>
      <c r="D814" s="12" t="s">
        <v>39</v>
      </c>
      <c r="E814" s="13" t="str">
        <f>IFERROR(VLOOKUP(D814,Sheet1!$B$1:$C$45,2,0),"")</f>
        <v>TE</v>
      </c>
      <c r="F814" s="12" t="s">
        <v>179</v>
      </c>
      <c r="G814" s="13" t="str">
        <f t="shared" si="4"/>
        <v>Palangkaraya</v>
      </c>
      <c r="H814" s="15" t="str">
        <f>IFERROR(VLOOKUP(A814,Sheet1!$E$3:$F$27,2,),"")</f>
        <v>Preventive</v>
      </c>
      <c r="I814" s="16" t="str">
        <f>IFERROR(VLOOKUP(A814,Sheet1!$E$3:$G$27,3,0),"")</f>
        <v>Pengukuran dan pengambilan data log serta input Gdoc BBT</v>
      </c>
      <c r="J814" s="12" t="s">
        <v>112</v>
      </c>
      <c r="K814" s="17">
        <v>46037.0</v>
      </c>
      <c r="L814" s="17">
        <v>46037.0</v>
      </c>
      <c r="M814" s="12" t="s">
        <v>122</v>
      </c>
      <c r="N814" s="23"/>
      <c r="O814" s="22"/>
      <c r="P814" s="22"/>
    </row>
    <row r="815" ht="22.5" customHeight="1">
      <c r="A815" s="12" t="s">
        <v>14</v>
      </c>
      <c r="B815" s="20" t="str">
        <f>IFERROR(VLOOKUP(A815,Sheet1!$E$3:$H$27,4,0),"")</f>
        <v>P1</v>
      </c>
      <c r="C815" s="14" t="s">
        <v>402</v>
      </c>
      <c r="D815" s="12" t="s">
        <v>80</v>
      </c>
      <c r="E815" s="13" t="str">
        <f>IFERROR(VLOOKUP(D815,Sheet1!$B$1:$C$45,2,0),"")</f>
        <v>TE</v>
      </c>
      <c r="F815" s="12" t="s">
        <v>179</v>
      </c>
      <c r="G815" s="13" t="str">
        <f t="shared" si="4"/>
        <v>Palangkaraya</v>
      </c>
      <c r="H815" s="15" t="str">
        <f>IFERROR(VLOOKUP(A815,Sheet1!$E$3:$F$27,2,),"")</f>
        <v>Corrective</v>
      </c>
      <c r="I815" s="16" t="str">
        <f>IFERROR(VLOOKUP(A815,Sheet1!$E$3:$G$27,3,0),"")</f>
        <v>Pemadaman,MCB Trip,Transmisi problem</v>
      </c>
      <c r="J815" s="12" t="s">
        <v>112</v>
      </c>
      <c r="K815" s="17">
        <v>46037.0</v>
      </c>
      <c r="L815" s="17">
        <v>46037.0</v>
      </c>
      <c r="M815" s="12" t="s">
        <v>109</v>
      </c>
      <c r="N815" s="23"/>
      <c r="O815" s="22"/>
      <c r="P815" s="22"/>
    </row>
    <row r="816" ht="22.5" customHeight="1">
      <c r="A816" s="12" t="s">
        <v>5</v>
      </c>
      <c r="B816" s="20" t="str">
        <f>IFERROR(VLOOKUP(A816,Sheet1!$E$3:$H$27,4,0),"")</f>
        <v>P1</v>
      </c>
      <c r="C816" s="14" t="s">
        <v>376</v>
      </c>
      <c r="D816" s="12" t="s">
        <v>51</v>
      </c>
      <c r="E816" s="13" t="str">
        <f>IFERROR(VLOOKUP(D816,Sheet1!$B$1:$C$45,2,0),"")</f>
        <v>TE</v>
      </c>
      <c r="F816" s="12" t="s">
        <v>179</v>
      </c>
      <c r="G816" s="13" t="str">
        <f t="shared" si="4"/>
        <v>Palangkaraya</v>
      </c>
      <c r="H816" s="15" t="str">
        <f>IFERROR(VLOOKUP(A816,Sheet1!$E$3:$F$27,2,),"")</f>
        <v>Corrective</v>
      </c>
      <c r="I816" s="16" t="str">
        <f>IFERROR(VLOOKUP(A816,Sheet1!$E$3:$G$27,3,0),"")</f>
        <v>Replace Optik,RRU/Soket Power/Replace GPS</v>
      </c>
      <c r="J816" s="12" t="s">
        <v>112</v>
      </c>
      <c r="K816" s="17">
        <v>46037.0</v>
      </c>
      <c r="L816" s="17">
        <v>46037.0</v>
      </c>
      <c r="M816" s="12" t="s">
        <v>122</v>
      </c>
      <c r="N816" s="23"/>
      <c r="O816" s="22"/>
      <c r="P816" s="22"/>
    </row>
    <row r="817" ht="22.5" customHeight="1">
      <c r="A817" s="12" t="s">
        <v>5</v>
      </c>
      <c r="B817" s="20" t="str">
        <f>IFERROR(VLOOKUP(A817,Sheet1!$E$3:$H$27,4,0),"")</f>
        <v>P1</v>
      </c>
      <c r="C817" s="14" t="s">
        <v>300</v>
      </c>
      <c r="D817" s="12" t="s">
        <v>79</v>
      </c>
      <c r="E817" s="13" t="str">
        <f>IFERROR(VLOOKUP(D817,Sheet1!$B$1:$C$45,2,0),"")</f>
        <v>TE</v>
      </c>
      <c r="F817" s="12" t="s">
        <v>179</v>
      </c>
      <c r="G817" s="13" t="str">
        <f t="shared" si="4"/>
        <v>Palangkaraya</v>
      </c>
      <c r="H817" s="15" t="str">
        <f>IFERROR(VLOOKUP(A817,Sheet1!$E$3:$F$27,2,),"")</f>
        <v>Corrective</v>
      </c>
      <c r="I817" s="16" t="str">
        <f>IFERROR(VLOOKUP(A817,Sheet1!$E$3:$G$27,3,0),"")</f>
        <v>Replace Optik,RRU/Soket Power/Replace GPS</v>
      </c>
      <c r="J817" s="12" t="s">
        <v>112</v>
      </c>
      <c r="K817" s="17">
        <v>46037.0</v>
      </c>
      <c r="L817" s="17">
        <v>46037.0</v>
      </c>
      <c r="M817" s="12" t="s">
        <v>109</v>
      </c>
      <c r="N817" s="23"/>
      <c r="O817" s="22"/>
      <c r="P817" s="22"/>
    </row>
    <row r="818" ht="22.5" customHeight="1">
      <c r="A818" s="12" t="s">
        <v>5</v>
      </c>
      <c r="B818" s="20" t="str">
        <f>IFERROR(VLOOKUP(A818,Sheet1!$E$3:$H$27,4,0),"")</f>
        <v>P1</v>
      </c>
      <c r="C818" s="14" t="s">
        <v>302</v>
      </c>
      <c r="D818" s="12" t="s">
        <v>71</v>
      </c>
      <c r="E818" s="13" t="str">
        <f>IFERROR(VLOOKUP(D818,Sheet1!$B$1:$C$45,2,0),"")</f>
        <v>TE</v>
      </c>
      <c r="F818" s="12" t="s">
        <v>179</v>
      </c>
      <c r="G818" s="13" t="str">
        <f t="shared" si="4"/>
        <v>Palangkaraya</v>
      </c>
      <c r="H818" s="15" t="str">
        <f>IFERROR(VLOOKUP(A818,Sheet1!$E$3:$F$27,2,),"")</f>
        <v>Corrective</v>
      </c>
      <c r="I818" s="16" t="str">
        <f>IFERROR(VLOOKUP(A818,Sheet1!$E$3:$G$27,3,0),"")</f>
        <v>Replace Optik,RRU/Soket Power/Replace GPS</v>
      </c>
      <c r="J818" s="12" t="s">
        <v>112</v>
      </c>
      <c r="K818" s="17">
        <v>46037.0</v>
      </c>
      <c r="L818" s="17">
        <v>46037.0</v>
      </c>
      <c r="M818" s="12" t="s">
        <v>122</v>
      </c>
      <c r="N818" s="23"/>
      <c r="O818" s="22"/>
      <c r="P818" s="22"/>
    </row>
    <row r="819" ht="22.5" customHeight="1">
      <c r="A819" s="12" t="s">
        <v>5</v>
      </c>
      <c r="B819" s="20" t="str">
        <f>IFERROR(VLOOKUP(A819,Sheet1!$E$3:$H$27,4,0),"")</f>
        <v>P1</v>
      </c>
      <c r="C819" s="14" t="s">
        <v>302</v>
      </c>
      <c r="D819" s="12" t="s">
        <v>69</v>
      </c>
      <c r="E819" s="13" t="str">
        <f>IFERROR(VLOOKUP(D819,Sheet1!$B$1:$C$45,2,0),"")</f>
        <v>TE</v>
      </c>
      <c r="F819" s="12" t="s">
        <v>179</v>
      </c>
      <c r="G819" s="13" t="str">
        <f t="shared" si="4"/>
        <v>Palangkaraya</v>
      </c>
      <c r="H819" s="15" t="str">
        <f>IFERROR(VLOOKUP(A819,Sheet1!$E$3:$F$27,2,),"")</f>
        <v>Corrective</v>
      </c>
      <c r="I819" s="16" t="str">
        <f>IFERROR(VLOOKUP(A819,Sheet1!$E$3:$G$27,3,0),"")</f>
        <v>Replace Optik,RRU/Soket Power/Replace GPS</v>
      </c>
      <c r="J819" s="12" t="s">
        <v>112</v>
      </c>
      <c r="K819" s="17">
        <v>46037.0</v>
      </c>
      <c r="L819" s="17">
        <v>46037.0</v>
      </c>
      <c r="M819" s="12" t="s">
        <v>122</v>
      </c>
      <c r="N819" s="23"/>
      <c r="O819" s="22"/>
      <c r="P819" s="22"/>
    </row>
    <row r="820" ht="22.5" customHeight="1">
      <c r="A820" s="12" t="s">
        <v>5</v>
      </c>
      <c r="B820" s="20" t="str">
        <f>IFERROR(VLOOKUP(A820,Sheet1!$E$3:$H$27,4,0),"")</f>
        <v>P1</v>
      </c>
      <c r="C820" s="14" t="s">
        <v>268</v>
      </c>
      <c r="D820" s="12" t="s">
        <v>91</v>
      </c>
      <c r="E820" s="13" t="str">
        <f>IFERROR(VLOOKUP(D820,Sheet1!$B$1:$C$45,2,0),"")</f>
        <v>TE</v>
      </c>
      <c r="F820" s="12" t="s">
        <v>179</v>
      </c>
      <c r="G820" s="13" t="str">
        <f t="shared" si="4"/>
        <v>Palangkaraya</v>
      </c>
      <c r="H820" s="15" t="str">
        <f>IFERROR(VLOOKUP(A820,Sheet1!$E$3:$F$27,2,),"")</f>
        <v>Corrective</v>
      </c>
      <c r="I820" s="16" t="str">
        <f>IFERROR(VLOOKUP(A820,Sheet1!$E$3:$G$27,3,0),"")</f>
        <v>Replace Optik,RRU/Soket Power/Replace GPS</v>
      </c>
      <c r="J820" s="12" t="s">
        <v>112</v>
      </c>
      <c r="K820" s="17">
        <v>46037.0</v>
      </c>
      <c r="L820" s="17">
        <v>46037.0</v>
      </c>
      <c r="M820" s="12" t="s">
        <v>122</v>
      </c>
      <c r="N820" s="23"/>
      <c r="O820" s="22"/>
      <c r="P820" s="22"/>
    </row>
    <row r="821" ht="22.5" customHeight="1">
      <c r="A821" s="12" t="s">
        <v>52</v>
      </c>
      <c r="B821" s="20" t="str">
        <f>IFERROR(VLOOKUP(A821,Sheet1!$E$3:$H$27,4,0),"")</f>
        <v>P1</v>
      </c>
      <c r="C821" s="14" t="s">
        <v>415</v>
      </c>
      <c r="D821" s="12" t="s">
        <v>58</v>
      </c>
      <c r="E821" s="13" t="str">
        <f>IFERROR(VLOOKUP(D821,Sheet1!$B$1:$C$45,2,0),"")</f>
        <v>TE</v>
      </c>
      <c r="F821" s="12" t="s">
        <v>179</v>
      </c>
      <c r="G821" s="13" t="str">
        <f t="shared" si="4"/>
        <v>Palangkaraya</v>
      </c>
      <c r="H821" s="15" t="str">
        <f>IFERROR(VLOOKUP(A821,Sheet1!$E$3:$F$27,2,),"")</f>
        <v>Preventive</v>
      </c>
      <c r="I821" s="16" t="str">
        <f>IFERROR(VLOOKUP(A821,Sheet1!$E$3:$G$27,3,0),"")</f>
        <v>MCB trip/Power upnormal</v>
      </c>
      <c r="J821" s="12" t="s">
        <v>112</v>
      </c>
      <c r="K821" s="17">
        <v>46037.0</v>
      </c>
      <c r="L821" s="17">
        <v>46037.0</v>
      </c>
      <c r="M821" s="12" t="s">
        <v>122</v>
      </c>
      <c r="N821" s="23"/>
      <c r="O821" s="22"/>
      <c r="P821" s="22"/>
    </row>
    <row r="822" ht="22.5" customHeight="1">
      <c r="A822" s="12" t="s">
        <v>72</v>
      </c>
      <c r="B822" s="20" t="str">
        <f>IFERROR(VLOOKUP(A822,Sheet1!$E$3:$H$27,4,0),"")</f>
        <v>P1</v>
      </c>
      <c r="C822" s="14" t="s">
        <v>217</v>
      </c>
      <c r="D822" s="12" t="s">
        <v>56</v>
      </c>
      <c r="E822" s="13" t="str">
        <f>IFERROR(VLOOKUP(D822,Sheet1!$B$1:$C$45,2,0),"")</f>
        <v>TE</v>
      </c>
      <c r="F822" s="12" t="s">
        <v>179</v>
      </c>
      <c r="G822" s="13" t="str">
        <f t="shared" si="4"/>
        <v>Palangkaraya</v>
      </c>
      <c r="H822" s="15" t="str">
        <f>IFERROR(VLOOKUP(A822,Sheet1!$E$3:$F$27,2,),"")</f>
        <v>Corrective</v>
      </c>
      <c r="I822" s="16" t="str">
        <f>IFERROR(VLOOKUP(A822,Sheet1!$E$3:$G$27,3,0),"")</f>
        <v>Perbaikan Auto,pergantian relay,timer, yang berhubungan genset</v>
      </c>
      <c r="J822" s="12" t="s">
        <v>112</v>
      </c>
      <c r="K822" s="17">
        <v>46037.0</v>
      </c>
      <c r="L822" s="17">
        <v>46037.0</v>
      </c>
      <c r="M822" s="12" t="s">
        <v>109</v>
      </c>
      <c r="N822" s="23"/>
      <c r="O822" s="22"/>
      <c r="P822" s="22"/>
    </row>
    <row r="823" ht="22.5" customHeight="1">
      <c r="A823" s="12" t="s">
        <v>22</v>
      </c>
      <c r="B823" s="20" t="str">
        <f>IFERROR(VLOOKUP(A823,Sheet1!$E$3:$H$27,4,0),"")</f>
        <v>P2</v>
      </c>
      <c r="C823" s="14" t="s">
        <v>426</v>
      </c>
      <c r="D823" s="12" t="s">
        <v>83</v>
      </c>
      <c r="E823" s="13" t="str">
        <f>IFERROR(VLOOKUP(D823,Sheet1!$B$1:$C$45,2,0),"")</f>
        <v>PM</v>
      </c>
      <c r="F823" s="12" t="s">
        <v>179</v>
      </c>
      <c r="G823" s="13" t="str">
        <f t="shared" si="4"/>
        <v>Palangkaraya</v>
      </c>
      <c r="H823" s="15" t="str">
        <f>IFERROR(VLOOKUP(A823,Sheet1!$E$3:$F$27,2,),"")</f>
        <v>Preventive</v>
      </c>
      <c r="I823" s="16" t="str">
        <f>IFERROR(VLOOKUP(A823,Sheet1!$E$3:$G$27,3,0),"")</f>
        <v>Preventive Maintenance</v>
      </c>
      <c r="J823" s="12" t="s">
        <v>112</v>
      </c>
      <c r="K823" s="17">
        <v>46037.0</v>
      </c>
      <c r="L823" s="17">
        <v>46037.0</v>
      </c>
      <c r="M823" s="12" t="s">
        <v>109</v>
      </c>
      <c r="N823" s="23"/>
      <c r="O823" s="22"/>
      <c r="P823" s="22"/>
    </row>
    <row r="824" ht="22.5" customHeight="1">
      <c r="A824" s="12" t="s">
        <v>22</v>
      </c>
      <c r="B824" s="20" t="str">
        <f>IFERROR(VLOOKUP(A824,Sheet1!$E$3:$H$27,4,0),"")</f>
        <v>P2</v>
      </c>
      <c r="C824" s="14" t="s">
        <v>427</v>
      </c>
      <c r="D824" s="12" t="s">
        <v>82</v>
      </c>
      <c r="E824" s="13" t="str">
        <f>IFERROR(VLOOKUP(D824,Sheet1!$B$1:$C$45,2,0),"")</f>
        <v>PM</v>
      </c>
      <c r="F824" s="12" t="s">
        <v>179</v>
      </c>
      <c r="G824" s="13" t="str">
        <f t="shared" si="4"/>
        <v>Palangkaraya</v>
      </c>
      <c r="H824" s="15" t="str">
        <f>IFERROR(VLOOKUP(A824,Sheet1!$E$3:$F$27,2,),"")</f>
        <v>Preventive</v>
      </c>
      <c r="I824" s="16" t="str">
        <f>IFERROR(VLOOKUP(A824,Sheet1!$E$3:$G$27,3,0),"")</f>
        <v>Preventive Maintenance</v>
      </c>
      <c r="J824" s="12" t="s">
        <v>112</v>
      </c>
      <c r="K824" s="17">
        <v>46037.0</v>
      </c>
      <c r="L824" s="17">
        <v>46037.0</v>
      </c>
      <c r="M824" s="12" t="s">
        <v>137</v>
      </c>
      <c r="N824" s="23"/>
      <c r="O824" s="22"/>
      <c r="P824" s="22"/>
    </row>
    <row r="825" ht="22.5" customHeight="1">
      <c r="A825" s="12" t="s">
        <v>22</v>
      </c>
      <c r="B825" s="20" t="str">
        <f>IFERROR(VLOOKUP(A825,Sheet1!$E$3:$H$27,4,0),"")</f>
        <v>P2</v>
      </c>
      <c r="C825" s="14" t="s">
        <v>199</v>
      </c>
      <c r="D825" s="12" t="s">
        <v>75</v>
      </c>
      <c r="E825" s="13" t="str">
        <f>IFERROR(VLOOKUP(D825,Sheet1!$B$1:$C$45,2,0),"")</f>
        <v>CME</v>
      </c>
      <c r="F825" s="12" t="s">
        <v>179</v>
      </c>
      <c r="G825" s="13" t="str">
        <f t="shared" si="4"/>
        <v>Palangkaraya</v>
      </c>
      <c r="H825" s="15" t="str">
        <f>IFERROR(VLOOKUP(A825,Sheet1!$E$3:$F$27,2,),"")</f>
        <v>Preventive</v>
      </c>
      <c r="I825" s="16" t="str">
        <f>IFERROR(VLOOKUP(A825,Sheet1!$E$3:$G$27,3,0),"")</f>
        <v>Preventive Maintenance</v>
      </c>
      <c r="J825" s="12" t="s">
        <v>112</v>
      </c>
      <c r="K825" s="17">
        <v>46037.0</v>
      </c>
      <c r="L825" s="17">
        <v>46037.0</v>
      </c>
      <c r="M825" s="12" t="s">
        <v>137</v>
      </c>
      <c r="N825" s="23"/>
      <c r="O825" s="22"/>
      <c r="P825" s="22"/>
    </row>
    <row r="826" ht="22.5" customHeight="1">
      <c r="A826" s="12" t="s">
        <v>52</v>
      </c>
      <c r="B826" s="20" t="str">
        <f>IFERROR(VLOOKUP(A826,Sheet1!$E$3:$H$27,4,0),"")</f>
        <v>P1</v>
      </c>
      <c r="C826" s="14" t="s">
        <v>415</v>
      </c>
      <c r="D826" s="12" t="s">
        <v>54</v>
      </c>
      <c r="E826" s="13" t="str">
        <f>IFERROR(VLOOKUP(D826,Sheet1!$B$1:$C$45,2,0),"")</f>
        <v>MBP</v>
      </c>
      <c r="F826" s="12" t="s">
        <v>179</v>
      </c>
      <c r="G826" s="13" t="str">
        <f t="shared" si="4"/>
        <v>Palangkaraya</v>
      </c>
      <c r="H826" s="15" t="str">
        <f>IFERROR(VLOOKUP(A826,Sheet1!$E$3:$F$27,2,),"")</f>
        <v>Preventive</v>
      </c>
      <c r="I826" s="16" t="str">
        <f>IFERROR(VLOOKUP(A826,Sheet1!$E$3:$G$27,3,0),"")</f>
        <v>MCB trip/Power upnormal</v>
      </c>
      <c r="J826" s="12" t="s">
        <v>112</v>
      </c>
      <c r="K826" s="17">
        <v>46037.0</v>
      </c>
      <c r="L826" s="17">
        <v>46037.0</v>
      </c>
      <c r="M826" s="12" t="s">
        <v>137</v>
      </c>
      <c r="N826" s="23"/>
      <c r="O826" s="22"/>
      <c r="P826" s="22"/>
    </row>
    <row r="827" ht="22.5" customHeight="1">
      <c r="A827" s="12" t="s">
        <v>65</v>
      </c>
      <c r="B827" s="20" t="str">
        <f>IFERROR(VLOOKUP(A827,Sheet1!$E$3:$H$27,4,0),"")</f>
        <v>P3</v>
      </c>
      <c r="C827" s="15"/>
      <c r="D827" s="12" t="s">
        <v>45</v>
      </c>
      <c r="E827" s="13" t="str">
        <f>IFERROR(VLOOKUP(D827,Sheet1!$B$1:$C$45,2,0),"")</f>
        <v>MBP</v>
      </c>
      <c r="F827" s="12" t="s">
        <v>179</v>
      </c>
      <c r="G827" s="13" t="str">
        <f t="shared" si="4"/>
        <v>Palangkaraya</v>
      </c>
      <c r="H827" s="15" t="str">
        <f>IFERROR(VLOOKUP(A827,Sheet1!$E$3:$F$27,2,),"")</f>
        <v>Standby</v>
      </c>
      <c r="I827" s="16" t="str">
        <f>IFERROR(VLOOKUP(A827,Sheet1!$E$3:$G$27,3,0),"")</f>
        <v>Standby On Call</v>
      </c>
      <c r="J827" s="12" t="s">
        <v>66</v>
      </c>
      <c r="K827" s="17">
        <v>46037.0</v>
      </c>
      <c r="L827" s="17">
        <v>46037.0</v>
      </c>
      <c r="M827" s="12" t="s">
        <v>137</v>
      </c>
      <c r="N827" s="23"/>
      <c r="O827" s="22"/>
      <c r="P827" s="22"/>
    </row>
    <row r="828" ht="22.5" customHeight="1">
      <c r="A828" s="12" t="s">
        <v>65</v>
      </c>
      <c r="B828" s="20" t="str">
        <f>IFERROR(VLOOKUP(A828,Sheet1!$E$3:$H$27,4,0),"")</f>
        <v>P3</v>
      </c>
      <c r="C828" s="15"/>
      <c r="D828" s="12" t="s">
        <v>35</v>
      </c>
      <c r="E828" s="13" t="str">
        <f>IFERROR(VLOOKUP(D828,Sheet1!$B$1:$C$45,2,0),"")</f>
        <v>MBP</v>
      </c>
      <c r="F828" s="12" t="s">
        <v>179</v>
      </c>
      <c r="G828" s="13" t="str">
        <f t="shared" si="4"/>
        <v>Palangkaraya</v>
      </c>
      <c r="H828" s="15" t="str">
        <f>IFERROR(VLOOKUP(A828,Sheet1!$E$3:$F$27,2,),"")</f>
        <v>Standby</v>
      </c>
      <c r="I828" s="16" t="str">
        <f>IFERROR(VLOOKUP(A828,Sheet1!$E$3:$G$27,3,0),"")</f>
        <v>Standby On Call</v>
      </c>
      <c r="J828" s="12" t="s">
        <v>66</v>
      </c>
      <c r="K828" s="17">
        <v>46037.0</v>
      </c>
      <c r="L828" s="17">
        <v>46037.0</v>
      </c>
      <c r="M828" s="12" t="s">
        <v>137</v>
      </c>
      <c r="N828" s="23"/>
      <c r="O828" s="22"/>
      <c r="P828" s="22"/>
    </row>
    <row r="829" ht="22.5" customHeight="1">
      <c r="A829" s="12" t="s">
        <v>65</v>
      </c>
      <c r="B829" s="20" t="str">
        <f>IFERROR(VLOOKUP(A829,Sheet1!$E$3:$H$27,4,0),"")</f>
        <v>P3</v>
      </c>
      <c r="C829" s="14"/>
      <c r="D829" s="12" t="s">
        <v>37</v>
      </c>
      <c r="E829" s="13" t="str">
        <f>IFERROR(VLOOKUP(D829,Sheet1!$B$1:$C$45,2,0),"")</f>
        <v>TE</v>
      </c>
      <c r="F829" s="12" t="s">
        <v>179</v>
      </c>
      <c r="G829" s="13" t="str">
        <f t="shared" si="4"/>
        <v>Palangkaraya</v>
      </c>
      <c r="H829" s="15" t="str">
        <f>IFERROR(VLOOKUP(A829,Sheet1!$E$3:$F$27,2,),"")</f>
        <v>Standby</v>
      </c>
      <c r="I829" s="16" t="str">
        <f>IFERROR(VLOOKUP(A829,Sheet1!$E$3:$G$27,3,0),"")</f>
        <v>Standby On Call</v>
      </c>
      <c r="J829" s="12" t="s">
        <v>112</v>
      </c>
      <c r="K829" s="17">
        <v>46038.0</v>
      </c>
      <c r="L829" s="24"/>
      <c r="M829" s="12" t="s">
        <v>137</v>
      </c>
      <c r="N829" s="23"/>
      <c r="O829" s="22"/>
      <c r="P829" s="22"/>
    </row>
    <row r="830" ht="22.5" customHeight="1">
      <c r="A830" s="12" t="s">
        <v>22</v>
      </c>
      <c r="B830" s="20" t="str">
        <f>IFERROR(VLOOKUP(A830,Sheet1!$E$3:$H$27,4,0),"")</f>
        <v>P2</v>
      </c>
      <c r="C830" s="14" t="s">
        <v>442</v>
      </c>
      <c r="D830" s="12" t="s">
        <v>42</v>
      </c>
      <c r="E830" s="13" t="str">
        <f>IFERROR(VLOOKUP(D830,Sheet1!$B$1:$C$45,2,0),"")</f>
        <v>TE</v>
      </c>
      <c r="F830" s="12" t="s">
        <v>179</v>
      </c>
      <c r="G830" s="13" t="str">
        <f t="shared" si="4"/>
        <v>Palangkaraya</v>
      </c>
      <c r="H830" s="15" t="str">
        <f>IFERROR(VLOOKUP(A830,Sheet1!$E$3:$F$27,2,),"")</f>
        <v>Preventive</v>
      </c>
      <c r="I830" s="16" t="str">
        <f>IFERROR(VLOOKUP(A830,Sheet1!$E$3:$G$27,3,0),"")</f>
        <v>Preventive Maintenance</v>
      </c>
      <c r="J830" s="12" t="s">
        <v>112</v>
      </c>
      <c r="K830" s="17">
        <v>46038.0</v>
      </c>
      <c r="L830" s="24"/>
      <c r="M830" s="12" t="s">
        <v>137</v>
      </c>
      <c r="N830" s="23"/>
      <c r="O830" s="22"/>
      <c r="P830" s="22"/>
    </row>
    <row r="831" ht="22.5" customHeight="1">
      <c r="A831" s="12" t="s">
        <v>22</v>
      </c>
      <c r="B831" s="20" t="str">
        <f>IFERROR(VLOOKUP(A831,Sheet1!$E$3:$H$27,4,0),"")</f>
        <v>P2</v>
      </c>
      <c r="C831" s="14" t="s">
        <v>442</v>
      </c>
      <c r="D831" s="12" t="s">
        <v>77</v>
      </c>
      <c r="E831" s="13" t="str">
        <f>IFERROR(VLOOKUP(D831,Sheet1!$B$1:$C$45,2,0),"")</f>
        <v>TE</v>
      </c>
      <c r="F831" s="12" t="s">
        <v>179</v>
      </c>
      <c r="G831" s="13" t="str">
        <f t="shared" si="4"/>
        <v>Palangkaraya</v>
      </c>
      <c r="H831" s="15" t="str">
        <f>IFERROR(VLOOKUP(A831,Sheet1!$E$3:$F$27,2,),"")</f>
        <v>Preventive</v>
      </c>
      <c r="I831" s="16" t="str">
        <f>IFERROR(VLOOKUP(A831,Sheet1!$E$3:$G$27,3,0),"")</f>
        <v>Preventive Maintenance</v>
      </c>
      <c r="J831" s="12" t="s">
        <v>112</v>
      </c>
      <c r="K831" s="17">
        <v>46038.0</v>
      </c>
      <c r="L831" s="24"/>
      <c r="M831" s="12" t="s">
        <v>137</v>
      </c>
      <c r="N831" s="23"/>
      <c r="O831" s="22"/>
      <c r="P831" s="22"/>
    </row>
    <row r="832" ht="22.5" customHeight="1">
      <c r="A832" s="12" t="s">
        <v>33</v>
      </c>
      <c r="B832" s="20" t="str">
        <f>IFERROR(VLOOKUP(A832,Sheet1!$E$3:$H$27,4,0),"")</f>
        <v>P2</v>
      </c>
      <c r="C832" s="14" t="s">
        <v>430</v>
      </c>
      <c r="D832" s="12" t="s">
        <v>39</v>
      </c>
      <c r="E832" s="13" t="str">
        <f>IFERROR(VLOOKUP(D832,Sheet1!$B$1:$C$45,2,0),"")</f>
        <v>TE</v>
      </c>
      <c r="F832" s="12" t="s">
        <v>179</v>
      </c>
      <c r="G832" s="13" t="str">
        <f t="shared" si="4"/>
        <v>Palangkaraya</v>
      </c>
      <c r="H832" s="15" t="str">
        <f>IFERROR(VLOOKUP(A832,Sheet1!$E$3:$F$27,2,),"")</f>
        <v>Preventive</v>
      </c>
      <c r="I832" s="16" t="str">
        <f>IFERROR(VLOOKUP(A832,Sheet1!$E$3:$G$27,3,0),"")</f>
        <v>Pengukuran dan pengambilan data log serta input Gdoc BBT</v>
      </c>
      <c r="J832" s="12" t="s">
        <v>112</v>
      </c>
      <c r="K832" s="17">
        <v>46038.0</v>
      </c>
      <c r="L832" s="24"/>
      <c r="M832" s="12" t="s">
        <v>137</v>
      </c>
      <c r="N832" s="23"/>
      <c r="O832" s="22"/>
      <c r="P832" s="22"/>
    </row>
    <row r="833" ht="22.5" customHeight="1">
      <c r="A833" s="12" t="s">
        <v>70</v>
      </c>
      <c r="B833" s="20" t="str">
        <f>IFERROR(VLOOKUP(A833,Sheet1!$E$3:$H$27,4,0),"")</f>
        <v>P3</v>
      </c>
      <c r="C833" s="14"/>
      <c r="D833" s="12" t="s">
        <v>80</v>
      </c>
      <c r="E833" s="13" t="str">
        <f>IFERROR(VLOOKUP(D833,Sheet1!$B$1:$C$45,2,0),"")</f>
        <v>TE</v>
      </c>
      <c r="F833" s="12" t="s">
        <v>179</v>
      </c>
      <c r="G833" s="13" t="str">
        <f t="shared" si="4"/>
        <v>Palangkaraya</v>
      </c>
      <c r="H833" s="15" t="str">
        <f>IFERROR(VLOOKUP(A833,Sheet1!$E$3:$F$27,2,),"")</f>
        <v>Sick</v>
      </c>
      <c r="I833" s="16" t="str">
        <f>IFERROR(VLOOKUP(A833,Sheet1!$E$3:$G$27,3,0),"")</f>
        <v>Sick</v>
      </c>
      <c r="J833" s="12" t="s">
        <v>66</v>
      </c>
      <c r="K833" s="17">
        <v>46038.0</v>
      </c>
      <c r="L833" s="24"/>
      <c r="M833" s="12" t="s">
        <v>137</v>
      </c>
      <c r="N833" s="23"/>
      <c r="O833" s="22"/>
      <c r="P833" s="22"/>
    </row>
    <row r="834" ht="22.5" customHeight="1">
      <c r="A834" s="12" t="s">
        <v>14</v>
      </c>
      <c r="B834" s="20" t="str">
        <f>IFERROR(VLOOKUP(A834,Sheet1!$E$3:$H$27,4,0),"")</f>
        <v>P1</v>
      </c>
      <c r="C834" s="14" t="s">
        <v>443</v>
      </c>
      <c r="D834" s="12" t="s">
        <v>51</v>
      </c>
      <c r="E834" s="13" t="str">
        <f>IFERROR(VLOOKUP(D834,Sheet1!$B$1:$C$45,2,0),"")</f>
        <v>TE</v>
      </c>
      <c r="F834" s="12" t="s">
        <v>179</v>
      </c>
      <c r="G834" s="13" t="str">
        <f t="shared" si="4"/>
        <v>Palangkaraya</v>
      </c>
      <c r="H834" s="15" t="str">
        <f>IFERROR(VLOOKUP(A834,Sheet1!$E$3:$F$27,2,),"")</f>
        <v>Corrective</v>
      </c>
      <c r="I834" s="16" t="str">
        <f>IFERROR(VLOOKUP(A834,Sheet1!$E$3:$G$27,3,0),"")</f>
        <v>Pemadaman,MCB Trip,Transmisi problem</v>
      </c>
      <c r="J834" s="12" t="s">
        <v>112</v>
      </c>
      <c r="K834" s="17">
        <v>46038.0</v>
      </c>
      <c r="L834" s="24"/>
      <c r="M834" s="12" t="s">
        <v>137</v>
      </c>
      <c r="N834" s="23"/>
      <c r="O834" s="22"/>
      <c r="P834" s="22"/>
    </row>
    <row r="835" ht="22.5" customHeight="1">
      <c r="A835" s="12" t="s">
        <v>14</v>
      </c>
      <c r="B835" s="20" t="str">
        <f>IFERROR(VLOOKUP(A835,Sheet1!$E$3:$H$27,4,0),"")</f>
        <v>P1</v>
      </c>
      <c r="C835" s="14" t="s">
        <v>444</v>
      </c>
      <c r="D835" s="12" t="s">
        <v>79</v>
      </c>
      <c r="E835" s="13" t="str">
        <f>IFERROR(VLOOKUP(D835,Sheet1!$B$1:$C$45,2,0),"")</f>
        <v>TE</v>
      </c>
      <c r="F835" s="12" t="s">
        <v>179</v>
      </c>
      <c r="G835" s="13" t="str">
        <f t="shared" si="4"/>
        <v>Palangkaraya</v>
      </c>
      <c r="H835" s="15" t="str">
        <f>IFERROR(VLOOKUP(A835,Sheet1!$E$3:$F$27,2,),"")</f>
        <v>Corrective</v>
      </c>
      <c r="I835" s="16" t="str">
        <f>IFERROR(VLOOKUP(A835,Sheet1!$E$3:$G$27,3,0),"")</f>
        <v>Pemadaman,MCB Trip,Transmisi problem</v>
      </c>
      <c r="J835" s="12" t="s">
        <v>112</v>
      </c>
      <c r="K835" s="17">
        <v>46038.0</v>
      </c>
      <c r="L835" s="24"/>
      <c r="M835" s="12" t="s">
        <v>137</v>
      </c>
      <c r="N835" s="23"/>
      <c r="O835" s="22"/>
      <c r="P835" s="22"/>
    </row>
    <row r="836" ht="22.5" customHeight="1">
      <c r="A836" s="12" t="s">
        <v>5</v>
      </c>
      <c r="B836" s="20" t="str">
        <f>IFERROR(VLOOKUP(A836,Sheet1!$E$3:$H$27,4,0),"")</f>
        <v>P1</v>
      </c>
      <c r="C836" s="14" t="s">
        <v>302</v>
      </c>
      <c r="D836" s="12" t="s">
        <v>71</v>
      </c>
      <c r="E836" s="13" t="str">
        <f>IFERROR(VLOOKUP(D836,Sheet1!$B$1:$C$45,2,0),"")</f>
        <v>TE</v>
      </c>
      <c r="F836" s="12" t="s">
        <v>179</v>
      </c>
      <c r="G836" s="13" t="str">
        <f t="shared" si="4"/>
        <v>Palangkaraya</v>
      </c>
      <c r="H836" s="15" t="str">
        <f>IFERROR(VLOOKUP(A836,Sheet1!$E$3:$F$27,2,),"")</f>
        <v>Corrective</v>
      </c>
      <c r="I836" s="16" t="str">
        <f>IFERROR(VLOOKUP(A836,Sheet1!$E$3:$G$27,3,0),"")</f>
        <v>Replace Optik,RRU/Soket Power/Replace GPS</v>
      </c>
      <c r="J836" s="12" t="s">
        <v>112</v>
      </c>
      <c r="K836" s="17">
        <v>46038.0</v>
      </c>
      <c r="L836" s="24"/>
      <c r="M836" s="12" t="s">
        <v>137</v>
      </c>
      <c r="N836" s="23"/>
      <c r="O836" s="22"/>
      <c r="P836" s="22"/>
    </row>
    <row r="837" ht="22.5" customHeight="1">
      <c r="A837" s="12" t="s">
        <v>5</v>
      </c>
      <c r="B837" s="20" t="str">
        <f>IFERROR(VLOOKUP(A837,Sheet1!$E$3:$H$27,4,0),"")</f>
        <v>P1</v>
      </c>
      <c r="C837" s="14" t="s">
        <v>302</v>
      </c>
      <c r="D837" s="12" t="s">
        <v>69</v>
      </c>
      <c r="E837" s="13" t="str">
        <f>IFERROR(VLOOKUP(D837,Sheet1!$B$1:$C$45,2,0),"")</f>
        <v>TE</v>
      </c>
      <c r="F837" s="12" t="s">
        <v>179</v>
      </c>
      <c r="G837" s="13" t="str">
        <f t="shared" si="4"/>
        <v>Palangkaraya</v>
      </c>
      <c r="H837" s="15" t="str">
        <f>IFERROR(VLOOKUP(A837,Sheet1!$E$3:$F$27,2,),"")</f>
        <v>Corrective</v>
      </c>
      <c r="I837" s="16" t="str">
        <f>IFERROR(VLOOKUP(A837,Sheet1!$E$3:$G$27,3,0),"")</f>
        <v>Replace Optik,RRU/Soket Power/Replace GPS</v>
      </c>
      <c r="J837" s="12" t="s">
        <v>112</v>
      </c>
      <c r="K837" s="17">
        <v>46038.0</v>
      </c>
      <c r="L837" s="24"/>
      <c r="M837" s="12" t="s">
        <v>137</v>
      </c>
      <c r="N837" s="23"/>
      <c r="O837" s="22"/>
      <c r="P837" s="22"/>
    </row>
    <row r="838" ht="22.5" customHeight="1">
      <c r="A838" s="12" t="s">
        <v>65</v>
      </c>
      <c r="B838" s="20" t="str">
        <f>IFERROR(VLOOKUP(A838,Sheet1!$E$3:$H$27,4,0),"")</f>
        <v>P3</v>
      </c>
      <c r="C838" s="14"/>
      <c r="D838" s="12" t="s">
        <v>91</v>
      </c>
      <c r="E838" s="13" t="str">
        <f>IFERROR(VLOOKUP(D838,Sheet1!$B$1:$C$45,2,0),"")</f>
        <v>TE</v>
      </c>
      <c r="F838" s="12" t="s">
        <v>179</v>
      </c>
      <c r="G838" s="13" t="str">
        <f t="shared" si="4"/>
        <v>Palangkaraya</v>
      </c>
      <c r="H838" s="15" t="str">
        <f>IFERROR(VLOOKUP(A838,Sheet1!$E$3:$F$27,2,),"")</f>
        <v>Standby</v>
      </c>
      <c r="I838" s="16" t="str">
        <f>IFERROR(VLOOKUP(A838,Sheet1!$E$3:$G$27,3,0),"")</f>
        <v>Standby On Call</v>
      </c>
      <c r="J838" s="12" t="s">
        <v>66</v>
      </c>
      <c r="K838" s="17">
        <v>46038.0</v>
      </c>
      <c r="L838" s="24"/>
      <c r="M838" s="12" t="s">
        <v>137</v>
      </c>
      <c r="N838" s="23"/>
      <c r="O838" s="22"/>
      <c r="P838" s="22"/>
    </row>
    <row r="839" ht="22.5" customHeight="1">
      <c r="A839" s="12" t="s">
        <v>52</v>
      </c>
      <c r="B839" s="20" t="str">
        <f>IFERROR(VLOOKUP(A839,Sheet1!$E$3:$H$27,4,0),"")</f>
        <v>P1</v>
      </c>
      <c r="C839" s="14" t="s">
        <v>415</v>
      </c>
      <c r="D839" s="12" t="s">
        <v>58</v>
      </c>
      <c r="E839" s="13" t="str">
        <f>IFERROR(VLOOKUP(D839,Sheet1!$B$1:$C$45,2,0),"")</f>
        <v>TE</v>
      </c>
      <c r="F839" s="12" t="s">
        <v>179</v>
      </c>
      <c r="G839" s="13" t="str">
        <f t="shared" si="4"/>
        <v>Palangkaraya</v>
      </c>
      <c r="H839" s="15" t="str">
        <f>IFERROR(VLOOKUP(A839,Sheet1!$E$3:$F$27,2,),"")</f>
        <v>Preventive</v>
      </c>
      <c r="I839" s="16" t="str">
        <f>IFERROR(VLOOKUP(A839,Sheet1!$E$3:$G$27,3,0),"")</f>
        <v>MCB trip/Power upnormal</v>
      </c>
      <c r="J839" s="12" t="s">
        <v>112</v>
      </c>
      <c r="K839" s="17">
        <v>46038.0</v>
      </c>
      <c r="L839" s="24"/>
      <c r="M839" s="12" t="s">
        <v>137</v>
      </c>
      <c r="N839" s="23"/>
      <c r="O839" s="22"/>
      <c r="P839" s="22"/>
    </row>
    <row r="840" ht="22.5" customHeight="1">
      <c r="A840" s="12" t="s">
        <v>72</v>
      </c>
      <c r="B840" s="20" t="str">
        <f>IFERROR(VLOOKUP(A840,Sheet1!$E$3:$H$27,4,0),"")</f>
        <v>P1</v>
      </c>
      <c r="C840" s="14" t="s">
        <v>445</v>
      </c>
      <c r="D840" s="12" t="s">
        <v>56</v>
      </c>
      <c r="E840" s="13" t="str">
        <f>IFERROR(VLOOKUP(D840,Sheet1!$B$1:$C$45,2,0),"")</f>
        <v>TE</v>
      </c>
      <c r="F840" s="12" t="s">
        <v>179</v>
      </c>
      <c r="G840" s="13" t="str">
        <f t="shared" si="4"/>
        <v>Palangkaraya</v>
      </c>
      <c r="H840" s="15" t="str">
        <f>IFERROR(VLOOKUP(A840,Sheet1!$E$3:$F$27,2,),"")</f>
        <v>Corrective</v>
      </c>
      <c r="I840" s="16" t="str">
        <f>IFERROR(VLOOKUP(A840,Sheet1!$E$3:$G$27,3,0),"")</f>
        <v>Perbaikan Auto,pergantian relay,timer, yang berhubungan genset</v>
      </c>
      <c r="J840" s="12" t="s">
        <v>112</v>
      </c>
      <c r="K840" s="17">
        <v>46038.0</v>
      </c>
      <c r="L840" s="24"/>
      <c r="M840" s="12" t="s">
        <v>137</v>
      </c>
      <c r="N840" s="23"/>
      <c r="O840" s="22"/>
      <c r="P840" s="22"/>
    </row>
    <row r="841" ht="22.5" customHeight="1">
      <c r="A841" s="12" t="s">
        <v>22</v>
      </c>
      <c r="B841" s="20" t="str">
        <f>IFERROR(VLOOKUP(A841,Sheet1!$E$3:$H$27,4,0),"")</f>
        <v>P2</v>
      </c>
      <c r="C841" s="14" t="s">
        <v>178</v>
      </c>
      <c r="D841" s="12" t="s">
        <v>83</v>
      </c>
      <c r="E841" s="13" t="str">
        <f>IFERROR(VLOOKUP(D841,Sheet1!$B$1:$C$45,2,0),"")</f>
        <v>PM</v>
      </c>
      <c r="F841" s="12" t="s">
        <v>179</v>
      </c>
      <c r="G841" s="13" t="str">
        <f t="shared" si="4"/>
        <v>Palangkaraya</v>
      </c>
      <c r="H841" s="15" t="str">
        <f>IFERROR(VLOOKUP(A841,Sheet1!$E$3:$F$27,2,),"")</f>
        <v>Preventive</v>
      </c>
      <c r="I841" s="16" t="str">
        <f>IFERROR(VLOOKUP(A841,Sheet1!$E$3:$G$27,3,0),"")</f>
        <v>Preventive Maintenance</v>
      </c>
      <c r="J841" s="12" t="s">
        <v>112</v>
      </c>
      <c r="K841" s="17">
        <v>46038.0</v>
      </c>
      <c r="L841" s="24"/>
      <c r="M841" s="12" t="s">
        <v>137</v>
      </c>
      <c r="N841" s="23"/>
      <c r="O841" s="22"/>
      <c r="P841" s="22"/>
    </row>
    <row r="842" ht="22.5" customHeight="1">
      <c r="A842" s="12" t="s">
        <v>22</v>
      </c>
      <c r="B842" s="20" t="str">
        <f>IFERROR(VLOOKUP(A842,Sheet1!$E$3:$H$27,4,0),"")</f>
        <v>P2</v>
      </c>
      <c r="C842" s="14" t="s">
        <v>427</v>
      </c>
      <c r="D842" s="12" t="s">
        <v>82</v>
      </c>
      <c r="E842" s="13" t="str">
        <f>IFERROR(VLOOKUP(D842,Sheet1!$B$1:$C$45,2,0),"")</f>
        <v>PM</v>
      </c>
      <c r="F842" s="12" t="s">
        <v>179</v>
      </c>
      <c r="G842" s="13" t="str">
        <f t="shared" si="4"/>
        <v>Palangkaraya</v>
      </c>
      <c r="H842" s="15" t="str">
        <f>IFERROR(VLOOKUP(A842,Sheet1!$E$3:$F$27,2,),"")</f>
        <v>Preventive</v>
      </c>
      <c r="I842" s="16" t="str">
        <f>IFERROR(VLOOKUP(A842,Sheet1!$E$3:$G$27,3,0),"")</f>
        <v>Preventive Maintenance</v>
      </c>
      <c r="J842" s="12" t="s">
        <v>112</v>
      </c>
      <c r="K842" s="17">
        <v>46038.0</v>
      </c>
      <c r="L842" s="24"/>
      <c r="M842" s="12" t="s">
        <v>137</v>
      </c>
      <c r="N842" s="23"/>
      <c r="O842" s="22"/>
      <c r="P842" s="22"/>
    </row>
    <row r="843" ht="22.5" customHeight="1">
      <c r="A843" s="12" t="s">
        <v>65</v>
      </c>
      <c r="B843" s="20" t="str">
        <f>IFERROR(VLOOKUP(A843,Sheet1!$E$3:$H$27,4,0),"")</f>
        <v>P3</v>
      </c>
      <c r="C843" s="14"/>
      <c r="D843" s="12" t="s">
        <v>75</v>
      </c>
      <c r="E843" s="13" t="str">
        <f>IFERROR(VLOOKUP(D843,Sheet1!$B$1:$C$45,2,0),"")</f>
        <v>CME</v>
      </c>
      <c r="F843" s="12" t="s">
        <v>179</v>
      </c>
      <c r="G843" s="13" t="str">
        <f t="shared" si="4"/>
        <v>Palangkaraya</v>
      </c>
      <c r="H843" s="15" t="str">
        <f>IFERROR(VLOOKUP(A843,Sheet1!$E$3:$F$27,2,),"")</f>
        <v>Standby</v>
      </c>
      <c r="I843" s="16" t="str">
        <f>IFERROR(VLOOKUP(A843,Sheet1!$E$3:$G$27,3,0),"")</f>
        <v>Standby On Call</v>
      </c>
      <c r="J843" s="12" t="s">
        <v>66</v>
      </c>
      <c r="K843" s="17">
        <v>46038.0</v>
      </c>
      <c r="L843" s="24"/>
      <c r="M843" s="12" t="s">
        <v>137</v>
      </c>
      <c r="N843" s="23"/>
      <c r="O843" s="22"/>
      <c r="P843" s="22"/>
    </row>
    <row r="844" ht="22.5" customHeight="1">
      <c r="A844" s="12" t="s">
        <v>52</v>
      </c>
      <c r="B844" s="20" t="str">
        <f>IFERROR(VLOOKUP(A844,Sheet1!$E$3:$H$27,4,0),"")</f>
        <v>P1</v>
      </c>
      <c r="C844" s="14" t="s">
        <v>415</v>
      </c>
      <c r="D844" s="12" t="s">
        <v>54</v>
      </c>
      <c r="E844" s="13" t="str">
        <f>IFERROR(VLOOKUP(D844,Sheet1!$B$1:$C$45,2,0),"")</f>
        <v>MBP</v>
      </c>
      <c r="F844" s="12" t="s">
        <v>179</v>
      </c>
      <c r="G844" s="13" t="str">
        <f t="shared" si="4"/>
        <v>Palangkaraya</v>
      </c>
      <c r="H844" s="15" t="str">
        <f>IFERROR(VLOOKUP(A844,Sheet1!$E$3:$F$27,2,),"")</f>
        <v>Preventive</v>
      </c>
      <c r="I844" s="16" t="str">
        <f>IFERROR(VLOOKUP(A844,Sheet1!$E$3:$G$27,3,0),"")</f>
        <v>MCB trip/Power upnormal</v>
      </c>
      <c r="J844" s="12" t="s">
        <v>112</v>
      </c>
      <c r="K844" s="17">
        <v>46038.0</v>
      </c>
      <c r="L844" s="24"/>
      <c r="M844" s="12" t="s">
        <v>137</v>
      </c>
      <c r="N844" s="23"/>
      <c r="O844" s="22"/>
      <c r="P844" s="22"/>
    </row>
    <row r="845" ht="22.5" customHeight="1">
      <c r="A845" s="12" t="s">
        <v>65</v>
      </c>
      <c r="B845" s="20" t="str">
        <f>IFERROR(VLOOKUP(A845,Sheet1!$E$3:$H$27,4,0),"")</f>
        <v>P3</v>
      </c>
      <c r="C845" s="15"/>
      <c r="D845" s="12" t="s">
        <v>45</v>
      </c>
      <c r="E845" s="13" t="str">
        <f>IFERROR(VLOOKUP(D845,Sheet1!$B$1:$C$45,2,0),"")</f>
        <v>MBP</v>
      </c>
      <c r="F845" s="12" t="s">
        <v>179</v>
      </c>
      <c r="G845" s="13" t="str">
        <f t="shared" si="4"/>
        <v>Palangkaraya</v>
      </c>
      <c r="H845" s="15" t="str">
        <f>IFERROR(VLOOKUP(A845,Sheet1!$E$3:$F$27,2,),"")</f>
        <v>Standby</v>
      </c>
      <c r="I845" s="16" t="str">
        <f>IFERROR(VLOOKUP(A845,Sheet1!$E$3:$G$27,3,0),"")</f>
        <v>Standby On Call</v>
      </c>
      <c r="J845" s="12" t="s">
        <v>66</v>
      </c>
      <c r="K845" s="17">
        <v>46038.0</v>
      </c>
      <c r="L845" s="24"/>
      <c r="M845" s="12" t="s">
        <v>137</v>
      </c>
      <c r="N845" s="23"/>
      <c r="O845" s="22"/>
      <c r="P845" s="22"/>
    </row>
    <row r="846" ht="22.5" customHeight="1">
      <c r="A846" s="12" t="s">
        <v>65</v>
      </c>
      <c r="B846" s="20" t="str">
        <f>IFERROR(VLOOKUP(A846,Sheet1!$E$3:$H$27,4,0),"")</f>
        <v>P3</v>
      </c>
      <c r="C846" s="15"/>
      <c r="D846" s="12" t="s">
        <v>35</v>
      </c>
      <c r="E846" s="13" t="str">
        <f>IFERROR(VLOOKUP(D846,Sheet1!$B$1:$C$45,2,0),"")</f>
        <v>MBP</v>
      </c>
      <c r="F846" s="12" t="s">
        <v>179</v>
      </c>
      <c r="G846" s="13" t="str">
        <f t="shared" si="4"/>
        <v>Palangkaraya</v>
      </c>
      <c r="H846" s="15" t="str">
        <f>IFERROR(VLOOKUP(A846,Sheet1!$E$3:$F$27,2,),"")</f>
        <v>Standby</v>
      </c>
      <c r="I846" s="16" t="str">
        <f>IFERROR(VLOOKUP(A846,Sheet1!$E$3:$G$27,3,0),"")</f>
        <v>Standby On Call</v>
      </c>
      <c r="J846" s="12" t="s">
        <v>66</v>
      </c>
      <c r="K846" s="17">
        <v>46038.0</v>
      </c>
      <c r="L846" s="24"/>
      <c r="M846" s="12" t="s">
        <v>137</v>
      </c>
      <c r="N846" s="23"/>
      <c r="O846" s="22"/>
      <c r="P846" s="22"/>
    </row>
    <row r="847" ht="22.5" customHeight="1">
      <c r="A847" s="12" t="s">
        <v>52</v>
      </c>
      <c r="B847" s="20" t="str">
        <f>IFERROR(VLOOKUP(A847,Sheet1!$E$3:$H$27,4,0),"")</f>
        <v>P1</v>
      </c>
      <c r="C847" s="14" t="s">
        <v>285</v>
      </c>
      <c r="D847" s="12" t="s">
        <v>12</v>
      </c>
      <c r="E847" s="13" t="str">
        <f>IFERROR(VLOOKUP(D847,Sheet1!$B$1:$C$45,2,0),"")</f>
        <v>TE</v>
      </c>
      <c r="F847" s="12" t="s">
        <v>108</v>
      </c>
      <c r="G847" s="13" t="str">
        <f t="shared" si="4"/>
        <v>Barito Raya</v>
      </c>
      <c r="H847" s="15" t="str">
        <f>IFERROR(VLOOKUP(A847,Sheet1!$E$3:$F$27,2,),"")</f>
        <v>Preventive</v>
      </c>
      <c r="I847" s="16" t="str">
        <f>IFERROR(VLOOKUP(A847,Sheet1!$E$3:$G$27,3,0),"")</f>
        <v>MCB trip/Power upnormal</v>
      </c>
      <c r="J847" s="12" t="s">
        <v>112</v>
      </c>
      <c r="K847" s="17">
        <v>46041.0</v>
      </c>
      <c r="L847" s="17">
        <v>46041.0</v>
      </c>
      <c r="M847" s="12" t="s">
        <v>109</v>
      </c>
      <c r="N847" s="23"/>
      <c r="O847" s="22"/>
      <c r="P847" s="22"/>
    </row>
    <row r="848" ht="22.5" customHeight="1">
      <c r="A848" s="12" t="s">
        <v>5</v>
      </c>
      <c r="B848" s="20" t="str">
        <f>IFERROR(VLOOKUP(A848,Sheet1!$E$3:$H$27,4,0),"")</f>
        <v>P1</v>
      </c>
      <c r="C848" s="14" t="s">
        <v>446</v>
      </c>
      <c r="D848" s="12" t="s">
        <v>16</v>
      </c>
      <c r="E848" s="13" t="str">
        <f>IFERROR(VLOOKUP(D848,Sheet1!$B$1:$C$45,2,0),"")</f>
        <v>TE</v>
      </c>
      <c r="F848" s="12" t="s">
        <v>108</v>
      </c>
      <c r="G848" s="13" t="str">
        <f t="shared" si="4"/>
        <v>Barito Raya</v>
      </c>
      <c r="H848" s="15" t="str">
        <f>IFERROR(VLOOKUP(A848,Sheet1!$E$3:$F$27,2,),"")</f>
        <v>Corrective</v>
      </c>
      <c r="I848" s="16" t="str">
        <f>IFERROR(VLOOKUP(A848,Sheet1!$E$3:$G$27,3,0),"")</f>
        <v>Replace Optik,RRU/Soket Power/Replace GPS</v>
      </c>
      <c r="J848" s="12" t="s">
        <v>172</v>
      </c>
      <c r="K848" s="17">
        <v>46041.0</v>
      </c>
      <c r="L848" s="17">
        <v>46041.0</v>
      </c>
      <c r="M848" s="12" t="s">
        <v>122</v>
      </c>
      <c r="N848" s="23"/>
      <c r="O848" s="22"/>
      <c r="P848" s="22"/>
    </row>
    <row r="849" ht="22.5" customHeight="1">
      <c r="A849" s="12" t="s">
        <v>5</v>
      </c>
      <c r="B849" s="20" t="str">
        <f>IFERROR(VLOOKUP(A849,Sheet1!$E$3:$H$27,4,0),"")</f>
        <v>P1</v>
      </c>
      <c r="C849" s="14" t="s">
        <v>446</v>
      </c>
      <c r="D849" s="12" t="s">
        <v>21</v>
      </c>
      <c r="E849" s="13" t="str">
        <f>IFERROR(VLOOKUP(D849,Sheet1!$B$1:$C$45,2,0),"")</f>
        <v>TE</v>
      </c>
      <c r="F849" s="12" t="s">
        <v>108</v>
      </c>
      <c r="G849" s="13" t="str">
        <f t="shared" si="4"/>
        <v>Barito Raya</v>
      </c>
      <c r="H849" s="15" t="str">
        <f>IFERROR(VLOOKUP(A849,Sheet1!$E$3:$F$27,2,),"")</f>
        <v>Corrective</v>
      </c>
      <c r="I849" s="16" t="str">
        <f>IFERROR(VLOOKUP(A849,Sheet1!$E$3:$G$27,3,0),"")</f>
        <v>Replace Optik,RRU/Soket Power/Replace GPS</v>
      </c>
      <c r="J849" s="12" t="s">
        <v>172</v>
      </c>
      <c r="K849" s="17">
        <v>46041.0</v>
      </c>
      <c r="L849" s="17">
        <v>46041.0</v>
      </c>
      <c r="M849" s="12" t="s">
        <v>122</v>
      </c>
      <c r="N849" s="23"/>
      <c r="O849" s="22"/>
      <c r="P849" s="22"/>
    </row>
    <row r="850" ht="22.5" customHeight="1">
      <c r="A850" s="12" t="s">
        <v>5</v>
      </c>
      <c r="B850" s="20" t="str">
        <f>IFERROR(VLOOKUP(A850,Sheet1!$E$3:$H$27,4,0),"")</f>
        <v>P1</v>
      </c>
      <c r="C850" s="14" t="s">
        <v>447</v>
      </c>
      <c r="D850" s="12" t="s">
        <v>26</v>
      </c>
      <c r="E850" s="13" t="str">
        <f>IFERROR(VLOOKUP(D850,Sheet1!$B$1:$C$45,2,0),"")</f>
        <v>TE</v>
      </c>
      <c r="F850" s="12" t="s">
        <v>108</v>
      </c>
      <c r="G850" s="13" t="str">
        <f t="shared" si="4"/>
        <v>Barito Raya</v>
      </c>
      <c r="H850" s="15" t="str">
        <f>IFERROR(VLOOKUP(A850,Sheet1!$E$3:$F$27,2,),"")</f>
        <v>Corrective</v>
      </c>
      <c r="I850" s="16" t="str">
        <f>IFERROR(VLOOKUP(A850,Sheet1!$E$3:$G$27,3,0),"")</f>
        <v>Replace Optik,RRU/Soket Power/Replace GPS</v>
      </c>
      <c r="J850" s="12" t="s">
        <v>112</v>
      </c>
      <c r="K850" s="17">
        <v>46041.0</v>
      </c>
      <c r="L850" s="17">
        <v>46041.0</v>
      </c>
      <c r="M850" s="12" t="s">
        <v>109</v>
      </c>
      <c r="N850" s="23"/>
      <c r="O850" s="22"/>
      <c r="P850" s="22"/>
    </row>
    <row r="851" ht="22.5" customHeight="1">
      <c r="A851" s="12" t="s">
        <v>5</v>
      </c>
      <c r="B851" s="20" t="str">
        <f>IFERROR(VLOOKUP(A851,Sheet1!$E$3:$H$27,4,0),"")</f>
        <v>P1</v>
      </c>
      <c r="C851" s="14" t="s">
        <v>447</v>
      </c>
      <c r="D851" s="12" t="s">
        <v>88</v>
      </c>
      <c r="E851" s="13" t="str">
        <f>IFERROR(VLOOKUP(D851,Sheet1!$B$1:$C$45,2,0),"")</f>
        <v>TE</v>
      </c>
      <c r="F851" s="12" t="s">
        <v>108</v>
      </c>
      <c r="G851" s="13" t="str">
        <f t="shared" si="4"/>
        <v>Barito Raya</v>
      </c>
      <c r="H851" s="15" t="str">
        <f>IFERROR(VLOOKUP(A851,Sheet1!$E$3:$F$27,2,),"")</f>
        <v>Corrective</v>
      </c>
      <c r="I851" s="16" t="str">
        <f>IFERROR(VLOOKUP(A851,Sheet1!$E$3:$G$27,3,0),"")</f>
        <v>Replace Optik,RRU/Soket Power/Replace GPS</v>
      </c>
      <c r="J851" s="12" t="s">
        <v>112</v>
      </c>
      <c r="K851" s="17">
        <v>46041.0</v>
      </c>
      <c r="L851" s="17">
        <v>46041.0</v>
      </c>
      <c r="M851" s="12" t="s">
        <v>109</v>
      </c>
      <c r="N851" s="23"/>
      <c r="O851" s="22"/>
      <c r="P851" s="22"/>
    </row>
    <row r="852" ht="22.5" customHeight="1">
      <c r="A852" s="12" t="s">
        <v>52</v>
      </c>
      <c r="B852" s="20" t="str">
        <f>IFERROR(VLOOKUP(A852,Sheet1!$E$3:$H$27,4,0),"")</f>
        <v>P1</v>
      </c>
      <c r="C852" s="14" t="s">
        <v>355</v>
      </c>
      <c r="D852" s="12" t="s">
        <v>32</v>
      </c>
      <c r="E852" s="13" t="str">
        <f>IFERROR(VLOOKUP(D852,Sheet1!$B$1:$C$45,2,0),"")</f>
        <v>TE</v>
      </c>
      <c r="F852" s="12" t="s">
        <v>108</v>
      </c>
      <c r="G852" s="13" t="str">
        <f t="shared" si="4"/>
        <v>Barito Raya</v>
      </c>
      <c r="H852" s="15" t="str">
        <f>IFERROR(VLOOKUP(A852,Sheet1!$E$3:$F$27,2,),"")</f>
        <v>Preventive</v>
      </c>
      <c r="I852" s="16" t="str">
        <f>IFERROR(VLOOKUP(A852,Sheet1!$E$3:$G$27,3,0),"")</f>
        <v>MCB trip/Power upnormal</v>
      </c>
      <c r="J852" s="12" t="s">
        <v>112</v>
      </c>
      <c r="K852" s="17">
        <v>46041.0</v>
      </c>
      <c r="L852" s="17">
        <v>46041.0</v>
      </c>
      <c r="M852" s="12" t="s">
        <v>109</v>
      </c>
      <c r="N852" s="23"/>
      <c r="O852" s="22"/>
      <c r="P852" s="22"/>
    </row>
    <row r="853" ht="22.5" customHeight="1">
      <c r="A853" s="12" t="s">
        <v>52</v>
      </c>
      <c r="B853" s="20" t="str">
        <f>IFERROR(VLOOKUP(A853,Sheet1!$E$3:$H$27,4,0),"")</f>
        <v>P1</v>
      </c>
      <c r="C853" s="14" t="s">
        <v>448</v>
      </c>
      <c r="D853" s="12" t="s">
        <v>74</v>
      </c>
      <c r="E853" s="13" t="str">
        <f>IFERROR(VLOOKUP(D853,Sheet1!$B$1:$C$45,2,0),"")</f>
        <v>TE</v>
      </c>
      <c r="F853" s="12" t="s">
        <v>108</v>
      </c>
      <c r="G853" s="13" t="str">
        <f t="shared" si="4"/>
        <v>Barito Raya</v>
      </c>
      <c r="H853" s="15" t="str">
        <f>IFERROR(VLOOKUP(A853,Sheet1!$E$3:$F$27,2,),"")</f>
        <v>Preventive</v>
      </c>
      <c r="I853" s="16" t="str">
        <f>IFERROR(VLOOKUP(A853,Sheet1!$E$3:$G$27,3,0),"")</f>
        <v>MCB trip/Power upnormal</v>
      </c>
      <c r="J853" s="12" t="s">
        <v>112</v>
      </c>
      <c r="K853" s="17">
        <v>46041.0</v>
      </c>
      <c r="L853" s="17">
        <v>46041.0</v>
      </c>
      <c r="M853" s="12" t="s">
        <v>109</v>
      </c>
      <c r="N853" s="23"/>
      <c r="O853" s="22"/>
      <c r="P853" s="22"/>
    </row>
    <row r="854" ht="22.5" customHeight="1">
      <c r="A854" s="12" t="s">
        <v>22</v>
      </c>
      <c r="B854" s="20" t="str">
        <f>IFERROR(VLOOKUP(A854,Sheet1!$E$3:$H$27,4,0),"")</f>
        <v>P2</v>
      </c>
      <c r="C854" s="14" t="s">
        <v>177</v>
      </c>
      <c r="D854" s="12" t="s">
        <v>60</v>
      </c>
      <c r="E854" s="13" t="str">
        <f>IFERROR(VLOOKUP(D854,Sheet1!$B$1:$C$45,2,0),"")</f>
        <v>TE</v>
      </c>
      <c r="F854" s="12" t="s">
        <v>108</v>
      </c>
      <c r="G854" s="13" t="str">
        <f t="shared" si="4"/>
        <v>Barito Raya</v>
      </c>
      <c r="H854" s="15" t="str">
        <f>IFERROR(VLOOKUP(A854,Sheet1!$E$3:$F$27,2,),"")</f>
        <v>Preventive</v>
      </c>
      <c r="I854" s="16" t="str">
        <f>IFERROR(VLOOKUP(A854,Sheet1!$E$3:$G$27,3,0),"")</f>
        <v>Preventive Maintenance</v>
      </c>
      <c r="J854" s="12" t="s">
        <v>112</v>
      </c>
      <c r="K854" s="17">
        <v>46041.0</v>
      </c>
      <c r="L854" s="17">
        <v>46041.0</v>
      </c>
      <c r="M854" s="12" t="s">
        <v>109</v>
      </c>
      <c r="N854" s="23"/>
      <c r="O854" s="22"/>
      <c r="P854" s="22"/>
    </row>
    <row r="855" ht="22.5" customHeight="1">
      <c r="A855" s="12" t="s">
        <v>30</v>
      </c>
      <c r="B855" s="20" t="str">
        <f>IFERROR(VLOOKUP(A855,Sheet1!$E$3:$H$27,4,0),"")</f>
        <v>P3</v>
      </c>
      <c r="C855" s="14" t="s">
        <v>164</v>
      </c>
      <c r="D855" s="12" t="s">
        <v>62</v>
      </c>
      <c r="E855" s="13" t="str">
        <f>IFERROR(VLOOKUP(D855,Sheet1!$B$1:$C$45,2,0),"")</f>
        <v>TE</v>
      </c>
      <c r="F855" s="12" t="s">
        <v>108</v>
      </c>
      <c r="G855" s="13" t="str">
        <f t="shared" si="4"/>
        <v>Barito Raya</v>
      </c>
      <c r="H855" s="15" t="str">
        <f>IFERROR(VLOOKUP(A855,Sheet1!$E$3:$F$27,2,),"")</f>
        <v>Preventive</v>
      </c>
      <c r="I855" s="16" t="str">
        <f>IFERROR(VLOOKUP(A855,Sheet1!$E$3:$G$27,3,0),"")</f>
        <v>Pengawalan akses Vendor</v>
      </c>
      <c r="J855" s="12" t="s">
        <v>112</v>
      </c>
      <c r="K855" s="17">
        <v>46041.0</v>
      </c>
      <c r="L855" s="17">
        <v>46041.0</v>
      </c>
      <c r="M855" s="12" t="s">
        <v>109</v>
      </c>
      <c r="N855" s="23"/>
      <c r="O855" s="22"/>
      <c r="P855" s="22"/>
    </row>
    <row r="856" ht="22.5" customHeight="1">
      <c r="A856" s="12" t="s">
        <v>65</v>
      </c>
      <c r="B856" s="20" t="str">
        <f>IFERROR(VLOOKUP(A856,Sheet1!$E$3:$H$27,4,0),"")</f>
        <v>P3</v>
      </c>
      <c r="C856" s="15"/>
      <c r="D856" s="12" t="s">
        <v>9</v>
      </c>
      <c r="E856" s="13" t="str">
        <f>IFERROR(VLOOKUP(D856,Sheet1!$B$1:$C$45,2,0),"")</f>
        <v>MBP</v>
      </c>
      <c r="F856" s="12" t="s">
        <v>108</v>
      </c>
      <c r="G856" s="13" t="str">
        <f t="shared" si="4"/>
        <v>Barito Raya</v>
      </c>
      <c r="H856" s="15" t="str">
        <f>IFERROR(VLOOKUP(A856,Sheet1!$E$3:$F$27,2,),"")</f>
        <v>Standby</v>
      </c>
      <c r="I856" s="16" t="str">
        <f>IFERROR(VLOOKUP(A856,Sheet1!$E$3:$G$27,3,0),"")</f>
        <v>Standby On Call</v>
      </c>
      <c r="J856" s="20"/>
      <c r="K856" s="17">
        <v>46041.0</v>
      </c>
      <c r="L856" s="17">
        <v>46041.0</v>
      </c>
      <c r="M856" s="13"/>
      <c r="N856" s="23"/>
      <c r="O856" s="22"/>
      <c r="P856" s="22"/>
    </row>
    <row r="857" ht="22.5" customHeight="1">
      <c r="A857" s="12" t="s">
        <v>65</v>
      </c>
      <c r="B857" s="20" t="str">
        <f>IFERROR(VLOOKUP(A857,Sheet1!$E$3:$H$27,4,0),"")</f>
        <v>P3</v>
      </c>
      <c r="C857" s="15"/>
      <c r="D857" s="12" t="s">
        <v>4</v>
      </c>
      <c r="E857" s="13" t="str">
        <f>IFERROR(VLOOKUP(D857,Sheet1!$B$1:$C$45,2,0),"")</f>
        <v>CME</v>
      </c>
      <c r="F857" s="12" t="s">
        <v>108</v>
      </c>
      <c r="G857" s="13" t="str">
        <f t="shared" si="4"/>
        <v>Barito Raya</v>
      </c>
      <c r="H857" s="15" t="str">
        <f>IFERROR(VLOOKUP(A857,Sheet1!$E$3:$F$27,2,),"")</f>
        <v>Standby</v>
      </c>
      <c r="I857" s="16" t="str">
        <f>IFERROR(VLOOKUP(A857,Sheet1!$E$3:$G$27,3,0),"")</f>
        <v>Standby On Call</v>
      </c>
      <c r="J857" s="20"/>
      <c r="K857" s="17">
        <v>46041.0</v>
      </c>
      <c r="L857" s="17">
        <v>46041.0</v>
      </c>
      <c r="M857" s="13"/>
      <c r="N857" s="23"/>
      <c r="O857" s="22"/>
      <c r="P857" s="22"/>
    </row>
    <row r="858" ht="22.5" customHeight="1">
      <c r="A858" s="12" t="s">
        <v>65</v>
      </c>
      <c r="B858" s="20" t="str">
        <f>IFERROR(VLOOKUP(A858,Sheet1!$E$3:$H$27,4,0),"")</f>
        <v>P3</v>
      </c>
      <c r="C858" s="15"/>
      <c r="D858" s="12" t="s">
        <v>87</v>
      </c>
      <c r="E858" s="13" t="str">
        <f>IFERROR(VLOOKUP(D858,Sheet1!$B$1:$C$45,2,0),"")</f>
        <v>MBP</v>
      </c>
      <c r="F858" s="12" t="s">
        <v>108</v>
      </c>
      <c r="G858" s="13" t="str">
        <f t="shared" si="4"/>
        <v>Barito Raya</v>
      </c>
      <c r="H858" s="15" t="str">
        <f>IFERROR(VLOOKUP(A858,Sheet1!$E$3:$F$27,2,),"")</f>
        <v>Standby</v>
      </c>
      <c r="I858" s="16" t="str">
        <f>IFERROR(VLOOKUP(A858,Sheet1!$E$3:$G$27,3,0),"")</f>
        <v>Standby On Call</v>
      </c>
      <c r="J858" s="20"/>
      <c r="K858" s="17">
        <v>46041.0</v>
      </c>
      <c r="L858" s="17">
        <v>46041.0</v>
      </c>
      <c r="M858" s="13"/>
      <c r="N858" s="23"/>
      <c r="O858" s="22"/>
      <c r="P858" s="22"/>
    </row>
    <row r="859" ht="22.5" customHeight="1">
      <c r="A859" s="12" t="s">
        <v>65</v>
      </c>
      <c r="B859" s="20" t="str">
        <f>IFERROR(VLOOKUP(A859,Sheet1!$E$3:$H$27,4,0),"")</f>
        <v>P3</v>
      </c>
      <c r="C859" s="15"/>
      <c r="D859" s="12" t="s">
        <v>29</v>
      </c>
      <c r="E859" s="13" t="str">
        <f>IFERROR(VLOOKUP(D859,Sheet1!$B$1:$C$45,2,0),"")</f>
        <v>MBP</v>
      </c>
      <c r="F859" s="12" t="s">
        <v>108</v>
      </c>
      <c r="G859" s="13" t="str">
        <f t="shared" si="4"/>
        <v>Barito Raya</v>
      </c>
      <c r="H859" s="15" t="str">
        <f>IFERROR(VLOOKUP(A859,Sheet1!$E$3:$F$27,2,),"")</f>
        <v>Standby</v>
      </c>
      <c r="I859" s="16" t="str">
        <f>IFERROR(VLOOKUP(A859,Sheet1!$E$3:$G$27,3,0),"")</f>
        <v>Standby On Call</v>
      </c>
      <c r="J859" s="20"/>
      <c r="K859" s="17">
        <v>46041.0</v>
      </c>
      <c r="L859" s="17">
        <v>46041.0</v>
      </c>
      <c r="M859" s="13"/>
      <c r="N859" s="23"/>
      <c r="O859" s="22"/>
      <c r="P859" s="22"/>
    </row>
    <row r="860" ht="22.5" customHeight="1">
      <c r="A860" s="12" t="s">
        <v>65</v>
      </c>
      <c r="B860" s="20" t="str">
        <f>IFERROR(VLOOKUP(A860,Sheet1!$E$3:$H$27,4,0),"")</f>
        <v>P3</v>
      </c>
      <c r="C860" s="15"/>
      <c r="D860" s="12" t="s">
        <v>2</v>
      </c>
      <c r="E860" s="13" t="str">
        <f>IFERROR(VLOOKUP(D860,Sheet1!$B$1:$C$45,2,0),"")</f>
        <v>CME</v>
      </c>
      <c r="F860" s="12" t="s">
        <v>108</v>
      </c>
      <c r="G860" s="13" t="str">
        <f t="shared" si="4"/>
        <v>Barito Raya</v>
      </c>
      <c r="H860" s="15" t="str">
        <f>IFERROR(VLOOKUP(A860,Sheet1!$E$3:$F$27,2,),"")</f>
        <v>Standby</v>
      </c>
      <c r="I860" s="16" t="str">
        <f>IFERROR(VLOOKUP(A860,Sheet1!$E$3:$G$27,3,0),"")</f>
        <v>Standby On Call</v>
      </c>
      <c r="J860" s="20"/>
      <c r="K860" s="17">
        <v>46041.0</v>
      </c>
      <c r="L860" s="17">
        <v>46041.0</v>
      </c>
      <c r="M860" s="13"/>
      <c r="N860" s="23"/>
      <c r="O860" s="22"/>
      <c r="P860" s="22"/>
    </row>
    <row r="861" ht="22.5" customHeight="1">
      <c r="A861" s="12" t="s">
        <v>52</v>
      </c>
      <c r="B861" s="20" t="str">
        <f>IFERROR(VLOOKUP(A861,Sheet1!$E$3:$H$27,4,0),"")</f>
        <v>P1</v>
      </c>
      <c r="C861" s="14" t="s">
        <v>146</v>
      </c>
      <c r="D861" s="12" t="s">
        <v>0</v>
      </c>
      <c r="E861" s="13" t="str">
        <f>IFERROR(VLOOKUP(D861,Sheet1!$B$1:$C$45,2,0),"")</f>
        <v>MBP</v>
      </c>
      <c r="F861" s="12" t="s">
        <v>108</v>
      </c>
      <c r="G861" s="13" t="str">
        <f t="shared" si="4"/>
        <v>Barito Raya</v>
      </c>
      <c r="H861" s="15" t="str">
        <f>IFERROR(VLOOKUP(A861,Sheet1!$E$3:$F$27,2,),"")</f>
        <v>Preventive</v>
      </c>
      <c r="I861" s="16" t="str">
        <f>IFERROR(VLOOKUP(A861,Sheet1!$E$3:$G$27,3,0),"")</f>
        <v>MCB trip/Power upnormal</v>
      </c>
      <c r="J861" s="12" t="s">
        <v>112</v>
      </c>
      <c r="K861" s="17">
        <v>46041.0</v>
      </c>
      <c r="L861" s="17">
        <v>46041.0</v>
      </c>
      <c r="M861" s="12" t="s">
        <v>109</v>
      </c>
      <c r="N861" s="23"/>
      <c r="O861" s="22"/>
      <c r="P861" s="22"/>
    </row>
    <row r="862" ht="22.5" customHeight="1">
      <c r="A862" s="12" t="s">
        <v>22</v>
      </c>
      <c r="B862" s="20" t="str">
        <f>IFERROR(VLOOKUP(A862,Sheet1!$E$3:$H$27,4,0),"")</f>
        <v>P2</v>
      </c>
      <c r="C862" s="14" t="s">
        <v>449</v>
      </c>
      <c r="D862" s="12" t="s">
        <v>85</v>
      </c>
      <c r="E862" s="13" t="str">
        <f>IFERROR(VLOOKUP(D862,Sheet1!$B$1:$C$45,2,0),"")</f>
        <v>PM</v>
      </c>
      <c r="F862" s="12" t="s">
        <v>108</v>
      </c>
      <c r="G862" s="13" t="str">
        <f t="shared" si="4"/>
        <v>Barito Raya</v>
      </c>
      <c r="H862" s="15" t="str">
        <f>IFERROR(VLOOKUP(A862,Sheet1!$E$3:$F$27,2,),"")</f>
        <v>Preventive</v>
      </c>
      <c r="I862" s="16" t="str">
        <f>IFERROR(VLOOKUP(A862,Sheet1!$E$3:$G$27,3,0),"")</f>
        <v>Preventive Maintenance</v>
      </c>
      <c r="J862" s="12" t="s">
        <v>112</v>
      </c>
      <c r="K862" s="17">
        <v>46041.0</v>
      </c>
      <c r="L862" s="17">
        <v>46041.0</v>
      </c>
      <c r="M862" s="12" t="s">
        <v>109</v>
      </c>
      <c r="N862" s="23"/>
      <c r="O862" s="22"/>
      <c r="P862" s="22"/>
    </row>
    <row r="863" ht="22.5" customHeight="1">
      <c r="A863" s="12" t="s">
        <v>22</v>
      </c>
      <c r="B863" s="20" t="str">
        <f>IFERROR(VLOOKUP(A863,Sheet1!$E$3:$H$27,4,0),"")</f>
        <v>P2</v>
      </c>
      <c r="C863" s="14" t="s">
        <v>449</v>
      </c>
      <c r="D863" s="12" t="s">
        <v>84</v>
      </c>
      <c r="E863" s="13" t="str">
        <f>IFERROR(VLOOKUP(D863,Sheet1!$B$1:$C$45,2,0),"")</f>
        <v>MBP</v>
      </c>
      <c r="F863" s="12" t="s">
        <v>108</v>
      </c>
      <c r="G863" s="13" t="str">
        <f t="shared" si="4"/>
        <v>Barito Raya</v>
      </c>
      <c r="H863" s="15" t="str">
        <f>IFERROR(VLOOKUP(A863,Sheet1!$E$3:$F$27,2,),"")</f>
        <v>Preventive</v>
      </c>
      <c r="I863" s="16" t="str">
        <f>IFERROR(VLOOKUP(A863,Sheet1!$E$3:$G$27,3,0),"")</f>
        <v>Preventive Maintenance</v>
      </c>
      <c r="J863" s="12" t="s">
        <v>112</v>
      </c>
      <c r="K863" s="17">
        <v>46041.0</v>
      </c>
      <c r="L863" s="17">
        <v>46041.0</v>
      </c>
      <c r="M863" s="12" t="s">
        <v>109</v>
      </c>
      <c r="N863" s="23"/>
      <c r="O863" s="22"/>
      <c r="P863" s="22"/>
    </row>
    <row r="864" ht="22.5" customHeight="1">
      <c r="A864" s="12" t="s">
        <v>22</v>
      </c>
      <c r="B864" s="20" t="str">
        <f>IFERROR(VLOOKUP(A864,Sheet1!$E$3:$H$27,4,0),"")</f>
        <v>P2</v>
      </c>
      <c r="C864" s="14" t="s">
        <v>450</v>
      </c>
      <c r="D864" s="12" t="s">
        <v>86</v>
      </c>
      <c r="E864" s="13" t="str">
        <f>IFERROR(VLOOKUP(D864,Sheet1!$B$1:$C$45,2,0),"")</f>
        <v>PM</v>
      </c>
      <c r="F864" s="12" t="s">
        <v>108</v>
      </c>
      <c r="G864" s="13" t="str">
        <f t="shared" si="4"/>
        <v>Barito Raya</v>
      </c>
      <c r="H864" s="15" t="str">
        <f>IFERROR(VLOOKUP(A864,Sheet1!$E$3:$F$27,2,),"")</f>
        <v>Preventive</v>
      </c>
      <c r="I864" s="16" t="str">
        <f>IFERROR(VLOOKUP(A864,Sheet1!$E$3:$G$27,3,0),"")</f>
        <v>Preventive Maintenance</v>
      </c>
      <c r="J864" s="12" t="s">
        <v>112</v>
      </c>
      <c r="K864" s="17">
        <v>46041.0</v>
      </c>
      <c r="L864" s="17">
        <v>46041.0</v>
      </c>
      <c r="M864" s="12" t="s">
        <v>109</v>
      </c>
      <c r="N864" s="23"/>
      <c r="O864" s="22"/>
      <c r="P864" s="22"/>
    </row>
    <row r="865" ht="22.5" customHeight="1">
      <c r="A865" s="12" t="s">
        <v>14</v>
      </c>
      <c r="B865" s="20" t="str">
        <f>IFERROR(VLOOKUP(A865,Sheet1!$E$3:$H$27,4,0),"")</f>
        <v>P1</v>
      </c>
      <c r="C865" s="14" t="s">
        <v>451</v>
      </c>
      <c r="D865" s="12" t="s">
        <v>76</v>
      </c>
      <c r="E865" s="13" t="str">
        <f>IFERROR(VLOOKUP(D865,Sheet1!$B$1:$C$45,2,0),"")</f>
        <v>TE</v>
      </c>
      <c r="F865" s="12" t="s">
        <v>179</v>
      </c>
      <c r="G865" s="13" t="str">
        <f t="shared" si="4"/>
        <v>Palangkaraya</v>
      </c>
      <c r="H865" s="15" t="str">
        <f>IFERROR(VLOOKUP(A865,Sheet1!$E$3:$F$27,2,),"")</f>
        <v>Corrective</v>
      </c>
      <c r="I865" s="16" t="str">
        <f>IFERROR(VLOOKUP(A865,Sheet1!$E$3:$G$27,3,0),"")</f>
        <v>Pemadaman,MCB Trip,Transmisi problem</v>
      </c>
      <c r="J865" s="12" t="s">
        <v>112</v>
      </c>
      <c r="K865" s="17">
        <v>46041.0</v>
      </c>
      <c r="L865" s="24"/>
      <c r="M865" s="12" t="s">
        <v>137</v>
      </c>
      <c r="N865" s="23"/>
      <c r="O865" s="22"/>
      <c r="P865" s="22"/>
    </row>
    <row r="866" ht="22.5" customHeight="1">
      <c r="A866" s="12" t="s">
        <v>14</v>
      </c>
      <c r="B866" s="20" t="str">
        <f>IFERROR(VLOOKUP(A866,Sheet1!$E$3:$H$27,4,0),"")</f>
        <v>P1</v>
      </c>
      <c r="C866" s="14" t="s">
        <v>451</v>
      </c>
      <c r="D866" s="12" t="s">
        <v>42</v>
      </c>
      <c r="E866" s="13" t="str">
        <f>IFERROR(VLOOKUP(D866,Sheet1!$B$1:$C$45,2,0),"")</f>
        <v>TE</v>
      </c>
      <c r="F866" s="12" t="s">
        <v>179</v>
      </c>
      <c r="G866" s="13" t="str">
        <f t="shared" si="4"/>
        <v>Palangkaraya</v>
      </c>
      <c r="H866" s="15" t="str">
        <f>IFERROR(VLOOKUP(A866,Sheet1!$E$3:$F$27,2,),"")</f>
        <v>Corrective</v>
      </c>
      <c r="I866" s="16" t="str">
        <f>IFERROR(VLOOKUP(A866,Sheet1!$E$3:$G$27,3,0),"")</f>
        <v>Pemadaman,MCB Trip,Transmisi problem</v>
      </c>
      <c r="J866" s="12" t="s">
        <v>112</v>
      </c>
      <c r="K866" s="17">
        <v>46041.0</v>
      </c>
      <c r="L866" s="24"/>
      <c r="M866" s="12" t="s">
        <v>137</v>
      </c>
      <c r="N866" s="23"/>
      <c r="O866" s="22"/>
      <c r="P866" s="22"/>
    </row>
    <row r="867" ht="22.5" customHeight="1">
      <c r="A867" s="12" t="s">
        <v>33</v>
      </c>
      <c r="B867" s="20" t="str">
        <f>IFERROR(VLOOKUP(A867,Sheet1!$E$3:$H$27,4,0),"")</f>
        <v>P2</v>
      </c>
      <c r="C867" s="14" t="s">
        <v>452</v>
      </c>
      <c r="D867" s="12" t="s">
        <v>77</v>
      </c>
      <c r="E867" s="13" t="str">
        <f>IFERROR(VLOOKUP(D867,Sheet1!$B$1:$C$45,2,0),"")</f>
        <v>TE</v>
      </c>
      <c r="F867" s="12" t="s">
        <v>179</v>
      </c>
      <c r="G867" s="13" t="str">
        <f t="shared" si="4"/>
        <v>Palangkaraya</v>
      </c>
      <c r="H867" s="15" t="str">
        <f>IFERROR(VLOOKUP(A867,Sheet1!$E$3:$F$27,2,),"")</f>
        <v>Preventive</v>
      </c>
      <c r="I867" s="16" t="str">
        <f>IFERROR(VLOOKUP(A867,Sheet1!$E$3:$G$27,3,0),"")</f>
        <v>Pengukuran dan pengambilan data log serta input Gdoc BBT</v>
      </c>
      <c r="J867" s="12" t="s">
        <v>112</v>
      </c>
      <c r="K867" s="17">
        <v>46041.0</v>
      </c>
      <c r="L867" s="24"/>
      <c r="M867" s="12" t="s">
        <v>137</v>
      </c>
      <c r="N867" s="23"/>
      <c r="O867" s="22"/>
      <c r="P867" s="22"/>
    </row>
    <row r="868" ht="22.5" customHeight="1">
      <c r="A868" s="12" t="s">
        <v>14</v>
      </c>
      <c r="B868" s="20" t="str">
        <f>IFERROR(VLOOKUP(A868,Sheet1!$E$3:$H$27,4,0),"")</f>
        <v>P1</v>
      </c>
      <c r="C868" s="14" t="s">
        <v>453</v>
      </c>
      <c r="D868" s="12" t="s">
        <v>79</v>
      </c>
      <c r="E868" s="13" t="str">
        <f>IFERROR(VLOOKUP(D868,Sheet1!$B$1:$C$45,2,0),"")</f>
        <v>TE</v>
      </c>
      <c r="F868" s="12" t="s">
        <v>179</v>
      </c>
      <c r="G868" s="13" t="str">
        <f t="shared" si="4"/>
        <v>Palangkaraya</v>
      </c>
      <c r="H868" s="15" t="str">
        <f>IFERROR(VLOOKUP(A868,Sheet1!$E$3:$F$27,2,),"")</f>
        <v>Corrective</v>
      </c>
      <c r="I868" s="16" t="str">
        <f>IFERROR(VLOOKUP(A868,Sheet1!$E$3:$G$27,3,0),"")</f>
        <v>Pemadaman,MCB Trip,Transmisi problem</v>
      </c>
      <c r="J868" s="12" t="s">
        <v>112</v>
      </c>
      <c r="K868" s="17">
        <v>46041.0</v>
      </c>
      <c r="L868" s="17">
        <v>46041.0</v>
      </c>
      <c r="M868" s="12" t="s">
        <v>109</v>
      </c>
      <c r="N868" s="23"/>
      <c r="O868" s="22"/>
      <c r="P868" s="22"/>
    </row>
    <row r="869" ht="22.5" customHeight="1">
      <c r="A869" s="12" t="s">
        <v>65</v>
      </c>
      <c r="B869" s="20" t="str">
        <f>IFERROR(VLOOKUP(A869,Sheet1!$E$3:$H$27,4,0),"")</f>
        <v>P3</v>
      </c>
      <c r="C869" s="14"/>
      <c r="D869" s="12" t="s">
        <v>80</v>
      </c>
      <c r="E869" s="13" t="str">
        <f>IFERROR(VLOOKUP(D869,Sheet1!$B$1:$C$45,2,0),"")</f>
        <v>TE</v>
      </c>
      <c r="F869" s="12" t="s">
        <v>179</v>
      </c>
      <c r="G869" s="13" t="str">
        <f t="shared" si="4"/>
        <v>Palangkaraya</v>
      </c>
      <c r="H869" s="15" t="str">
        <f>IFERROR(VLOOKUP(A869,Sheet1!$E$3:$F$27,2,),"")</f>
        <v>Standby</v>
      </c>
      <c r="I869" s="16" t="str">
        <f>IFERROR(VLOOKUP(A869,Sheet1!$E$3:$G$27,3,0),"")</f>
        <v>Standby On Call</v>
      </c>
      <c r="J869" s="12" t="s">
        <v>66</v>
      </c>
      <c r="K869" s="17">
        <v>46041.0</v>
      </c>
      <c r="L869" s="24"/>
      <c r="M869" s="12" t="s">
        <v>137</v>
      </c>
      <c r="N869" s="23"/>
      <c r="O869" s="22"/>
      <c r="P869" s="22"/>
    </row>
    <row r="870" ht="22.5" customHeight="1">
      <c r="A870" s="12" t="s">
        <v>5</v>
      </c>
      <c r="B870" s="20" t="str">
        <f>IFERROR(VLOOKUP(A870,Sheet1!$E$3:$H$27,4,0),"")</f>
        <v>P1</v>
      </c>
      <c r="C870" s="14" t="s">
        <v>302</v>
      </c>
      <c r="D870" s="12" t="s">
        <v>71</v>
      </c>
      <c r="E870" s="13" t="str">
        <f>IFERROR(VLOOKUP(D870,Sheet1!$B$1:$C$45,2,0),"")</f>
        <v>TE</v>
      </c>
      <c r="F870" s="12" t="s">
        <v>179</v>
      </c>
      <c r="G870" s="13" t="str">
        <f t="shared" si="4"/>
        <v>Palangkaraya</v>
      </c>
      <c r="H870" s="15" t="str">
        <f>IFERROR(VLOOKUP(A870,Sheet1!$E$3:$F$27,2,),"")</f>
        <v>Corrective</v>
      </c>
      <c r="I870" s="16" t="str">
        <f>IFERROR(VLOOKUP(A870,Sheet1!$E$3:$G$27,3,0),"")</f>
        <v>Replace Optik,RRU/Soket Power/Replace GPS</v>
      </c>
      <c r="J870" s="12" t="s">
        <v>112</v>
      </c>
      <c r="K870" s="17">
        <v>46041.0</v>
      </c>
      <c r="L870" s="24"/>
      <c r="M870" s="12" t="s">
        <v>137</v>
      </c>
      <c r="N870" s="23"/>
      <c r="O870" s="22"/>
      <c r="P870" s="22"/>
    </row>
    <row r="871" ht="22.5" customHeight="1">
      <c r="A871" s="12" t="s">
        <v>5</v>
      </c>
      <c r="B871" s="20" t="str">
        <f>IFERROR(VLOOKUP(A871,Sheet1!$E$3:$H$27,4,0),"")</f>
        <v>P1</v>
      </c>
      <c r="C871" s="14" t="s">
        <v>302</v>
      </c>
      <c r="D871" s="12" t="s">
        <v>69</v>
      </c>
      <c r="E871" s="13" t="str">
        <f>IFERROR(VLOOKUP(D871,Sheet1!$B$1:$C$45,2,0),"")</f>
        <v>TE</v>
      </c>
      <c r="F871" s="12" t="s">
        <v>179</v>
      </c>
      <c r="G871" s="13" t="str">
        <f t="shared" si="4"/>
        <v>Palangkaraya</v>
      </c>
      <c r="H871" s="15" t="str">
        <f>IFERROR(VLOOKUP(A871,Sheet1!$E$3:$F$27,2,),"")</f>
        <v>Corrective</v>
      </c>
      <c r="I871" s="16" t="str">
        <f>IFERROR(VLOOKUP(A871,Sheet1!$E$3:$G$27,3,0),"")</f>
        <v>Replace Optik,RRU/Soket Power/Replace GPS</v>
      </c>
      <c r="J871" s="12" t="s">
        <v>112</v>
      </c>
      <c r="K871" s="17">
        <v>46041.0</v>
      </c>
      <c r="L871" s="24"/>
      <c r="M871" s="12" t="s">
        <v>137</v>
      </c>
      <c r="N871" s="23"/>
      <c r="O871" s="22"/>
      <c r="P871" s="22"/>
    </row>
    <row r="872" ht="22.5" customHeight="1">
      <c r="A872" s="12" t="s">
        <v>33</v>
      </c>
      <c r="B872" s="20" t="str">
        <f>IFERROR(VLOOKUP(A872,Sheet1!$E$3:$H$27,4,0),"")</f>
        <v>P2</v>
      </c>
      <c r="C872" s="14" t="s">
        <v>454</v>
      </c>
      <c r="D872" s="12" t="s">
        <v>91</v>
      </c>
      <c r="E872" s="13" t="str">
        <f>IFERROR(VLOOKUP(D872,Sheet1!$B$1:$C$45,2,0),"")</f>
        <v>TE</v>
      </c>
      <c r="F872" s="12" t="s">
        <v>179</v>
      </c>
      <c r="G872" s="13" t="str">
        <f t="shared" si="4"/>
        <v>Palangkaraya</v>
      </c>
      <c r="H872" s="15" t="str">
        <f>IFERROR(VLOOKUP(A872,Sheet1!$E$3:$F$27,2,),"")</f>
        <v>Preventive</v>
      </c>
      <c r="I872" s="16" t="str">
        <f>IFERROR(VLOOKUP(A872,Sheet1!$E$3:$G$27,3,0),"")</f>
        <v>Pengukuran dan pengambilan data log serta input Gdoc BBT</v>
      </c>
      <c r="J872" s="12" t="s">
        <v>112</v>
      </c>
      <c r="K872" s="17">
        <v>46041.0</v>
      </c>
      <c r="L872" s="24"/>
      <c r="M872" s="12" t="s">
        <v>137</v>
      </c>
      <c r="N872" s="23"/>
      <c r="O872" s="22"/>
      <c r="P872" s="22"/>
    </row>
    <row r="873" ht="22.5" customHeight="1">
      <c r="A873" s="12" t="s">
        <v>14</v>
      </c>
      <c r="B873" s="20" t="str">
        <f>IFERROR(VLOOKUP(A873,Sheet1!$E$3:$H$27,4,0),"")</f>
        <v>P1</v>
      </c>
      <c r="C873" s="14" t="s">
        <v>320</v>
      </c>
      <c r="D873" s="12" t="s">
        <v>58</v>
      </c>
      <c r="E873" s="13" t="str">
        <f>IFERROR(VLOOKUP(D873,Sheet1!$B$1:$C$45,2,0),"")</f>
        <v>TE</v>
      </c>
      <c r="F873" s="12" t="s">
        <v>179</v>
      </c>
      <c r="G873" s="13" t="str">
        <f t="shared" si="4"/>
        <v>Palangkaraya</v>
      </c>
      <c r="H873" s="15" t="str">
        <f>IFERROR(VLOOKUP(A873,Sheet1!$E$3:$F$27,2,),"")</f>
        <v>Corrective</v>
      </c>
      <c r="I873" s="16" t="str">
        <f>IFERROR(VLOOKUP(A873,Sheet1!$E$3:$G$27,3,0),"")</f>
        <v>Pemadaman,MCB Trip,Transmisi problem</v>
      </c>
      <c r="J873" s="12" t="s">
        <v>112</v>
      </c>
      <c r="K873" s="17">
        <v>46041.0</v>
      </c>
      <c r="L873" s="24"/>
      <c r="M873" s="12" t="s">
        <v>137</v>
      </c>
      <c r="N873" s="23"/>
      <c r="O873" s="22"/>
      <c r="P873" s="22"/>
    </row>
    <row r="874" ht="22.5" customHeight="1">
      <c r="A874" s="12" t="s">
        <v>65</v>
      </c>
      <c r="B874" s="20" t="str">
        <f>IFERROR(VLOOKUP(A874,Sheet1!$E$3:$H$27,4,0),"")</f>
        <v>P3</v>
      </c>
      <c r="C874" s="14"/>
      <c r="D874" s="12" t="s">
        <v>56</v>
      </c>
      <c r="E874" s="13" t="str">
        <f>IFERROR(VLOOKUP(D874,Sheet1!$B$1:$C$45,2,0),"")</f>
        <v>TE</v>
      </c>
      <c r="F874" s="12" t="s">
        <v>179</v>
      </c>
      <c r="G874" s="13" t="str">
        <f t="shared" si="4"/>
        <v>Palangkaraya</v>
      </c>
      <c r="H874" s="15" t="str">
        <f>IFERROR(VLOOKUP(A874,Sheet1!$E$3:$F$27,2,),"")</f>
        <v>Standby</v>
      </c>
      <c r="I874" s="16" t="str">
        <f>IFERROR(VLOOKUP(A874,Sheet1!$E$3:$G$27,3,0),"")</f>
        <v>Standby On Call</v>
      </c>
      <c r="J874" s="12" t="s">
        <v>112</v>
      </c>
      <c r="K874" s="17">
        <v>46041.0</v>
      </c>
      <c r="L874" s="24"/>
      <c r="M874" s="12" t="s">
        <v>137</v>
      </c>
      <c r="N874" s="23"/>
      <c r="O874" s="22"/>
      <c r="P874" s="22"/>
    </row>
    <row r="875" ht="22.5" customHeight="1">
      <c r="A875" s="12" t="s">
        <v>22</v>
      </c>
      <c r="B875" s="20" t="str">
        <f>IFERROR(VLOOKUP(A875,Sheet1!$E$3:$H$27,4,0),"")</f>
        <v>P2</v>
      </c>
      <c r="C875" s="14" t="s">
        <v>455</v>
      </c>
      <c r="D875" s="12" t="s">
        <v>83</v>
      </c>
      <c r="E875" s="13" t="str">
        <f>IFERROR(VLOOKUP(D875,Sheet1!$B$1:$C$45,2,0),"")</f>
        <v>PM</v>
      </c>
      <c r="F875" s="12" t="s">
        <v>179</v>
      </c>
      <c r="G875" s="13" t="str">
        <f t="shared" si="4"/>
        <v>Palangkaraya</v>
      </c>
      <c r="H875" s="15" t="str">
        <f>IFERROR(VLOOKUP(A875,Sheet1!$E$3:$F$27,2,),"")</f>
        <v>Preventive</v>
      </c>
      <c r="I875" s="16" t="str">
        <f>IFERROR(VLOOKUP(A875,Sheet1!$E$3:$G$27,3,0),"")</f>
        <v>Preventive Maintenance</v>
      </c>
      <c r="J875" s="12" t="s">
        <v>112</v>
      </c>
      <c r="K875" s="17">
        <v>46041.0</v>
      </c>
      <c r="L875" s="17">
        <v>46041.0</v>
      </c>
      <c r="M875" s="12" t="s">
        <v>109</v>
      </c>
      <c r="N875" s="23"/>
      <c r="O875" s="22"/>
      <c r="P875" s="22"/>
    </row>
    <row r="876" ht="22.5" customHeight="1">
      <c r="A876" s="12" t="s">
        <v>22</v>
      </c>
      <c r="B876" s="20" t="str">
        <f>IFERROR(VLOOKUP(A876,Sheet1!$E$3:$H$27,4,0),"")</f>
        <v>P2</v>
      </c>
      <c r="C876" s="14" t="s">
        <v>268</v>
      </c>
      <c r="D876" s="12" t="s">
        <v>82</v>
      </c>
      <c r="E876" s="13" t="str">
        <f>IFERROR(VLOOKUP(D876,Sheet1!$B$1:$C$45,2,0),"")</f>
        <v>PM</v>
      </c>
      <c r="F876" s="12" t="s">
        <v>179</v>
      </c>
      <c r="G876" s="13" t="str">
        <f t="shared" si="4"/>
        <v>Palangkaraya</v>
      </c>
      <c r="H876" s="15" t="str">
        <f>IFERROR(VLOOKUP(A876,Sheet1!$E$3:$F$27,2,),"")</f>
        <v>Preventive</v>
      </c>
      <c r="I876" s="16" t="str">
        <f>IFERROR(VLOOKUP(A876,Sheet1!$E$3:$G$27,3,0),"")</f>
        <v>Preventive Maintenance</v>
      </c>
      <c r="J876" s="12" t="s">
        <v>112</v>
      </c>
      <c r="K876" s="17">
        <v>46041.0</v>
      </c>
      <c r="L876" s="17">
        <v>46041.0</v>
      </c>
      <c r="M876" s="12" t="s">
        <v>109</v>
      </c>
      <c r="N876" s="23"/>
      <c r="O876" s="22"/>
      <c r="P876" s="22"/>
    </row>
    <row r="877" ht="22.5" customHeight="1">
      <c r="A877" s="12" t="s">
        <v>65</v>
      </c>
      <c r="B877" s="20" t="str">
        <f>IFERROR(VLOOKUP(A877,Sheet1!$E$3:$H$27,4,0),"")</f>
        <v>P3</v>
      </c>
      <c r="C877" s="14"/>
      <c r="D877" s="12" t="s">
        <v>75</v>
      </c>
      <c r="E877" s="13" t="str">
        <f>IFERROR(VLOOKUP(D877,Sheet1!$B$1:$C$45,2,0),"")</f>
        <v>CME</v>
      </c>
      <c r="F877" s="12" t="s">
        <v>179</v>
      </c>
      <c r="G877" s="13" t="str">
        <f t="shared" si="4"/>
        <v>Palangkaraya</v>
      </c>
      <c r="H877" s="15" t="str">
        <f>IFERROR(VLOOKUP(A877,Sheet1!$E$3:$F$27,2,),"")</f>
        <v>Standby</v>
      </c>
      <c r="I877" s="16" t="str">
        <f>IFERROR(VLOOKUP(A877,Sheet1!$E$3:$G$27,3,0),"")</f>
        <v>Standby On Call</v>
      </c>
      <c r="J877" s="12" t="s">
        <v>66</v>
      </c>
      <c r="K877" s="17">
        <v>46041.0</v>
      </c>
      <c r="L877" s="24"/>
      <c r="M877" s="12" t="s">
        <v>137</v>
      </c>
      <c r="N877" s="23"/>
      <c r="O877" s="22"/>
      <c r="P877" s="22"/>
    </row>
    <row r="878" ht="22.5" customHeight="1">
      <c r="A878" s="12" t="s">
        <v>65</v>
      </c>
      <c r="B878" s="20" t="str">
        <f>IFERROR(VLOOKUP(A878,Sheet1!$E$3:$H$27,4,0),"")</f>
        <v>P3</v>
      </c>
      <c r="C878" s="14"/>
      <c r="D878" s="12" t="s">
        <v>54</v>
      </c>
      <c r="E878" s="13" t="str">
        <f>IFERROR(VLOOKUP(D878,Sheet1!$B$1:$C$45,2,0),"")</f>
        <v>MBP</v>
      </c>
      <c r="F878" s="12" t="s">
        <v>179</v>
      </c>
      <c r="G878" s="13" t="str">
        <f t="shared" si="4"/>
        <v>Palangkaraya</v>
      </c>
      <c r="H878" s="15" t="str">
        <f>IFERROR(VLOOKUP(A878,Sheet1!$E$3:$F$27,2,),"")</f>
        <v>Standby</v>
      </c>
      <c r="I878" s="16" t="str">
        <f>IFERROR(VLOOKUP(A878,Sheet1!$E$3:$G$27,3,0),"")</f>
        <v>Standby On Call</v>
      </c>
      <c r="J878" s="12" t="s">
        <v>112</v>
      </c>
      <c r="K878" s="17">
        <v>46041.0</v>
      </c>
      <c r="L878" s="24"/>
      <c r="M878" s="12" t="s">
        <v>137</v>
      </c>
      <c r="N878" s="23"/>
      <c r="O878" s="22"/>
      <c r="P878" s="22"/>
    </row>
    <row r="879" ht="22.5" customHeight="1">
      <c r="A879" s="12" t="s">
        <v>65</v>
      </c>
      <c r="B879" s="20" t="str">
        <f>IFERROR(VLOOKUP(A879,Sheet1!$E$3:$H$27,4,0),"")</f>
        <v>P3</v>
      </c>
      <c r="C879" s="15"/>
      <c r="D879" s="12" t="s">
        <v>45</v>
      </c>
      <c r="E879" s="13" t="str">
        <f>IFERROR(VLOOKUP(D879,Sheet1!$B$1:$C$45,2,0),"")</f>
        <v>MBP</v>
      </c>
      <c r="F879" s="12" t="s">
        <v>179</v>
      </c>
      <c r="G879" s="13" t="str">
        <f t="shared" si="4"/>
        <v>Palangkaraya</v>
      </c>
      <c r="H879" s="15" t="str">
        <f>IFERROR(VLOOKUP(A879,Sheet1!$E$3:$F$27,2,),"")</f>
        <v>Standby</v>
      </c>
      <c r="I879" s="16" t="str">
        <f>IFERROR(VLOOKUP(A879,Sheet1!$E$3:$G$27,3,0),"")</f>
        <v>Standby On Call</v>
      </c>
      <c r="J879" s="12" t="s">
        <v>66</v>
      </c>
      <c r="K879" s="17">
        <v>46041.0</v>
      </c>
      <c r="L879" s="24"/>
      <c r="M879" s="12" t="s">
        <v>137</v>
      </c>
      <c r="N879" s="23"/>
      <c r="O879" s="22"/>
      <c r="P879" s="22"/>
    </row>
    <row r="880" ht="22.5" hidden="1" customHeight="1">
      <c r="A880" s="12" t="s">
        <v>65</v>
      </c>
      <c r="B880" s="20" t="str">
        <f>IFERROR(VLOOKUP(A880,Sheet1!$E$3:$H$27,4,0),"")</f>
        <v>P3</v>
      </c>
      <c r="C880" s="15"/>
      <c r="D880" s="12" t="s">
        <v>35</v>
      </c>
      <c r="E880" s="13" t="str">
        <f>IFERROR(VLOOKUP(D880,Sheet1!$B$1:$C$45,2,0),"")</f>
        <v>MBP</v>
      </c>
      <c r="F880" s="12" t="s">
        <v>179</v>
      </c>
      <c r="G880" s="13" t="str">
        <f t="shared" si="4"/>
        <v>Palangkaraya</v>
      </c>
      <c r="H880" s="15" t="str">
        <f>IFERROR(VLOOKUP(A880,Sheet1!$E$3:$F$27,2,),"")</f>
        <v>Standby</v>
      </c>
      <c r="I880" s="16" t="str">
        <f>IFERROR(VLOOKUP(A880,Sheet1!$E$3:$G$27,3,0),"")</f>
        <v>Standby On Call</v>
      </c>
      <c r="J880" s="12" t="s">
        <v>66</v>
      </c>
      <c r="K880" s="17">
        <v>46041.0</v>
      </c>
      <c r="L880" s="24"/>
      <c r="M880" s="12" t="s">
        <v>137</v>
      </c>
      <c r="N880" s="23"/>
      <c r="O880" s="22"/>
      <c r="P880" s="22"/>
    </row>
    <row r="881" ht="22.5" customHeight="1">
      <c r="A881" s="12" t="s">
        <v>52</v>
      </c>
      <c r="B881" s="20" t="str">
        <f>IFERROR(VLOOKUP(A881,Sheet1!$E$3:$H$27,4,0),"")</f>
        <v>P1</v>
      </c>
      <c r="C881" s="14" t="s">
        <v>403</v>
      </c>
      <c r="D881" s="12" t="s">
        <v>12</v>
      </c>
      <c r="E881" s="13" t="str">
        <f>IFERROR(VLOOKUP(D881,Sheet1!$B$1:$C$45,2,0),"")</f>
        <v>TE</v>
      </c>
      <c r="F881" s="12" t="s">
        <v>108</v>
      </c>
      <c r="G881" s="13" t="str">
        <f t="shared" si="4"/>
        <v>Barito Raya</v>
      </c>
      <c r="H881" s="15" t="str">
        <f>IFERROR(VLOOKUP(A881,Sheet1!$E$3:$F$27,2,),"")</f>
        <v>Preventive</v>
      </c>
      <c r="I881" s="16" t="str">
        <f>IFERROR(VLOOKUP(A881,Sheet1!$E$3:$G$27,3,0),"")</f>
        <v>MCB trip/Power upnormal</v>
      </c>
      <c r="J881" s="12" t="s">
        <v>112</v>
      </c>
      <c r="K881" s="17">
        <v>46042.0</v>
      </c>
      <c r="L881" s="17">
        <v>46042.0</v>
      </c>
      <c r="M881" s="13"/>
      <c r="N881" s="23"/>
      <c r="O881" s="22"/>
      <c r="P881" s="22"/>
    </row>
    <row r="882" ht="22.5" customHeight="1">
      <c r="A882" s="12" t="s">
        <v>22</v>
      </c>
      <c r="B882" s="20" t="str">
        <f>IFERROR(VLOOKUP(A882,Sheet1!$E$3:$H$27,4,0),"")</f>
        <v>P2</v>
      </c>
      <c r="C882" s="14" t="s">
        <v>456</v>
      </c>
      <c r="D882" s="12" t="s">
        <v>16</v>
      </c>
      <c r="E882" s="13" t="str">
        <f>IFERROR(VLOOKUP(D882,Sheet1!$B$1:$C$45,2,0),"")</f>
        <v>TE</v>
      </c>
      <c r="F882" s="12" t="s">
        <v>108</v>
      </c>
      <c r="G882" s="13" t="str">
        <f t="shared" si="4"/>
        <v>Barito Raya</v>
      </c>
      <c r="H882" s="15" t="str">
        <f>IFERROR(VLOOKUP(A882,Sheet1!$E$3:$F$27,2,),"")</f>
        <v>Preventive</v>
      </c>
      <c r="I882" s="16" t="str">
        <f>IFERROR(VLOOKUP(A882,Sheet1!$E$3:$G$27,3,0),"")</f>
        <v>Preventive Maintenance</v>
      </c>
      <c r="J882" s="12" t="s">
        <v>112</v>
      </c>
      <c r="K882" s="17">
        <v>46042.0</v>
      </c>
      <c r="L882" s="17">
        <v>46042.0</v>
      </c>
      <c r="M882" s="13"/>
      <c r="N882" s="23"/>
      <c r="O882" s="22"/>
      <c r="P882" s="22"/>
    </row>
    <row r="883" ht="22.5" customHeight="1">
      <c r="A883" s="12" t="s">
        <v>5</v>
      </c>
      <c r="B883" s="20" t="str">
        <f>IFERROR(VLOOKUP(A883,Sheet1!$E$3:$H$27,4,0),"")</f>
        <v>P1</v>
      </c>
      <c r="C883" s="14" t="s">
        <v>446</v>
      </c>
      <c r="D883" s="12" t="s">
        <v>21</v>
      </c>
      <c r="E883" s="13" t="str">
        <f>IFERROR(VLOOKUP(D883,Sheet1!$B$1:$C$45,2,0),"")</f>
        <v>TE</v>
      </c>
      <c r="F883" s="12" t="s">
        <v>108</v>
      </c>
      <c r="G883" s="13" t="str">
        <f t="shared" si="4"/>
        <v>Barito Raya</v>
      </c>
      <c r="H883" s="15" t="str">
        <f>IFERROR(VLOOKUP(A883,Sheet1!$E$3:$F$27,2,),"")</f>
        <v>Corrective</v>
      </c>
      <c r="I883" s="16" t="str">
        <f>IFERROR(VLOOKUP(A883,Sheet1!$E$3:$G$27,3,0),"")</f>
        <v>Replace Optik,RRU/Soket Power/Replace GPS</v>
      </c>
      <c r="J883" s="12" t="s">
        <v>172</v>
      </c>
      <c r="K883" s="17">
        <v>46042.0</v>
      </c>
      <c r="L883" s="17">
        <v>46042.0</v>
      </c>
      <c r="M883" s="13"/>
      <c r="N883" s="23"/>
      <c r="O883" s="22"/>
      <c r="P883" s="22"/>
    </row>
    <row r="884" ht="22.5" customHeight="1">
      <c r="A884" s="12" t="s">
        <v>30</v>
      </c>
      <c r="B884" s="20" t="str">
        <f>IFERROR(VLOOKUP(A884,Sheet1!$E$3:$H$27,4,0),"")</f>
        <v>P3</v>
      </c>
      <c r="C884" s="14" t="s">
        <v>457</v>
      </c>
      <c r="D884" s="12" t="s">
        <v>26</v>
      </c>
      <c r="E884" s="13" t="str">
        <f>IFERROR(VLOOKUP(D884,Sheet1!$B$1:$C$45,2,0),"")</f>
        <v>TE</v>
      </c>
      <c r="F884" s="12" t="s">
        <v>108</v>
      </c>
      <c r="G884" s="13" t="str">
        <f t="shared" si="4"/>
        <v>Barito Raya</v>
      </c>
      <c r="H884" s="15" t="str">
        <f>IFERROR(VLOOKUP(A884,Sheet1!$E$3:$F$27,2,),"")</f>
        <v>Preventive</v>
      </c>
      <c r="I884" s="16" t="str">
        <f>IFERROR(VLOOKUP(A884,Sheet1!$E$3:$G$27,3,0),"")</f>
        <v>Pengawalan akses Vendor</v>
      </c>
      <c r="J884" s="12" t="s">
        <v>112</v>
      </c>
      <c r="K884" s="17">
        <v>46042.0</v>
      </c>
      <c r="L884" s="17">
        <v>46042.0</v>
      </c>
      <c r="M884" s="13"/>
      <c r="N884" s="23"/>
      <c r="O884" s="22"/>
      <c r="P884" s="22"/>
    </row>
    <row r="885" ht="22.5" customHeight="1">
      <c r="A885" s="12" t="s">
        <v>65</v>
      </c>
      <c r="B885" s="20" t="str">
        <f>IFERROR(VLOOKUP(A885,Sheet1!$E$3:$H$27,4,0),"")</f>
        <v>P3</v>
      </c>
      <c r="C885" s="15"/>
      <c r="D885" s="12" t="s">
        <v>88</v>
      </c>
      <c r="E885" s="13" t="str">
        <f>IFERROR(VLOOKUP(D885,Sheet1!$B$1:$C$45,2,0),"")</f>
        <v>TE</v>
      </c>
      <c r="F885" s="12" t="s">
        <v>108</v>
      </c>
      <c r="G885" s="13" t="str">
        <f t="shared" si="4"/>
        <v>Barito Raya</v>
      </c>
      <c r="H885" s="15" t="str">
        <f>IFERROR(VLOOKUP(A885,Sheet1!$E$3:$F$27,2,),"")</f>
        <v>Standby</v>
      </c>
      <c r="I885" s="16" t="str">
        <f>IFERROR(VLOOKUP(A885,Sheet1!$E$3:$G$27,3,0),"")</f>
        <v>Standby On Call</v>
      </c>
      <c r="J885" s="12" t="s">
        <v>66</v>
      </c>
      <c r="K885" s="17">
        <v>46042.0</v>
      </c>
      <c r="L885" s="17">
        <v>46042.0</v>
      </c>
      <c r="M885" s="13"/>
      <c r="N885" s="23"/>
      <c r="O885" s="22"/>
      <c r="P885" s="22"/>
    </row>
    <row r="886" ht="22.5" customHeight="1">
      <c r="A886" s="12" t="s">
        <v>52</v>
      </c>
      <c r="B886" s="20" t="str">
        <f>IFERROR(VLOOKUP(A886,Sheet1!$E$3:$H$27,4,0),"")</f>
        <v>P1</v>
      </c>
      <c r="C886" s="14" t="s">
        <v>458</v>
      </c>
      <c r="D886" s="12" t="s">
        <v>32</v>
      </c>
      <c r="E886" s="13" t="str">
        <f>IFERROR(VLOOKUP(D886,Sheet1!$B$1:$C$45,2,0),"")</f>
        <v>TE</v>
      </c>
      <c r="F886" s="12" t="s">
        <v>108</v>
      </c>
      <c r="G886" s="13" t="str">
        <f t="shared" si="4"/>
        <v>Barito Raya</v>
      </c>
      <c r="H886" s="15" t="str">
        <f>IFERROR(VLOOKUP(A886,Sheet1!$E$3:$F$27,2,),"")</f>
        <v>Preventive</v>
      </c>
      <c r="I886" s="16" t="str">
        <f>IFERROR(VLOOKUP(A886,Sheet1!$E$3:$G$27,3,0),"")</f>
        <v>MCB trip/Power upnormal</v>
      </c>
      <c r="J886" s="12" t="s">
        <v>112</v>
      </c>
      <c r="K886" s="17">
        <v>46042.0</v>
      </c>
      <c r="L886" s="17">
        <v>46042.0</v>
      </c>
      <c r="M886" s="13"/>
      <c r="N886" s="23"/>
      <c r="O886" s="22"/>
      <c r="P886" s="22"/>
    </row>
    <row r="887" ht="22.5" customHeight="1">
      <c r="A887" s="12" t="s">
        <v>14</v>
      </c>
      <c r="B887" s="20" t="str">
        <f>IFERROR(VLOOKUP(A887,Sheet1!$E$3:$H$27,4,0),"")</f>
        <v>P1</v>
      </c>
      <c r="C887" s="14" t="s">
        <v>459</v>
      </c>
      <c r="D887" s="12" t="s">
        <v>74</v>
      </c>
      <c r="E887" s="13" t="str">
        <f>IFERROR(VLOOKUP(D887,Sheet1!$B$1:$C$45,2,0),"")</f>
        <v>TE</v>
      </c>
      <c r="F887" s="12" t="s">
        <v>108</v>
      </c>
      <c r="G887" s="13" t="str">
        <f t="shared" si="4"/>
        <v>Barito Raya</v>
      </c>
      <c r="H887" s="15" t="str">
        <f>IFERROR(VLOOKUP(A887,Sheet1!$E$3:$F$27,2,),"")</f>
        <v>Corrective</v>
      </c>
      <c r="I887" s="16" t="str">
        <f>IFERROR(VLOOKUP(A887,Sheet1!$E$3:$G$27,3,0),"")</f>
        <v>Pemadaman,MCB Trip,Transmisi problem</v>
      </c>
      <c r="J887" s="12" t="s">
        <v>112</v>
      </c>
      <c r="K887" s="17">
        <v>46042.0</v>
      </c>
      <c r="L887" s="17">
        <v>46042.0</v>
      </c>
      <c r="M887" s="13"/>
      <c r="N887" s="23"/>
      <c r="O887" s="22"/>
      <c r="P887" s="22"/>
    </row>
    <row r="888" ht="22.5" customHeight="1">
      <c r="A888" s="12" t="s">
        <v>22</v>
      </c>
      <c r="B888" s="20" t="str">
        <f>IFERROR(VLOOKUP(A888,Sheet1!$E$3:$H$27,4,0),"")</f>
        <v>P2</v>
      </c>
      <c r="C888" s="14" t="s">
        <v>357</v>
      </c>
      <c r="D888" s="12" t="s">
        <v>60</v>
      </c>
      <c r="E888" s="13" t="str">
        <f>IFERROR(VLOOKUP(D888,Sheet1!$B$1:$C$45,2,0),"")</f>
        <v>TE</v>
      </c>
      <c r="F888" s="12" t="s">
        <v>108</v>
      </c>
      <c r="G888" s="13" t="str">
        <f t="shared" si="4"/>
        <v>Barito Raya</v>
      </c>
      <c r="H888" s="15" t="str">
        <f>IFERROR(VLOOKUP(A888,Sheet1!$E$3:$F$27,2,),"")</f>
        <v>Preventive</v>
      </c>
      <c r="I888" s="16" t="str">
        <f>IFERROR(VLOOKUP(A888,Sheet1!$E$3:$G$27,3,0),"")</f>
        <v>Preventive Maintenance</v>
      </c>
      <c r="J888" s="12" t="s">
        <v>112</v>
      </c>
      <c r="K888" s="17">
        <v>46042.0</v>
      </c>
      <c r="L888" s="17">
        <v>46042.0</v>
      </c>
      <c r="M888" s="13"/>
      <c r="N888" s="23"/>
      <c r="O888" s="22"/>
      <c r="P888" s="22"/>
    </row>
    <row r="889" ht="22.5" customHeight="1">
      <c r="A889" s="12" t="s">
        <v>22</v>
      </c>
      <c r="B889" s="20" t="str">
        <f>IFERROR(VLOOKUP(A889,Sheet1!$E$3:$H$27,4,0),"")</f>
        <v>P2</v>
      </c>
      <c r="C889" s="14" t="s">
        <v>460</v>
      </c>
      <c r="D889" s="12" t="s">
        <v>62</v>
      </c>
      <c r="E889" s="13" t="str">
        <f>IFERROR(VLOOKUP(D889,Sheet1!$B$1:$C$45,2,0),"")</f>
        <v>TE</v>
      </c>
      <c r="F889" s="12" t="s">
        <v>108</v>
      </c>
      <c r="G889" s="13" t="str">
        <f t="shared" si="4"/>
        <v>Barito Raya</v>
      </c>
      <c r="H889" s="15" t="str">
        <f>IFERROR(VLOOKUP(A889,Sheet1!$E$3:$F$27,2,),"")</f>
        <v>Preventive</v>
      </c>
      <c r="I889" s="16" t="str">
        <f>IFERROR(VLOOKUP(A889,Sheet1!$E$3:$G$27,3,0),"")</f>
        <v>Preventive Maintenance</v>
      </c>
      <c r="J889" s="12" t="s">
        <v>112</v>
      </c>
      <c r="K889" s="17">
        <v>46042.0</v>
      </c>
      <c r="L889" s="17">
        <v>46042.0</v>
      </c>
      <c r="M889" s="13"/>
      <c r="N889" s="23"/>
      <c r="O889" s="22"/>
      <c r="P889" s="22"/>
    </row>
    <row r="890" ht="22.5" customHeight="1">
      <c r="A890" s="12" t="s">
        <v>65</v>
      </c>
      <c r="B890" s="20" t="str">
        <f>IFERROR(VLOOKUP(A890,Sheet1!$E$3:$H$27,4,0),"")</f>
        <v>P3</v>
      </c>
      <c r="C890" s="15"/>
      <c r="D890" s="12" t="s">
        <v>9</v>
      </c>
      <c r="E890" s="13" t="str">
        <f>IFERROR(VLOOKUP(D890,Sheet1!$B$1:$C$45,2,0),"")</f>
        <v>MBP</v>
      </c>
      <c r="F890" s="12" t="s">
        <v>108</v>
      </c>
      <c r="G890" s="13" t="str">
        <f t="shared" si="4"/>
        <v>Barito Raya</v>
      </c>
      <c r="H890" s="15" t="str">
        <f>IFERROR(VLOOKUP(A890,Sheet1!$E$3:$F$27,2,),"")</f>
        <v>Standby</v>
      </c>
      <c r="I890" s="16" t="str">
        <f>IFERROR(VLOOKUP(A890,Sheet1!$E$3:$G$27,3,0),"")</f>
        <v>Standby On Call</v>
      </c>
      <c r="J890" s="12" t="s">
        <v>66</v>
      </c>
      <c r="K890" s="17">
        <v>46042.0</v>
      </c>
      <c r="L890" s="17">
        <v>46042.0</v>
      </c>
      <c r="M890" s="13"/>
      <c r="N890" s="23"/>
      <c r="O890" s="22"/>
      <c r="P890" s="22"/>
    </row>
    <row r="891" ht="22.5" customHeight="1">
      <c r="A891" s="12" t="s">
        <v>65</v>
      </c>
      <c r="B891" s="20" t="str">
        <f>IFERROR(VLOOKUP(A891,Sheet1!$E$3:$H$27,4,0),"")</f>
        <v>P3</v>
      </c>
      <c r="C891" s="15"/>
      <c r="D891" s="12" t="s">
        <v>4</v>
      </c>
      <c r="E891" s="13" t="str">
        <f>IFERROR(VLOOKUP(D891,Sheet1!$B$1:$C$45,2,0),"")</f>
        <v>CME</v>
      </c>
      <c r="F891" s="12" t="s">
        <v>108</v>
      </c>
      <c r="G891" s="13" t="str">
        <f t="shared" si="4"/>
        <v>Barito Raya</v>
      </c>
      <c r="H891" s="15" t="str">
        <f>IFERROR(VLOOKUP(A891,Sheet1!$E$3:$F$27,2,),"")</f>
        <v>Standby</v>
      </c>
      <c r="I891" s="16" t="str">
        <f>IFERROR(VLOOKUP(A891,Sheet1!$E$3:$G$27,3,0),"")</f>
        <v>Standby On Call</v>
      </c>
      <c r="J891" s="12" t="s">
        <v>66</v>
      </c>
      <c r="K891" s="17">
        <v>46042.0</v>
      </c>
      <c r="L891" s="17">
        <v>46042.0</v>
      </c>
      <c r="M891" s="13"/>
      <c r="N891" s="23"/>
      <c r="O891" s="22"/>
      <c r="P891" s="22"/>
    </row>
    <row r="892" ht="22.5" customHeight="1">
      <c r="A892" s="12" t="s">
        <v>65</v>
      </c>
      <c r="B892" s="20" t="str">
        <f>IFERROR(VLOOKUP(A892,Sheet1!$E$3:$H$27,4,0),"")</f>
        <v>P3</v>
      </c>
      <c r="C892" s="15"/>
      <c r="D892" s="12" t="s">
        <v>87</v>
      </c>
      <c r="E892" s="13" t="str">
        <f>IFERROR(VLOOKUP(D892,Sheet1!$B$1:$C$45,2,0),"")</f>
        <v>MBP</v>
      </c>
      <c r="F892" s="12" t="s">
        <v>108</v>
      </c>
      <c r="G892" s="13" t="str">
        <f t="shared" si="4"/>
        <v>Barito Raya</v>
      </c>
      <c r="H892" s="15" t="str">
        <f>IFERROR(VLOOKUP(A892,Sheet1!$E$3:$F$27,2,),"")</f>
        <v>Standby</v>
      </c>
      <c r="I892" s="16" t="str">
        <f>IFERROR(VLOOKUP(A892,Sheet1!$E$3:$G$27,3,0),"")</f>
        <v>Standby On Call</v>
      </c>
      <c r="J892" s="12" t="s">
        <v>66</v>
      </c>
      <c r="K892" s="17">
        <v>46042.0</v>
      </c>
      <c r="L892" s="17">
        <v>46042.0</v>
      </c>
      <c r="M892" s="13"/>
      <c r="N892" s="23"/>
      <c r="O892" s="22"/>
      <c r="P892" s="22"/>
    </row>
    <row r="893" ht="22.5" customHeight="1">
      <c r="A893" s="12" t="s">
        <v>65</v>
      </c>
      <c r="B893" s="20" t="str">
        <f>IFERROR(VLOOKUP(A893,Sheet1!$E$3:$H$27,4,0),"")</f>
        <v>P3</v>
      </c>
      <c r="C893" s="15"/>
      <c r="D893" s="12" t="s">
        <v>29</v>
      </c>
      <c r="E893" s="13" t="str">
        <f>IFERROR(VLOOKUP(D893,Sheet1!$B$1:$C$45,2,0),"")</f>
        <v>MBP</v>
      </c>
      <c r="F893" s="12" t="s">
        <v>108</v>
      </c>
      <c r="G893" s="13" t="str">
        <f t="shared" si="4"/>
        <v>Barito Raya</v>
      </c>
      <c r="H893" s="15" t="str">
        <f>IFERROR(VLOOKUP(A893,Sheet1!$E$3:$F$27,2,),"")</f>
        <v>Standby</v>
      </c>
      <c r="I893" s="16" t="str">
        <f>IFERROR(VLOOKUP(A893,Sheet1!$E$3:$G$27,3,0),"")</f>
        <v>Standby On Call</v>
      </c>
      <c r="J893" s="12" t="s">
        <v>66</v>
      </c>
      <c r="K893" s="17">
        <v>46042.0</v>
      </c>
      <c r="L893" s="17">
        <v>46042.0</v>
      </c>
      <c r="M893" s="13"/>
      <c r="N893" s="23"/>
      <c r="O893" s="22"/>
      <c r="P893" s="22"/>
    </row>
    <row r="894" ht="22.5" customHeight="1">
      <c r="A894" s="12" t="s">
        <v>14</v>
      </c>
      <c r="B894" s="20" t="str">
        <f>IFERROR(VLOOKUP(A894,Sheet1!$E$3:$H$27,4,0),"")</f>
        <v>P1</v>
      </c>
      <c r="C894" s="14" t="s">
        <v>461</v>
      </c>
      <c r="D894" s="12" t="s">
        <v>2</v>
      </c>
      <c r="E894" s="13" t="str">
        <f>IFERROR(VLOOKUP(D894,Sheet1!$B$1:$C$45,2,0),"")</f>
        <v>CME</v>
      </c>
      <c r="F894" s="12" t="s">
        <v>108</v>
      </c>
      <c r="G894" s="13" t="str">
        <f t="shared" si="4"/>
        <v>Barito Raya</v>
      </c>
      <c r="H894" s="15" t="str">
        <f>IFERROR(VLOOKUP(A894,Sheet1!$E$3:$F$27,2,),"")</f>
        <v>Corrective</v>
      </c>
      <c r="I894" s="16" t="str">
        <f>IFERROR(VLOOKUP(A894,Sheet1!$E$3:$G$27,3,0),"")</f>
        <v>Pemadaman,MCB Trip,Transmisi problem</v>
      </c>
      <c r="J894" s="12" t="s">
        <v>112</v>
      </c>
      <c r="K894" s="17">
        <v>46042.0</v>
      </c>
      <c r="L894" s="17">
        <v>46042.0</v>
      </c>
      <c r="M894" s="13"/>
      <c r="N894" s="23"/>
      <c r="O894" s="22"/>
      <c r="P894" s="22"/>
    </row>
    <row r="895" ht="22.5" customHeight="1">
      <c r="A895" s="12" t="s">
        <v>65</v>
      </c>
      <c r="B895" s="20" t="str">
        <f>IFERROR(VLOOKUP(A895,Sheet1!$E$3:$H$27,4,0),"")</f>
        <v>P3</v>
      </c>
      <c r="C895" s="15"/>
      <c r="D895" s="12" t="s">
        <v>0</v>
      </c>
      <c r="E895" s="13" t="str">
        <f>IFERROR(VLOOKUP(D895,Sheet1!$B$1:$C$45,2,0),"")</f>
        <v>MBP</v>
      </c>
      <c r="F895" s="12" t="s">
        <v>108</v>
      </c>
      <c r="G895" s="13" t="str">
        <f t="shared" si="4"/>
        <v>Barito Raya</v>
      </c>
      <c r="H895" s="15" t="str">
        <f>IFERROR(VLOOKUP(A895,Sheet1!$E$3:$F$27,2,),"")</f>
        <v>Standby</v>
      </c>
      <c r="I895" s="16" t="str">
        <f>IFERROR(VLOOKUP(A895,Sheet1!$E$3:$G$27,3,0),"")</f>
        <v>Standby On Call</v>
      </c>
      <c r="J895" s="12" t="s">
        <v>66</v>
      </c>
      <c r="K895" s="17">
        <v>46042.0</v>
      </c>
      <c r="L895" s="17">
        <v>46042.0</v>
      </c>
      <c r="M895" s="13"/>
      <c r="N895" s="23"/>
      <c r="O895" s="22"/>
      <c r="P895" s="22"/>
    </row>
    <row r="896" ht="22.5" customHeight="1">
      <c r="A896" s="12" t="s">
        <v>22</v>
      </c>
      <c r="B896" s="20" t="str">
        <f>IFERROR(VLOOKUP(A896,Sheet1!$E$3:$H$27,4,0),"")</f>
        <v>P2</v>
      </c>
      <c r="C896" s="14" t="s">
        <v>286</v>
      </c>
      <c r="D896" s="12" t="s">
        <v>85</v>
      </c>
      <c r="E896" s="13" t="str">
        <f>IFERROR(VLOOKUP(D896,Sheet1!$B$1:$C$45,2,0),"")</f>
        <v>PM</v>
      </c>
      <c r="F896" s="12" t="s">
        <v>108</v>
      </c>
      <c r="G896" s="13" t="str">
        <f t="shared" si="4"/>
        <v>Barito Raya</v>
      </c>
      <c r="H896" s="15" t="str">
        <f>IFERROR(VLOOKUP(A896,Sheet1!$E$3:$F$27,2,),"")</f>
        <v>Preventive</v>
      </c>
      <c r="I896" s="16" t="str">
        <f>IFERROR(VLOOKUP(A896,Sheet1!$E$3:$G$27,3,0),"")</f>
        <v>Preventive Maintenance</v>
      </c>
      <c r="J896" s="12" t="s">
        <v>112</v>
      </c>
      <c r="K896" s="17">
        <v>46042.0</v>
      </c>
      <c r="L896" s="17">
        <v>46042.0</v>
      </c>
      <c r="M896" s="13"/>
      <c r="N896" s="23"/>
      <c r="O896" s="22"/>
      <c r="P896" s="22"/>
    </row>
    <row r="897" ht="22.5" customHeight="1">
      <c r="A897" s="12" t="s">
        <v>22</v>
      </c>
      <c r="B897" s="20" t="str">
        <f>IFERROR(VLOOKUP(A897,Sheet1!$E$3:$H$27,4,0),"")</f>
        <v>P2</v>
      </c>
      <c r="C897" s="14" t="s">
        <v>323</v>
      </c>
      <c r="D897" s="12" t="s">
        <v>84</v>
      </c>
      <c r="E897" s="13" t="str">
        <f>IFERROR(VLOOKUP(D897,Sheet1!$B$1:$C$45,2,0),"")</f>
        <v>MBP</v>
      </c>
      <c r="F897" s="12" t="s">
        <v>108</v>
      </c>
      <c r="G897" s="13" t="str">
        <f t="shared" si="4"/>
        <v>Barito Raya</v>
      </c>
      <c r="H897" s="15" t="str">
        <f>IFERROR(VLOOKUP(A897,Sheet1!$E$3:$F$27,2,),"")</f>
        <v>Preventive</v>
      </c>
      <c r="I897" s="16" t="str">
        <f>IFERROR(VLOOKUP(A897,Sheet1!$E$3:$G$27,3,0),"")</f>
        <v>Preventive Maintenance</v>
      </c>
      <c r="J897" s="12" t="s">
        <v>112</v>
      </c>
      <c r="K897" s="17">
        <v>46042.0</v>
      </c>
      <c r="L897" s="17">
        <v>46042.0</v>
      </c>
      <c r="M897" s="13"/>
      <c r="N897" s="23"/>
      <c r="O897" s="22"/>
      <c r="P897" s="22"/>
    </row>
    <row r="898" ht="22.5" customHeight="1">
      <c r="A898" s="12" t="s">
        <v>22</v>
      </c>
      <c r="B898" s="20" t="str">
        <f>IFERROR(VLOOKUP(A898,Sheet1!$E$3:$H$27,4,0),"")</f>
        <v>P2</v>
      </c>
      <c r="C898" s="14" t="s">
        <v>136</v>
      </c>
      <c r="D898" s="12" t="s">
        <v>86</v>
      </c>
      <c r="E898" s="13" t="str">
        <f>IFERROR(VLOOKUP(D898,Sheet1!$B$1:$C$45,2,0),"")</f>
        <v>PM</v>
      </c>
      <c r="F898" s="12" t="s">
        <v>108</v>
      </c>
      <c r="G898" s="13" t="str">
        <f t="shared" si="4"/>
        <v>Barito Raya</v>
      </c>
      <c r="H898" s="15" t="str">
        <f>IFERROR(VLOOKUP(A898,Sheet1!$E$3:$F$27,2,),"")</f>
        <v>Preventive</v>
      </c>
      <c r="I898" s="16" t="str">
        <f>IFERROR(VLOOKUP(A898,Sheet1!$E$3:$G$27,3,0),"")</f>
        <v>Preventive Maintenance</v>
      </c>
      <c r="J898" s="12" t="s">
        <v>112</v>
      </c>
      <c r="K898" s="17">
        <v>46042.0</v>
      </c>
      <c r="L898" s="17">
        <v>46042.0</v>
      </c>
      <c r="M898" s="13"/>
      <c r="N898" s="23"/>
      <c r="O898" s="22"/>
      <c r="P898" s="22"/>
    </row>
    <row r="899" ht="22.5" customHeight="1">
      <c r="A899" s="12" t="s">
        <v>14</v>
      </c>
      <c r="B899" s="20" t="str">
        <f>IFERROR(VLOOKUP(A899,Sheet1!$E$3:$H$27,4,0),"")</f>
        <v>P1</v>
      </c>
      <c r="C899" s="14" t="s">
        <v>451</v>
      </c>
      <c r="D899" s="12" t="s">
        <v>76</v>
      </c>
      <c r="E899" s="13" t="str">
        <f>IFERROR(VLOOKUP(D899,Sheet1!$B$1:$C$45,2,0),"")</f>
        <v>TE</v>
      </c>
      <c r="F899" s="12" t="s">
        <v>179</v>
      </c>
      <c r="G899" s="13" t="str">
        <f t="shared" si="4"/>
        <v>Palangkaraya</v>
      </c>
      <c r="H899" s="15" t="str">
        <f>IFERROR(VLOOKUP(A899,Sheet1!$E$3:$F$27,2,),"")</f>
        <v>Corrective</v>
      </c>
      <c r="I899" s="16" t="str">
        <f>IFERROR(VLOOKUP(A899,Sheet1!$E$3:$G$27,3,0),"")</f>
        <v>Pemadaman,MCB Trip,Transmisi problem</v>
      </c>
      <c r="J899" s="12" t="s">
        <v>112</v>
      </c>
      <c r="K899" s="17">
        <v>46042.0</v>
      </c>
      <c r="L899" s="17">
        <v>46042.0</v>
      </c>
      <c r="M899" s="12" t="s">
        <v>109</v>
      </c>
      <c r="N899" s="23"/>
      <c r="O899" s="22"/>
      <c r="P899" s="22"/>
    </row>
    <row r="900" ht="22.5" customHeight="1">
      <c r="A900" s="12" t="s">
        <v>5</v>
      </c>
      <c r="B900" s="20" t="str">
        <f>IFERROR(VLOOKUP(A900,Sheet1!$E$3:$H$27,4,0),"")</f>
        <v>P1</v>
      </c>
      <c r="C900" s="14" t="s">
        <v>266</v>
      </c>
      <c r="D900" s="12" t="s">
        <v>42</v>
      </c>
      <c r="E900" s="13" t="str">
        <f>IFERROR(VLOOKUP(D900,Sheet1!$B$1:$C$45,2,0),"")</f>
        <v>TE</v>
      </c>
      <c r="F900" s="12" t="s">
        <v>179</v>
      </c>
      <c r="G900" s="13" t="str">
        <f t="shared" si="4"/>
        <v>Palangkaraya</v>
      </c>
      <c r="H900" s="15" t="str">
        <f>IFERROR(VLOOKUP(A900,Sheet1!$E$3:$F$27,2,),"")</f>
        <v>Corrective</v>
      </c>
      <c r="I900" s="16" t="str">
        <f>IFERROR(VLOOKUP(A900,Sheet1!$E$3:$G$27,3,0),"")</f>
        <v>Replace Optik,RRU/Soket Power/Replace GPS</v>
      </c>
      <c r="J900" s="12" t="s">
        <v>112</v>
      </c>
      <c r="K900" s="17">
        <v>46042.0</v>
      </c>
      <c r="L900" s="17">
        <v>46042.0</v>
      </c>
      <c r="M900" s="12" t="s">
        <v>109</v>
      </c>
      <c r="N900" s="23"/>
      <c r="O900" s="22"/>
      <c r="P900" s="22"/>
    </row>
    <row r="901" ht="22.5" customHeight="1">
      <c r="A901" s="12" t="s">
        <v>14</v>
      </c>
      <c r="B901" s="20" t="str">
        <f>IFERROR(VLOOKUP(A901,Sheet1!$E$3:$H$27,4,0),"")</f>
        <v>P1</v>
      </c>
      <c r="C901" s="14" t="s">
        <v>462</v>
      </c>
      <c r="D901" s="12" t="s">
        <v>77</v>
      </c>
      <c r="E901" s="13" t="str">
        <f>IFERROR(VLOOKUP(D901,Sheet1!$B$1:$C$45,2,0),"")</f>
        <v>TE</v>
      </c>
      <c r="F901" s="12" t="s">
        <v>179</v>
      </c>
      <c r="G901" s="13" t="str">
        <f t="shared" si="4"/>
        <v>Palangkaraya</v>
      </c>
      <c r="H901" s="15" t="str">
        <f>IFERROR(VLOOKUP(A901,Sheet1!$E$3:$F$27,2,),"")</f>
        <v>Corrective</v>
      </c>
      <c r="I901" s="16" t="str">
        <f>IFERROR(VLOOKUP(A901,Sheet1!$E$3:$G$27,3,0),"")</f>
        <v>Pemadaman,MCB Trip,Transmisi problem</v>
      </c>
      <c r="J901" s="12" t="s">
        <v>112</v>
      </c>
      <c r="K901" s="17">
        <v>46042.0</v>
      </c>
      <c r="L901" s="17">
        <v>46042.0</v>
      </c>
      <c r="M901" s="12" t="s">
        <v>109</v>
      </c>
      <c r="N901" s="23"/>
      <c r="O901" s="22"/>
      <c r="P901" s="22"/>
    </row>
    <row r="902" ht="22.5" customHeight="1">
      <c r="A902" s="12" t="s">
        <v>14</v>
      </c>
      <c r="B902" s="20" t="str">
        <f>IFERROR(VLOOKUP(A902,Sheet1!$E$3:$H$27,4,0),"")</f>
        <v>P1</v>
      </c>
      <c r="C902" s="14" t="s">
        <v>350</v>
      </c>
      <c r="D902" s="12" t="s">
        <v>37</v>
      </c>
      <c r="E902" s="13" t="str">
        <f>IFERROR(VLOOKUP(D902,Sheet1!$B$1:$C$45,2,0),"")</f>
        <v>TE</v>
      </c>
      <c r="F902" s="12" t="s">
        <v>179</v>
      </c>
      <c r="G902" s="13" t="str">
        <f t="shared" si="4"/>
        <v>Palangkaraya</v>
      </c>
      <c r="H902" s="15" t="str">
        <f>IFERROR(VLOOKUP(A902,Sheet1!$E$3:$F$27,2,),"")</f>
        <v>Corrective</v>
      </c>
      <c r="I902" s="16" t="str">
        <f>IFERROR(VLOOKUP(A902,Sheet1!$E$3:$G$27,3,0),"")</f>
        <v>Pemadaman,MCB Trip,Transmisi problem</v>
      </c>
      <c r="J902" s="12" t="s">
        <v>112</v>
      </c>
      <c r="K902" s="17">
        <v>46042.0</v>
      </c>
      <c r="L902" s="17">
        <v>46042.0</v>
      </c>
      <c r="M902" s="12" t="s">
        <v>109</v>
      </c>
      <c r="N902" s="23"/>
      <c r="O902" s="22"/>
      <c r="P902" s="22"/>
    </row>
    <row r="903" ht="22.5" customHeight="1">
      <c r="A903" s="12" t="s">
        <v>52</v>
      </c>
      <c r="B903" s="20" t="str">
        <f>IFERROR(VLOOKUP(A903,Sheet1!$E$3:$H$27,4,0),"")</f>
        <v>P1</v>
      </c>
      <c r="C903" s="14" t="s">
        <v>315</v>
      </c>
      <c r="D903" s="12" t="s">
        <v>80</v>
      </c>
      <c r="E903" s="13" t="str">
        <f>IFERROR(VLOOKUP(D903,Sheet1!$B$1:$C$45,2,0),"")</f>
        <v>TE</v>
      </c>
      <c r="F903" s="12" t="s">
        <v>179</v>
      </c>
      <c r="G903" s="13" t="str">
        <f t="shared" si="4"/>
        <v>Palangkaraya</v>
      </c>
      <c r="H903" s="15" t="str">
        <f>IFERROR(VLOOKUP(A903,Sheet1!$E$3:$F$27,2,),"")</f>
        <v>Preventive</v>
      </c>
      <c r="I903" s="16" t="str">
        <f>IFERROR(VLOOKUP(A903,Sheet1!$E$3:$G$27,3,0),"")</f>
        <v>MCB trip/Power upnormal</v>
      </c>
      <c r="J903" s="12" t="s">
        <v>112</v>
      </c>
      <c r="K903" s="17">
        <v>46042.0</v>
      </c>
      <c r="L903" s="17">
        <v>46042.0</v>
      </c>
      <c r="M903" s="12" t="s">
        <v>109</v>
      </c>
      <c r="N903" s="23"/>
      <c r="O903" s="22"/>
      <c r="P903" s="22"/>
    </row>
    <row r="904" ht="22.5" customHeight="1">
      <c r="A904" s="12" t="s">
        <v>5</v>
      </c>
      <c r="B904" s="20" t="str">
        <f>IFERROR(VLOOKUP(A904,Sheet1!$E$3:$H$27,4,0),"")</f>
        <v>P1</v>
      </c>
      <c r="C904" s="14" t="s">
        <v>302</v>
      </c>
      <c r="D904" s="12" t="s">
        <v>71</v>
      </c>
      <c r="E904" s="13" t="str">
        <f>IFERROR(VLOOKUP(D904,Sheet1!$B$1:$C$45,2,0),"")</f>
        <v>TE</v>
      </c>
      <c r="F904" s="12" t="s">
        <v>179</v>
      </c>
      <c r="G904" s="13" t="str">
        <f t="shared" si="4"/>
        <v>Palangkaraya</v>
      </c>
      <c r="H904" s="15" t="str">
        <f>IFERROR(VLOOKUP(A904,Sheet1!$E$3:$F$27,2,),"")</f>
        <v>Corrective</v>
      </c>
      <c r="I904" s="16" t="str">
        <f>IFERROR(VLOOKUP(A904,Sheet1!$E$3:$G$27,3,0),"")</f>
        <v>Replace Optik,RRU/Soket Power/Replace GPS</v>
      </c>
      <c r="J904" s="12" t="s">
        <v>112</v>
      </c>
      <c r="K904" s="17">
        <v>46042.0</v>
      </c>
      <c r="L904" s="17">
        <v>46042.0</v>
      </c>
      <c r="M904" s="12" t="s">
        <v>109</v>
      </c>
      <c r="N904" s="23"/>
      <c r="O904" s="22"/>
      <c r="P904" s="22"/>
    </row>
    <row r="905" ht="22.5" customHeight="1">
      <c r="A905" s="12" t="s">
        <v>5</v>
      </c>
      <c r="B905" s="20" t="str">
        <f>IFERROR(VLOOKUP(A905,Sheet1!$E$3:$H$27,4,0),"")</f>
        <v>P1</v>
      </c>
      <c r="C905" s="14" t="s">
        <v>302</v>
      </c>
      <c r="D905" s="12" t="s">
        <v>69</v>
      </c>
      <c r="E905" s="13" t="str">
        <f>IFERROR(VLOOKUP(D905,Sheet1!$B$1:$C$45,2,0),"")</f>
        <v>TE</v>
      </c>
      <c r="F905" s="12" t="s">
        <v>179</v>
      </c>
      <c r="G905" s="13" t="str">
        <f t="shared" si="4"/>
        <v>Palangkaraya</v>
      </c>
      <c r="H905" s="15" t="str">
        <f>IFERROR(VLOOKUP(A905,Sheet1!$E$3:$F$27,2,),"")</f>
        <v>Corrective</v>
      </c>
      <c r="I905" s="16" t="str">
        <f>IFERROR(VLOOKUP(A905,Sheet1!$E$3:$G$27,3,0),"")</f>
        <v>Replace Optik,RRU/Soket Power/Replace GPS</v>
      </c>
      <c r="J905" s="12" t="s">
        <v>112</v>
      </c>
      <c r="K905" s="17">
        <v>46042.0</v>
      </c>
      <c r="L905" s="17">
        <v>46042.0</v>
      </c>
      <c r="M905" s="12" t="s">
        <v>109</v>
      </c>
      <c r="N905" s="23"/>
      <c r="O905" s="22"/>
      <c r="P905" s="22"/>
    </row>
    <row r="906" ht="22.5" customHeight="1">
      <c r="A906" s="12" t="s">
        <v>10</v>
      </c>
      <c r="B906" s="20" t="str">
        <f>IFERROR(VLOOKUP(A906,Sheet1!$E$3:$H$27,4,0),"")</f>
        <v>P1</v>
      </c>
      <c r="C906" s="14" t="s">
        <v>463</v>
      </c>
      <c r="D906" s="12" t="s">
        <v>91</v>
      </c>
      <c r="E906" s="13" t="str">
        <f>IFERROR(VLOOKUP(D906,Sheet1!$B$1:$C$45,2,0),"")</f>
        <v>TE</v>
      </c>
      <c r="F906" s="12" t="s">
        <v>179</v>
      </c>
      <c r="G906" s="13" t="str">
        <f t="shared" si="4"/>
        <v>Palangkaraya</v>
      </c>
      <c r="H906" s="15" t="str">
        <f>IFERROR(VLOOKUP(A906,Sheet1!$E$3:$F$27,2,),"")</f>
        <v>Corrective</v>
      </c>
      <c r="I906" s="16" t="str">
        <f>IFERROR(VLOOKUP(A906,Sheet1!$E$3:$G$27,3,0),"")</f>
        <v>Replace Jumper,antena/RRU</v>
      </c>
      <c r="J906" s="12" t="s">
        <v>112</v>
      </c>
      <c r="K906" s="17">
        <v>46042.0</v>
      </c>
      <c r="L906" s="17">
        <v>46042.0</v>
      </c>
      <c r="M906" s="12" t="s">
        <v>122</v>
      </c>
      <c r="N906" s="23"/>
      <c r="O906" s="22"/>
      <c r="P906" s="22"/>
    </row>
    <row r="907" ht="22.5" customHeight="1">
      <c r="A907" s="12" t="s">
        <v>14</v>
      </c>
      <c r="B907" s="20" t="str">
        <f>IFERROR(VLOOKUP(A907,Sheet1!$E$3:$H$27,4,0),"")</f>
        <v>P1</v>
      </c>
      <c r="C907" s="14" t="s">
        <v>215</v>
      </c>
      <c r="D907" s="12" t="s">
        <v>58</v>
      </c>
      <c r="E907" s="13" t="str">
        <f>IFERROR(VLOOKUP(D907,Sheet1!$B$1:$C$45,2,0),"")</f>
        <v>TE</v>
      </c>
      <c r="F907" s="12" t="s">
        <v>179</v>
      </c>
      <c r="G907" s="13" t="str">
        <f t="shared" si="4"/>
        <v>Palangkaraya</v>
      </c>
      <c r="H907" s="15" t="str">
        <f>IFERROR(VLOOKUP(A907,Sheet1!$E$3:$F$27,2,),"")</f>
        <v>Corrective</v>
      </c>
      <c r="I907" s="16" t="str">
        <f>IFERROR(VLOOKUP(A907,Sheet1!$E$3:$G$27,3,0),"")</f>
        <v>Pemadaman,MCB Trip,Transmisi problem</v>
      </c>
      <c r="J907" s="12" t="s">
        <v>112</v>
      </c>
      <c r="K907" s="17">
        <v>46042.0</v>
      </c>
      <c r="L907" s="24"/>
      <c r="M907" s="12" t="s">
        <v>109</v>
      </c>
      <c r="N907" s="23"/>
      <c r="O907" s="22"/>
      <c r="P907" s="22"/>
    </row>
    <row r="908" ht="22.5" customHeight="1">
      <c r="A908" s="12" t="s">
        <v>65</v>
      </c>
      <c r="B908" s="20" t="str">
        <f>IFERROR(VLOOKUP(A908,Sheet1!$E$3:$H$27,4,0),"")</f>
        <v>P3</v>
      </c>
      <c r="C908" s="14"/>
      <c r="D908" s="12" t="s">
        <v>56</v>
      </c>
      <c r="E908" s="13" t="str">
        <f>IFERROR(VLOOKUP(D908,Sheet1!$B$1:$C$45,2,0),"")</f>
        <v>TE</v>
      </c>
      <c r="F908" s="12" t="s">
        <v>179</v>
      </c>
      <c r="G908" s="13" t="str">
        <f t="shared" si="4"/>
        <v>Palangkaraya</v>
      </c>
      <c r="H908" s="15" t="str">
        <f>IFERROR(VLOOKUP(A908,Sheet1!$E$3:$F$27,2,),"")</f>
        <v>Standby</v>
      </c>
      <c r="I908" s="16" t="str">
        <f>IFERROR(VLOOKUP(A908,Sheet1!$E$3:$G$27,3,0),"")</f>
        <v>Standby On Call</v>
      </c>
      <c r="J908" s="12" t="s">
        <v>66</v>
      </c>
      <c r="K908" s="17">
        <v>46042.0</v>
      </c>
      <c r="L908" s="24"/>
      <c r="M908" s="12" t="s">
        <v>122</v>
      </c>
      <c r="N908" s="23"/>
      <c r="O908" s="22"/>
      <c r="P908" s="22"/>
    </row>
    <row r="909" ht="22.5" customHeight="1">
      <c r="A909" s="12" t="s">
        <v>22</v>
      </c>
      <c r="B909" s="20" t="str">
        <f>IFERROR(VLOOKUP(A909,Sheet1!$E$3:$H$27,4,0),"")</f>
        <v>P2</v>
      </c>
      <c r="C909" s="14" t="s">
        <v>455</v>
      </c>
      <c r="D909" s="12" t="s">
        <v>83</v>
      </c>
      <c r="E909" s="13" t="str">
        <f>IFERROR(VLOOKUP(D909,Sheet1!$B$1:$C$45,2,0),"")</f>
        <v>PM</v>
      </c>
      <c r="F909" s="12" t="s">
        <v>179</v>
      </c>
      <c r="G909" s="13" t="str">
        <f t="shared" si="4"/>
        <v>Palangkaraya</v>
      </c>
      <c r="H909" s="15" t="str">
        <f>IFERROR(VLOOKUP(A909,Sheet1!$E$3:$F$27,2,),"")</f>
        <v>Preventive</v>
      </c>
      <c r="I909" s="16" t="str">
        <f>IFERROR(VLOOKUP(A909,Sheet1!$E$3:$G$27,3,0),"")</f>
        <v>Preventive Maintenance</v>
      </c>
      <c r="J909" s="12" t="s">
        <v>112</v>
      </c>
      <c r="K909" s="17">
        <v>46042.0</v>
      </c>
      <c r="L909" s="24"/>
      <c r="M909" s="12" t="s">
        <v>122</v>
      </c>
      <c r="N909" s="23"/>
      <c r="O909" s="22"/>
      <c r="P909" s="22"/>
    </row>
    <row r="910" ht="22.5" customHeight="1">
      <c r="A910" s="12" t="s">
        <v>22</v>
      </c>
      <c r="B910" s="20" t="str">
        <f>IFERROR(VLOOKUP(A910,Sheet1!$E$3:$H$27,4,0),"")</f>
        <v>P2</v>
      </c>
      <c r="C910" s="14" t="s">
        <v>268</v>
      </c>
      <c r="D910" s="12" t="s">
        <v>82</v>
      </c>
      <c r="E910" s="13" t="str">
        <f>IFERROR(VLOOKUP(D910,Sheet1!$B$1:$C$45,2,0),"")</f>
        <v>PM</v>
      </c>
      <c r="F910" s="12" t="s">
        <v>179</v>
      </c>
      <c r="G910" s="13" t="str">
        <f t="shared" si="4"/>
        <v>Palangkaraya</v>
      </c>
      <c r="H910" s="15" t="str">
        <f>IFERROR(VLOOKUP(A910,Sheet1!$E$3:$F$27,2,),"")</f>
        <v>Preventive</v>
      </c>
      <c r="I910" s="16" t="str">
        <f>IFERROR(VLOOKUP(A910,Sheet1!$E$3:$G$27,3,0),"")</f>
        <v>Preventive Maintenance</v>
      </c>
      <c r="J910" s="12" t="s">
        <v>112</v>
      </c>
      <c r="K910" s="17">
        <v>46042.0</v>
      </c>
      <c r="L910" s="24"/>
      <c r="M910" s="12" t="s">
        <v>137</v>
      </c>
      <c r="N910" s="23"/>
      <c r="O910" s="22"/>
      <c r="P910" s="22"/>
    </row>
    <row r="911" ht="22.5" customHeight="1">
      <c r="A911" s="12" t="s">
        <v>65</v>
      </c>
      <c r="B911" s="20" t="str">
        <f>IFERROR(VLOOKUP(A911,Sheet1!$E$3:$H$27,4,0),"")</f>
        <v>P3</v>
      </c>
      <c r="C911" s="14"/>
      <c r="D911" s="12" t="s">
        <v>75</v>
      </c>
      <c r="E911" s="13" t="str">
        <f>IFERROR(VLOOKUP(D911,Sheet1!$B$1:$C$45,2,0),"")</f>
        <v>CME</v>
      </c>
      <c r="F911" s="12" t="s">
        <v>179</v>
      </c>
      <c r="G911" s="13" t="str">
        <f t="shared" si="4"/>
        <v>Palangkaraya</v>
      </c>
      <c r="H911" s="15" t="str">
        <f>IFERROR(VLOOKUP(A911,Sheet1!$E$3:$F$27,2,),"")</f>
        <v>Standby</v>
      </c>
      <c r="I911" s="16" t="str">
        <f>IFERROR(VLOOKUP(A911,Sheet1!$E$3:$G$27,3,0),"")</f>
        <v>Standby On Call</v>
      </c>
      <c r="J911" s="12" t="s">
        <v>66</v>
      </c>
      <c r="K911" s="17">
        <v>46042.0</v>
      </c>
      <c r="L911" s="24"/>
      <c r="M911" s="12" t="s">
        <v>137</v>
      </c>
      <c r="N911" s="23"/>
      <c r="O911" s="22"/>
      <c r="P911" s="22"/>
    </row>
    <row r="912" ht="22.5" customHeight="1">
      <c r="A912" s="12" t="s">
        <v>65</v>
      </c>
      <c r="B912" s="20" t="str">
        <f>IFERROR(VLOOKUP(A912,Sheet1!$E$3:$H$27,4,0),"")</f>
        <v>P3</v>
      </c>
      <c r="C912" s="14"/>
      <c r="D912" s="12" t="s">
        <v>54</v>
      </c>
      <c r="E912" s="13" t="str">
        <f>IFERROR(VLOOKUP(D912,Sheet1!$B$1:$C$45,2,0),"")</f>
        <v>MBP</v>
      </c>
      <c r="F912" s="12" t="s">
        <v>179</v>
      </c>
      <c r="G912" s="13" t="str">
        <f t="shared" si="4"/>
        <v>Palangkaraya</v>
      </c>
      <c r="H912" s="15" t="str">
        <f>IFERROR(VLOOKUP(A912,Sheet1!$E$3:$F$27,2,),"")</f>
        <v>Standby</v>
      </c>
      <c r="I912" s="16" t="str">
        <f>IFERROR(VLOOKUP(A912,Sheet1!$E$3:$G$27,3,0),"")</f>
        <v>Standby On Call</v>
      </c>
      <c r="J912" s="12" t="s">
        <v>112</v>
      </c>
      <c r="K912" s="17">
        <v>46042.0</v>
      </c>
      <c r="L912" s="24"/>
      <c r="M912" s="12" t="s">
        <v>137</v>
      </c>
      <c r="N912" s="23"/>
      <c r="O912" s="22"/>
      <c r="P912" s="22"/>
    </row>
    <row r="913" ht="22.5" customHeight="1">
      <c r="A913" s="12" t="s">
        <v>22</v>
      </c>
      <c r="B913" s="20" t="str">
        <f>IFERROR(VLOOKUP(A913,Sheet1!$E$3:$H$27,4,0),"")</f>
        <v>P2</v>
      </c>
      <c r="C913" s="14" t="s">
        <v>182</v>
      </c>
      <c r="D913" s="12" t="s">
        <v>45</v>
      </c>
      <c r="E913" s="13" t="str">
        <f>IFERROR(VLOOKUP(D913,Sheet1!$B$1:$C$45,2,0),"")</f>
        <v>MBP</v>
      </c>
      <c r="F913" s="12" t="s">
        <v>179</v>
      </c>
      <c r="G913" s="13" t="str">
        <f t="shared" si="4"/>
        <v>Palangkaraya</v>
      </c>
      <c r="H913" s="15" t="str">
        <f>IFERROR(VLOOKUP(A913,Sheet1!$E$3:$F$27,2,),"")</f>
        <v>Preventive</v>
      </c>
      <c r="I913" s="16" t="str">
        <f>IFERROR(VLOOKUP(A913,Sheet1!$E$3:$G$27,3,0),"")</f>
        <v>Preventive Maintenance</v>
      </c>
      <c r="J913" s="12" t="s">
        <v>112</v>
      </c>
      <c r="K913" s="17">
        <v>46042.0</v>
      </c>
      <c r="L913" s="24"/>
      <c r="M913" s="12" t="s">
        <v>137</v>
      </c>
      <c r="N913" s="23"/>
      <c r="O913" s="22"/>
      <c r="P913" s="22"/>
    </row>
    <row r="914" ht="22.5" hidden="1" customHeight="1">
      <c r="A914" s="12" t="s">
        <v>5</v>
      </c>
      <c r="B914" s="20" t="str">
        <f>IFERROR(VLOOKUP(A914,Sheet1!$E$3:$H$27,4,0),"")</f>
        <v>P1</v>
      </c>
      <c r="C914" s="14" t="s">
        <v>464</v>
      </c>
      <c r="D914" s="12" t="s">
        <v>79</v>
      </c>
      <c r="E914" s="13" t="str">
        <f>IFERROR(VLOOKUP(D914,Sheet1!$B$1:$C$45,2,0),"")</f>
        <v>TE</v>
      </c>
      <c r="F914" s="12" t="s">
        <v>179</v>
      </c>
      <c r="G914" s="13" t="str">
        <f t="shared" si="4"/>
        <v>Palangkaraya</v>
      </c>
      <c r="H914" s="15" t="str">
        <f>IFERROR(VLOOKUP(A914,Sheet1!$E$3:$F$27,2,),"")</f>
        <v>Corrective</v>
      </c>
      <c r="I914" s="16" t="str">
        <f>IFERROR(VLOOKUP(A914,Sheet1!$E$3:$G$27,3,0),"")</f>
        <v>Replace Optik,RRU/Soket Power/Replace GPS</v>
      </c>
      <c r="J914" s="12" t="s">
        <v>112</v>
      </c>
      <c r="K914" s="17">
        <v>46042.0</v>
      </c>
      <c r="L914" s="24"/>
      <c r="M914" s="12" t="s">
        <v>137</v>
      </c>
      <c r="N914" s="23"/>
      <c r="O914" s="22"/>
      <c r="P914" s="22"/>
    </row>
    <row r="915" ht="22.5" customHeight="1">
      <c r="A915" s="12" t="s">
        <v>52</v>
      </c>
      <c r="B915" s="20" t="str">
        <f>IFERROR(VLOOKUP(A915,Sheet1!$E$3:$H$27,4,0),"")</f>
        <v>P1</v>
      </c>
      <c r="C915" s="14" t="s">
        <v>465</v>
      </c>
      <c r="D915" s="12" t="s">
        <v>12</v>
      </c>
      <c r="E915" s="13" t="str">
        <f>IFERROR(VLOOKUP(D915,Sheet1!$B$1:$C$45,2,0),"")</f>
        <v>TE</v>
      </c>
      <c r="F915" s="12" t="s">
        <v>108</v>
      </c>
      <c r="G915" s="13" t="str">
        <f t="shared" si="4"/>
        <v>Barito Raya</v>
      </c>
      <c r="H915" s="15" t="str">
        <f>IFERROR(VLOOKUP(A915,Sheet1!$E$3:$F$27,2,),"")</f>
        <v>Preventive</v>
      </c>
      <c r="I915" s="16" t="str">
        <f>IFERROR(VLOOKUP(A915,Sheet1!$E$3:$G$27,3,0),"")</f>
        <v>MCB trip/Power upnormal</v>
      </c>
      <c r="J915" s="12" t="s">
        <v>112</v>
      </c>
      <c r="K915" s="17">
        <v>46043.0</v>
      </c>
      <c r="L915" s="17">
        <v>46043.0</v>
      </c>
      <c r="M915" s="13"/>
      <c r="N915" s="23"/>
      <c r="O915" s="22"/>
      <c r="P915" s="22"/>
    </row>
    <row r="916" ht="22.5" customHeight="1">
      <c r="A916" s="12" t="s">
        <v>52</v>
      </c>
      <c r="B916" s="20" t="str">
        <f>IFERROR(VLOOKUP(A916,Sheet1!$E$3:$H$27,4,0),"")</f>
        <v>P1</v>
      </c>
      <c r="C916" s="14" t="s">
        <v>323</v>
      </c>
      <c r="D916" s="12" t="s">
        <v>16</v>
      </c>
      <c r="E916" s="13" t="str">
        <f>IFERROR(VLOOKUP(D916,Sheet1!$B$1:$C$45,2,0),"")</f>
        <v>TE</v>
      </c>
      <c r="F916" s="12" t="s">
        <v>108</v>
      </c>
      <c r="G916" s="13" t="str">
        <f t="shared" si="4"/>
        <v>Barito Raya</v>
      </c>
      <c r="H916" s="15" t="str">
        <f>IFERROR(VLOOKUP(A916,Sheet1!$E$3:$F$27,2,),"")</f>
        <v>Preventive</v>
      </c>
      <c r="I916" s="16" t="str">
        <f>IFERROR(VLOOKUP(A916,Sheet1!$E$3:$G$27,3,0),"")</f>
        <v>MCB trip/Power upnormal</v>
      </c>
      <c r="J916" s="12" t="s">
        <v>112</v>
      </c>
      <c r="K916" s="17">
        <v>46043.0</v>
      </c>
      <c r="L916" s="17">
        <v>46043.0</v>
      </c>
      <c r="M916" s="13"/>
      <c r="N916" s="23"/>
      <c r="O916" s="22"/>
      <c r="P916" s="22"/>
    </row>
    <row r="917" ht="22.5" customHeight="1">
      <c r="A917" s="12" t="s">
        <v>5</v>
      </c>
      <c r="B917" s="20" t="str">
        <f>IFERROR(VLOOKUP(A917,Sheet1!$E$3:$H$27,4,0),"")</f>
        <v>P1</v>
      </c>
      <c r="C917" s="14" t="s">
        <v>446</v>
      </c>
      <c r="D917" s="12" t="s">
        <v>21</v>
      </c>
      <c r="E917" s="13" t="str">
        <f>IFERROR(VLOOKUP(D917,Sheet1!$B$1:$C$45,2,0),"")</f>
        <v>TE</v>
      </c>
      <c r="F917" s="12" t="s">
        <v>108</v>
      </c>
      <c r="G917" s="13" t="str">
        <f t="shared" si="4"/>
        <v>Barito Raya</v>
      </c>
      <c r="H917" s="15" t="str">
        <f>IFERROR(VLOOKUP(A917,Sheet1!$E$3:$F$27,2,),"")</f>
        <v>Corrective</v>
      </c>
      <c r="I917" s="16" t="str">
        <f>IFERROR(VLOOKUP(A917,Sheet1!$E$3:$G$27,3,0),"")</f>
        <v>Replace Optik,RRU/Soket Power/Replace GPS</v>
      </c>
      <c r="J917" s="12" t="s">
        <v>172</v>
      </c>
      <c r="K917" s="17">
        <v>46043.0</v>
      </c>
      <c r="L917" s="17">
        <v>46043.0</v>
      </c>
      <c r="M917" s="13"/>
      <c r="N917" s="23"/>
      <c r="O917" s="22"/>
      <c r="P917" s="22"/>
    </row>
    <row r="918" ht="22.5" customHeight="1">
      <c r="A918" s="12" t="s">
        <v>65</v>
      </c>
      <c r="B918" s="20" t="str">
        <f>IFERROR(VLOOKUP(A918,Sheet1!$E$3:$H$27,4,0),"")</f>
        <v>P3</v>
      </c>
      <c r="C918" s="15"/>
      <c r="D918" s="12" t="s">
        <v>26</v>
      </c>
      <c r="E918" s="13" t="str">
        <f>IFERROR(VLOOKUP(D918,Sheet1!$B$1:$C$45,2,0),"")</f>
        <v>TE</v>
      </c>
      <c r="F918" s="12" t="s">
        <v>108</v>
      </c>
      <c r="G918" s="13" t="str">
        <f t="shared" si="4"/>
        <v>Barito Raya</v>
      </c>
      <c r="H918" s="15" t="str">
        <f>IFERROR(VLOOKUP(A918,Sheet1!$E$3:$F$27,2,),"")</f>
        <v>Standby</v>
      </c>
      <c r="I918" s="16" t="str">
        <f>IFERROR(VLOOKUP(A918,Sheet1!$E$3:$G$27,3,0),"")</f>
        <v>Standby On Call</v>
      </c>
      <c r="J918" s="20"/>
      <c r="K918" s="17">
        <v>46043.0</v>
      </c>
      <c r="L918" s="17">
        <v>46043.0</v>
      </c>
      <c r="M918" s="13"/>
      <c r="N918" s="23"/>
      <c r="O918" s="22"/>
      <c r="P918" s="22"/>
    </row>
    <row r="919" ht="22.5" customHeight="1">
      <c r="A919" s="12" t="s">
        <v>65</v>
      </c>
      <c r="B919" s="20" t="str">
        <f>IFERROR(VLOOKUP(A919,Sheet1!$E$3:$H$27,4,0),"")</f>
        <v>P3</v>
      </c>
      <c r="C919" s="15"/>
      <c r="D919" s="12" t="s">
        <v>88</v>
      </c>
      <c r="E919" s="13" t="str">
        <f>IFERROR(VLOOKUP(D919,Sheet1!$B$1:$C$45,2,0),"")</f>
        <v>TE</v>
      </c>
      <c r="F919" s="12" t="s">
        <v>108</v>
      </c>
      <c r="G919" s="13" t="str">
        <f t="shared" si="4"/>
        <v>Barito Raya</v>
      </c>
      <c r="H919" s="15" t="str">
        <f>IFERROR(VLOOKUP(A919,Sheet1!$E$3:$F$27,2,),"")</f>
        <v>Standby</v>
      </c>
      <c r="I919" s="16" t="str">
        <f>IFERROR(VLOOKUP(A919,Sheet1!$E$3:$G$27,3,0),"")</f>
        <v>Standby On Call</v>
      </c>
      <c r="J919" s="20"/>
      <c r="K919" s="17">
        <v>46043.0</v>
      </c>
      <c r="L919" s="17">
        <v>46043.0</v>
      </c>
      <c r="M919" s="13"/>
      <c r="N919" s="23"/>
      <c r="O919" s="22"/>
      <c r="P919" s="22"/>
    </row>
    <row r="920" ht="22.5" customHeight="1">
      <c r="A920" s="12" t="s">
        <v>5</v>
      </c>
      <c r="B920" s="20" t="str">
        <f>IFERROR(VLOOKUP(A920,Sheet1!$E$3:$H$27,4,0),"")</f>
        <v>P1</v>
      </c>
      <c r="C920" s="14" t="s">
        <v>328</v>
      </c>
      <c r="D920" s="12" t="s">
        <v>32</v>
      </c>
      <c r="E920" s="13" t="str">
        <f>IFERROR(VLOOKUP(D920,Sheet1!$B$1:$C$45,2,0),"")</f>
        <v>TE</v>
      </c>
      <c r="F920" s="12" t="s">
        <v>108</v>
      </c>
      <c r="G920" s="13" t="str">
        <f t="shared" si="4"/>
        <v>Barito Raya</v>
      </c>
      <c r="H920" s="15" t="str">
        <f>IFERROR(VLOOKUP(A920,Sheet1!$E$3:$F$27,2,),"")</f>
        <v>Corrective</v>
      </c>
      <c r="I920" s="16" t="str">
        <f>IFERROR(VLOOKUP(A920,Sheet1!$E$3:$G$27,3,0),"")</f>
        <v>Replace Optik,RRU/Soket Power/Replace GPS</v>
      </c>
      <c r="J920" s="12" t="s">
        <v>112</v>
      </c>
      <c r="K920" s="17">
        <v>46043.0</v>
      </c>
      <c r="L920" s="17">
        <v>46043.0</v>
      </c>
      <c r="M920" s="13"/>
      <c r="N920" s="23"/>
      <c r="O920" s="22"/>
      <c r="P920" s="22"/>
    </row>
    <row r="921" ht="22.5" customHeight="1">
      <c r="A921" s="12" t="s">
        <v>14</v>
      </c>
      <c r="B921" s="20" t="str">
        <f>IFERROR(VLOOKUP(A921,Sheet1!$E$3:$H$27,4,0),"")</f>
        <v>P1</v>
      </c>
      <c r="C921" s="14" t="s">
        <v>435</v>
      </c>
      <c r="D921" s="12" t="s">
        <v>74</v>
      </c>
      <c r="E921" s="13" t="str">
        <f>IFERROR(VLOOKUP(D921,Sheet1!$B$1:$C$45,2,0),"")</f>
        <v>TE</v>
      </c>
      <c r="F921" s="12" t="s">
        <v>108</v>
      </c>
      <c r="G921" s="13" t="str">
        <f t="shared" si="4"/>
        <v>Barito Raya</v>
      </c>
      <c r="H921" s="15" t="str">
        <f>IFERROR(VLOOKUP(A921,Sheet1!$E$3:$F$27,2,),"")</f>
        <v>Corrective</v>
      </c>
      <c r="I921" s="16" t="str">
        <f>IFERROR(VLOOKUP(A921,Sheet1!$E$3:$G$27,3,0),"")</f>
        <v>Pemadaman,MCB Trip,Transmisi problem</v>
      </c>
      <c r="J921" s="12" t="s">
        <v>112</v>
      </c>
      <c r="K921" s="17">
        <v>46043.0</v>
      </c>
      <c r="L921" s="17">
        <v>46043.0</v>
      </c>
      <c r="M921" s="13"/>
      <c r="N921" s="23"/>
      <c r="O921" s="22"/>
      <c r="P921" s="22"/>
    </row>
    <row r="922" ht="22.5" customHeight="1">
      <c r="A922" s="12" t="s">
        <v>22</v>
      </c>
      <c r="B922" s="20" t="str">
        <f>IFERROR(VLOOKUP(A922,Sheet1!$E$3:$H$27,4,0),"")</f>
        <v>P2</v>
      </c>
      <c r="C922" s="14" t="s">
        <v>466</v>
      </c>
      <c r="D922" s="12" t="s">
        <v>60</v>
      </c>
      <c r="E922" s="13" t="str">
        <f>IFERROR(VLOOKUP(D922,Sheet1!$B$1:$C$45,2,0),"")</f>
        <v>TE</v>
      </c>
      <c r="F922" s="12" t="s">
        <v>108</v>
      </c>
      <c r="G922" s="13" t="str">
        <f t="shared" si="4"/>
        <v>Barito Raya</v>
      </c>
      <c r="H922" s="15" t="str">
        <f>IFERROR(VLOOKUP(A922,Sheet1!$E$3:$F$27,2,),"")</f>
        <v>Preventive</v>
      </c>
      <c r="I922" s="16" t="str">
        <f>IFERROR(VLOOKUP(A922,Sheet1!$E$3:$G$27,3,0),"")</f>
        <v>Preventive Maintenance</v>
      </c>
      <c r="J922" s="12" t="s">
        <v>112</v>
      </c>
      <c r="K922" s="17">
        <v>46043.0</v>
      </c>
      <c r="L922" s="17">
        <v>46043.0</v>
      </c>
      <c r="M922" s="13"/>
      <c r="N922" s="23"/>
      <c r="O922" s="22"/>
      <c r="P922" s="22"/>
    </row>
    <row r="923" ht="22.5" customHeight="1">
      <c r="A923" s="12" t="s">
        <v>22</v>
      </c>
      <c r="B923" s="20" t="str">
        <f>IFERROR(VLOOKUP(A923,Sheet1!$E$3:$H$27,4,0),"")</f>
        <v>P2</v>
      </c>
      <c r="C923" s="14"/>
      <c r="D923" s="12" t="s">
        <v>62</v>
      </c>
      <c r="E923" s="13" t="str">
        <f>IFERROR(VLOOKUP(D923,Sheet1!$B$1:$C$45,2,0),"")</f>
        <v>TE</v>
      </c>
      <c r="F923" s="12" t="s">
        <v>108</v>
      </c>
      <c r="G923" s="13" t="str">
        <f t="shared" si="4"/>
        <v>Barito Raya</v>
      </c>
      <c r="H923" s="15" t="str">
        <f>IFERROR(VLOOKUP(A923,Sheet1!$E$3:$F$27,2,),"")</f>
        <v>Preventive</v>
      </c>
      <c r="I923" s="16" t="str">
        <f>IFERROR(VLOOKUP(A923,Sheet1!$E$3:$G$27,3,0),"")</f>
        <v>Preventive Maintenance</v>
      </c>
      <c r="J923" s="12" t="s">
        <v>112</v>
      </c>
      <c r="K923" s="17">
        <v>46043.0</v>
      </c>
      <c r="L923" s="17">
        <v>46043.0</v>
      </c>
      <c r="M923" s="13"/>
      <c r="N923" s="23"/>
      <c r="O923" s="22"/>
      <c r="P923" s="22"/>
    </row>
    <row r="924" ht="22.5" customHeight="1">
      <c r="A924" s="12" t="s">
        <v>52</v>
      </c>
      <c r="B924" s="20" t="str">
        <f>IFERROR(VLOOKUP(A924,Sheet1!$E$3:$H$27,4,0),"")</f>
        <v>P1</v>
      </c>
      <c r="C924" s="14" t="s">
        <v>323</v>
      </c>
      <c r="D924" s="12" t="s">
        <v>9</v>
      </c>
      <c r="E924" s="13" t="str">
        <f>IFERROR(VLOOKUP(D924,Sheet1!$B$1:$C$45,2,0),"")</f>
        <v>MBP</v>
      </c>
      <c r="F924" s="12" t="s">
        <v>108</v>
      </c>
      <c r="G924" s="13" t="str">
        <f t="shared" si="4"/>
        <v>Barito Raya</v>
      </c>
      <c r="H924" s="15" t="str">
        <f>IFERROR(VLOOKUP(A924,Sheet1!$E$3:$F$27,2,),"")</f>
        <v>Preventive</v>
      </c>
      <c r="I924" s="16" t="str">
        <f>IFERROR(VLOOKUP(A924,Sheet1!$E$3:$G$27,3,0),"")</f>
        <v>MCB trip/Power upnormal</v>
      </c>
      <c r="J924" s="12" t="s">
        <v>112</v>
      </c>
      <c r="K924" s="17">
        <v>46043.0</v>
      </c>
      <c r="L924" s="17">
        <v>46043.0</v>
      </c>
      <c r="M924" s="13"/>
      <c r="N924" s="23"/>
      <c r="O924" s="22"/>
      <c r="P924" s="22"/>
    </row>
    <row r="925" ht="22.5" customHeight="1">
      <c r="A925" s="12" t="s">
        <v>65</v>
      </c>
      <c r="B925" s="20" t="str">
        <f>IFERROR(VLOOKUP(A925,Sheet1!$E$3:$H$27,4,0),"")</f>
        <v>P3</v>
      </c>
      <c r="C925" s="15"/>
      <c r="D925" s="12" t="s">
        <v>4</v>
      </c>
      <c r="E925" s="13" t="str">
        <f>IFERROR(VLOOKUP(D925,Sheet1!$B$1:$C$45,2,0),"")</f>
        <v>CME</v>
      </c>
      <c r="F925" s="12" t="s">
        <v>108</v>
      </c>
      <c r="G925" s="13" t="str">
        <f t="shared" si="4"/>
        <v>Barito Raya</v>
      </c>
      <c r="H925" s="15" t="str">
        <f>IFERROR(VLOOKUP(A925,Sheet1!$E$3:$F$27,2,),"")</f>
        <v>Standby</v>
      </c>
      <c r="I925" s="16" t="str">
        <f>IFERROR(VLOOKUP(A925,Sheet1!$E$3:$G$27,3,0),"")</f>
        <v>Standby On Call</v>
      </c>
      <c r="J925" s="20"/>
      <c r="K925" s="17">
        <v>46043.0</v>
      </c>
      <c r="L925" s="17">
        <v>46043.0</v>
      </c>
      <c r="M925" s="13"/>
      <c r="N925" s="23"/>
      <c r="O925" s="22"/>
      <c r="P925" s="22"/>
    </row>
    <row r="926" ht="22.5" customHeight="1">
      <c r="A926" s="12" t="s">
        <v>65</v>
      </c>
      <c r="B926" s="20" t="str">
        <f>IFERROR(VLOOKUP(A926,Sheet1!$E$3:$H$27,4,0),"")</f>
        <v>P3</v>
      </c>
      <c r="C926" s="15"/>
      <c r="D926" s="12" t="s">
        <v>87</v>
      </c>
      <c r="E926" s="13" t="str">
        <f>IFERROR(VLOOKUP(D926,Sheet1!$B$1:$C$45,2,0),"")</f>
        <v>MBP</v>
      </c>
      <c r="F926" s="12" t="s">
        <v>108</v>
      </c>
      <c r="G926" s="13" t="str">
        <f t="shared" si="4"/>
        <v>Barito Raya</v>
      </c>
      <c r="H926" s="15" t="str">
        <f>IFERROR(VLOOKUP(A926,Sheet1!$E$3:$F$27,2,),"")</f>
        <v>Standby</v>
      </c>
      <c r="I926" s="16" t="str">
        <f>IFERROR(VLOOKUP(A926,Sheet1!$E$3:$G$27,3,0),"")</f>
        <v>Standby On Call</v>
      </c>
      <c r="J926" s="20"/>
      <c r="K926" s="17">
        <v>46043.0</v>
      </c>
      <c r="L926" s="17">
        <v>46043.0</v>
      </c>
      <c r="M926" s="13"/>
      <c r="N926" s="23"/>
      <c r="O926" s="22"/>
      <c r="P926" s="22"/>
    </row>
    <row r="927" ht="22.5" customHeight="1">
      <c r="A927" s="12" t="s">
        <v>65</v>
      </c>
      <c r="B927" s="20" t="str">
        <f>IFERROR(VLOOKUP(A927,Sheet1!$E$3:$H$27,4,0),"")</f>
        <v>P3</v>
      </c>
      <c r="C927" s="15"/>
      <c r="D927" s="12" t="s">
        <v>29</v>
      </c>
      <c r="E927" s="13" t="str">
        <f>IFERROR(VLOOKUP(D927,Sheet1!$B$1:$C$45,2,0),"")</f>
        <v>MBP</v>
      </c>
      <c r="F927" s="12" t="s">
        <v>108</v>
      </c>
      <c r="G927" s="13" t="str">
        <f t="shared" si="4"/>
        <v>Barito Raya</v>
      </c>
      <c r="H927" s="15" t="str">
        <f>IFERROR(VLOOKUP(A927,Sheet1!$E$3:$F$27,2,),"")</f>
        <v>Standby</v>
      </c>
      <c r="I927" s="16" t="str">
        <f>IFERROR(VLOOKUP(A927,Sheet1!$E$3:$G$27,3,0),"")</f>
        <v>Standby On Call</v>
      </c>
      <c r="J927" s="20"/>
      <c r="K927" s="17">
        <v>46043.0</v>
      </c>
      <c r="L927" s="17">
        <v>46043.0</v>
      </c>
      <c r="M927" s="13"/>
      <c r="N927" s="23"/>
      <c r="O927" s="22"/>
      <c r="P927" s="22"/>
    </row>
    <row r="928" ht="22.5" customHeight="1">
      <c r="A928" s="12" t="s">
        <v>14</v>
      </c>
      <c r="B928" s="20" t="str">
        <f>IFERROR(VLOOKUP(A928,Sheet1!$E$3:$H$27,4,0),"")</f>
        <v>P1</v>
      </c>
      <c r="C928" s="14" t="s">
        <v>435</v>
      </c>
      <c r="D928" s="12" t="s">
        <v>2</v>
      </c>
      <c r="E928" s="13" t="str">
        <f>IFERROR(VLOOKUP(D928,Sheet1!$B$1:$C$45,2,0),"")</f>
        <v>CME</v>
      </c>
      <c r="F928" s="12" t="s">
        <v>108</v>
      </c>
      <c r="G928" s="13" t="str">
        <f t="shared" si="4"/>
        <v>Barito Raya</v>
      </c>
      <c r="H928" s="15" t="str">
        <f>IFERROR(VLOOKUP(A928,Sheet1!$E$3:$F$27,2,),"")</f>
        <v>Corrective</v>
      </c>
      <c r="I928" s="16" t="str">
        <f>IFERROR(VLOOKUP(A928,Sheet1!$E$3:$G$27,3,0),"")</f>
        <v>Pemadaman,MCB Trip,Transmisi problem</v>
      </c>
      <c r="J928" s="12" t="s">
        <v>112</v>
      </c>
      <c r="K928" s="17">
        <v>46043.0</v>
      </c>
      <c r="L928" s="17">
        <v>46043.0</v>
      </c>
      <c r="M928" s="13"/>
      <c r="N928" s="23"/>
      <c r="O928" s="22"/>
      <c r="P928" s="22"/>
    </row>
    <row r="929" ht="22.5" customHeight="1">
      <c r="A929" s="12" t="s">
        <v>65</v>
      </c>
      <c r="B929" s="20" t="str">
        <f>IFERROR(VLOOKUP(A929,Sheet1!$E$3:$H$27,4,0),"")</f>
        <v>P3</v>
      </c>
      <c r="C929" s="15"/>
      <c r="D929" s="12" t="s">
        <v>0</v>
      </c>
      <c r="E929" s="13" t="str">
        <f>IFERROR(VLOOKUP(D929,Sheet1!$B$1:$C$45,2,0),"")</f>
        <v>MBP</v>
      </c>
      <c r="F929" s="12" t="s">
        <v>108</v>
      </c>
      <c r="G929" s="13" t="str">
        <f t="shared" si="4"/>
        <v>Barito Raya</v>
      </c>
      <c r="H929" s="15" t="str">
        <f>IFERROR(VLOOKUP(A929,Sheet1!$E$3:$F$27,2,),"")</f>
        <v>Standby</v>
      </c>
      <c r="I929" s="16" t="str">
        <f>IFERROR(VLOOKUP(A929,Sheet1!$E$3:$G$27,3,0),"")</f>
        <v>Standby On Call</v>
      </c>
      <c r="J929" s="20"/>
      <c r="K929" s="17">
        <v>46043.0</v>
      </c>
      <c r="L929" s="17">
        <v>46043.0</v>
      </c>
      <c r="M929" s="13"/>
      <c r="N929" s="23"/>
      <c r="O929" s="22"/>
      <c r="P929" s="22"/>
    </row>
    <row r="930" ht="22.5" customHeight="1">
      <c r="A930" s="12" t="s">
        <v>22</v>
      </c>
      <c r="B930" s="20" t="str">
        <f>IFERROR(VLOOKUP(A930,Sheet1!$E$3:$H$27,4,0),"")</f>
        <v>P2</v>
      </c>
      <c r="C930" s="14" t="s">
        <v>185</v>
      </c>
      <c r="D930" s="12" t="s">
        <v>85</v>
      </c>
      <c r="E930" s="13" t="str">
        <f>IFERROR(VLOOKUP(D930,Sheet1!$B$1:$C$45,2,0),"")</f>
        <v>PM</v>
      </c>
      <c r="F930" s="12" t="s">
        <v>108</v>
      </c>
      <c r="G930" s="13" t="str">
        <f t="shared" si="4"/>
        <v>Barito Raya</v>
      </c>
      <c r="H930" s="15" t="str">
        <f>IFERROR(VLOOKUP(A930,Sheet1!$E$3:$F$27,2,),"")</f>
        <v>Preventive</v>
      </c>
      <c r="I930" s="16" t="str">
        <f>IFERROR(VLOOKUP(A930,Sheet1!$E$3:$G$27,3,0),"")</f>
        <v>Preventive Maintenance</v>
      </c>
      <c r="J930" s="12" t="s">
        <v>112</v>
      </c>
      <c r="K930" s="17">
        <v>46043.0</v>
      </c>
      <c r="L930" s="17">
        <v>46043.0</v>
      </c>
      <c r="M930" s="13"/>
      <c r="N930" s="23"/>
      <c r="O930" s="22"/>
      <c r="P930" s="22"/>
    </row>
    <row r="931" ht="22.5" customHeight="1">
      <c r="A931" s="12" t="s">
        <v>22</v>
      </c>
      <c r="B931" s="20" t="str">
        <f>IFERROR(VLOOKUP(A931,Sheet1!$E$3:$H$27,4,0),"")</f>
        <v>P2</v>
      </c>
      <c r="C931" s="14" t="s">
        <v>185</v>
      </c>
      <c r="D931" s="12" t="s">
        <v>84</v>
      </c>
      <c r="E931" s="13" t="str">
        <f>IFERROR(VLOOKUP(D931,Sheet1!$B$1:$C$45,2,0),"")</f>
        <v>MBP</v>
      </c>
      <c r="F931" s="12" t="s">
        <v>108</v>
      </c>
      <c r="G931" s="13" t="str">
        <f t="shared" si="4"/>
        <v>Barito Raya</v>
      </c>
      <c r="H931" s="15" t="str">
        <f>IFERROR(VLOOKUP(A931,Sheet1!$E$3:$F$27,2,),"")</f>
        <v>Preventive</v>
      </c>
      <c r="I931" s="16" t="str">
        <f>IFERROR(VLOOKUP(A931,Sheet1!$E$3:$G$27,3,0),"")</f>
        <v>Preventive Maintenance</v>
      </c>
      <c r="J931" s="12" t="s">
        <v>112</v>
      </c>
      <c r="K931" s="17">
        <v>46043.0</v>
      </c>
      <c r="L931" s="17">
        <v>46043.0</v>
      </c>
      <c r="M931" s="13"/>
      <c r="N931" s="23"/>
      <c r="O931" s="22"/>
      <c r="P931" s="22"/>
    </row>
    <row r="932" ht="22.5" customHeight="1">
      <c r="A932" s="12" t="s">
        <v>22</v>
      </c>
      <c r="B932" s="20" t="str">
        <f>IFERROR(VLOOKUP(A932,Sheet1!$E$3:$H$27,4,0),"")</f>
        <v>P2</v>
      </c>
      <c r="C932" s="14" t="s">
        <v>467</v>
      </c>
      <c r="D932" s="12" t="s">
        <v>86</v>
      </c>
      <c r="E932" s="13" t="str">
        <f>IFERROR(VLOOKUP(D932,Sheet1!$B$1:$C$45,2,0),"")</f>
        <v>PM</v>
      </c>
      <c r="F932" s="12" t="s">
        <v>108</v>
      </c>
      <c r="G932" s="13" t="str">
        <f t="shared" si="4"/>
        <v>Barito Raya</v>
      </c>
      <c r="H932" s="15" t="str">
        <f>IFERROR(VLOOKUP(A932,Sheet1!$E$3:$F$27,2,),"")</f>
        <v>Preventive</v>
      </c>
      <c r="I932" s="16" t="str">
        <f>IFERROR(VLOOKUP(A932,Sheet1!$E$3:$G$27,3,0),"")</f>
        <v>Preventive Maintenance</v>
      </c>
      <c r="J932" s="12" t="s">
        <v>112</v>
      </c>
      <c r="K932" s="17">
        <v>46043.0</v>
      </c>
      <c r="L932" s="17">
        <v>46043.0</v>
      </c>
      <c r="M932" s="13"/>
      <c r="N932" s="23"/>
      <c r="O932" s="22"/>
      <c r="P932" s="22"/>
    </row>
    <row r="933" ht="22.5" customHeight="1">
      <c r="A933" s="12" t="s">
        <v>65</v>
      </c>
      <c r="B933" s="20" t="str">
        <f>IFERROR(VLOOKUP(A933,Sheet1!$E$3:$H$27,4,0),"")</f>
        <v>P3</v>
      </c>
      <c r="C933" s="14"/>
      <c r="D933" s="12" t="s">
        <v>42</v>
      </c>
      <c r="E933" s="13" t="str">
        <f>IFERROR(VLOOKUP(D933,Sheet1!$B$1:$C$45,2,0),"")</f>
        <v>TE</v>
      </c>
      <c r="F933" s="12" t="s">
        <v>179</v>
      </c>
      <c r="G933" s="13" t="str">
        <f t="shared" si="4"/>
        <v>Palangkaraya</v>
      </c>
      <c r="H933" s="15" t="str">
        <f>IFERROR(VLOOKUP(A933,Sheet1!$E$3:$F$27,2,),"")</f>
        <v>Standby</v>
      </c>
      <c r="I933" s="16" t="str">
        <f>IFERROR(VLOOKUP(A933,Sheet1!$E$3:$G$27,3,0),"")</f>
        <v>Standby On Call</v>
      </c>
      <c r="J933" s="12" t="s">
        <v>112</v>
      </c>
      <c r="K933" s="17">
        <v>46043.0</v>
      </c>
      <c r="L933" s="17">
        <v>46043.0</v>
      </c>
      <c r="M933" s="12" t="s">
        <v>137</v>
      </c>
      <c r="N933" s="23"/>
      <c r="O933" s="22"/>
      <c r="P933" s="22"/>
    </row>
    <row r="934" ht="22.5" customHeight="1">
      <c r="A934" s="12" t="s">
        <v>33</v>
      </c>
      <c r="B934" s="20" t="str">
        <f>IFERROR(VLOOKUP(A934,Sheet1!$E$3:$H$27,4,0),"")</f>
        <v>P2</v>
      </c>
      <c r="C934" s="14" t="s">
        <v>306</v>
      </c>
      <c r="D934" s="12" t="s">
        <v>80</v>
      </c>
      <c r="E934" s="13" t="str">
        <f>IFERROR(VLOOKUP(D934,Sheet1!$B$1:$C$45,2,0),"")</f>
        <v>TE</v>
      </c>
      <c r="F934" s="12" t="s">
        <v>179</v>
      </c>
      <c r="G934" s="13" t="str">
        <f t="shared" si="4"/>
        <v>Palangkaraya</v>
      </c>
      <c r="H934" s="15" t="str">
        <f>IFERROR(VLOOKUP(A934,Sheet1!$E$3:$F$27,2,),"")</f>
        <v>Preventive</v>
      </c>
      <c r="I934" s="16" t="str">
        <f>IFERROR(VLOOKUP(A934,Sheet1!$E$3:$G$27,3,0),"")</f>
        <v>Pengukuran dan pengambilan data log serta input Gdoc BBT</v>
      </c>
      <c r="J934" s="12" t="s">
        <v>112</v>
      </c>
      <c r="K934" s="17">
        <v>46043.0</v>
      </c>
      <c r="L934" s="17">
        <v>46043.0</v>
      </c>
      <c r="M934" s="12" t="s">
        <v>109</v>
      </c>
      <c r="N934" s="23"/>
      <c r="O934" s="22"/>
      <c r="P934" s="22"/>
    </row>
    <row r="935" ht="22.5" customHeight="1">
      <c r="A935" s="12" t="s">
        <v>33</v>
      </c>
      <c r="B935" s="20" t="str">
        <f>IFERROR(VLOOKUP(A935,Sheet1!$E$3:$H$27,4,0),"")</f>
        <v>P2</v>
      </c>
      <c r="C935" s="14" t="s">
        <v>452</v>
      </c>
      <c r="D935" s="12" t="s">
        <v>77</v>
      </c>
      <c r="E935" s="13" t="str">
        <f>IFERROR(VLOOKUP(D935,Sheet1!$B$1:$C$45,2,0),"")</f>
        <v>TE</v>
      </c>
      <c r="F935" s="12" t="s">
        <v>179</v>
      </c>
      <c r="G935" s="13" t="str">
        <f t="shared" si="4"/>
        <v>Palangkaraya</v>
      </c>
      <c r="H935" s="15" t="str">
        <f>IFERROR(VLOOKUP(A935,Sheet1!$E$3:$F$27,2,),"")</f>
        <v>Preventive</v>
      </c>
      <c r="I935" s="16" t="str">
        <f>IFERROR(VLOOKUP(A935,Sheet1!$E$3:$G$27,3,0),"")</f>
        <v>Pengukuran dan pengambilan data log serta input Gdoc BBT</v>
      </c>
      <c r="J935" s="12" t="s">
        <v>112</v>
      </c>
      <c r="K935" s="17">
        <v>46043.0</v>
      </c>
      <c r="L935" s="17">
        <v>46043.0</v>
      </c>
      <c r="M935" s="12" t="s">
        <v>109</v>
      </c>
      <c r="N935" s="23"/>
      <c r="O935" s="22"/>
      <c r="P935" s="22"/>
    </row>
    <row r="936" ht="22.5" customHeight="1">
      <c r="A936" s="12" t="s">
        <v>5</v>
      </c>
      <c r="B936" s="20" t="str">
        <f>IFERROR(VLOOKUP(A936,Sheet1!$E$3:$H$27,4,0),"")</f>
        <v>P1</v>
      </c>
      <c r="C936" s="14" t="s">
        <v>468</v>
      </c>
      <c r="D936" s="12" t="s">
        <v>37</v>
      </c>
      <c r="E936" s="13" t="str">
        <f>IFERROR(VLOOKUP(D936,Sheet1!$B$1:$C$45,2,0),"")</f>
        <v>TE</v>
      </c>
      <c r="F936" s="12" t="s">
        <v>179</v>
      </c>
      <c r="G936" s="13" t="str">
        <f t="shared" si="4"/>
        <v>Palangkaraya</v>
      </c>
      <c r="H936" s="15" t="str">
        <f>IFERROR(VLOOKUP(A936,Sheet1!$E$3:$F$27,2,),"")</f>
        <v>Corrective</v>
      </c>
      <c r="I936" s="16" t="str">
        <f>IFERROR(VLOOKUP(A936,Sheet1!$E$3:$G$27,3,0),"")</f>
        <v>Replace Optik,RRU/Soket Power/Replace GPS</v>
      </c>
      <c r="J936" s="12" t="s">
        <v>112</v>
      </c>
      <c r="K936" s="17">
        <v>46043.0</v>
      </c>
      <c r="L936" s="17">
        <v>46043.0</v>
      </c>
      <c r="M936" s="12" t="s">
        <v>109</v>
      </c>
      <c r="N936" s="23"/>
      <c r="O936" s="22"/>
      <c r="P936" s="22"/>
    </row>
    <row r="937" ht="22.5" customHeight="1">
      <c r="A937" s="12" t="s">
        <v>5</v>
      </c>
      <c r="B937" s="20" t="str">
        <f>IFERROR(VLOOKUP(A937,Sheet1!$E$3:$H$27,4,0),"")</f>
        <v>P1</v>
      </c>
      <c r="C937" s="14" t="s">
        <v>402</v>
      </c>
      <c r="D937" s="12" t="s">
        <v>51</v>
      </c>
      <c r="E937" s="13" t="str">
        <f>IFERROR(VLOOKUP(D937,Sheet1!$B$1:$C$45,2,0),"")</f>
        <v>TE</v>
      </c>
      <c r="F937" s="12" t="s">
        <v>179</v>
      </c>
      <c r="G937" s="13" t="str">
        <f t="shared" si="4"/>
        <v>Palangkaraya</v>
      </c>
      <c r="H937" s="15" t="str">
        <f>IFERROR(VLOOKUP(A937,Sheet1!$E$3:$F$27,2,),"")</f>
        <v>Corrective</v>
      </c>
      <c r="I937" s="16" t="str">
        <f>IFERROR(VLOOKUP(A937,Sheet1!$E$3:$G$27,3,0),"")</f>
        <v>Replace Optik,RRU/Soket Power/Replace GPS</v>
      </c>
      <c r="J937" s="12" t="s">
        <v>112</v>
      </c>
      <c r="K937" s="17">
        <v>46043.0</v>
      </c>
      <c r="L937" s="17">
        <v>46043.0</v>
      </c>
      <c r="M937" s="12" t="s">
        <v>109</v>
      </c>
      <c r="N937" s="23"/>
      <c r="O937" s="22"/>
      <c r="P937" s="22"/>
    </row>
    <row r="938" ht="22.5" customHeight="1">
      <c r="A938" s="12" t="s">
        <v>14</v>
      </c>
      <c r="B938" s="20" t="str">
        <f>IFERROR(VLOOKUP(A938,Sheet1!$E$3:$H$27,4,0),"")</f>
        <v>P1</v>
      </c>
      <c r="C938" s="14" t="s">
        <v>469</v>
      </c>
      <c r="D938" s="12" t="s">
        <v>79</v>
      </c>
      <c r="E938" s="13" t="str">
        <f>IFERROR(VLOOKUP(D938,Sheet1!$B$1:$C$45,2,0),"")</f>
        <v>TE</v>
      </c>
      <c r="F938" s="12" t="s">
        <v>179</v>
      </c>
      <c r="G938" s="13" t="str">
        <f t="shared" si="4"/>
        <v>Palangkaraya</v>
      </c>
      <c r="H938" s="15" t="str">
        <f>IFERROR(VLOOKUP(A938,Sheet1!$E$3:$F$27,2,),"")</f>
        <v>Corrective</v>
      </c>
      <c r="I938" s="16" t="str">
        <f>IFERROR(VLOOKUP(A938,Sheet1!$E$3:$G$27,3,0),"")</f>
        <v>Pemadaman,MCB Trip,Transmisi problem</v>
      </c>
      <c r="J938" s="12" t="s">
        <v>112</v>
      </c>
      <c r="K938" s="17">
        <v>46043.0</v>
      </c>
      <c r="L938" s="17">
        <v>46043.0</v>
      </c>
      <c r="M938" s="12" t="s">
        <v>122</v>
      </c>
      <c r="N938" s="23"/>
      <c r="O938" s="22"/>
      <c r="P938" s="22"/>
    </row>
    <row r="939" ht="22.5" customHeight="1">
      <c r="A939" s="12" t="s">
        <v>5</v>
      </c>
      <c r="B939" s="20" t="str">
        <f>IFERROR(VLOOKUP(A939,Sheet1!$E$3:$H$27,4,0),"")</f>
        <v>P1</v>
      </c>
      <c r="C939" s="14" t="s">
        <v>360</v>
      </c>
      <c r="D939" s="12" t="s">
        <v>71</v>
      </c>
      <c r="E939" s="13" t="str">
        <f>IFERROR(VLOOKUP(D939,Sheet1!$B$1:$C$45,2,0),"")</f>
        <v>TE</v>
      </c>
      <c r="F939" s="12" t="s">
        <v>179</v>
      </c>
      <c r="G939" s="13" t="str">
        <f t="shared" si="4"/>
        <v>Palangkaraya</v>
      </c>
      <c r="H939" s="15" t="str">
        <f>IFERROR(VLOOKUP(A939,Sheet1!$E$3:$F$27,2,),"")</f>
        <v>Corrective</v>
      </c>
      <c r="I939" s="16" t="str">
        <f>IFERROR(VLOOKUP(A939,Sheet1!$E$3:$G$27,3,0),"")</f>
        <v>Replace Optik,RRU/Soket Power/Replace GPS</v>
      </c>
      <c r="J939" s="12" t="s">
        <v>112</v>
      </c>
      <c r="K939" s="17">
        <v>46043.0</v>
      </c>
      <c r="L939" s="17">
        <v>46043.0</v>
      </c>
      <c r="M939" s="12" t="s">
        <v>109</v>
      </c>
      <c r="N939" s="23"/>
      <c r="O939" s="22"/>
      <c r="P939" s="22"/>
    </row>
    <row r="940" ht="22.5" customHeight="1">
      <c r="A940" s="12" t="s">
        <v>5</v>
      </c>
      <c r="B940" s="20" t="str">
        <f>IFERROR(VLOOKUP(A940,Sheet1!$E$3:$H$27,4,0),"")</f>
        <v>P1</v>
      </c>
      <c r="C940" s="14" t="s">
        <v>360</v>
      </c>
      <c r="D940" s="12" t="s">
        <v>69</v>
      </c>
      <c r="E940" s="13" t="str">
        <f>IFERROR(VLOOKUP(D940,Sheet1!$B$1:$C$45,2,0),"")</f>
        <v>TE</v>
      </c>
      <c r="F940" s="12" t="s">
        <v>179</v>
      </c>
      <c r="G940" s="13" t="str">
        <f t="shared" si="4"/>
        <v>Palangkaraya</v>
      </c>
      <c r="H940" s="15" t="str">
        <f>IFERROR(VLOOKUP(A940,Sheet1!$E$3:$F$27,2,),"")</f>
        <v>Corrective</v>
      </c>
      <c r="I940" s="16" t="str">
        <f>IFERROR(VLOOKUP(A940,Sheet1!$E$3:$G$27,3,0),"")</f>
        <v>Replace Optik,RRU/Soket Power/Replace GPS</v>
      </c>
      <c r="J940" s="12" t="s">
        <v>112</v>
      </c>
      <c r="K940" s="17">
        <v>46043.0</v>
      </c>
      <c r="L940" s="17">
        <v>46043.0</v>
      </c>
      <c r="M940" s="12" t="s">
        <v>122</v>
      </c>
      <c r="N940" s="23"/>
      <c r="O940" s="22"/>
      <c r="P940" s="22"/>
    </row>
    <row r="941" ht="22.5" customHeight="1">
      <c r="A941" s="12" t="s">
        <v>10</v>
      </c>
      <c r="B941" s="20" t="str">
        <f>IFERROR(VLOOKUP(A941,Sheet1!$E$3:$H$27,4,0),"")</f>
        <v>P1</v>
      </c>
      <c r="C941" s="14" t="s">
        <v>463</v>
      </c>
      <c r="D941" s="12" t="s">
        <v>91</v>
      </c>
      <c r="E941" s="13" t="str">
        <f>IFERROR(VLOOKUP(D941,Sheet1!$B$1:$C$45,2,0),"")</f>
        <v>TE</v>
      </c>
      <c r="F941" s="12" t="s">
        <v>179</v>
      </c>
      <c r="G941" s="13" t="str">
        <f t="shared" si="4"/>
        <v>Palangkaraya</v>
      </c>
      <c r="H941" s="15" t="str">
        <f>IFERROR(VLOOKUP(A941,Sheet1!$E$3:$F$27,2,),"")</f>
        <v>Corrective</v>
      </c>
      <c r="I941" s="16" t="str">
        <f>IFERROR(VLOOKUP(A941,Sheet1!$E$3:$G$27,3,0),"")</f>
        <v>Replace Jumper,antena/RRU</v>
      </c>
      <c r="J941" s="12" t="s">
        <v>112</v>
      </c>
      <c r="K941" s="17">
        <v>46043.0</v>
      </c>
      <c r="L941" s="17">
        <v>46043.0</v>
      </c>
      <c r="M941" s="12" t="s">
        <v>122</v>
      </c>
      <c r="N941" s="23"/>
      <c r="O941" s="22"/>
      <c r="P941" s="22"/>
    </row>
    <row r="942" ht="22.5" customHeight="1">
      <c r="A942" s="12" t="s">
        <v>14</v>
      </c>
      <c r="B942" s="20" t="str">
        <f>IFERROR(VLOOKUP(A942,Sheet1!$E$3:$H$27,4,0),"")</f>
        <v>P1</v>
      </c>
      <c r="C942" s="14" t="s">
        <v>320</v>
      </c>
      <c r="D942" s="12" t="s">
        <v>58</v>
      </c>
      <c r="E942" s="13" t="str">
        <f>IFERROR(VLOOKUP(D942,Sheet1!$B$1:$C$45,2,0),"")</f>
        <v>TE</v>
      </c>
      <c r="F942" s="12" t="s">
        <v>179</v>
      </c>
      <c r="G942" s="13" t="str">
        <f t="shared" si="4"/>
        <v>Palangkaraya</v>
      </c>
      <c r="H942" s="15" t="str">
        <f>IFERROR(VLOOKUP(A942,Sheet1!$E$3:$F$27,2,),"")</f>
        <v>Corrective</v>
      </c>
      <c r="I942" s="16" t="str">
        <f>IFERROR(VLOOKUP(A942,Sheet1!$E$3:$G$27,3,0),"")</f>
        <v>Pemadaman,MCB Trip,Transmisi problem</v>
      </c>
      <c r="J942" s="12" t="s">
        <v>112</v>
      </c>
      <c r="K942" s="17">
        <v>46043.0</v>
      </c>
      <c r="L942" s="17">
        <v>46043.0</v>
      </c>
      <c r="M942" s="12" t="s">
        <v>122</v>
      </c>
      <c r="N942" s="23"/>
      <c r="O942" s="22"/>
      <c r="P942" s="22"/>
    </row>
    <row r="943" ht="22.5" customHeight="1">
      <c r="A943" s="12" t="s">
        <v>65</v>
      </c>
      <c r="B943" s="20" t="str">
        <f>IFERROR(VLOOKUP(A943,Sheet1!$E$3:$H$27,4,0),"")</f>
        <v>P3</v>
      </c>
      <c r="C943" s="14"/>
      <c r="D943" s="12" t="s">
        <v>56</v>
      </c>
      <c r="E943" s="13" t="str">
        <f>IFERROR(VLOOKUP(D943,Sheet1!$B$1:$C$45,2,0),"")</f>
        <v>TE</v>
      </c>
      <c r="F943" s="12" t="s">
        <v>179</v>
      </c>
      <c r="G943" s="13" t="str">
        <f t="shared" si="4"/>
        <v>Palangkaraya</v>
      </c>
      <c r="H943" s="15" t="str">
        <f>IFERROR(VLOOKUP(A943,Sheet1!$E$3:$F$27,2,),"")</f>
        <v>Standby</v>
      </c>
      <c r="I943" s="16" t="str">
        <f>IFERROR(VLOOKUP(A943,Sheet1!$E$3:$G$27,3,0),"")</f>
        <v>Standby On Call</v>
      </c>
      <c r="J943" s="12" t="s">
        <v>66</v>
      </c>
      <c r="K943" s="17">
        <v>46043.0</v>
      </c>
      <c r="L943" s="17">
        <v>46043.0</v>
      </c>
      <c r="M943" s="12" t="s">
        <v>109</v>
      </c>
      <c r="N943" s="23"/>
      <c r="O943" s="22"/>
      <c r="P943" s="22"/>
    </row>
    <row r="944" ht="22.5" customHeight="1">
      <c r="A944" s="12" t="s">
        <v>22</v>
      </c>
      <c r="B944" s="20" t="str">
        <f>IFERROR(VLOOKUP(A944,Sheet1!$E$3:$H$27,4,0),"")</f>
        <v>P2</v>
      </c>
      <c r="C944" s="14" t="s">
        <v>455</v>
      </c>
      <c r="D944" s="12" t="s">
        <v>83</v>
      </c>
      <c r="E944" s="13" t="str">
        <f>IFERROR(VLOOKUP(D944,Sheet1!$B$1:$C$45,2,0),"")</f>
        <v>PM</v>
      </c>
      <c r="F944" s="12" t="s">
        <v>179</v>
      </c>
      <c r="G944" s="13" t="str">
        <f t="shared" si="4"/>
        <v>Palangkaraya</v>
      </c>
      <c r="H944" s="15" t="str">
        <f>IFERROR(VLOOKUP(A944,Sheet1!$E$3:$F$27,2,),"")</f>
        <v>Preventive</v>
      </c>
      <c r="I944" s="16" t="str">
        <f>IFERROR(VLOOKUP(A944,Sheet1!$E$3:$G$27,3,0),"")</f>
        <v>Preventive Maintenance</v>
      </c>
      <c r="J944" s="12" t="s">
        <v>112</v>
      </c>
      <c r="K944" s="17">
        <v>46043.0</v>
      </c>
      <c r="L944" s="17">
        <v>46043.0</v>
      </c>
      <c r="M944" s="12" t="s">
        <v>122</v>
      </c>
      <c r="N944" s="23"/>
      <c r="O944" s="22"/>
      <c r="P944" s="22"/>
    </row>
    <row r="945" ht="22.5" customHeight="1">
      <c r="A945" s="12" t="s">
        <v>22</v>
      </c>
      <c r="B945" s="20" t="str">
        <f>IFERROR(VLOOKUP(A945,Sheet1!$E$3:$H$27,4,0),"")</f>
        <v>P2</v>
      </c>
      <c r="C945" s="14" t="s">
        <v>268</v>
      </c>
      <c r="D945" s="12" t="s">
        <v>82</v>
      </c>
      <c r="E945" s="13" t="str">
        <f>IFERROR(VLOOKUP(D945,Sheet1!$B$1:$C$45,2,0),"")</f>
        <v>PM</v>
      </c>
      <c r="F945" s="12" t="s">
        <v>179</v>
      </c>
      <c r="G945" s="13" t="str">
        <f t="shared" si="4"/>
        <v>Palangkaraya</v>
      </c>
      <c r="H945" s="15" t="str">
        <f>IFERROR(VLOOKUP(A945,Sheet1!$E$3:$F$27,2,),"")</f>
        <v>Preventive</v>
      </c>
      <c r="I945" s="16" t="str">
        <f>IFERROR(VLOOKUP(A945,Sheet1!$E$3:$G$27,3,0),"")</f>
        <v>Preventive Maintenance</v>
      </c>
      <c r="J945" s="12" t="s">
        <v>112</v>
      </c>
      <c r="K945" s="17">
        <v>46043.0</v>
      </c>
      <c r="L945" s="17">
        <v>46043.0</v>
      </c>
      <c r="M945" s="12" t="s">
        <v>122</v>
      </c>
      <c r="N945" s="23"/>
      <c r="O945" s="22"/>
      <c r="P945" s="22"/>
    </row>
    <row r="946" ht="22.5" customHeight="1">
      <c r="A946" s="12" t="s">
        <v>14</v>
      </c>
      <c r="B946" s="20" t="str">
        <f>IFERROR(VLOOKUP(A946,Sheet1!$E$3:$H$27,4,0),"")</f>
        <v>P1</v>
      </c>
      <c r="C946" s="14" t="s">
        <v>409</v>
      </c>
      <c r="D946" s="12" t="s">
        <v>75</v>
      </c>
      <c r="E946" s="13" t="str">
        <f>IFERROR(VLOOKUP(D946,Sheet1!$B$1:$C$45,2,0),"")</f>
        <v>CME</v>
      </c>
      <c r="F946" s="12" t="s">
        <v>179</v>
      </c>
      <c r="G946" s="13" t="str">
        <f t="shared" si="4"/>
        <v>Palangkaraya</v>
      </c>
      <c r="H946" s="15" t="str">
        <f>IFERROR(VLOOKUP(A946,Sheet1!$E$3:$F$27,2,),"")</f>
        <v>Corrective</v>
      </c>
      <c r="I946" s="16" t="str">
        <f>IFERROR(VLOOKUP(A946,Sheet1!$E$3:$G$27,3,0),"")</f>
        <v>Pemadaman,MCB Trip,Transmisi problem</v>
      </c>
      <c r="J946" s="12" t="s">
        <v>112</v>
      </c>
      <c r="K946" s="17">
        <v>46043.0</v>
      </c>
      <c r="L946" s="17">
        <v>46043.0</v>
      </c>
      <c r="M946" s="12" t="s">
        <v>109</v>
      </c>
      <c r="N946" s="23"/>
      <c r="O946" s="22"/>
      <c r="P946" s="22"/>
    </row>
    <row r="947" ht="22.5" customHeight="1">
      <c r="A947" s="12" t="s">
        <v>65</v>
      </c>
      <c r="B947" s="20" t="str">
        <f>IFERROR(VLOOKUP(A947,Sheet1!$E$3:$H$27,4,0),"")</f>
        <v>P3</v>
      </c>
      <c r="C947" s="14"/>
      <c r="D947" s="12" t="s">
        <v>54</v>
      </c>
      <c r="E947" s="13" t="str">
        <f>IFERROR(VLOOKUP(D947,Sheet1!$B$1:$C$45,2,0),"")</f>
        <v>MBP</v>
      </c>
      <c r="F947" s="12" t="s">
        <v>179</v>
      </c>
      <c r="G947" s="13" t="str">
        <f t="shared" si="4"/>
        <v>Palangkaraya</v>
      </c>
      <c r="H947" s="15" t="str">
        <f>IFERROR(VLOOKUP(A947,Sheet1!$E$3:$F$27,2,),"")</f>
        <v>Standby</v>
      </c>
      <c r="I947" s="16" t="str">
        <f>IFERROR(VLOOKUP(A947,Sheet1!$E$3:$G$27,3,0),"")</f>
        <v>Standby On Call</v>
      </c>
      <c r="J947" s="12" t="s">
        <v>112</v>
      </c>
      <c r="K947" s="17">
        <v>46043.0</v>
      </c>
      <c r="L947" s="17">
        <v>46043.0</v>
      </c>
      <c r="M947" s="12" t="s">
        <v>137</v>
      </c>
      <c r="N947" s="23"/>
      <c r="O947" s="22"/>
      <c r="P947" s="22"/>
    </row>
    <row r="948" ht="22.5" customHeight="1">
      <c r="A948" s="12" t="s">
        <v>22</v>
      </c>
      <c r="B948" s="20" t="str">
        <f>IFERROR(VLOOKUP(A948,Sheet1!$E$3:$H$27,4,0),"")</f>
        <v>P2</v>
      </c>
      <c r="C948" s="14" t="s">
        <v>182</v>
      </c>
      <c r="D948" s="12" t="s">
        <v>45</v>
      </c>
      <c r="E948" s="13" t="str">
        <f>IFERROR(VLOOKUP(D948,Sheet1!$B$1:$C$45,2,0),"")</f>
        <v>MBP</v>
      </c>
      <c r="F948" s="12" t="s">
        <v>179</v>
      </c>
      <c r="G948" s="13" t="str">
        <f t="shared" si="4"/>
        <v>Palangkaraya</v>
      </c>
      <c r="H948" s="15" t="str">
        <f>IFERROR(VLOOKUP(A948,Sheet1!$E$3:$F$27,2,),"")</f>
        <v>Preventive</v>
      </c>
      <c r="I948" s="16" t="str">
        <f>IFERROR(VLOOKUP(A948,Sheet1!$E$3:$G$27,3,0),"")</f>
        <v>Preventive Maintenance</v>
      </c>
      <c r="J948" s="12" t="s">
        <v>112</v>
      </c>
      <c r="K948" s="17">
        <v>46043.0</v>
      </c>
      <c r="L948" s="17">
        <v>46043.0</v>
      </c>
      <c r="M948" s="12" t="s">
        <v>137</v>
      </c>
      <c r="N948" s="23"/>
      <c r="O948" s="22"/>
      <c r="P948" s="22"/>
    </row>
    <row r="949" ht="22.5" customHeight="1">
      <c r="A949" s="12" t="s">
        <v>52</v>
      </c>
      <c r="B949" s="20" t="str">
        <f>IFERROR(VLOOKUP(A949,Sheet1!$E$3:$H$27,4,0),"")</f>
        <v>P1</v>
      </c>
      <c r="C949" s="14" t="s">
        <v>470</v>
      </c>
      <c r="D949" s="12" t="s">
        <v>12</v>
      </c>
      <c r="E949" s="13" t="str">
        <f>IFERROR(VLOOKUP(D949,Sheet1!$B$1:$C$45,2,0),"")</f>
        <v>TE</v>
      </c>
      <c r="F949" s="12" t="s">
        <v>108</v>
      </c>
      <c r="G949" s="13" t="str">
        <f t="shared" si="4"/>
        <v>Barito Raya</v>
      </c>
      <c r="H949" s="15" t="str">
        <f>IFERROR(VLOOKUP(A949,Sheet1!$E$3:$F$27,2,),"")</f>
        <v>Preventive</v>
      </c>
      <c r="I949" s="16" t="str">
        <f>IFERROR(VLOOKUP(A949,Sheet1!$E$3:$G$27,3,0),"")</f>
        <v>MCB trip/Power upnormal</v>
      </c>
      <c r="J949" s="12" t="s">
        <v>112</v>
      </c>
      <c r="K949" s="17">
        <v>46044.0</v>
      </c>
      <c r="L949" s="17">
        <v>46044.0</v>
      </c>
      <c r="M949" s="12" t="s">
        <v>109</v>
      </c>
      <c r="N949" s="23"/>
      <c r="O949" s="22"/>
      <c r="P949" s="22"/>
    </row>
    <row r="950" ht="22.5" customHeight="1">
      <c r="A950" s="12" t="s">
        <v>5</v>
      </c>
      <c r="B950" s="20" t="str">
        <f>IFERROR(VLOOKUP(A950,Sheet1!$E$3:$H$27,4,0),"")</f>
        <v>P1</v>
      </c>
      <c r="C950" s="14" t="s">
        <v>446</v>
      </c>
      <c r="D950" s="12" t="s">
        <v>16</v>
      </c>
      <c r="E950" s="13" t="str">
        <f>IFERROR(VLOOKUP(D950,Sheet1!$B$1:$C$45,2,0),"")</f>
        <v>TE</v>
      </c>
      <c r="F950" s="12" t="s">
        <v>108</v>
      </c>
      <c r="G950" s="13" t="str">
        <f t="shared" si="4"/>
        <v>Barito Raya</v>
      </c>
      <c r="H950" s="15" t="str">
        <f>IFERROR(VLOOKUP(A950,Sheet1!$E$3:$F$27,2,),"")</f>
        <v>Corrective</v>
      </c>
      <c r="I950" s="16" t="str">
        <f>IFERROR(VLOOKUP(A950,Sheet1!$E$3:$G$27,3,0),"")</f>
        <v>Replace Optik,RRU/Soket Power/Replace GPS</v>
      </c>
      <c r="J950" s="12" t="s">
        <v>112</v>
      </c>
      <c r="K950" s="17">
        <v>46044.0</v>
      </c>
      <c r="L950" s="17">
        <v>46044.0</v>
      </c>
      <c r="M950" s="12" t="s">
        <v>109</v>
      </c>
      <c r="N950" s="18" t="s">
        <v>471</v>
      </c>
      <c r="O950" s="19"/>
      <c r="P950" s="19"/>
    </row>
    <row r="951" ht="22.5" customHeight="1">
      <c r="A951" s="12" t="s">
        <v>5</v>
      </c>
      <c r="B951" s="20" t="str">
        <f>IFERROR(VLOOKUP(A951,Sheet1!$E$3:$H$27,4,0),"")</f>
        <v>P1</v>
      </c>
      <c r="C951" s="14" t="s">
        <v>446</v>
      </c>
      <c r="D951" s="12" t="s">
        <v>21</v>
      </c>
      <c r="E951" s="13" t="str">
        <f>IFERROR(VLOOKUP(D951,Sheet1!$B$1:$C$45,2,0),"")</f>
        <v>TE</v>
      </c>
      <c r="F951" s="12" t="s">
        <v>108</v>
      </c>
      <c r="G951" s="13" t="str">
        <f t="shared" si="4"/>
        <v>Barito Raya</v>
      </c>
      <c r="H951" s="15" t="str">
        <f>IFERROR(VLOOKUP(A951,Sheet1!$E$3:$F$27,2,),"")</f>
        <v>Corrective</v>
      </c>
      <c r="I951" s="16" t="str">
        <f>IFERROR(VLOOKUP(A951,Sheet1!$E$3:$G$27,3,0),"")</f>
        <v>Replace Optik,RRU/Soket Power/Replace GPS</v>
      </c>
      <c r="J951" s="12" t="s">
        <v>112</v>
      </c>
      <c r="K951" s="17">
        <v>46044.0</v>
      </c>
      <c r="L951" s="17">
        <v>46044.0</v>
      </c>
      <c r="M951" s="12" t="s">
        <v>109</v>
      </c>
      <c r="N951" s="18" t="s">
        <v>471</v>
      </c>
      <c r="O951" s="19"/>
      <c r="P951" s="19"/>
    </row>
    <row r="952" ht="22.5" customHeight="1">
      <c r="A952" s="12" t="s">
        <v>61</v>
      </c>
      <c r="B952" s="20" t="str">
        <f>IFERROR(VLOOKUP(A952,Sheet1!$E$3:$H$27,4,0),"")</f>
        <v>P3</v>
      </c>
      <c r="C952" s="14" t="s">
        <v>447</v>
      </c>
      <c r="D952" s="12" t="s">
        <v>26</v>
      </c>
      <c r="E952" s="13" t="str">
        <f>IFERROR(VLOOKUP(D952,Sheet1!$B$1:$C$45,2,0),"")</f>
        <v>TE</v>
      </c>
      <c r="F952" s="12" t="s">
        <v>108</v>
      </c>
      <c r="G952" s="13" t="str">
        <f t="shared" si="4"/>
        <v>Barito Raya</v>
      </c>
      <c r="H952" s="15" t="str">
        <f>IFERROR(VLOOKUP(A952,Sheet1!$E$3:$F$27,2,),"")</f>
        <v>Corrective</v>
      </c>
      <c r="I952" s="16" t="str">
        <f>IFERROR(VLOOKUP(A952,Sheet1!$E$3:$G$27,3,0),"")</f>
        <v>Perbaikan Exhaust fan</v>
      </c>
      <c r="J952" s="12" t="s">
        <v>112</v>
      </c>
      <c r="K952" s="17">
        <v>46044.0</v>
      </c>
      <c r="L952" s="17">
        <v>46044.0</v>
      </c>
      <c r="M952" s="12" t="s">
        <v>109</v>
      </c>
      <c r="N952" s="23"/>
      <c r="O952" s="22"/>
      <c r="P952" s="22"/>
    </row>
    <row r="953" ht="22.5" customHeight="1">
      <c r="A953" s="12" t="s">
        <v>65</v>
      </c>
      <c r="B953" s="20" t="str">
        <f>IFERROR(VLOOKUP(A953,Sheet1!$E$3:$H$27,4,0),"")</f>
        <v>P3</v>
      </c>
      <c r="C953" s="15"/>
      <c r="D953" s="12" t="s">
        <v>88</v>
      </c>
      <c r="E953" s="13" t="str">
        <f>IFERROR(VLOOKUP(D953,Sheet1!$B$1:$C$45,2,0),"")</f>
        <v>TE</v>
      </c>
      <c r="F953" s="12" t="s">
        <v>108</v>
      </c>
      <c r="G953" s="13" t="str">
        <f t="shared" si="4"/>
        <v>Barito Raya</v>
      </c>
      <c r="H953" s="15" t="str">
        <f>IFERROR(VLOOKUP(A953,Sheet1!$E$3:$F$27,2,),"")</f>
        <v>Standby</v>
      </c>
      <c r="I953" s="16" t="str">
        <f>IFERROR(VLOOKUP(A953,Sheet1!$E$3:$G$27,3,0),"")</f>
        <v>Standby On Call</v>
      </c>
      <c r="J953" s="12" t="s">
        <v>112</v>
      </c>
      <c r="K953" s="17">
        <v>46044.0</v>
      </c>
      <c r="L953" s="17">
        <v>46044.0</v>
      </c>
      <c r="M953" s="12"/>
      <c r="N953" s="23"/>
      <c r="O953" s="22"/>
      <c r="P953" s="22"/>
    </row>
    <row r="954" ht="22.5" customHeight="1">
      <c r="A954" s="12" t="s">
        <v>52</v>
      </c>
      <c r="B954" s="20" t="str">
        <f>IFERROR(VLOOKUP(A954,Sheet1!$E$3:$H$27,4,0),"")</f>
        <v>P1</v>
      </c>
      <c r="C954" s="14" t="s">
        <v>265</v>
      </c>
      <c r="D954" s="12" t="s">
        <v>32</v>
      </c>
      <c r="E954" s="13" t="str">
        <f>IFERROR(VLOOKUP(D954,Sheet1!$B$1:$C$45,2,0),"")</f>
        <v>TE</v>
      </c>
      <c r="F954" s="12" t="s">
        <v>108</v>
      </c>
      <c r="G954" s="13" t="str">
        <f t="shared" si="4"/>
        <v>Barito Raya</v>
      </c>
      <c r="H954" s="15" t="str">
        <f>IFERROR(VLOOKUP(A954,Sheet1!$E$3:$F$27,2,),"")</f>
        <v>Preventive</v>
      </c>
      <c r="I954" s="16" t="str">
        <f>IFERROR(VLOOKUP(A954,Sheet1!$E$3:$G$27,3,0),"")</f>
        <v>MCB trip/Power upnormal</v>
      </c>
      <c r="J954" s="12" t="s">
        <v>112</v>
      </c>
      <c r="K954" s="17">
        <v>46044.0</v>
      </c>
      <c r="L954" s="17">
        <v>46044.0</v>
      </c>
      <c r="M954" s="12" t="s">
        <v>109</v>
      </c>
      <c r="N954" s="23"/>
      <c r="O954" s="22"/>
      <c r="P954" s="22"/>
    </row>
    <row r="955" ht="22.5" customHeight="1">
      <c r="A955" s="12" t="s">
        <v>14</v>
      </c>
      <c r="B955" s="20" t="str">
        <f>IFERROR(VLOOKUP(A955,Sheet1!$E$3:$H$27,4,0),"")</f>
        <v>P1</v>
      </c>
      <c r="C955" s="14" t="s">
        <v>472</v>
      </c>
      <c r="D955" s="12" t="s">
        <v>74</v>
      </c>
      <c r="E955" s="13" t="str">
        <f>IFERROR(VLOOKUP(D955,Sheet1!$B$1:$C$45,2,0),"")</f>
        <v>TE</v>
      </c>
      <c r="F955" s="12" t="s">
        <v>108</v>
      </c>
      <c r="G955" s="13" t="str">
        <f t="shared" si="4"/>
        <v>Barito Raya</v>
      </c>
      <c r="H955" s="15" t="str">
        <f>IFERROR(VLOOKUP(A955,Sheet1!$E$3:$F$27,2,),"")</f>
        <v>Corrective</v>
      </c>
      <c r="I955" s="16" t="str">
        <f>IFERROR(VLOOKUP(A955,Sheet1!$E$3:$G$27,3,0),"")</f>
        <v>Pemadaman,MCB Trip,Transmisi problem</v>
      </c>
      <c r="J955" s="12" t="s">
        <v>112</v>
      </c>
      <c r="K955" s="17">
        <v>46044.0</v>
      </c>
      <c r="L955" s="17">
        <v>46044.0</v>
      </c>
      <c r="M955" s="13"/>
      <c r="N955" s="23"/>
      <c r="O955" s="22"/>
      <c r="P955" s="22"/>
    </row>
    <row r="956" ht="22.5" customHeight="1">
      <c r="A956" s="12" t="s">
        <v>22</v>
      </c>
      <c r="B956" s="20" t="str">
        <f>IFERROR(VLOOKUP(A956,Sheet1!$E$3:$H$27,4,0),"")</f>
        <v>P2</v>
      </c>
      <c r="C956" s="14" t="s">
        <v>473</v>
      </c>
      <c r="D956" s="12" t="s">
        <v>60</v>
      </c>
      <c r="E956" s="13" t="str">
        <f>IFERROR(VLOOKUP(D956,Sheet1!$B$1:$C$45,2,0),"")</f>
        <v>TE</v>
      </c>
      <c r="F956" s="12" t="s">
        <v>108</v>
      </c>
      <c r="G956" s="13" t="str">
        <f t="shared" si="4"/>
        <v>Barito Raya</v>
      </c>
      <c r="H956" s="15" t="str">
        <f>IFERROR(VLOOKUP(A956,Sheet1!$E$3:$F$27,2,),"")</f>
        <v>Preventive</v>
      </c>
      <c r="I956" s="16" t="str">
        <f>IFERROR(VLOOKUP(A956,Sheet1!$E$3:$G$27,3,0),"")</f>
        <v>Preventive Maintenance</v>
      </c>
      <c r="J956" s="12" t="s">
        <v>112</v>
      </c>
      <c r="K956" s="17">
        <v>46044.0</v>
      </c>
      <c r="L956" s="17">
        <v>46044.0</v>
      </c>
      <c r="M956" s="12" t="s">
        <v>109</v>
      </c>
      <c r="N956" s="23"/>
      <c r="O956" s="22"/>
      <c r="P956" s="22"/>
    </row>
    <row r="957" ht="22.5" customHeight="1">
      <c r="A957" s="12" t="s">
        <v>52</v>
      </c>
      <c r="B957" s="20" t="str">
        <f>IFERROR(VLOOKUP(A957,Sheet1!$E$3:$H$27,4,0),"")</f>
        <v>P1</v>
      </c>
      <c r="C957" s="14" t="s">
        <v>474</v>
      </c>
      <c r="D957" s="12" t="s">
        <v>62</v>
      </c>
      <c r="E957" s="13" t="str">
        <f>IFERROR(VLOOKUP(D957,Sheet1!$B$1:$C$45,2,0),"")</f>
        <v>TE</v>
      </c>
      <c r="F957" s="12" t="s">
        <v>108</v>
      </c>
      <c r="G957" s="13" t="str">
        <f t="shared" si="4"/>
        <v>Barito Raya</v>
      </c>
      <c r="H957" s="15" t="str">
        <f>IFERROR(VLOOKUP(A957,Sheet1!$E$3:$F$27,2,),"")</f>
        <v>Preventive</v>
      </c>
      <c r="I957" s="16" t="str">
        <f>IFERROR(VLOOKUP(A957,Sheet1!$E$3:$G$27,3,0),"")</f>
        <v>MCB trip/Power upnormal</v>
      </c>
      <c r="J957" s="20"/>
      <c r="K957" s="17">
        <v>46044.0</v>
      </c>
      <c r="L957" s="17">
        <v>46044.0</v>
      </c>
      <c r="M957" s="12" t="s">
        <v>109</v>
      </c>
      <c r="N957" s="23"/>
      <c r="O957" s="22"/>
      <c r="P957" s="22"/>
    </row>
    <row r="958" ht="22.5" customHeight="1">
      <c r="A958" s="12" t="s">
        <v>14</v>
      </c>
      <c r="B958" s="20" t="str">
        <f>IFERROR(VLOOKUP(A958,Sheet1!$E$3:$H$27,4,0),"")</f>
        <v>P1</v>
      </c>
      <c r="C958" s="14" t="s">
        <v>475</v>
      </c>
      <c r="D958" s="12" t="s">
        <v>9</v>
      </c>
      <c r="E958" s="13" t="str">
        <f>IFERROR(VLOOKUP(D958,Sheet1!$B$1:$C$45,2,0),"")</f>
        <v>MBP</v>
      </c>
      <c r="F958" s="12" t="s">
        <v>108</v>
      </c>
      <c r="G958" s="13" t="str">
        <f t="shared" si="4"/>
        <v>Barito Raya</v>
      </c>
      <c r="H958" s="15" t="str">
        <f>IFERROR(VLOOKUP(A958,Sheet1!$E$3:$F$27,2,),"")</f>
        <v>Corrective</v>
      </c>
      <c r="I958" s="16" t="str">
        <f>IFERROR(VLOOKUP(A958,Sheet1!$E$3:$G$27,3,0),"")</f>
        <v>Pemadaman,MCB Trip,Transmisi problem</v>
      </c>
      <c r="J958" s="12" t="s">
        <v>112</v>
      </c>
      <c r="K958" s="17">
        <v>46044.0</v>
      </c>
      <c r="L958" s="17">
        <v>46044.0</v>
      </c>
      <c r="M958" s="12" t="s">
        <v>109</v>
      </c>
      <c r="N958" s="23"/>
      <c r="O958" s="22"/>
      <c r="P958" s="22"/>
    </row>
    <row r="959" ht="22.5" customHeight="1">
      <c r="A959" s="12" t="s">
        <v>14</v>
      </c>
      <c r="B959" s="20" t="str">
        <f>IFERROR(VLOOKUP(A959,Sheet1!$E$3:$H$27,4,0),"")</f>
        <v>P1</v>
      </c>
      <c r="C959" s="14" t="s">
        <v>407</v>
      </c>
      <c r="D959" s="12" t="s">
        <v>4</v>
      </c>
      <c r="E959" s="13" t="str">
        <f>IFERROR(VLOOKUP(D959,Sheet1!$B$1:$C$45,2,0),"")</f>
        <v>CME</v>
      </c>
      <c r="F959" s="12" t="s">
        <v>108</v>
      </c>
      <c r="G959" s="13" t="str">
        <f t="shared" si="4"/>
        <v>Barito Raya</v>
      </c>
      <c r="H959" s="15" t="str">
        <f>IFERROR(VLOOKUP(A959,Sheet1!$E$3:$F$27,2,),"")</f>
        <v>Corrective</v>
      </c>
      <c r="I959" s="16" t="str">
        <f>IFERROR(VLOOKUP(A959,Sheet1!$E$3:$G$27,3,0),"")</f>
        <v>Pemadaman,MCB Trip,Transmisi problem</v>
      </c>
      <c r="J959" s="12" t="s">
        <v>112</v>
      </c>
      <c r="K959" s="17">
        <v>46044.0</v>
      </c>
      <c r="L959" s="17">
        <v>46044.0</v>
      </c>
      <c r="M959" s="12" t="s">
        <v>109</v>
      </c>
      <c r="N959" s="23"/>
      <c r="O959" s="22"/>
      <c r="P959" s="22"/>
    </row>
    <row r="960" ht="22.5" customHeight="1">
      <c r="A960" s="12" t="s">
        <v>65</v>
      </c>
      <c r="B960" s="20" t="str">
        <f>IFERROR(VLOOKUP(A960,Sheet1!$E$3:$H$27,4,0),"")</f>
        <v>P3</v>
      </c>
      <c r="C960" s="15"/>
      <c r="D960" s="12" t="s">
        <v>87</v>
      </c>
      <c r="E960" s="13" t="str">
        <f>IFERROR(VLOOKUP(D960,Sheet1!$B$1:$C$45,2,0),"")</f>
        <v>MBP</v>
      </c>
      <c r="F960" s="12" t="s">
        <v>108</v>
      </c>
      <c r="G960" s="13" t="str">
        <f t="shared" si="4"/>
        <v>Barito Raya</v>
      </c>
      <c r="H960" s="15" t="str">
        <f>IFERROR(VLOOKUP(A960,Sheet1!$E$3:$F$27,2,),"")</f>
        <v>Standby</v>
      </c>
      <c r="I960" s="16" t="str">
        <f>IFERROR(VLOOKUP(A960,Sheet1!$E$3:$G$27,3,0),"")</f>
        <v>Standby On Call</v>
      </c>
      <c r="J960" s="20"/>
      <c r="K960" s="17">
        <v>46044.0</v>
      </c>
      <c r="L960" s="17">
        <v>46044.0</v>
      </c>
      <c r="M960" s="13"/>
      <c r="N960" s="23"/>
      <c r="O960" s="22"/>
      <c r="P960" s="22"/>
    </row>
    <row r="961" ht="22.5" customHeight="1">
      <c r="A961" s="12" t="s">
        <v>65</v>
      </c>
      <c r="B961" s="20" t="str">
        <f>IFERROR(VLOOKUP(A961,Sheet1!$E$3:$H$27,4,0),"")</f>
        <v>P3</v>
      </c>
      <c r="C961" s="15"/>
      <c r="D961" s="12" t="s">
        <v>29</v>
      </c>
      <c r="E961" s="13" t="str">
        <f>IFERROR(VLOOKUP(D961,Sheet1!$B$1:$C$45,2,0),"")</f>
        <v>MBP</v>
      </c>
      <c r="F961" s="12" t="s">
        <v>108</v>
      </c>
      <c r="G961" s="13" t="str">
        <f t="shared" si="4"/>
        <v>Barito Raya</v>
      </c>
      <c r="H961" s="15" t="str">
        <f>IFERROR(VLOOKUP(A961,Sheet1!$E$3:$F$27,2,),"")</f>
        <v>Standby</v>
      </c>
      <c r="I961" s="16" t="str">
        <f>IFERROR(VLOOKUP(A961,Sheet1!$E$3:$G$27,3,0),"")</f>
        <v>Standby On Call</v>
      </c>
      <c r="J961" s="20"/>
      <c r="K961" s="17">
        <v>46044.0</v>
      </c>
      <c r="L961" s="17">
        <v>46044.0</v>
      </c>
      <c r="M961" s="13"/>
      <c r="N961" s="23"/>
      <c r="O961" s="22"/>
      <c r="P961" s="22"/>
    </row>
    <row r="962" ht="22.5" customHeight="1">
      <c r="A962" s="12" t="s">
        <v>65</v>
      </c>
      <c r="B962" s="20" t="str">
        <f>IFERROR(VLOOKUP(A962,Sheet1!$E$3:$H$27,4,0),"")</f>
        <v>P3</v>
      </c>
      <c r="C962" s="15"/>
      <c r="D962" s="12" t="s">
        <v>0</v>
      </c>
      <c r="E962" s="13" t="str">
        <f>IFERROR(VLOOKUP(D962,Sheet1!$B$1:$C$45,2,0),"")</f>
        <v>MBP</v>
      </c>
      <c r="F962" s="12" t="s">
        <v>108</v>
      </c>
      <c r="G962" s="13" t="str">
        <f t="shared" si="4"/>
        <v>Barito Raya</v>
      </c>
      <c r="H962" s="15" t="str">
        <f>IFERROR(VLOOKUP(A962,Sheet1!$E$3:$F$27,2,),"")</f>
        <v>Standby</v>
      </c>
      <c r="I962" s="16" t="str">
        <f>IFERROR(VLOOKUP(A962,Sheet1!$E$3:$G$27,3,0),"")</f>
        <v>Standby On Call</v>
      </c>
      <c r="J962" s="20"/>
      <c r="K962" s="17">
        <v>46044.0</v>
      </c>
      <c r="L962" s="17">
        <v>46044.0</v>
      </c>
      <c r="M962" s="13"/>
      <c r="N962" s="23"/>
      <c r="O962" s="22"/>
      <c r="P962" s="22"/>
    </row>
    <row r="963" ht="22.5" customHeight="1">
      <c r="A963" s="12" t="s">
        <v>22</v>
      </c>
      <c r="B963" s="20" t="str">
        <f>IFERROR(VLOOKUP(A963,Sheet1!$E$3:$H$27,4,0),"")</f>
        <v>P2</v>
      </c>
      <c r="C963" s="14" t="s">
        <v>208</v>
      </c>
      <c r="D963" s="12" t="s">
        <v>85</v>
      </c>
      <c r="E963" s="13" t="str">
        <f>IFERROR(VLOOKUP(D963,Sheet1!$B$1:$C$45,2,0),"")</f>
        <v>PM</v>
      </c>
      <c r="F963" s="12" t="s">
        <v>108</v>
      </c>
      <c r="G963" s="13" t="str">
        <f t="shared" si="4"/>
        <v>Barito Raya</v>
      </c>
      <c r="H963" s="15" t="str">
        <f>IFERROR(VLOOKUP(A963,Sheet1!$E$3:$F$27,2,),"")</f>
        <v>Preventive</v>
      </c>
      <c r="I963" s="16" t="str">
        <f>IFERROR(VLOOKUP(A963,Sheet1!$E$3:$G$27,3,0),"")</f>
        <v>Preventive Maintenance</v>
      </c>
      <c r="J963" s="12" t="s">
        <v>112</v>
      </c>
      <c r="K963" s="17">
        <v>46044.0</v>
      </c>
      <c r="L963" s="17">
        <v>46044.0</v>
      </c>
      <c r="M963" s="12" t="s">
        <v>109</v>
      </c>
      <c r="N963" s="23"/>
      <c r="O963" s="22"/>
      <c r="P963" s="22"/>
    </row>
    <row r="964" ht="22.5" customHeight="1">
      <c r="A964" s="12" t="s">
        <v>22</v>
      </c>
      <c r="B964" s="20" t="str">
        <f>IFERROR(VLOOKUP(A964,Sheet1!$E$3:$H$27,4,0),"")</f>
        <v>P2</v>
      </c>
      <c r="C964" s="14" t="s">
        <v>208</v>
      </c>
      <c r="D964" s="12" t="s">
        <v>84</v>
      </c>
      <c r="E964" s="13" t="str">
        <f>IFERROR(VLOOKUP(D964,Sheet1!$B$1:$C$45,2,0),"")</f>
        <v>MBP</v>
      </c>
      <c r="F964" s="12" t="s">
        <v>108</v>
      </c>
      <c r="G964" s="13" t="str">
        <f t="shared" si="4"/>
        <v>Barito Raya</v>
      </c>
      <c r="H964" s="15" t="str">
        <f>IFERROR(VLOOKUP(A964,Sheet1!$E$3:$F$27,2,),"")</f>
        <v>Preventive</v>
      </c>
      <c r="I964" s="16" t="str">
        <f>IFERROR(VLOOKUP(A964,Sheet1!$E$3:$G$27,3,0),"")</f>
        <v>Preventive Maintenance</v>
      </c>
      <c r="J964" s="12" t="s">
        <v>112</v>
      </c>
      <c r="K964" s="17">
        <v>46044.0</v>
      </c>
      <c r="L964" s="17">
        <v>46044.0</v>
      </c>
      <c r="M964" s="12" t="s">
        <v>109</v>
      </c>
      <c r="N964" s="23"/>
      <c r="O964" s="22"/>
      <c r="P964" s="22"/>
    </row>
    <row r="965" ht="22.5" customHeight="1">
      <c r="A965" s="12" t="s">
        <v>22</v>
      </c>
      <c r="B965" s="20" t="str">
        <f>IFERROR(VLOOKUP(A965,Sheet1!$E$3:$H$27,4,0),"")</f>
        <v>P2</v>
      </c>
      <c r="C965" s="14" t="s">
        <v>284</v>
      </c>
      <c r="D965" s="12" t="s">
        <v>86</v>
      </c>
      <c r="E965" s="13" t="str">
        <f>IFERROR(VLOOKUP(D965,Sheet1!$B$1:$C$45,2,0),"")</f>
        <v>PM</v>
      </c>
      <c r="F965" s="12" t="s">
        <v>108</v>
      </c>
      <c r="G965" s="13" t="str">
        <f t="shared" si="4"/>
        <v>Barito Raya</v>
      </c>
      <c r="H965" s="15" t="str">
        <f>IFERROR(VLOOKUP(A965,Sheet1!$E$3:$F$27,2,),"")</f>
        <v>Preventive</v>
      </c>
      <c r="I965" s="16" t="str">
        <f>IFERROR(VLOOKUP(A965,Sheet1!$E$3:$G$27,3,0),"")</f>
        <v>Preventive Maintenance</v>
      </c>
      <c r="J965" s="12" t="s">
        <v>112</v>
      </c>
      <c r="K965" s="17">
        <v>46044.0</v>
      </c>
      <c r="L965" s="17">
        <v>46044.0</v>
      </c>
      <c r="M965" s="12" t="s">
        <v>109</v>
      </c>
      <c r="N965" s="23"/>
      <c r="O965" s="22"/>
      <c r="P965" s="22"/>
    </row>
    <row r="966" ht="22.5" customHeight="1">
      <c r="A966" s="12" t="s">
        <v>14</v>
      </c>
      <c r="B966" s="20" t="str">
        <f>IFERROR(VLOOKUP(A966,Sheet1!$E$3:$H$27,4,0),"")</f>
        <v>P1</v>
      </c>
      <c r="C966" s="14" t="s">
        <v>363</v>
      </c>
      <c r="D966" s="12" t="s">
        <v>42</v>
      </c>
      <c r="E966" s="13" t="str">
        <f>IFERROR(VLOOKUP(D966,Sheet1!$B$1:$C$45,2,0),"")</f>
        <v>TE</v>
      </c>
      <c r="F966" s="12" t="s">
        <v>179</v>
      </c>
      <c r="G966" s="13" t="str">
        <f t="shared" si="4"/>
        <v>Palangkaraya</v>
      </c>
      <c r="H966" s="15" t="str">
        <f>IFERROR(VLOOKUP(A966,Sheet1!$E$3:$F$27,2,),"")</f>
        <v>Corrective</v>
      </c>
      <c r="I966" s="16" t="str">
        <f>IFERROR(VLOOKUP(A966,Sheet1!$E$3:$G$27,3,0),"")</f>
        <v>Pemadaman,MCB Trip,Transmisi problem</v>
      </c>
      <c r="J966" s="12" t="s">
        <v>112</v>
      </c>
      <c r="K966" s="17">
        <v>46044.0</v>
      </c>
      <c r="L966" s="24"/>
      <c r="M966" s="13"/>
      <c r="N966" s="23"/>
      <c r="O966" s="22"/>
      <c r="P966" s="22"/>
    </row>
    <row r="967" ht="22.5" customHeight="1">
      <c r="A967" s="12" t="s">
        <v>5</v>
      </c>
      <c r="B967" s="20" t="str">
        <f>IFERROR(VLOOKUP(A967,Sheet1!$E$3:$H$27,4,0),"")</f>
        <v>P1</v>
      </c>
      <c r="C967" s="14" t="s">
        <v>299</v>
      </c>
      <c r="D967" s="12" t="s">
        <v>80</v>
      </c>
      <c r="E967" s="13" t="str">
        <f>IFERROR(VLOOKUP(D967,Sheet1!$B$1:$C$45,2,0),"")</f>
        <v>TE</v>
      </c>
      <c r="F967" s="12" t="s">
        <v>179</v>
      </c>
      <c r="G967" s="13" t="str">
        <f t="shared" si="4"/>
        <v>Palangkaraya</v>
      </c>
      <c r="H967" s="15" t="str">
        <f>IFERROR(VLOOKUP(A967,Sheet1!$E$3:$F$27,2,),"")</f>
        <v>Corrective</v>
      </c>
      <c r="I967" s="16" t="str">
        <f>IFERROR(VLOOKUP(A967,Sheet1!$E$3:$G$27,3,0),"")</f>
        <v>Replace Optik,RRU/Soket Power/Replace GPS</v>
      </c>
      <c r="J967" s="12" t="s">
        <v>112</v>
      </c>
      <c r="K967" s="17">
        <v>46044.0</v>
      </c>
      <c r="L967" s="24"/>
      <c r="M967" s="13"/>
      <c r="N967" s="23"/>
      <c r="O967" s="22"/>
      <c r="P967" s="22"/>
    </row>
    <row r="968" ht="22.5" customHeight="1">
      <c r="A968" s="12" t="s">
        <v>5</v>
      </c>
      <c r="B968" s="20" t="str">
        <f>IFERROR(VLOOKUP(A968,Sheet1!$E$3:$H$27,4,0),"")</f>
        <v>P1</v>
      </c>
      <c r="C968" s="14" t="s">
        <v>299</v>
      </c>
      <c r="D968" s="12" t="s">
        <v>77</v>
      </c>
      <c r="E968" s="13" t="str">
        <f>IFERROR(VLOOKUP(D968,Sheet1!$B$1:$C$45,2,0),"")</f>
        <v>TE</v>
      </c>
      <c r="F968" s="12" t="s">
        <v>179</v>
      </c>
      <c r="G968" s="13" t="str">
        <f t="shared" si="4"/>
        <v>Palangkaraya</v>
      </c>
      <c r="H968" s="15" t="str">
        <f>IFERROR(VLOOKUP(A968,Sheet1!$E$3:$F$27,2,),"")</f>
        <v>Corrective</v>
      </c>
      <c r="I968" s="16" t="str">
        <f>IFERROR(VLOOKUP(A968,Sheet1!$E$3:$G$27,3,0),"")</f>
        <v>Replace Optik,RRU/Soket Power/Replace GPS</v>
      </c>
      <c r="J968" s="12" t="s">
        <v>112</v>
      </c>
      <c r="K968" s="17">
        <v>46044.0</v>
      </c>
      <c r="L968" s="24"/>
      <c r="M968" s="13"/>
      <c r="N968" s="23"/>
      <c r="O968" s="22"/>
      <c r="P968" s="22"/>
    </row>
    <row r="969" ht="22.5" customHeight="1">
      <c r="A969" s="12" t="s">
        <v>5</v>
      </c>
      <c r="B969" s="20" t="str">
        <f>IFERROR(VLOOKUP(A969,Sheet1!$E$3:$H$27,4,0),"")</f>
        <v>P1</v>
      </c>
      <c r="C969" s="14" t="s">
        <v>476</v>
      </c>
      <c r="D969" s="12" t="s">
        <v>37</v>
      </c>
      <c r="E969" s="13" t="str">
        <f>IFERROR(VLOOKUP(D969,Sheet1!$B$1:$C$45,2,0),"")</f>
        <v>TE</v>
      </c>
      <c r="F969" s="12" t="s">
        <v>179</v>
      </c>
      <c r="G969" s="13" t="str">
        <f t="shared" si="4"/>
        <v>Palangkaraya</v>
      </c>
      <c r="H969" s="15" t="str">
        <f>IFERROR(VLOOKUP(A969,Sheet1!$E$3:$F$27,2,),"")</f>
        <v>Corrective</v>
      </c>
      <c r="I969" s="16" t="str">
        <f>IFERROR(VLOOKUP(A969,Sheet1!$E$3:$G$27,3,0),"")</f>
        <v>Replace Optik,RRU/Soket Power/Replace GPS</v>
      </c>
      <c r="J969" s="12" t="s">
        <v>112</v>
      </c>
      <c r="K969" s="17">
        <v>46044.0</v>
      </c>
      <c r="L969" s="24"/>
      <c r="M969" s="13"/>
      <c r="N969" s="23"/>
      <c r="O969" s="22"/>
      <c r="P969" s="22"/>
    </row>
    <row r="970" ht="22.5" customHeight="1">
      <c r="A970" s="12" t="s">
        <v>5</v>
      </c>
      <c r="B970" s="20" t="str">
        <f>IFERROR(VLOOKUP(A970,Sheet1!$E$3:$H$27,4,0),"")</f>
        <v>P1</v>
      </c>
      <c r="C970" s="14" t="s">
        <v>402</v>
      </c>
      <c r="D970" s="12" t="s">
        <v>51</v>
      </c>
      <c r="E970" s="13" t="str">
        <f>IFERROR(VLOOKUP(D970,Sheet1!$B$1:$C$45,2,0),"")</f>
        <v>TE</v>
      </c>
      <c r="F970" s="12" t="s">
        <v>179</v>
      </c>
      <c r="G970" s="13" t="str">
        <f t="shared" si="4"/>
        <v>Palangkaraya</v>
      </c>
      <c r="H970" s="15" t="str">
        <f>IFERROR(VLOOKUP(A970,Sheet1!$E$3:$F$27,2,),"")</f>
        <v>Corrective</v>
      </c>
      <c r="I970" s="16" t="str">
        <f>IFERROR(VLOOKUP(A970,Sheet1!$E$3:$G$27,3,0),"")</f>
        <v>Replace Optik,RRU/Soket Power/Replace GPS</v>
      </c>
      <c r="J970" s="12" t="s">
        <v>112</v>
      </c>
      <c r="K970" s="17">
        <v>46044.0</v>
      </c>
      <c r="L970" s="24"/>
      <c r="M970" s="13"/>
      <c r="N970" s="23"/>
      <c r="O970" s="22"/>
      <c r="P970" s="22"/>
    </row>
    <row r="971" ht="22.5" customHeight="1">
      <c r="A971" s="12" t="s">
        <v>14</v>
      </c>
      <c r="B971" s="20" t="str">
        <f>IFERROR(VLOOKUP(A971,Sheet1!$E$3:$H$27,4,0),"")</f>
        <v>P1</v>
      </c>
      <c r="C971" s="14" t="s">
        <v>477</v>
      </c>
      <c r="D971" s="12" t="s">
        <v>79</v>
      </c>
      <c r="E971" s="13" t="str">
        <f>IFERROR(VLOOKUP(D971,Sheet1!$B$1:$C$45,2,0),"")</f>
        <v>TE</v>
      </c>
      <c r="F971" s="12" t="s">
        <v>179</v>
      </c>
      <c r="G971" s="13" t="str">
        <f t="shared" si="4"/>
        <v>Palangkaraya</v>
      </c>
      <c r="H971" s="15" t="str">
        <f>IFERROR(VLOOKUP(A971,Sheet1!$E$3:$F$27,2,),"")</f>
        <v>Corrective</v>
      </c>
      <c r="I971" s="16" t="str">
        <f>IFERROR(VLOOKUP(A971,Sheet1!$E$3:$G$27,3,0),"")</f>
        <v>Pemadaman,MCB Trip,Transmisi problem</v>
      </c>
      <c r="J971" s="12" t="s">
        <v>112</v>
      </c>
      <c r="K971" s="17">
        <v>46044.0</v>
      </c>
      <c r="L971" s="24"/>
      <c r="M971" s="13"/>
      <c r="N971" s="23"/>
      <c r="O971" s="22"/>
      <c r="P971" s="22"/>
    </row>
    <row r="972" ht="22.5" customHeight="1">
      <c r="A972" s="12" t="s">
        <v>5</v>
      </c>
      <c r="B972" s="20" t="str">
        <f>IFERROR(VLOOKUP(A972,Sheet1!$E$3:$H$27,4,0),"")</f>
        <v>P1</v>
      </c>
      <c r="C972" s="14" t="s">
        <v>360</v>
      </c>
      <c r="D972" s="12" t="s">
        <v>71</v>
      </c>
      <c r="E972" s="13" t="str">
        <f>IFERROR(VLOOKUP(D972,Sheet1!$B$1:$C$45,2,0),"")</f>
        <v>TE</v>
      </c>
      <c r="F972" s="12" t="s">
        <v>179</v>
      </c>
      <c r="G972" s="13" t="str">
        <f t="shared" si="4"/>
        <v>Palangkaraya</v>
      </c>
      <c r="H972" s="15" t="str">
        <f>IFERROR(VLOOKUP(A972,Sheet1!$E$3:$F$27,2,),"")</f>
        <v>Corrective</v>
      </c>
      <c r="I972" s="16" t="str">
        <f>IFERROR(VLOOKUP(A972,Sheet1!$E$3:$G$27,3,0),"")</f>
        <v>Replace Optik,RRU/Soket Power/Replace GPS</v>
      </c>
      <c r="J972" s="12" t="s">
        <v>112</v>
      </c>
      <c r="K972" s="17">
        <v>46044.0</v>
      </c>
      <c r="L972" s="24"/>
      <c r="M972" s="13"/>
      <c r="N972" s="23"/>
      <c r="O972" s="22"/>
      <c r="P972" s="22"/>
    </row>
    <row r="973" ht="22.5" customHeight="1">
      <c r="A973" s="12" t="s">
        <v>5</v>
      </c>
      <c r="B973" s="20" t="str">
        <f>IFERROR(VLOOKUP(A973,Sheet1!$E$3:$H$27,4,0),"")</f>
        <v>P1</v>
      </c>
      <c r="C973" s="14" t="s">
        <v>360</v>
      </c>
      <c r="D973" s="12" t="s">
        <v>69</v>
      </c>
      <c r="E973" s="13" t="str">
        <f>IFERROR(VLOOKUP(D973,Sheet1!$B$1:$C$45,2,0),"")</f>
        <v>TE</v>
      </c>
      <c r="F973" s="12" t="s">
        <v>179</v>
      </c>
      <c r="G973" s="13" t="str">
        <f t="shared" si="4"/>
        <v>Palangkaraya</v>
      </c>
      <c r="H973" s="15" t="str">
        <f>IFERROR(VLOOKUP(A973,Sheet1!$E$3:$F$27,2,),"")</f>
        <v>Corrective</v>
      </c>
      <c r="I973" s="16" t="str">
        <f>IFERROR(VLOOKUP(A973,Sheet1!$E$3:$G$27,3,0),"")</f>
        <v>Replace Optik,RRU/Soket Power/Replace GPS</v>
      </c>
      <c r="J973" s="12" t="s">
        <v>112</v>
      </c>
      <c r="K973" s="17">
        <v>46044.0</v>
      </c>
      <c r="L973" s="24"/>
      <c r="M973" s="13"/>
      <c r="N973" s="23"/>
      <c r="O973" s="22"/>
      <c r="P973" s="22"/>
    </row>
    <row r="974" ht="22.5" customHeight="1">
      <c r="A974" s="12" t="s">
        <v>10</v>
      </c>
      <c r="B974" s="20" t="str">
        <f>IFERROR(VLOOKUP(A974,Sheet1!$E$3:$H$27,4,0),"")</f>
        <v>P1</v>
      </c>
      <c r="C974" s="14" t="s">
        <v>463</v>
      </c>
      <c r="D974" s="12" t="s">
        <v>91</v>
      </c>
      <c r="E974" s="13" t="str">
        <f>IFERROR(VLOOKUP(D974,Sheet1!$B$1:$C$45,2,0),"")</f>
        <v>TE</v>
      </c>
      <c r="F974" s="12" t="s">
        <v>179</v>
      </c>
      <c r="G974" s="13" t="str">
        <f t="shared" si="4"/>
        <v>Palangkaraya</v>
      </c>
      <c r="H974" s="15" t="str">
        <f>IFERROR(VLOOKUP(A974,Sheet1!$E$3:$F$27,2,),"")</f>
        <v>Corrective</v>
      </c>
      <c r="I974" s="16" t="str">
        <f>IFERROR(VLOOKUP(A974,Sheet1!$E$3:$G$27,3,0),"")</f>
        <v>Replace Jumper,antena/RRU</v>
      </c>
      <c r="J974" s="12" t="s">
        <v>112</v>
      </c>
      <c r="K974" s="17">
        <v>46044.0</v>
      </c>
      <c r="L974" s="24"/>
      <c r="M974" s="13"/>
      <c r="N974" s="23"/>
      <c r="O974" s="22"/>
      <c r="P974" s="22"/>
    </row>
    <row r="975" ht="22.5" customHeight="1">
      <c r="A975" s="12" t="s">
        <v>14</v>
      </c>
      <c r="B975" s="20" t="str">
        <f>IFERROR(VLOOKUP(A975,Sheet1!$E$3:$H$27,4,0),"")</f>
        <v>P1</v>
      </c>
      <c r="C975" s="14" t="s">
        <v>478</v>
      </c>
      <c r="D975" s="12" t="s">
        <v>58</v>
      </c>
      <c r="E975" s="13" t="str">
        <f>IFERROR(VLOOKUP(D975,Sheet1!$B$1:$C$45,2,0),"")</f>
        <v>TE</v>
      </c>
      <c r="F975" s="12" t="s">
        <v>179</v>
      </c>
      <c r="G975" s="13" t="str">
        <f t="shared" si="4"/>
        <v>Palangkaraya</v>
      </c>
      <c r="H975" s="15" t="str">
        <f>IFERROR(VLOOKUP(A975,Sheet1!$E$3:$F$27,2,),"")</f>
        <v>Corrective</v>
      </c>
      <c r="I975" s="16" t="str">
        <f>IFERROR(VLOOKUP(A975,Sheet1!$E$3:$G$27,3,0),"")</f>
        <v>Pemadaman,MCB Trip,Transmisi problem</v>
      </c>
      <c r="J975" s="12" t="s">
        <v>112</v>
      </c>
      <c r="K975" s="17">
        <v>46044.0</v>
      </c>
      <c r="L975" s="24"/>
      <c r="M975" s="13"/>
      <c r="N975" s="23"/>
      <c r="O975" s="22"/>
      <c r="P975" s="22"/>
    </row>
    <row r="976" ht="22.5" customHeight="1">
      <c r="A976" s="12" t="s">
        <v>65</v>
      </c>
      <c r="B976" s="20" t="str">
        <f>IFERROR(VLOOKUP(A976,Sheet1!$E$3:$H$27,4,0),"")</f>
        <v>P3</v>
      </c>
      <c r="C976" s="14"/>
      <c r="D976" s="12" t="s">
        <v>56</v>
      </c>
      <c r="E976" s="13" t="str">
        <f>IFERROR(VLOOKUP(D976,Sheet1!$B$1:$C$45,2,0),"")</f>
        <v>TE</v>
      </c>
      <c r="F976" s="12" t="s">
        <v>179</v>
      </c>
      <c r="G976" s="13" t="str">
        <f t="shared" si="4"/>
        <v>Palangkaraya</v>
      </c>
      <c r="H976" s="15" t="str">
        <f>IFERROR(VLOOKUP(A976,Sheet1!$E$3:$F$27,2,),"")</f>
        <v>Standby</v>
      </c>
      <c r="I976" s="16" t="str">
        <f>IFERROR(VLOOKUP(A976,Sheet1!$E$3:$G$27,3,0),"")</f>
        <v>Standby On Call</v>
      </c>
      <c r="J976" s="12" t="s">
        <v>66</v>
      </c>
      <c r="K976" s="17">
        <v>46044.0</v>
      </c>
      <c r="L976" s="24"/>
      <c r="M976" s="13"/>
      <c r="N976" s="23"/>
      <c r="O976" s="22"/>
      <c r="P976" s="22"/>
    </row>
    <row r="977" ht="22.5" customHeight="1">
      <c r="A977" s="12" t="s">
        <v>22</v>
      </c>
      <c r="B977" s="20" t="str">
        <f>IFERROR(VLOOKUP(A977,Sheet1!$E$3:$H$27,4,0),"")</f>
        <v>P2</v>
      </c>
      <c r="C977" s="14" t="s">
        <v>455</v>
      </c>
      <c r="D977" s="12" t="s">
        <v>83</v>
      </c>
      <c r="E977" s="13" t="str">
        <f>IFERROR(VLOOKUP(D977,Sheet1!$B$1:$C$45,2,0),"")</f>
        <v>PM</v>
      </c>
      <c r="F977" s="12" t="s">
        <v>179</v>
      </c>
      <c r="G977" s="13" t="str">
        <f t="shared" si="4"/>
        <v>Palangkaraya</v>
      </c>
      <c r="H977" s="15" t="str">
        <f>IFERROR(VLOOKUP(A977,Sheet1!$E$3:$F$27,2,),"")</f>
        <v>Preventive</v>
      </c>
      <c r="I977" s="16" t="str">
        <f>IFERROR(VLOOKUP(A977,Sheet1!$E$3:$G$27,3,0),"")</f>
        <v>Preventive Maintenance</v>
      </c>
      <c r="J977" s="12" t="s">
        <v>112</v>
      </c>
      <c r="K977" s="17">
        <v>46044.0</v>
      </c>
      <c r="L977" s="24"/>
      <c r="M977" s="13"/>
      <c r="N977" s="23"/>
      <c r="O977" s="22"/>
      <c r="P977" s="22"/>
    </row>
    <row r="978" ht="22.5" customHeight="1">
      <c r="A978" s="12" t="s">
        <v>22</v>
      </c>
      <c r="B978" s="20" t="str">
        <f>IFERROR(VLOOKUP(A978,Sheet1!$E$3:$H$27,4,0),"")</f>
        <v>P2</v>
      </c>
      <c r="C978" s="14" t="s">
        <v>268</v>
      </c>
      <c r="D978" s="12" t="s">
        <v>82</v>
      </c>
      <c r="E978" s="13" t="str">
        <f>IFERROR(VLOOKUP(D978,Sheet1!$B$1:$C$45,2,0),"")</f>
        <v>PM</v>
      </c>
      <c r="F978" s="12" t="s">
        <v>179</v>
      </c>
      <c r="G978" s="13" t="str">
        <f t="shared" si="4"/>
        <v>Palangkaraya</v>
      </c>
      <c r="H978" s="15" t="str">
        <f>IFERROR(VLOOKUP(A978,Sheet1!$E$3:$F$27,2,),"")</f>
        <v>Preventive</v>
      </c>
      <c r="I978" s="16" t="str">
        <f>IFERROR(VLOOKUP(A978,Sheet1!$E$3:$G$27,3,0),"")</f>
        <v>Preventive Maintenance</v>
      </c>
      <c r="J978" s="12" t="s">
        <v>112</v>
      </c>
      <c r="K978" s="17">
        <v>46044.0</v>
      </c>
      <c r="L978" s="24"/>
      <c r="M978" s="13"/>
      <c r="N978" s="23"/>
      <c r="O978" s="22"/>
      <c r="P978" s="22"/>
    </row>
    <row r="979" ht="22.5" customHeight="1">
      <c r="A979" s="12" t="s">
        <v>14</v>
      </c>
      <c r="B979" s="20" t="str">
        <f>IFERROR(VLOOKUP(A979,Sheet1!$E$3:$H$27,4,0),"")</f>
        <v>P1</v>
      </c>
      <c r="C979" s="14" t="s">
        <v>409</v>
      </c>
      <c r="D979" s="12" t="s">
        <v>75</v>
      </c>
      <c r="E979" s="13" t="str">
        <f>IFERROR(VLOOKUP(D979,Sheet1!$B$1:$C$45,2,0),"")</f>
        <v>CME</v>
      </c>
      <c r="F979" s="12" t="s">
        <v>179</v>
      </c>
      <c r="G979" s="13" t="str">
        <f t="shared" si="4"/>
        <v>Palangkaraya</v>
      </c>
      <c r="H979" s="15" t="str">
        <f>IFERROR(VLOOKUP(A979,Sheet1!$E$3:$F$27,2,),"")</f>
        <v>Corrective</v>
      </c>
      <c r="I979" s="16" t="str">
        <f>IFERROR(VLOOKUP(A979,Sheet1!$E$3:$G$27,3,0),"")</f>
        <v>Pemadaman,MCB Trip,Transmisi problem</v>
      </c>
      <c r="J979" s="12" t="s">
        <v>112</v>
      </c>
      <c r="K979" s="17">
        <v>46044.0</v>
      </c>
      <c r="L979" s="24"/>
      <c r="M979" s="13"/>
      <c r="N979" s="23"/>
      <c r="O979" s="22"/>
      <c r="P979" s="22"/>
    </row>
    <row r="980" ht="22.5" customHeight="1">
      <c r="A980" s="12" t="s">
        <v>65</v>
      </c>
      <c r="B980" s="20" t="str">
        <f>IFERROR(VLOOKUP(A980,Sheet1!$E$3:$H$27,4,0),"")</f>
        <v>P3</v>
      </c>
      <c r="C980" s="14"/>
      <c r="D980" s="12" t="s">
        <v>54</v>
      </c>
      <c r="E980" s="13" t="str">
        <f>IFERROR(VLOOKUP(D980,Sheet1!$B$1:$C$45,2,0),"")</f>
        <v>MBP</v>
      </c>
      <c r="F980" s="12" t="s">
        <v>179</v>
      </c>
      <c r="G980" s="13" t="str">
        <f t="shared" si="4"/>
        <v>Palangkaraya</v>
      </c>
      <c r="H980" s="15" t="str">
        <f>IFERROR(VLOOKUP(A980,Sheet1!$E$3:$F$27,2,),"")</f>
        <v>Standby</v>
      </c>
      <c r="I980" s="16" t="str">
        <f>IFERROR(VLOOKUP(A980,Sheet1!$E$3:$G$27,3,0),"")</f>
        <v>Standby On Call</v>
      </c>
      <c r="J980" s="12" t="s">
        <v>112</v>
      </c>
      <c r="K980" s="17">
        <v>46044.0</v>
      </c>
      <c r="L980" s="24"/>
      <c r="M980" s="13"/>
      <c r="N980" s="23"/>
      <c r="O980" s="22"/>
      <c r="P980" s="22"/>
    </row>
    <row r="981" ht="22.5" hidden="1" customHeight="1">
      <c r="A981" s="12" t="s">
        <v>22</v>
      </c>
      <c r="B981" s="20" t="str">
        <f>IFERROR(VLOOKUP(A981,Sheet1!$E$3:$H$27,4,0),"")</f>
        <v>P2</v>
      </c>
      <c r="C981" s="14" t="s">
        <v>479</v>
      </c>
      <c r="D981" s="12" t="s">
        <v>45</v>
      </c>
      <c r="E981" s="13" t="str">
        <f>IFERROR(VLOOKUP(D981,Sheet1!$B$1:$C$45,2,0),"")</f>
        <v>MBP</v>
      </c>
      <c r="F981" s="12" t="s">
        <v>179</v>
      </c>
      <c r="G981" s="13" t="str">
        <f t="shared" si="4"/>
        <v>Palangkaraya</v>
      </c>
      <c r="H981" s="15" t="str">
        <f>IFERROR(VLOOKUP(A981,Sheet1!$E$3:$F$27,2,),"")</f>
        <v>Preventive</v>
      </c>
      <c r="I981" s="16" t="str">
        <f>IFERROR(VLOOKUP(A981,Sheet1!$E$3:$G$27,3,0),"")</f>
        <v>Preventive Maintenance</v>
      </c>
      <c r="J981" s="12" t="s">
        <v>112</v>
      </c>
      <c r="K981" s="17">
        <v>46044.0</v>
      </c>
      <c r="L981" s="24"/>
      <c r="M981" s="13"/>
      <c r="N981" s="23"/>
      <c r="O981" s="22"/>
      <c r="P981" s="22"/>
    </row>
    <row r="982" ht="22.5" customHeight="1">
      <c r="A982" s="12" t="s">
        <v>52</v>
      </c>
      <c r="B982" s="20" t="str">
        <f>IFERROR(VLOOKUP(A982,Sheet1!$E$3:$H$27,4,0),"")</f>
        <v>P1</v>
      </c>
      <c r="C982" s="14" t="s">
        <v>480</v>
      </c>
      <c r="D982" s="12" t="s">
        <v>12</v>
      </c>
      <c r="E982" s="13" t="str">
        <f>IFERROR(VLOOKUP(D982,Sheet1!$B$1:$C$45,2,0),"")</f>
        <v>TE</v>
      </c>
      <c r="F982" s="12" t="s">
        <v>108</v>
      </c>
      <c r="G982" s="13" t="str">
        <f t="shared" si="4"/>
        <v>Barito Raya</v>
      </c>
      <c r="H982" s="15" t="str">
        <f>IFERROR(VLOOKUP(A982,Sheet1!$E$3:$F$27,2,),"")</f>
        <v>Preventive</v>
      </c>
      <c r="I982" s="16" t="str">
        <f>IFERROR(VLOOKUP(A982,Sheet1!$E$3:$G$27,3,0),"")</f>
        <v>MCB trip/Power upnormal</v>
      </c>
      <c r="J982" s="12" t="s">
        <v>112</v>
      </c>
      <c r="K982" s="17">
        <v>46045.0</v>
      </c>
      <c r="L982" s="17">
        <v>46045.0</v>
      </c>
      <c r="M982" s="12" t="s">
        <v>109</v>
      </c>
      <c r="N982" s="23"/>
      <c r="O982" s="22"/>
      <c r="P982" s="22"/>
    </row>
    <row r="983" ht="22.5" customHeight="1">
      <c r="A983" s="12" t="s">
        <v>5</v>
      </c>
      <c r="B983" s="20" t="str">
        <f>IFERROR(VLOOKUP(A983,Sheet1!$E$3:$H$27,4,0),"")</f>
        <v>P1</v>
      </c>
      <c r="C983" s="14" t="s">
        <v>446</v>
      </c>
      <c r="D983" s="12" t="s">
        <v>16</v>
      </c>
      <c r="E983" s="13" t="str">
        <f>IFERROR(VLOOKUP(D983,Sheet1!$B$1:$C$45,2,0),"")</f>
        <v>TE</v>
      </c>
      <c r="F983" s="12" t="s">
        <v>108</v>
      </c>
      <c r="G983" s="13" t="str">
        <f t="shared" si="4"/>
        <v>Barito Raya</v>
      </c>
      <c r="H983" s="15" t="str">
        <f>IFERROR(VLOOKUP(A983,Sheet1!$E$3:$F$27,2,),"")</f>
        <v>Corrective</v>
      </c>
      <c r="I983" s="16" t="str">
        <f>IFERROR(VLOOKUP(A983,Sheet1!$E$3:$G$27,3,0),"")</f>
        <v>Replace Optik,RRU/Soket Power/Replace GPS</v>
      </c>
      <c r="J983" s="12" t="s">
        <v>112</v>
      </c>
      <c r="K983" s="17">
        <v>46045.0</v>
      </c>
      <c r="L983" s="17">
        <v>46045.0</v>
      </c>
      <c r="M983" s="12" t="s">
        <v>109</v>
      </c>
      <c r="N983" s="23"/>
      <c r="O983" s="22"/>
      <c r="P983" s="22"/>
    </row>
    <row r="984" ht="22.5" customHeight="1">
      <c r="A984" s="12" t="s">
        <v>5</v>
      </c>
      <c r="B984" s="20" t="str">
        <f>IFERROR(VLOOKUP(A984,Sheet1!$E$3:$H$27,4,0),"")</f>
        <v>P1</v>
      </c>
      <c r="C984" s="14" t="s">
        <v>446</v>
      </c>
      <c r="D984" s="12" t="s">
        <v>21</v>
      </c>
      <c r="E984" s="13" t="str">
        <f>IFERROR(VLOOKUP(D984,Sheet1!$B$1:$C$45,2,0),"")</f>
        <v>TE</v>
      </c>
      <c r="F984" s="12" t="s">
        <v>108</v>
      </c>
      <c r="G984" s="13" t="str">
        <f t="shared" si="4"/>
        <v>Barito Raya</v>
      </c>
      <c r="H984" s="15" t="str">
        <f>IFERROR(VLOOKUP(A984,Sheet1!$E$3:$F$27,2,),"")</f>
        <v>Corrective</v>
      </c>
      <c r="I984" s="16" t="str">
        <f>IFERROR(VLOOKUP(A984,Sheet1!$E$3:$G$27,3,0),"")</f>
        <v>Replace Optik,RRU/Soket Power/Replace GPS</v>
      </c>
      <c r="J984" s="12" t="s">
        <v>112</v>
      </c>
      <c r="K984" s="17">
        <v>46045.0</v>
      </c>
      <c r="L984" s="17">
        <v>46045.0</v>
      </c>
      <c r="M984" s="12" t="s">
        <v>109</v>
      </c>
      <c r="N984" s="23"/>
      <c r="O984" s="22"/>
      <c r="P984" s="22"/>
    </row>
    <row r="985" ht="22.5" customHeight="1">
      <c r="A985" s="12" t="s">
        <v>33</v>
      </c>
      <c r="B985" s="20" t="str">
        <f>IFERROR(VLOOKUP(A985,Sheet1!$E$3:$H$27,4,0),"")</f>
        <v>P2</v>
      </c>
      <c r="C985" s="14" t="s">
        <v>481</v>
      </c>
      <c r="D985" s="12" t="s">
        <v>26</v>
      </c>
      <c r="E985" s="13" t="str">
        <f>IFERROR(VLOOKUP(D985,Sheet1!$B$1:$C$45,2,0),"")</f>
        <v>TE</v>
      </c>
      <c r="F985" s="12" t="s">
        <v>108</v>
      </c>
      <c r="G985" s="13" t="str">
        <f t="shared" si="4"/>
        <v>Barito Raya</v>
      </c>
      <c r="H985" s="15" t="str">
        <f>IFERROR(VLOOKUP(A985,Sheet1!$E$3:$F$27,2,),"")</f>
        <v>Preventive</v>
      </c>
      <c r="I985" s="16" t="str">
        <f>IFERROR(VLOOKUP(A985,Sheet1!$E$3:$G$27,3,0),"")</f>
        <v>Pengukuran dan pengambilan data log serta input Gdoc BBT</v>
      </c>
      <c r="J985" s="12" t="s">
        <v>112</v>
      </c>
      <c r="K985" s="17">
        <v>46045.0</v>
      </c>
      <c r="L985" s="17">
        <v>46045.0</v>
      </c>
      <c r="M985" s="12" t="s">
        <v>109</v>
      </c>
      <c r="N985" s="23"/>
      <c r="O985" s="22"/>
      <c r="P985" s="22"/>
    </row>
    <row r="986" ht="22.5" customHeight="1">
      <c r="A986" s="12" t="s">
        <v>52</v>
      </c>
      <c r="B986" s="20" t="str">
        <f>IFERROR(VLOOKUP(A986,Sheet1!$E$3:$H$27,4,0),"")</f>
        <v>P1</v>
      </c>
      <c r="C986" s="14" t="s">
        <v>481</v>
      </c>
      <c r="D986" s="12" t="s">
        <v>88</v>
      </c>
      <c r="E986" s="13" t="str">
        <f>IFERROR(VLOOKUP(D986,Sheet1!$B$1:$C$45,2,0),"")</f>
        <v>TE</v>
      </c>
      <c r="F986" s="12" t="s">
        <v>108</v>
      </c>
      <c r="G986" s="13" t="str">
        <f t="shared" si="4"/>
        <v>Barito Raya</v>
      </c>
      <c r="H986" s="15" t="str">
        <f>IFERROR(VLOOKUP(A986,Sheet1!$E$3:$F$27,2,),"")</f>
        <v>Preventive</v>
      </c>
      <c r="I986" s="16" t="str">
        <f>IFERROR(VLOOKUP(A986,Sheet1!$E$3:$G$27,3,0),"")</f>
        <v>MCB trip/Power upnormal</v>
      </c>
      <c r="J986" s="12" t="s">
        <v>112</v>
      </c>
      <c r="K986" s="17">
        <v>46045.0</v>
      </c>
      <c r="L986" s="17">
        <v>46045.0</v>
      </c>
      <c r="M986" s="12" t="s">
        <v>109</v>
      </c>
      <c r="N986" s="23"/>
      <c r="O986" s="22"/>
      <c r="P986" s="22"/>
    </row>
    <row r="987" ht="22.5" customHeight="1">
      <c r="A987" s="12" t="s">
        <v>14</v>
      </c>
      <c r="B987" s="20" t="str">
        <f>IFERROR(VLOOKUP(A987,Sheet1!$E$3:$H$27,4,0),"")</f>
        <v>P1</v>
      </c>
      <c r="C987" s="14" t="s">
        <v>421</v>
      </c>
      <c r="D987" s="12" t="s">
        <v>32</v>
      </c>
      <c r="E987" s="13" t="str">
        <f>IFERROR(VLOOKUP(D987,Sheet1!$B$1:$C$45,2,0),"")</f>
        <v>TE</v>
      </c>
      <c r="F987" s="12" t="s">
        <v>108</v>
      </c>
      <c r="G987" s="13" t="str">
        <f t="shared" si="4"/>
        <v>Barito Raya</v>
      </c>
      <c r="H987" s="15" t="str">
        <f>IFERROR(VLOOKUP(A987,Sheet1!$E$3:$F$27,2,),"")</f>
        <v>Corrective</v>
      </c>
      <c r="I987" s="16" t="str">
        <f>IFERROR(VLOOKUP(A987,Sheet1!$E$3:$G$27,3,0),"")</f>
        <v>Pemadaman,MCB Trip,Transmisi problem</v>
      </c>
      <c r="J987" s="12" t="s">
        <v>112</v>
      </c>
      <c r="K987" s="17">
        <v>46045.0</v>
      </c>
      <c r="L987" s="17">
        <v>46045.0</v>
      </c>
      <c r="M987" s="12" t="s">
        <v>109</v>
      </c>
      <c r="N987" s="23"/>
      <c r="O987" s="22"/>
      <c r="P987" s="22"/>
    </row>
    <row r="988" ht="22.5" customHeight="1">
      <c r="A988" s="12" t="s">
        <v>52</v>
      </c>
      <c r="B988" s="20" t="str">
        <f>IFERROR(VLOOKUP(A988,Sheet1!$E$3:$H$27,4,0),"")</f>
        <v>P1</v>
      </c>
      <c r="C988" s="14" t="s">
        <v>482</v>
      </c>
      <c r="D988" s="12" t="s">
        <v>74</v>
      </c>
      <c r="E988" s="13" t="str">
        <f>IFERROR(VLOOKUP(D988,Sheet1!$B$1:$C$45,2,0),"")</f>
        <v>TE</v>
      </c>
      <c r="F988" s="12" t="s">
        <v>108</v>
      </c>
      <c r="G988" s="13" t="str">
        <f t="shared" si="4"/>
        <v>Barito Raya</v>
      </c>
      <c r="H988" s="15" t="str">
        <f>IFERROR(VLOOKUP(A988,Sheet1!$E$3:$F$27,2,),"")</f>
        <v>Preventive</v>
      </c>
      <c r="I988" s="16" t="str">
        <f>IFERROR(VLOOKUP(A988,Sheet1!$E$3:$G$27,3,0),"")</f>
        <v>MCB trip/Power upnormal</v>
      </c>
      <c r="J988" s="12" t="s">
        <v>112</v>
      </c>
      <c r="K988" s="17">
        <v>46045.0</v>
      </c>
      <c r="L988" s="17">
        <v>46045.0</v>
      </c>
      <c r="M988" s="12" t="s">
        <v>109</v>
      </c>
      <c r="N988" s="23"/>
      <c r="O988" s="22"/>
      <c r="P988" s="22"/>
    </row>
    <row r="989" ht="22.5" customHeight="1">
      <c r="A989" s="12" t="s">
        <v>22</v>
      </c>
      <c r="B989" s="20" t="str">
        <f>IFERROR(VLOOKUP(A989,Sheet1!$E$3:$H$27,4,0),"")</f>
        <v>P2</v>
      </c>
      <c r="C989" s="14" t="s">
        <v>483</v>
      </c>
      <c r="D989" s="12" t="s">
        <v>60</v>
      </c>
      <c r="E989" s="13" t="str">
        <f>IFERROR(VLOOKUP(D989,Sheet1!$B$1:$C$45,2,0),"")</f>
        <v>TE</v>
      </c>
      <c r="F989" s="12" t="s">
        <v>108</v>
      </c>
      <c r="G989" s="13" t="str">
        <f t="shared" si="4"/>
        <v>Barito Raya</v>
      </c>
      <c r="H989" s="15" t="str">
        <f>IFERROR(VLOOKUP(A989,Sheet1!$E$3:$F$27,2,),"")</f>
        <v>Preventive</v>
      </c>
      <c r="I989" s="16" t="str">
        <f>IFERROR(VLOOKUP(A989,Sheet1!$E$3:$G$27,3,0),"")</f>
        <v>Preventive Maintenance</v>
      </c>
      <c r="J989" s="12" t="s">
        <v>112</v>
      </c>
      <c r="K989" s="17">
        <v>46045.0</v>
      </c>
      <c r="L989" s="17">
        <v>46045.0</v>
      </c>
      <c r="M989" s="12" t="s">
        <v>109</v>
      </c>
      <c r="N989" s="23"/>
      <c r="O989" s="22"/>
      <c r="P989" s="22"/>
    </row>
    <row r="990" ht="22.5" customHeight="1">
      <c r="A990" s="12" t="s">
        <v>14</v>
      </c>
      <c r="B990" s="20" t="str">
        <f>IFERROR(VLOOKUP(A990,Sheet1!$E$3:$H$27,4,0),"")</f>
        <v>P1</v>
      </c>
      <c r="C990" s="14" t="s">
        <v>438</v>
      </c>
      <c r="D990" s="12" t="s">
        <v>62</v>
      </c>
      <c r="E990" s="13" t="str">
        <f>IFERROR(VLOOKUP(D990,Sheet1!$B$1:$C$45,2,0),"")</f>
        <v>TE</v>
      </c>
      <c r="F990" s="12" t="s">
        <v>108</v>
      </c>
      <c r="G990" s="13" t="str">
        <f t="shared" si="4"/>
        <v>Barito Raya</v>
      </c>
      <c r="H990" s="15" t="str">
        <f>IFERROR(VLOOKUP(A990,Sheet1!$E$3:$F$27,2,),"")</f>
        <v>Corrective</v>
      </c>
      <c r="I990" s="16" t="str">
        <f>IFERROR(VLOOKUP(A990,Sheet1!$E$3:$G$27,3,0),"")</f>
        <v>Pemadaman,MCB Trip,Transmisi problem</v>
      </c>
      <c r="J990" s="12" t="s">
        <v>112</v>
      </c>
      <c r="K990" s="17">
        <v>46045.0</v>
      </c>
      <c r="L990" s="17">
        <v>46045.0</v>
      </c>
      <c r="M990" s="12" t="s">
        <v>109</v>
      </c>
      <c r="N990" s="23"/>
      <c r="O990" s="22"/>
      <c r="P990" s="22"/>
    </row>
    <row r="991" ht="22.5" customHeight="1">
      <c r="A991" s="12" t="s">
        <v>65</v>
      </c>
      <c r="B991" s="20" t="str">
        <f>IFERROR(VLOOKUP(A991,Sheet1!$E$3:$H$27,4,0),"")</f>
        <v>P3</v>
      </c>
      <c r="C991" s="15"/>
      <c r="D991" s="12" t="s">
        <v>9</v>
      </c>
      <c r="E991" s="13" t="str">
        <f>IFERROR(VLOOKUP(D991,Sheet1!$B$1:$C$45,2,0),"")</f>
        <v>MBP</v>
      </c>
      <c r="F991" s="12" t="s">
        <v>108</v>
      </c>
      <c r="G991" s="13" t="str">
        <f t="shared" si="4"/>
        <v>Barito Raya</v>
      </c>
      <c r="H991" s="15" t="str">
        <f>IFERROR(VLOOKUP(A991,Sheet1!$E$3:$F$27,2,),"")</f>
        <v>Standby</v>
      </c>
      <c r="I991" s="16" t="str">
        <f>IFERROR(VLOOKUP(A991,Sheet1!$E$3:$G$27,3,0),"")</f>
        <v>Standby On Call</v>
      </c>
      <c r="J991" s="20"/>
      <c r="K991" s="17">
        <v>46045.0</v>
      </c>
      <c r="L991" s="17">
        <v>46045.0</v>
      </c>
      <c r="M991" s="13"/>
      <c r="N991" s="23"/>
      <c r="O991" s="22"/>
      <c r="P991" s="22"/>
    </row>
    <row r="992" ht="22.5" customHeight="1">
      <c r="A992" s="12" t="s">
        <v>65</v>
      </c>
      <c r="B992" s="20" t="str">
        <f>IFERROR(VLOOKUP(A992,Sheet1!$E$3:$H$27,4,0),"")</f>
        <v>P3</v>
      </c>
      <c r="C992" s="15"/>
      <c r="D992" s="12" t="s">
        <v>4</v>
      </c>
      <c r="E992" s="13" t="str">
        <f>IFERROR(VLOOKUP(D992,Sheet1!$B$1:$C$45,2,0),"")</f>
        <v>CME</v>
      </c>
      <c r="F992" s="12" t="s">
        <v>108</v>
      </c>
      <c r="G992" s="13" t="str">
        <f t="shared" si="4"/>
        <v>Barito Raya</v>
      </c>
      <c r="H992" s="15" t="str">
        <f>IFERROR(VLOOKUP(A992,Sheet1!$E$3:$F$27,2,),"")</f>
        <v>Standby</v>
      </c>
      <c r="I992" s="16" t="str">
        <f>IFERROR(VLOOKUP(A992,Sheet1!$E$3:$G$27,3,0),"")</f>
        <v>Standby On Call</v>
      </c>
      <c r="J992" s="20"/>
      <c r="K992" s="17">
        <v>46045.0</v>
      </c>
      <c r="L992" s="17">
        <v>46045.0</v>
      </c>
      <c r="M992" s="13"/>
      <c r="N992" s="23"/>
      <c r="O992" s="22"/>
      <c r="P992" s="22"/>
    </row>
    <row r="993" ht="22.5" customHeight="1">
      <c r="A993" s="12" t="s">
        <v>65</v>
      </c>
      <c r="B993" s="20" t="str">
        <f>IFERROR(VLOOKUP(A993,Sheet1!$E$3:$H$27,4,0),"")</f>
        <v>P3</v>
      </c>
      <c r="C993" s="15"/>
      <c r="D993" s="12" t="s">
        <v>87</v>
      </c>
      <c r="E993" s="13" t="str">
        <f>IFERROR(VLOOKUP(D993,Sheet1!$B$1:$C$45,2,0),"")</f>
        <v>MBP</v>
      </c>
      <c r="F993" s="12" t="s">
        <v>108</v>
      </c>
      <c r="G993" s="13" t="str">
        <f t="shared" si="4"/>
        <v>Barito Raya</v>
      </c>
      <c r="H993" s="15" t="str">
        <f>IFERROR(VLOOKUP(A993,Sheet1!$E$3:$F$27,2,),"")</f>
        <v>Standby</v>
      </c>
      <c r="I993" s="16" t="str">
        <f>IFERROR(VLOOKUP(A993,Sheet1!$E$3:$G$27,3,0),"")</f>
        <v>Standby On Call</v>
      </c>
      <c r="J993" s="20"/>
      <c r="K993" s="17">
        <v>46045.0</v>
      </c>
      <c r="L993" s="17">
        <v>46045.0</v>
      </c>
      <c r="M993" s="13"/>
      <c r="N993" s="23"/>
      <c r="O993" s="22"/>
      <c r="P993" s="22"/>
    </row>
    <row r="994" ht="22.5" customHeight="1">
      <c r="A994" s="12" t="s">
        <v>14</v>
      </c>
      <c r="B994" s="20" t="str">
        <f>IFERROR(VLOOKUP(A994,Sheet1!$E$3:$H$27,4,0),"")</f>
        <v>P1</v>
      </c>
      <c r="C994" s="14" t="s">
        <v>484</v>
      </c>
      <c r="D994" s="12" t="s">
        <v>29</v>
      </c>
      <c r="E994" s="13" t="str">
        <f>IFERROR(VLOOKUP(D994,Sheet1!$B$1:$C$45,2,0),"")</f>
        <v>MBP</v>
      </c>
      <c r="F994" s="12" t="s">
        <v>108</v>
      </c>
      <c r="G994" s="13" t="str">
        <f t="shared" si="4"/>
        <v>Barito Raya</v>
      </c>
      <c r="H994" s="15" t="str">
        <f>IFERROR(VLOOKUP(A994,Sheet1!$E$3:$F$27,2,),"")</f>
        <v>Corrective</v>
      </c>
      <c r="I994" s="16" t="str">
        <f>IFERROR(VLOOKUP(A994,Sheet1!$E$3:$G$27,3,0),"")</f>
        <v>Pemadaman,MCB Trip,Transmisi problem</v>
      </c>
      <c r="J994" s="12" t="s">
        <v>112</v>
      </c>
      <c r="K994" s="17">
        <v>46045.0</v>
      </c>
      <c r="L994" s="17">
        <v>46045.0</v>
      </c>
      <c r="M994" s="12" t="s">
        <v>109</v>
      </c>
      <c r="N994" s="23"/>
      <c r="O994" s="22"/>
      <c r="P994" s="22"/>
    </row>
    <row r="995" ht="22.5" customHeight="1">
      <c r="A995" s="12" t="s">
        <v>65</v>
      </c>
      <c r="B995" s="20" t="str">
        <f>IFERROR(VLOOKUP(A995,Sheet1!$E$3:$H$27,4,0),"")</f>
        <v>P3</v>
      </c>
      <c r="C995" s="15"/>
      <c r="D995" s="12" t="s">
        <v>2</v>
      </c>
      <c r="E995" s="13" t="str">
        <f>IFERROR(VLOOKUP(D995,Sheet1!$B$1:$C$45,2,0),"")</f>
        <v>CME</v>
      </c>
      <c r="F995" s="12" t="s">
        <v>108</v>
      </c>
      <c r="G995" s="13" t="str">
        <f t="shared" si="4"/>
        <v>Barito Raya</v>
      </c>
      <c r="H995" s="15" t="str">
        <f>IFERROR(VLOOKUP(A995,Sheet1!$E$3:$F$27,2,),"")</f>
        <v>Standby</v>
      </c>
      <c r="I995" s="16" t="str">
        <f>IFERROR(VLOOKUP(A995,Sheet1!$E$3:$G$27,3,0),"")</f>
        <v>Standby On Call</v>
      </c>
      <c r="J995" s="20"/>
      <c r="K995" s="17">
        <v>46045.0</v>
      </c>
      <c r="L995" s="17">
        <v>46045.0</v>
      </c>
      <c r="M995" s="13"/>
      <c r="N995" s="23"/>
      <c r="O995" s="22"/>
      <c r="P995" s="22"/>
    </row>
    <row r="996" ht="22.5" customHeight="1">
      <c r="A996" s="12" t="s">
        <v>65</v>
      </c>
      <c r="B996" s="20" t="str">
        <f>IFERROR(VLOOKUP(A996,Sheet1!$E$3:$H$27,4,0),"")</f>
        <v>P3</v>
      </c>
      <c r="C996" s="15"/>
      <c r="D996" s="12" t="s">
        <v>0</v>
      </c>
      <c r="E996" s="13" t="str">
        <f>IFERROR(VLOOKUP(D996,Sheet1!$B$1:$C$45,2,0),"")</f>
        <v>MBP</v>
      </c>
      <c r="F996" s="12" t="s">
        <v>108</v>
      </c>
      <c r="G996" s="13" t="str">
        <f t="shared" si="4"/>
        <v>Barito Raya</v>
      </c>
      <c r="H996" s="15" t="str">
        <f>IFERROR(VLOOKUP(A996,Sheet1!$E$3:$F$27,2,),"")</f>
        <v>Standby</v>
      </c>
      <c r="I996" s="16" t="str">
        <f>IFERROR(VLOOKUP(A996,Sheet1!$E$3:$G$27,3,0),"")</f>
        <v>Standby On Call</v>
      </c>
      <c r="J996" s="20"/>
      <c r="K996" s="17">
        <v>46045.0</v>
      </c>
      <c r="L996" s="17">
        <v>46045.0</v>
      </c>
      <c r="M996" s="13"/>
      <c r="N996" s="23"/>
      <c r="O996" s="22"/>
      <c r="P996" s="22"/>
    </row>
    <row r="997" ht="22.5" customHeight="1">
      <c r="A997" s="12" t="s">
        <v>22</v>
      </c>
      <c r="B997" s="20" t="str">
        <f>IFERROR(VLOOKUP(A997,Sheet1!$E$3:$H$27,4,0),"")</f>
        <v>P2</v>
      </c>
      <c r="C997" s="14" t="s">
        <v>134</v>
      </c>
      <c r="D997" s="12" t="s">
        <v>85</v>
      </c>
      <c r="E997" s="13" t="str">
        <f>IFERROR(VLOOKUP(D997,Sheet1!$B$1:$C$45,2,0),"")</f>
        <v>PM</v>
      </c>
      <c r="F997" s="12" t="s">
        <v>108</v>
      </c>
      <c r="G997" s="13" t="str">
        <f t="shared" si="4"/>
        <v>Barito Raya</v>
      </c>
      <c r="H997" s="15" t="str">
        <f>IFERROR(VLOOKUP(A997,Sheet1!$E$3:$F$27,2,),"")</f>
        <v>Preventive</v>
      </c>
      <c r="I997" s="16" t="str">
        <f>IFERROR(VLOOKUP(A997,Sheet1!$E$3:$G$27,3,0),"")</f>
        <v>Preventive Maintenance</v>
      </c>
      <c r="J997" s="12" t="s">
        <v>112</v>
      </c>
      <c r="K997" s="17">
        <v>46045.0</v>
      </c>
      <c r="L997" s="17">
        <v>46045.0</v>
      </c>
      <c r="M997" s="12" t="s">
        <v>109</v>
      </c>
      <c r="N997" s="23"/>
      <c r="O997" s="22"/>
      <c r="P997" s="22"/>
    </row>
    <row r="998" ht="22.5" customHeight="1">
      <c r="A998" s="12" t="s">
        <v>22</v>
      </c>
      <c r="B998" s="20" t="str">
        <f>IFERROR(VLOOKUP(A998,Sheet1!$E$3:$H$27,4,0),"")</f>
        <v>P2</v>
      </c>
      <c r="C998" s="14" t="s">
        <v>134</v>
      </c>
      <c r="D998" s="12" t="s">
        <v>84</v>
      </c>
      <c r="E998" s="13" t="str">
        <f>IFERROR(VLOOKUP(D998,Sheet1!$B$1:$C$45,2,0),"")</f>
        <v>MBP</v>
      </c>
      <c r="F998" s="12" t="s">
        <v>108</v>
      </c>
      <c r="G998" s="13" t="str">
        <f t="shared" si="4"/>
        <v>Barito Raya</v>
      </c>
      <c r="H998" s="15" t="str">
        <f>IFERROR(VLOOKUP(A998,Sheet1!$E$3:$F$27,2,),"")</f>
        <v>Preventive</v>
      </c>
      <c r="I998" s="16" t="str">
        <f>IFERROR(VLOOKUP(A998,Sheet1!$E$3:$G$27,3,0),"")</f>
        <v>Preventive Maintenance</v>
      </c>
      <c r="J998" s="12" t="s">
        <v>112</v>
      </c>
      <c r="K998" s="17">
        <v>46045.0</v>
      </c>
      <c r="L998" s="17">
        <v>46045.0</v>
      </c>
      <c r="M998" s="12" t="s">
        <v>109</v>
      </c>
      <c r="N998" s="23"/>
      <c r="O998" s="22"/>
      <c r="P998" s="22"/>
    </row>
    <row r="999" ht="22.5" hidden="1" customHeight="1">
      <c r="A999" s="12" t="s">
        <v>22</v>
      </c>
      <c r="B999" s="20" t="str">
        <f>IFERROR(VLOOKUP(A999,Sheet1!$E$3:$H$27,4,0),"")</f>
        <v>P2</v>
      </c>
      <c r="C999" s="14" t="s">
        <v>485</v>
      </c>
      <c r="D999" s="12" t="s">
        <v>86</v>
      </c>
      <c r="E999" s="13" t="str">
        <f>IFERROR(VLOOKUP(D999,Sheet1!$B$1:$C$45,2,0),"")</f>
        <v>PM</v>
      </c>
      <c r="F999" s="12" t="s">
        <v>108</v>
      </c>
      <c r="G999" s="13" t="str">
        <f t="shared" si="4"/>
        <v>Barito Raya</v>
      </c>
      <c r="H999" s="15" t="str">
        <f>IFERROR(VLOOKUP(A999,Sheet1!$E$3:$F$27,2,),"")</f>
        <v>Preventive</v>
      </c>
      <c r="I999" s="16" t="str">
        <f>IFERROR(VLOOKUP(A999,Sheet1!$E$3:$G$27,3,0),"")</f>
        <v>Preventive Maintenance</v>
      </c>
      <c r="J999" s="12" t="s">
        <v>112</v>
      </c>
      <c r="K999" s="17">
        <v>46045.0</v>
      </c>
      <c r="L999" s="17">
        <v>46045.0</v>
      </c>
      <c r="M999" s="12" t="s">
        <v>109</v>
      </c>
      <c r="N999" s="23"/>
      <c r="O999" s="22"/>
      <c r="P999" s="22"/>
    </row>
    <row r="1000" ht="22.5" customHeight="1">
      <c r="A1000" s="12" t="s">
        <v>65</v>
      </c>
      <c r="B1000" s="20" t="str">
        <f>IFERROR(VLOOKUP(A1000,Sheet1!$E$3:$H$27,4,0),"")</f>
        <v>P3</v>
      </c>
      <c r="C1000" s="15"/>
      <c r="D1000" s="12" t="s">
        <v>12</v>
      </c>
      <c r="E1000" s="13" t="str">
        <f>IFERROR(VLOOKUP(D1000,Sheet1!$B$1:$C$45,2,0),"")</f>
        <v>TE</v>
      </c>
      <c r="F1000" s="12" t="s">
        <v>108</v>
      </c>
      <c r="G1000" s="13" t="str">
        <f t="shared" si="4"/>
        <v>Barito Raya</v>
      </c>
      <c r="H1000" s="15" t="str">
        <f>IFERROR(VLOOKUP(A1000,Sheet1!$E$3:$F$27,2,),"")</f>
        <v>Standby</v>
      </c>
      <c r="I1000" s="16" t="str">
        <f>IFERROR(VLOOKUP(A1000,Sheet1!$E$3:$G$27,3,0),"")</f>
        <v>Standby On Call</v>
      </c>
      <c r="J1000" s="20"/>
      <c r="K1000" s="17">
        <v>46048.0</v>
      </c>
      <c r="L1000" s="17">
        <v>46048.0</v>
      </c>
      <c r="M1000" s="13"/>
      <c r="N1000" s="23"/>
      <c r="O1000" s="22"/>
      <c r="P1000" s="22"/>
    </row>
    <row r="1001" ht="22.5" customHeight="1">
      <c r="A1001" s="12" t="s">
        <v>52</v>
      </c>
      <c r="B1001" s="20" t="str">
        <f>IFERROR(VLOOKUP(A1001,Sheet1!$E$3:$H$27,4,0),"")</f>
        <v>P1</v>
      </c>
      <c r="C1001" s="14" t="s">
        <v>323</v>
      </c>
      <c r="D1001" s="12" t="s">
        <v>16</v>
      </c>
      <c r="E1001" s="13" t="str">
        <f>IFERROR(VLOOKUP(D1001,Sheet1!$B$1:$C$45,2,0),"")</f>
        <v>TE</v>
      </c>
      <c r="F1001" s="12" t="s">
        <v>108</v>
      </c>
      <c r="G1001" s="13" t="str">
        <f t="shared" si="4"/>
        <v>Barito Raya</v>
      </c>
      <c r="H1001" s="15" t="str">
        <f>IFERROR(VLOOKUP(A1001,Sheet1!$E$3:$F$27,2,),"")</f>
        <v>Preventive</v>
      </c>
      <c r="I1001" s="16" t="str">
        <f>IFERROR(VLOOKUP(A1001,Sheet1!$E$3:$G$27,3,0),"")</f>
        <v>MCB trip/Power upnormal</v>
      </c>
      <c r="J1001" s="12" t="s">
        <v>112</v>
      </c>
      <c r="K1001" s="17">
        <v>46048.0</v>
      </c>
      <c r="L1001" s="17">
        <v>46048.0</v>
      </c>
      <c r="M1001" s="13"/>
      <c r="N1001" s="23"/>
      <c r="O1001" s="22"/>
      <c r="P1001" s="22"/>
    </row>
    <row r="1002" ht="22.5" customHeight="1">
      <c r="A1002" s="12" t="s">
        <v>5</v>
      </c>
      <c r="B1002" s="20" t="str">
        <f>IFERROR(VLOOKUP(A1002,Sheet1!$E$3:$H$27,4,0),"")</f>
        <v>P1</v>
      </c>
      <c r="C1002" s="14" t="s">
        <v>407</v>
      </c>
      <c r="D1002" s="12" t="s">
        <v>21</v>
      </c>
      <c r="E1002" s="13" t="str">
        <f>IFERROR(VLOOKUP(D1002,Sheet1!$B$1:$C$45,2,0),"")</f>
        <v>TE</v>
      </c>
      <c r="F1002" s="12" t="s">
        <v>108</v>
      </c>
      <c r="G1002" s="13" t="str">
        <f t="shared" si="4"/>
        <v>Barito Raya</v>
      </c>
      <c r="H1002" s="15" t="str">
        <f>IFERROR(VLOOKUP(A1002,Sheet1!$E$3:$F$27,2,),"")</f>
        <v>Corrective</v>
      </c>
      <c r="I1002" s="16" t="str">
        <f>IFERROR(VLOOKUP(A1002,Sheet1!$E$3:$G$27,3,0),"")</f>
        <v>Replace Optik,RRU/Soket Power/Replace GPS</v>
      </c>
      <c r="J1002" s="12" t="s">
        <v>112</v>
      </c>
      <c r="K1002" s="17">
        <v>46048.0</v>
      </c>
      <c r="L1002" s="17">
        <v>46048.0</v>
      </c>
      <c r="M1002" s="13"/>
      <c r="N1002" s="23"/>
      <c r="O1002" s="22"/>
      <c r="P1002" s="22"/>
    </row>
    <row r="1003" ht="22.5" customHeight="1">
      <c r="A1003" s="12" t="s">
        <v>49</v>
      </c>
      <c r="B1003" s="20" t="str">
        <f>IFERROR(VLOOKUP(A1003,Sheet1!$E$3:$H$27,4,0),"")</f>
        <v>P2</v>
      </c>
      <c r="C1003" s="14" t="s">
        <v>481</v>
      </c>
      <c r="D1003" s="12" t="s">
        <v>26</v>
      </c>
      <c r="E1003" s="13" t="str">
        <f>IFERROR(VLOOKUP(D1003,Sheet1!$B$1:$C$45,2,0),"")</f>
        <v>TE</v>
      </c>
      <c r="F1003" s="12" t="s">
        <v>108</v>
      </c>
      <c r="G1003" s="13" t="str">
        <f t="shared" si="4"/>
        <v>Barito Raya</v>
      </c>
      <c r="H1003" s="15" t="str">
        <f>IFERROR(VLOOKUP(A1003,Sheet1!$E$3:$F$27,2,),"")</f>
        <v>Preventive</v>
      </c>
      <c r="I1003" s="16" t="str">
        <f>IFERROR(VLOOKUP(A1003,Sheet1!$E$3:$G$27,3,0),"")</f>
        <v>Bts High temp impact fliker</v>
      </c>
      <c r="J1003" s="12" t="s">
        <v>112</v>
      </c>
      <c r="K1003" s="17">
        <v>46048.0</v>
      </c>
      <c r="L1003" s="17">
        <v>46048.0</v>
      </c>
      <c r="M1003" s="12" t="s">
        <v>137</v>
      </c>
      <c r="N1003" s="23"/>
      <c r="O1003" s="22"/>
      <c r="P1003" s="22"/>
    </row>
    <row r="1004" ht="22.5" customHeight="1">
      <c r="A1004" s="12" t="s">
        <v>49</v>
      </c>
      <c r="B1004" s="20" t="str">
        <f>IFERROR(VLOOKUP(A1004,Sheet1!$E$3:$H$27,4,0),"")</f>
        <v>P2</v>
      </c>
      <c r="C1004" s="14" t="s">
        <v>481</v>
      </c>
      <c r="D1004" s="12" t="s">
        <v>88</v>
      </c>
      <c r="E1004" s="13" t="str">
        <f>IFERROR(VLOOKUP(D1004,Sheet1!$B$1:$C$45,2,0),"")</f>
        <v>TE</v>
      </c>
      <c r="F1004" s="12" t="s">
        <v>108</v>
      </c>
      <c r="G1004" s="13" t="str">
        <f t="shared" si="4"/>
        <v>Barito Raya</v>
      </c>
      <c r="H1004" s="15" t="str">
        <f>IFERROR(VLOOKUP(A1004,Sheet1!$E$3:$F$27,2,),"")</f>
        <v>Preventive</v>
      </c>
      <c r="I1004" s="16" t="str">
        <f>IFERROR(VLOOKUP(A1004,Sheet1!$E$3:$G$27,3,0),"")</f>
        <v>Bts High temp impact fliker</v>
      </c>
      <c r="J1004" s="12" t="s">
        <v>112</v>
      </c>
      <c r="K1004" s="17">
        <v>46048.0</v>
      </c>
      <c r="L1004" s="17">
        <v>46048.0</v>
      </c>
      <c r="M1004" s="12" t="s">
        <v>137</v>
      </c>
      <c r="N1004" s="23"/>
      <c r="O1004" s="22"/>
      <c r="P1004" s="22"/>
    </row>
    <row r="1005" ht="22.5" customHeight="1">
      <c r="A1005" s="12" t="s">
        <v>55</v>
      </c>
      <c r="B1005" s="20" t="str">
        <f>IFERROR(VLOOKUP(A1005,Sheet1!$E$3:$H$27,4,0),"")</f>
        <v>P2</v>
      </c>
      <c r="C1005" s="14" t="s">
        <v>265</v>
      </c>
      <c r="D1005" s="12" t="s">
        <v>32</v>
      </c>
      <c r="E1005" s="13" t="str">
        <f>IFERROR(VLOOKUP(D1005,Sheet1!$B$1:$C$45,2,0),"")</f>
        <v>TE</v>
      </c>
      <c r="F1005" s="12" t="s">
        <v>108</v>
      </c>
      <c r="G1005" s="13" t="str">
        <f t="shared" si="4"/>
        <v>Barito Raya</v>
      </c>
      <c r="H1005" s="15" t="str">
        <f>IFERROR(VLOOKUP(A1005,Sheet1!$E$3:$F$27,2,),"")</f>
        <v>Corrective</v>
      </c>
      <c r="I1005" s="16" t="str">
        <f>IFERROR(VLOOKUP(A1005,Sheet1!$E$3:$G$27,3,0),"")</f>
        <v>Penambahan Modul Recti</v>
      </c>
      <c r="J1005" s="12" t="s">
        <v>112</v>
      </c>
      <c r="K1005" s="17">
        <v>46048.0</v>
      </c>
      <c r="L1005" s="17">
        <v>46048.0</v>
      </c>
      <c r="M1005" s="12" t="s">
        <v>137</v>
      </c>
      <c r="N1005" s="23"/>
      <c r="O1005" s="22"/>
      <c r="P1005" s="22"/>
    </row>
    <row r="1006" ht="22.5" customHeight="1">
      <c r="A1006" s="12" t="s">
        <v>65</v>
      </c>
      <c r="B1006" s="20" t="str">
        <f>IFERROR(VLOOKUP(A1006,Sheet1!$E$3:$H$27,4,0),"")</f>
        <v>P3</v>
      </c>
      <c r="C1006" s="15"/>
      <c r="D1006" s="12" t="s">
        <v>74</v>
      </c>
      <c r="E1006" s="13" t="str">
        <f>IFERROR(VLOOKUP(D1006,Sheet1!$B$1:$C$45,2,0),"")</f>
        <v>TE</v>
      </c>
      <c r="F1006" s="12" t="s">
        <v>108</v>
      </c>
      <c r="G1006" s="13" t="str">
        <f t="shared" si="4"/>
        <v>Barito Raya</v>
      </c>
      <c r="H1006" s="15" t="str">
        <f>IFERROR(VLOOKUP(A1006,Sheet1!$E$3:$F$27,2,),"")</f>
        <v>Standby</v>
      </c>
      <c r="I1006" s="16" t="str">
        <f>IFERROR(VLOOKUP(A1006,Sheet1!$E$3:$G$27,3,0),"")</f>
        <v>Standby On Call</v>
      </c>
      <c r="J1006" s="20"/>
      <c r="K1006" s="17">
        <v>46048.0</v>
      </c>
      <c r="L1006" s="17">
        <v>46048.0</v>
      </c>
      <c r="M1006" s="13"/>
      <c r="N1006" s="23"/>
      <c r="O1006" s="22"/>
      <c r="P1006" s="22"/>
    </row>
    <row r="1007" ht="22.5" customHeight="1">
      <c r="A1007" s="12" t="s">
        <v>22</v>
      </c>
      <c r="B1007" s="20" t="str">
        <f>IFERROR(VLOOKUP(A1007,Sheet1!$E$3:$H$27,4,0),"")</f>
        <v>P2</v>
      </c>
      <c r="C1007" s="14" t="s">
        <v>483</v>
      </c>
      <c r="D1007" s="12" t="s">
        <v>60</v>
      </c>
      <c r="E1007" s="13" t="str">
        <f>IFERROR(VLOOKUP(D1007,Sheet1!$B$1:$C$45,2,0),"")</f>
        <v>TE</v>
      </c>
      <c r="F1007" s="12" t="s">
        <v>108</v>
      </c>
      <c r="G1007" s="13" t="str">
        <f t="shared" si="4"/>
        <v>Barito Raya</v>
      </c>
      <c r="H1007" s="15" t="str">
        <f>IFERROR(VLOOKUP(A1007,Sheet1!$E$3:$F$27,2,),"")</f>
        <v>Preventive</v>
      </c>
      <c r="I1007" s="16" t="str">
        <f>IFERROR(VLOOKUP(A1007,Sheet1!$E$3:$G$27,3,0),"")</f>
        <v>Preventive Maintenance</v>
      </c>
      <c r="J1007" s="12" t="s">
        <v>112</v>
      </c>
      <c r="K1007" s="17">
        <v>46048.0</v>
      </c>
      <c r="L1007" s="17">
        <v>46048.0</v>
      </c>
      <c r="M1007" s="12" t="s">
        <v>137</v>
      </c>
      <c r="N1007" s="23"/>
      <c r="O1007" s="22"/>
      <c r="P1007" s="22"/>
    </row>
    <row r="1008" ht="22.5" customHeight="1">
      <c r="A1008" s="12" t="s">
        <v>52</v>
      </c>
      <c r="B1008" s="20" t="str">
        <f>IFERROR(VLOOKUP(A1008,Sheet1!$E$3:$H$27,4,0),"")</f>
        <v>P1</v>
      </c>
      <c r="C1008" s="14" t="s">
        <v>486</v>
      </c>
      <c r="D1008" s="12" t="s">
        <v>62</v>
      </c>
      <c r="E1008" s="13" t="str">
        <f>IFERROR(VLOOKUP(D1008,Sheet1!$B$1:$C$45,2,0),"")</f>
        <v>TE</v>
      </c>
      <c r="F1008" s="12" t="s">
        <v>108</v>
      </c>
      <c r="G1008" s="13" t="str">
        <f t="shared" si="4"/>
        <v>Barito Raya</v>
      </c>
      <c r="H1008" s="15" t="str">
        <f>IFERROR(VLOOKUP(A1008,Sheet1!$E$3:$F$27,2,),"")</f>
        <v>Preventive</v>
      </c>
      <c r="I1008" s="16" t="str">
        <f>IFERROR(VLOOKUP(A1008,Sheet1!$E$3:$G$27,3,0),"")</f>
        <v>MCB trip/Power upnormal</v>
      </c>
      <c r="J1008" s="12" t="s">
        <v>112</v>
      </c>
      <c r="K1008" s="17">
        <v>46048.0</v>
      </c>
      <c r="L1008" s="17">
        <v>46048.0</v>
      </c>
      <c r="M1008" s="13"/>
      <c r="N1008" s="23"/>
      <c r="O1008" s="22"/>
      <c r="P1008" s="22"/>
    </row>
    <row r="1009" ht="22.5" customHeight="1">
      <c r="A1009" s="12" t="s">
        <v>65</v>
      </c>
      <c r="B1009" s="20" t="str">
        <f>IFERROR(VLOOKUP(A1009,Sheet1!$E$3:$H$27,4,0),"")</f>
        <v>P3</v>
      </c>
      <c r="C1009" s="15"/>
      <c r="D1009" s="12" t="s">
        <v>9</v>
      </c>
      <c r="E1009" s="13" t="str">
        <f>IFERROR(VLOOKUP(D1009,Sheet1!$B$1:$C$45,2,0),"")</f>
        <v>MBP</v>
      </c>
      <c r="F1009" s="12" t="s">
        <v>108</v>
      </c>
      <c r="G1009" s="13" t="str">
        <f t="shared" si="4"/>
        <v>Barito Raya</v>
      </c>
      <c r="H1009" s="15" t="str">
        <f>IFERROR(VLOOKUP(A1009,Sheet1!$E$3:$F$27,2,),"")</f>
        <v>Standby</v>
      </c>
      <c r="I1009" s="16" t="str">
        <f>IFERROR(VLOOKUP(A1009,Sheet1!$E$3:$G$27,3,0),"")</f>
        <v>Standby On Call</v>
      </c>
      <c r="J1009" s="20"/>
      <c r="K1009" s="17">
        <v>46048.0</v>
      </c>
      <c r="L1009" s="17">
        <v>46048.0</v>
      </c>
      <c r="M1009" s="13"/>
      <c r="N1009" s="23"/>
      <c r="O1009" s="22"/>
      <c r="P1009" s="22"/>
    </row>
    <row r="1010" ht="22.5" customHeight="1">
      <c r="A1010" s="12" t="s">
        <v>14</v>
      </c>
      <c r="B1010" s="20" t="str">
        <f>IFERROR(VLOOKUP(A1010,Sheet1!$E$3:$H$27,4,0),"")</f>
        <v>P1</v>
      </c>
      <c r="C1010" s="14" t="s">
        <v>407</v>
      </c>
      <c r="D1010" s="12" t="s">
        <v>4</v>
      </c>
      <c r="E1010" s="13" t="str">
        <f>IFERROR(VLOOKUP(D1010,Sheet1!$B$1:$C$45,2,0),"")</f>
        <v>CME</v>
      </c>
      <c r="F1010" s="12" t="s">
        <v>108</v>
      </c>
      <c r="G1010" s="13" t="str">
        <f t="shared" si="4"/>
        <v>Barito Raya</v>
      </c>
      <c r="H1010" s="15" t="str">
        <f>IFERROR(VLOOKUP(A1010,Sheet1!$E$3:$F$27,2,),"")</f>
        <v>Corrective</v>
      </c>
      <c r="I1010" s="16" t="str">
        <f>IFERROR(VLOOKUP(A1010,Sheet1!$E$3:$G$27,3,0),"")</f>
        <v>Pemadaman,MCB Trip,Transmisi problem</v>
      </c>
      <c r="J1010" s="12" t="s">
        <v>112</v>
      </c>
      <c r="K1010" s="17">
        <v>46048.0</v>
      </c>
      <c r="L1010" s="17">
        <v>46048.0</v>
      </c>
      <c r="M1010" s="13"/>
      <c r="N1010" s="23"/>
      <c r="O1010" s="22"/>
      <c r="P1010" s="22"/>
    </row>
    <row r="1011" ht="22.5" customHeight="1">
      <c r="A1011" s="12" t="s">
        <v>65</v>
      </c>
      <c r="B1011" s="20" t="str">
        <f>IFERROR(VLOOKUP(A1011,Sheet1!$E$3:$H$27,4,0),"")</f>
        <v>P3</v>
      </c>
      <c r="C1011" s="15"/>
      <c r="D1011" s="12" t="s">
        <v>87</v>
      </c>
      <c r="E1011" s="13" t="str">
        <f>IFERROR(VLOOKUP(D1011,Sheet1!$B$1:$C$45,2,0),"")</f>
        <v>MBP</v>
      </c>
      <c r="F1011" s="12" t="s">
        <v>108</v>
      </c>
      <c r="G1011" s="13" t="str">
        <f t="shared" si="4"/>
        <v>Barito Raya</v>
      </c>
      <c r="H1011" s="15" t="str">
        <f>IFERROR(VLOOKUP(A1011,Sheet1!$E$3:$F$27,2,),"")</f>
        <v>Standby</v>
      </c>
      <c r="I1011" s="16" t="str">
        <f>IFERROR(VLOOKUP(A1011,Sheet1!$E$3:$G$27,3,0),"")</f>
        <v>Standby On Call</v>
      </c>
      <c r="J1011" s="20"/>
      <c r="K1011" s="17">
        <v>46048.0</v>
      </c>
      <c r="L1011" s="17">
        <v>46048.0</v>
      </c>
      <c r="M1011" s="13"/>
      <c r="N1011" s="23"/>
      <c r="O1011" s="22"/>
      <c r="P1011" s="22"/>
    </row>
    <row r="1012" ht="22.5" customHeight="1">
      <c r="A1012" s="12" t="s">
        <v>65</v>
      </c>
      <c r="B1012" s="20" t="str">
        <f>IFERROR(VLOOKUP(A1012,Sheet1!$E$3:$H$27,4,0),"")</f>
        <v>P3</v>
      </c>
      <c r="C1012" s="15"/>
      <c r="D1012" s="12" t="s">
        <v>29</v>
      </c>
      <c r="E1012" s="13" t="str">
        <f>IFERROR(VLOOKUP(D1012,Sheet1!$B$1:$C$45,2,0),"")</f>
        <v>MBP</v>
      </c>
      <c r="F1012" s="12" t="s">
        <v>108</v>
      </c>
      <c r="G1012" s="13" t="str">
        <f t="shared" si="4"/>
        <v>Barito Raya</v>
      </c>
      <c r="H1012" s="15" t="str">
        <f>IFERROR(VLOOKUP(A1012,Sheet1!$E$3:$F$27,2,),"")</f>
        <v>Standby</v>
      </c>
      <c r="I1012" s="16" t="str">
        <f>IFERROR(VLOOKUP(A1012,Sheet1!$E$3:$G$27,3,0),"")</f>
        <v>Standby On Call</v>
      </c>
      <c r="J1012" s="20"/>
      <c r="K1012" s="17">
        <v>46048.0</v>
      </c>
      <c r="L1012" s="17">
        <v>46048.0</v>
      </c>
      <c r="M1012" s="13"/>
      <c r="N1012" s="23"/>
      <c r="O1012" s="22"/>
      <c r="P1012" s="22"/>
    </row>
    <row r="1013" ht="22.5" customHeight="1">
      <c r="A1013" s="12" t="s">
        <v>52</v>
      </c>
      <c r="B1013" s="20" t="str">
        <f>IFERROR(VLOOKUP(A1013,Sheet1!$E$3:$H$27,4,0),"")</f>
        <v>P1</v>
      </c>
      <c r="C1013" s="14" t="s">
        <v>487</v>
      </c>
      <c r="D1013" s="12" t="s">
        <v>2</v>
      </c>
      <c r="E1013" s="13" t="str">
        <f>IFERROR(VLOOKUP(D1013,Sheet1!$B$1:$C$45,2,0),"")</f>
        <v>CME</v>
      </c>
      <c r="F1013" s="12" t="s">
        <v>108</v>
      </c>
      <c r="G1013" s="13" t="str">
        <f t="shared" si="4"/>
        <v>Barito Raya</v>
      </c>
      <c r="H1013" s="15" t="str">
        <f>IFERROR(VLOOKUP(A1013,Sheet1!$E$3:$F$27,2,),"")</f>
        <v>Preventive</v>
      </c>
      <c r="I1013" s="16" t="str">
        <f>IFERROR(VLOOKUP(A1013,Sheet1!$E$3:$G$27,3,0),"")</f>
        <v>MCB trip/Power upnormal</v>
      </c>
      <c r="J1013" s="12" t="s">
        <v>112</v>
      </c>
      <c r="K1013" s="17">
        <v>46048.0</v>
      </c>
      <c r="L1013" s="17">
        <v>46048.0</v>
      </c>
      <c r="M1013" s="13"/>
      <c r="N1013" s="23"/>
      <c r="O1013" s="22"/>
      <c r="P1013" s="22"/>
    </row>
    <row r="1014" ht="22.5" customHeight="1">
      <c r="A1014" s="12" t="s">
        <v>14</v>
      </c>
      <c r="B1014" s="20" t="str">
        <f>IFERROR(VLOOKUP(A1014,Sheet1!$E$3:$H$27,4,0),"")</f>
        <v>P1</v>
      </c>
      <c r="C1014" s="14" t="s">
        <v>488</v>
      </c>
      <c r="D1014" s="12" t="s">
        <v>0</v>
      </c>
      <c r="E1014" s="13" t="str">
        <f>IFERROR(VLOOKUP(D1014,Sheet1!$B$1:$C$45,2,0),"")</f>
        <v>MBP</v>
      </c>
      <c r="F1014" s="12" t="s">
        <v>108</v>
      </c>
      <c r="G1014" s="13" t="str">
        <f t="shared" si="4"/>
        <v>Barito Raya</v>
      </c>
      <c r="H1014" s="15" t="str">
        <f>IFERROR(VLOOKUP(A1014,Sheet1!$E$3:$F$27,2,),"")</f>
        <v>Corrective</v>
      </c>
      <c r="I1014" s="16" t="str">
        <f>IFERROR(VLOOKUP(A1014,Sheet1!$E$3:$G$27,3,0),"")</f>
        <v>Pemadaman,MCB Trip,Transmisi problem</v>
      </c>
      <c r="J1014" s="12" t="s">
        <v>112</v>
      </c>
      <c r="K1014" s="17">
        <v>46048.0</v>
      </c>
      <c r="L1014" s="17">
        <v>46048.0</v>
      </c>
      <c r="M1014" s="13"/>
      <c r="N1014" s="23"/>
      <c r="O1014" s="22"/>
      <c r="P1014" s="22"/>
    </row>
    <row r="1015" ht="22.5" customHeight="1">
      <c r="A1015" s="12" t="s">
        <v>22</v>
      </c>
      <c r="B1015" s="20" t="str">
        <f>IFERROR(VLOOKUP(A1015,Sheet1!$E$3:$H$27,4,0),"")</f>
        <v>P2</v>
      </c>
      <c r="C1015" s="14" t="s">
        <v>283</v>
      </c>
      <c r="D1015" s="12" t="s">
        <v>85</v>
      </c>
      <c r="E1015" s="13" t="str">
        <f>IFERROR(VLOOKUP(D1015,Sheet1!$B$1:$C$45,2,0),"")</f>
        <v>PM</v>
      </c>
      <c r="F1015" s="12" t="s">
        <v>108</v>
      </c>
      <c r="G1015" s="13" t="str">
        <f t="shared" si="4"/>
        <v>Barito Raya</v>
      </c>
      <c r="H1015" s="15" t="str">
        <f>IFERROR(VLOOKUP(A1015,Sheet1!$E$3:$F$27,2,),"")</f>
        <v>Preventive</v>
      </c>
      <c r="I1015" s="16" t="str">
        <f>IFERROR(VLOOKUP(A1015,Sheet1!$E$3:$G$27,3,0),"")</f>
        <v>Preventive Maintenance</v>
      </c>
      <c r="J1015" s="12" t="s">
        <v>112</v>
      </c>
      <c r="K1015" s="17">
        <v>46048.0</v>
      </c>
      <c r="L1015" s="17">
        <v>46048.0</v>
      </c>
      <c r="M1015" s="13"/>
      <c r="N1015" s="23"/>
      <c r="O1015" s="22"/>
      <c r="P1015" s="22"/>
    </row>
    <row r="1016" ht="22.5" customHeight="1">
      <c r="A1016" s="12" t="s">
        <v>22</v>
      </c>
      <c r="B1016" s="20" t="str">
        <f>IFERROR(VLOOKUP(A1016,Sheet1!$E$3:$H$27,4,0),"")</f>
        <v>P2</v>
      </c>
      <c r="C1016" s="14" t="s">
        <v>283</v>
      </c>
      <c r="D1016" s="12" t="s">
        <v>84</v>
      </c>
      <c r="E1016" s="13" t="str">
        <f>IFERROR(VLOOKUP(D1016,Sheet1!$B$1:$C$45,2,0),"")</f>
        <v>MBP</v>
      </c>
      <c r="F1016" s="12" t="s">
        <v>108</v>
      </c>
      <c r="G1016" s="13" t="str">
        <f t="shared" si="4"/>
        <v>Barito Raya</v>
      </c>
      <c r="H1016" s="15" t="str">
        <f>IFERROR(VLOOKUP(A1016,Sheet1!$E$3:$F$27,2,),"")</f>
        <v>Preventive</v>
      </c>
      <c r="I1016" s="16" t="str">
        <f>IFERROR(VLOOKUP(A1016,Sheet1!$E$3:$G$27,3,0),"")</f>
        <v>Preventive Maintenance</v>
      </c>
      <c r="J1016" s="12" t="s">
        <v>112</v>
      </c>
      <c r="K1016" s="17">
        <v>46048.0</v>
      </c>
      <c r="L1016" s="17">
        <v>46048.0</v>
      </c>
      <c r="M1016" s="13"/>
      <c r="N1016" s="23"/>
      <c r="O1016" s="22"/>
      <c r="P1016" s="22"/>
    </row>
    <row r="1017" ht="22.5" hidden="1" customHeight="1">
      <c r="A1017" s="12" t="s">
        <v>22</v>
      </c>
      <c r="B1017" s="20" t="str">
        <f>IFERROR(VLOOKUP(A1017,Sheet1!$E$3:$H$27,4,0),"")</f>
        <v>P2</v>
      </c>
      <c r="C1017" s="14" t="s">
        <v>284</v>
      </c>
      <c r="D1017" s="12" t="s">
        <v>86</v>
      </c>
      <c r="E1017" s="13" t="str">
        <f>IFERROR(VLOOKUP(D1017,Sheet1!$B$1:$C$45,2,0),"")</f>
        <v>PM</v>
      </c>
      <c r="F1017" s="12" t="s">
        <v>108</v>
      </c>
      <c r="G1017" s="13" t="str">
        <f t="shared" si="4"/>
        <v>Barito Raya</v>
      </c>
      <c r="H1017" s="15" t="str">
        <f>IFERROR(VLOOKUP(A1017,Sheet1!$E$3:$F$27,2,),"")</f>
        <v>Preventive</v>
      </c>
      <c r="I1017" s="16" t="str">
        <f>IFERROR(VLOOKUP(A1017,Sheet1!$E$3:$G$27,3,0),"")</f>
        <v>Preventive Maintenance</v>
      </c>
      <c r="J1017" s="12" t="s">
        <v>112</v>
      </c>
      <c r="K1017" s="17">
        <v>46048.0</v>
      </c>
      <c r="L1017" s="17">
        <v>46048.0</v>
      </c>
      <c r="M1017" s="13"/>
      <c r="N1017" s="23"/>
      <c r="O1017" s="22"/>
      <c r="P1017" s="22"/>
    </row>
    <row r="1018" ht="22.5" customHeight="1">
      <c r="A1018" s="12" t="s">
        <v>52</v>
      </c>
      <c r="B1018" s="20" t="str">
        <f>IFERROR(VLOOKUP(A1018,Sheet1!$E$3:$H$27,4,0),"")</f>
        <v>P1</v>
      </c>
      <c r="C1018" s="14" t="s">
        <v>285</v>
      </c>
      <c r="D1018" s="12" t="s">
        <v>12</v>
      </c>
      <c r="E1018" s="13" t="str">
        <f>IFERROR(VLOOKUP(D1018,Sheet1!$B$1:$C$45,2,0),"")</f>
        <v>TE</v>
      </c>
      <c r="F1018" s="12" t="s">
        <v>108</v>
      </c>
      <c r="G1018" s="13" t="str">
        <f t="shared" si="4"/>
        <v>Barito Raya</v>
      </c>
      <c r="H1018" s="15" t="str">
        <f>IFERROR(VLOOKUP(A1018,Sheet1!$E$3:$F$27,2,),"")</f>
        <v>Preventive</v>
      </c>
      <c r="I1018" s="16" t="str">
        <f>IFERROR(VLOOKUP(A1018,Sheet1!$E$3:$G$27,3,0),"")</f>
        <v>MCB trip/Power upnormal</v>
      </c>
      <c r="J1018" s="12" t="s">
        <v>112</v>
      </c>
      <c r="K1018" s="17">
        <v>46049.0</v>
      </c>
      <c r="L1018" s="17">
        <v>46049.0</v>
      </c>
      <c r="M1018" s="13"/>
      <c r="N1018" s="23"/>
      <c r="O1018" s="22"/>
      <c r="P1018" s="22"/>
    </row>
    <row r="1019" ht="22.5" customHeight="1">
      <c r="A1019" s="12" t="s">
        <v>5</v>
      </c>
      <c r="B1019" s="20" t="str">
        <f>IFERROR(VLOOKUP(A1019,Sheet1!$E$3:$H$27,4,0),"")</f>
        <v>P1</v>
      </c>
      <c r="C1019" s="14" t="s">
        <v>336</v>
      </c>
      <c r="D1019" s="12" t="s">
        <v>16</v>
      </c>
      <c r="E1019" s="13" t="str">
        <f>IFERROR(VLOOKUP(D1019,Sheet1!$B$1:$C$45,2,0),"")</f>
        <v>TE</v>
      </c>
      <c r="F1019" s="12" t="s">
        <v>108</v>
      </c>
      <c r="G1019" s="13" t="str">
        <f t="shared" si="4"/>
        <v>Barito Raya</v>
      </c>
      <c r="H1019" s="15" t="str">
        <f>IFERROR(VLOOKUP(A1019,Sheet1!$E$3:$F$27,2,),"")</f>
        <v>Corrective</v>
      </c>
      <c r="I1019" s="16" t="str">
        <f>IFERROR(VLOOKUP(A1019,Sheet1!$E$3:$G$27,3,0),"")</f>
        <v>Replace Optik,RRU/Soket Power/Replace GPS</v>
      </c>
      <c r="J1019" s="12" t="s">
        <v>172</v>
      </c>
      <c r="K1019" s="17">
        <v>46049.0</v>
      </c>
      <c r="L1019" s="17">
        <v>46049.0</v>
      </c>
      <c r="M1019" s="13"/>
      <c r="N1019" s="23"/>
      <c r="O1019" s="22"/>
      <c r="P1019" s="22"/>
    </row>
    <row r="1020" ht="22.5" customHeight="1">
      <c r="A1020" s="12" t="s">
        <v>14</v>
      </c>
      <c r="B1020" s="20" t="str">
        <f>IFERROR(VLOOKUP(A1020,Sheet1!$E$3:$H$27,4,0),"")</f>
        <v>P1</v>
      </c>
      <c r="C1020" s="14" t="s">
        <v>489</v>
      </c>
      <c r="D1020" s="12" t="s">
        <v>21</v>
      </c>
      <c r="E1020" s="13" t="str">
        <f>IFERROR(VLOOKUP(D1020,Sheet1!$B$1:$C$45,2,0),"")</f>
        <v>TE</v>
      </c>
      <c r="F1020" s="12" t="s">
        <v>108</v>
      </c>
      <c r="G1020" s="13" t="str">
        <f t="shared" si="4"/>
        <v>Barito Raya</v>
      </c>
      <c r="H1020" s="15" t="str">
        <f>IFERROR(VLOOKUP(A1020,Sheet1!$E$3:$F$27,2,),"")</f>
        <v>Corrective</v>
      </c>
      <c r="I1020" s="16" t="str">
        <f>IFERROR(VLOOKUP(A1020,Sheet1!$E$3:$G$27,3,0),"")</f>
        <v>Pemadaman,MCB Trip,Transmisi problem</v>
      </c>
      <c r="J1020" s="12" t="s">
        <v>112</v>
      </c>
      <c r="K1020" s="17">
        <v>46049.0</v>
      </c>
      <c r="L1020" s="17">
        <v>46049.0</v>
      </c>
      <c r="M1020" s="13"/>
      <c r="N1020" s="23"/>
      <c r="O1020" s="22"/>
      <c r="P1020" s="22"/>
    </row>
    <row r="1021" ht="22.5" customHeight="1">
      <c r="A1021" s="12" t="s">
        <v>49</v>
      </c>
      <c r="B1021" s="20" t="str">
        <f>IFERROR(VLOOKUP(A1021,Sheet1!$E$3:$H$27,4,0),"")</f>
        <v>P2</v>
      </c>
      <c r="C1021" s="14" t="s">
        <v>447</v>
      </c>
      <c r="D1021" s="12" t="s">
        <v>26</v>
      </c>
      <c r="E1021" s="13" t="str">
        <f>IFERROR(VLOOKUP(D1021,Sheet1!$B$1:$C$45,2,0),"")</f>
        <v>TE</v>
      </c>
      <c r="F1021" s="12" t="s">
        <v>108</v>
      </c>
      <c r="G1021" s="13" t="str">
        <f t="shared" si="4"/>
        <v>Barito Raya</v>
      </c>
      <c r="H1021" s="15" t="str">
        <f>IFERROR(VLOOKUP(A1021,Sheet1!$E$3:$F$27,2,),"")</f>
        <v>Preventive</v>
      </c>
      <c r="I1021" s="16" t="str">
        <f>IFERROR(VLOOKUP(A1021,Sheet1!$E$3:$G$27,3,0),"")</f>
        <v>Bts High temp impact fliker</v>
      </c>
      <c r="J1021" s="12" t="s">
        <v>112</v>
      </c>
      <c r="K1021" s="17">
        <v>46049.0</v>
      </c>
      <c r="L1021" s="17">
        <v>46049.0</v>
      </c>
      <c r="M1021" s="13"/>
      <c r="N1021" s="23"/>
      <c r="O1021" s="22"/>
      <c r="P1021" s="22"/>
    </row>
    <row r="1022" ht="22.5" customHeight="1">
      <c r="A1022" s="12" t="s">
        <v>14</v>
      </c>
      <c r="B1022" s="20" t="str">
        <f>IFERROR(VLOOKUP(A1022,Sheet1!$E$3:$H$27,4,0),"")</f>
        <v>P1</v>
      </c>
      <c r="C1022" s="14" t="s">
        <v>490</v>
      </c>
      <c r="D1022" s="12" t="s">
        <v>88</v>
      </c>
      <c r="E1022" s="13" t="str">
        <f>IFERROR(VLOOKUP(D1022,Sheet1!$B$1:$C$45,2,0),"")</f>
        <v>TE</v>
      </c>
      <c r="F1022" s="12" t="s">
        <v>108</v>
      </c>
      <c r="G1022" s="13" t="str">
        <f t="shared" si="4"/>
        <v>Barito Raya</v>
      </c>
      <c r="H1022" s="15" t="str">
        <f>IFERROR(VLOOKUP(A1022,Sheet1!$E$3:$F$27,2,),"")</f>
        <v>Corrective</v>
      </c>
      <c r="I1022" s="16" t="str">
        <f>IFERROR(VLOOKUP(A1022,Sheet1!$E$3:$G$27,3,0),"")</f>
        <v>Pemadaman,MCB Trip,Transmisi problem</v>
      </c>
      <c r="J1022" s="12" t="s">
        <v>112</v>
      </c>
      <c r="K1022" s="17">
        <v>46049.0</v>
      </c>
      <c r="L1022" s="17">
        <v>46049.0</v>
      </c>
      <c r="M1022" s="13"/>
      <c r="N1022" s="23"/>
      <c r="O1022" s="22"/>
      <c r="P1022" s="22"/>
    </row>
    <row r="1023" ht="22.5" customHeight="1">
      <c r="A1023" s="20"/>
      <c r="B1023" s="20" t="str">
        <f>IFERROR(VLOOKUP(A1023,Sheet1!$E$3:$H$27,4,0),"")</f>
        <v/>
      </c>
      <c r="C1023" s="14" t="s">
        <v>491</v>
      </c>
      <c r="D1023" s="12" t="s">
        <v>32</v>
      </c>
      <c r="E1023" s="13" t="str">
        <f>IFERROR(VLOOKUP(D1023,Sheet1!$B$1:$C$45,2,0),"")</f>
        <v>TE</v>
      </c>
      <c r="F1023" s="12" t="s">
        <v>108</v>
      </c>
      <c r="G1023" s="13" t="str">
        <f t="shared" si="4"/>
        <v>Barito Raya</v>
      </c>
      <c r="H1023" s="15" t="str">
        <f>IFERROR(VLOOKUP(A1023,Sheet1!$E$3:$F$27,2,),"")</f>
        <v/>
      </c>
      <c r="I1023" s="16" t="str">
        <f>IFERROR(VLOOKUP(A1023,Sheet1!$E$3:$G$27,3,0),"")</f>
        <v/>
      </c>
      <c r="J1023" s="20"/>
      <c r="K1023" s="17">
        <v>46049.0</v>
      </c>
      <c r="L1023" s="17">
        <v>46049.0</v>
      </c>
      <c r="M1023" s="13"/>
      <c r="N1023" s="23"/>
      <c r="O1023" s="22"/>
      <c r="P1023" s="22"/>
    </row>
    <row r="1024" ht="22.5" customHeight="1">
      <c r="A1024" s="20"/>
      <c r="B1024" s="20" t="str">
        <f>IFERROR(VLOOKUP(A1024,Sheet1!$E$3:$H$27,4,0),"")</f>
        <v/>
      </c>
      <c r="C1024" s="14" t="s">
        <v>491</v>
      </c>
      <c r="D1024" s="12" t="s">
        <v>74</v>
      </c>
      <c r="E1024" s="13" t="str">
        <f>IFERROR(VLOOKUP(D1024,Sheet1!$B$1:$C$45,2,0),"")</f>
        <v>TE</v>
      </c>
      <c r="F1024" s="12" t="s">
        <v>108</v>
      </c>
      <c r="G1024" s="13" t="str">
        <f t="shared" si="4"/>
        <v>Barito Raya</v>
      </c>
      <c r="H1024" s="15" t="str">
        <f>IFERROR(VLOOKUP(A1024,Sheet1!$E$3:$F$27,2,),"")</f>
        <v/>
      </c>
      <c r="I1024" s="16" t="str">
        <f>IFERROR(VLOOKUP(A1024,Sheet1!$E$3:$G$27,3,0),"")</f>
        <v/>
      </c>
      <c r="J1024" s="20"/>
      <c r="K1024" s="17">
        <v>46049.0</v>
      </c>
      <c r="L1024" s="17">
        <v>46049.0</v>
      </c>
      <c r="M1024" s="13"/>
      <c r="N1024" s="23"/>
      <c r="O1024" s="22"/>
      <c r="P1024" s="22"/>
    </row>
    <row r="1025" ht="22.5" customHeight="1">
      <c r="A1025" s="12" t="s">
        <v>22</v>
      </c>
      <c r="B1025" s="20" t="str">
        <f>IFERROR(VLOOKUP(A1025,Sheet1!$E$3:$H$27,4,0),"")</f>
        <v>P2</v>
      </c>
      <c r="C1025" s="15"/>
      <c r="D1025" s="12" t="s">
        <v>60</v>
      </c>
      <c r="E1025" s="13" t="str">
        <f>IFERROR(VLOOKUP(D1025,Sheet1!$B$1:$C$45,2,0),"")</f>
        <v>TE</v>
      </c>
      <c r="F1025" s="12" t="s">
        <v>108</v>
      </c>
      <c r="G1025" s="13" t="str">
        <f t="shared" si="4"/>
        <v>Barito Raya</v>
      </c>
      <c r="H1025" s="15" t="str">
        <f>IFERROR(VLOOKUP(A1025,Sheet1!$E$3:$F$27,2,),"")</f>
        <v>Preventive</v>
      </c>
      <c r="I1025" s="16" t="str">
        <f>IFERROR(VLOOKUP(A1025,Sheet1!$E$3:$G$27,3,0),"")</f>
        <v>Preventive Maintenance</v>
      </c>
      <c r="J1025" s="20"/>
      <c r="K1025" s="17">
        <v>46049.0</v>
      </c>
      <c r="L1025" s="17">
        <v>46049.0</v>
      </c>
      <c r="M1025" s="13"/>
      <c r="N1025" s="23"/>
      <c r="O1025" s="22"/>
      <c r="P1025" s="22"/>
    </row>
    <row r="1026" ht="22.5" customHeight="1">
      <c r="A1026" s="12" t="s">
        <v>52</v>
      </c>
      <c r="B1026" s="20" t="str">
        <f>IFERROR(VLOOKUP(A1026,Sheet1!$E$3:$H$27,4,0),"")</f>
        <v>P1</v>
      </c>
      <c r="C1026" s="14" t="s">
        <v>492</v>
      </c>
      <c r="D1026" s="12" t="s">
        <v>62</v>
      </c>
      <c r="E1026" s="13" t="str">
        <f>IFERROR(VLOOKUP(D1026,Sheet1!$B$1:$C$45,2,0),"")</f>
        <v>TE</v>
      </c>
      <c r="F1026" s="12" t="s">
        <v>108</v>
      </c>
      <c r="G1026" s="13" t="str">
        <f t="shared" si="4"/>
        <v>Barito Raya</v>
      </c>
      <c r="H1026" s="15" t="str">
        <f>IFERROR(VLOOKUP(A1026,Sheet1!$E$3:$F$27,2,),"")</f>
        <v>Preventive</v>
      </c>
      <c r="I1026" s="16" t="str">
        <f>IFERROR(VLOOKUP(A1026,Sheet1!$E$3:$G$27,3,0),"")</f>
        <v>MCB trip/Power upnormal</v>
      </c>
      <c r="J1026" s="12" t="s">
        <v>112</v>
      </c>
      <c r="K1026" s="17">
        <v>46049.0</v>
      </c>
      <c r="L1026" s="17">
        <v>46049.0</v>
      </c>
      <c r="M1026" s="13"/>
      <c r="N1026" s="23"/>
      <c r="O1026" s="22"/>
      <c r="P1026" s="22"/>
    </row>
    <row r="1027" ht="22.5" customHeight="1">
      <c r="A1027" s="12" t="s">
        <v>65</v>
      </c>
      <c r="B1027" s="20" t="str">
        <f>IFERROR(VLOOKUP(A1027,Sheet1!$E$3:$H$27,4,0),"")</f>
        <v>P3</v>
      </c>
      <c r="C1027" s="15"/>
      <c r="D1027" s="12" t="s">
        <v>9</v>
      </c>
      <c r="E1027" s="13" t="str">
        <f>IFERROR(VLOOKUP(D1027,Sheet1!$B$1:$C$45,2,0),"")</f>
        <v>MBP</v>
      </c>
      <c r="F1027" s="12" t="s">
        <v>108</v>
      </c>
      <c r="G1027" s="13" t="str">
        <f t="shared" si="4"/>
        <v>Barito Raya</v>
      </c>
      <c r="H1027" s="15" t="str">
        <f>IFERROR(VLOOKUP(A1027,Sheet1!$E$3:$F$27,2,),"")</f>
        <v>Standby</v>
      </c>
      <c r="I1027" s="16" t="str">
        <f>IFERROR(VLOOKUP(A1027,Sheet1!$E$3:$G$27,3,0),"")</f>
        <v>Standby On Call</v>
      </c>
      <c r="J1027" s="20"/>
      <c r="K1027" s="17">
        <v>46049.0</v>
      </c>
      <c r="L1027" s="17">
        <v>46049.0</v>
      </c>
      <c r="M1027" s="13"/>
      <c r="N1027" s="23"/>
      <c r="O1027" s="22"/>
      <c r="P1027" s="22"/>
    </row>
    <row r="1028" ht="22.5" customHeight="1">
      <c r="A1028" s="12" t="s">
        <v>5</v>
      </c>
      <c r="B1028" s="20" t="str">
        <f>IFERROR(VLOOKUP(A1028,Sheet1!$E$3:$H$27,4,0),"")</f>
        <v>P1</v>
      </c>
      <c r="C1028" s="14" t="s">
        <v>336</v>
      </c>
      <c r="D1028" s="12" t="s">
        <v>4</v>
      </c>
      <c r="E1028" s="13" t="str">
        <f>IFERROR(VLOOKUP(D1028,Sheet1!$B$1:$C$45,2,0),"")</f>
        <v>CME</v>
      </c>
      <c r="F1028" s="12" t="s">
        <v>108</v>
      </c>
      <c r="G1028" s="13" t="str">
        <f t="shared" si="4"/>
        <v>Barito Raya</v>
      </c>
      <c r="H1028" s="15" t="str">
        <f>IFERROR(VLOOKUP(A1028,Sheet1!$E$3:$F$27,2,),"")</f>
        <v>Corrective</v>
      </c>
      <c r="I1028" s="16" t="str">
        <f>IFERROR(VLOOKUP(A1028,Sheet1!$E$3:$G$27,3,0),"")</f>
        <v>Replace Optik,RRU/Soket Power/Replace GPS</v>
      </c>
      <c r="J1028" s="12" t="s">
        <v>172</v>
      </c>
      <c r="K1028" s="17">
        <v>46049.0</v>
      </c>
      <c r="L1028" s="17">
        <v>46049.0</v>
      </c>
      <c r="M1028" s="13"/>
      <c r="N1028" s="23"/>
      <c r="O1028" s="22"/>
      <c r="P1028" s="22"/>
    </row>
    <row r="1029" ht="22.5" customHeight="1">
      <c r="A1029" s="12" t="s">
        <v>65</v>
      </c>
      <c r="B1029" s="20" t="str">
        <f>IFERROR(VLOOKUP(A1029,Sheet1!$E$3:$H$27,4,0),"")</f>
        <v>P3</v>
      </c>
      <c r="C1029" s="15"/>
      <c r="D1029" s="12" t="s">
        <v>87</v>
      </c>
      <c r="E1029" s="13" t="str">
        <f>IFERROR(VLOOKUP(D1029,Sheet1!$B$1:$C$45,2,0),"")</f>
        <v>MBP</v>
      </c>
      <c r="F1029" s="12" t="s">
        <v>108</v>
      </c>
      <c r="G1029" s="13" t="str">
        <f t="shared" si="4"/>
        <v>Barito Raya</v>
      </c>
      <c r="H1029" s="15" t="str">
        <f>IFERROR(VLOOKUP(A1029,Sheet1!$E$3:$F$27,2,),"")</f>
        <v>Standby</v>
      </c>
      <c r="I1029" s="16" t="str">
        <f>IFERROR(VLOOKUP(A1029,Sheet1!$E$3:$G$27,3,0),"")</f>
        <v>Standby On Call</v>
      </c>
      <c r="J1029" s="20"/>
      <c r="K1029" s="17">
        <v>46049.0</v>
      </c>
      <c r="L1029" s="17">
        <v>46049.0</v>
      </c>
      <c r="M1029" s="13"/>
      <c r="N1029" s="23"/>
      <c r="O1029" s="22"/>
      <c r="P1029" s="22"/>
    </row>
    <row r="1030" ht="22.5" customHeight="1">
      <c r="A1030" s="12" t="s">
        <v>52</v>
      </c>
      <c r="B1030" s="20" t="str">
        <f>IFERROR(VLOOKUP(A1030,Sheet1!$E$3:$H$27,4,0),"")</f>
        <v>P1</v>
      </c>
      <c r="C1030" s="14" t="s">
        <v>485</v>
      </c>
      <c r="D1030" s="12" t="s">
        <v>29</v>
      </c>
      <c r="E1030" s="13" t="str">
        <f>IFERROR(VLOOKUP(D1030,Sheet1!$B$1:$C$45,2,0),"")</f>
        <v>MBP</v>
      </c>
      <c r="F1030" s="12" t="s">
        <v>108</v>
      </c>
      <c r="G1030" s="13" t="str">
        <f t="shared" si="4"/>
        <v>Barito Raya</v>
      </c>
      <c r="H1030" s="15" t="str">
        <f>IFERROR(VLOOKUP(A1030,Sheet1!$E$3:$F$27,2,),"")</f>
        <v>Preventive</v>
      </c>
      <c r="I1030" s="16" t="str">
        <f>IFERROR(VLOOKUP(A1030,Sheet1!$E$3:$G$27,3,0),"")</f>
        <v>MCB trip/Power upnormal</v>
      </c>
      <c r="J1030" s="12" t="s">
        <v>112</v>
      </c>
      <c r="K1030" s="17">
        <v>46049.0</v>
      </c>
      <c r="L1030" s="17">
        <v>46049.0</v>
      </c>
      <c r="M1030" s="13"/>
      <c r="N1030" s="23"/>
      <c r="O1030" s="22"/>
      <c r="P1030" s="22"/>
    </row>
    <row r="1031" ht="22.5" customHeight="1">
      <c r="A1031" s="12" t="s">
        <v>65</v>
      </c>
      <c r="B1031" s="20" t="str">
        <f>IFERROR(VLOOKUP(A1031,Sheet1!$E$3:$H$27,4,0),"")</f>
        <v>P3</v>
      </c>
      <c r="C1031" s="15"/>
      <c r="D1031" s="12" t="s">
        <v>2</v>
      </c>
      <c r="E1031" s="13" t="str">
        <f>IFERROR(VLOOKUP(D1031,Sheet1!$B$1:$C$45,2,0),"")</f>
        <v>CME</v>
      </c>
      <c r="F1031" s="12" t="s">
        <v>108</v>
      </c>
      <c r="G1031" s="13" t="str">
        <f t="shared" si="4"/>
        <v>Barito Raya</v>
      </c>
      <c r="H1031" s="15" t="str">
        <f>IFERROR(VLOOKUP(A1031,Sheet1!$E$3:$F$27,2,),"")</f>
        <v>Standby</v>
      </c>
      <c r="I1031" s="16" t="str">
        <f>IFERROR(VLOOKUP(A1031,Sheet1!$E$3:$G$27,3,0),"")</f>
        <v>Standby On Call</v>
      </c>
      <c r="J1031" s="20"/>
      <c r="K1031" s="17">
        <v>46049.0</v>
      </c>
      <c r="L1031" s="17">
        <v>46049.0</v>
      </c>
      <c r="M1031" s="13"/>
      <c r="N1031" s="23"/>
      <c r="O1031" s="22"/>
      <c r="P1031" s="22"/>
    </row>
    <row r="1032" ht="22.5" customHeight="1">
      <c r="A1032" s="12" t="s">
        <v>65</v>
      </c>
      <c r="B1032" s="20" t="str">
        <f>IFERROR(VLOOKUP(A1032,Sheet1!$E$3:$H$27,4,0),"")</f>
        <v>P3</v>
      </c>
      <c r="C1032" s="15"/>
      <c r="D1032" s="12" t="s">
        <v>0</v>
      </c>
      <c r="E1032" s="13" t="str">
        <f>IFERROR(VLOOKUP(D1032,Sheet1!$B$1:$C$45,2,0),"")</f>
        <v>MBP</v>
      </c>
      <c r="F1032" s="12" t="s">
        <v>108</v>
      </c>
      <c r="G1032" s="13" t="str">
        <f t="shared" si="4"/>
        <v>Barito Raya</v>
      </c>
      <c r="H1032" s="15" t="str">
        <f>IFERROR(VLOOKUP(A1032,Sheet1!$E$3:$F$27,2,),"")</f>
        <v>Standby</v>
      </c>
      <c r="I1032" s="16" t="str">
        <f>IFERROR(VLOOKUP(A1032,Sheet1!$E$3:$G$27,3,0),"")</f>
        <v>Standby On Call</v>
      </c>
      <c r="J1032" s="20"/>
      <c r="K1032" s="17">
        <v>46049.0</v>
      </c>
      <c r="L1032" s="17">
        <v>46049.0</v>
      </c>
      <c r="M1032" s="13"/>
      <c r="N1032" s="23"/>
      <c r="O1032" s="22"/>
      <c r="P1032" s="22"/>
    </row>
    <row r="1033" ht="22.5" customHeight="1">
      <c r="A1033" s="12" t="s">
        <v>22</v>
      </c>
      <c r="B1033" s="20" t="str">
        <f>IFERROR(VLOOKUP(A1033,Sheet1!$E$3:$H$27,4,0),"")</f>
        <v>P2</v>
      </c>
      <c r="C1033" s="14" t="s">
        <v>493</v>
      </c>
      <c r="D1033" s="12" t="s">
        <v>85</v>
      </c>
      <c r="E1033" s="13" t="str">
        <f>IFERROR(VLOOKUP(D1033,Sheet1!$B$1:$C$45,2,0),"")</f>
        <v>PM</v>
      </c>
      <c r="F1033" s="12" t="s">
        <v>108</v>
      </c>
      <c r="G1033" s="13" t="str">
        <f t="shared" si="4"/>
        <v>Barito Raya</v>
      </c>
      <c r="H1033" s="15" t="str">
        <f>IFERROR(VLOOKUP(A1033,Sheet1!$E$3:$F$27,2,),"")</f>
        <v>Preventive</v>
      </c>
      <c r="I1033" s="16" t="str">
        <f>IFERROR(VLOOKUP(A1033,Sheet1!$E$3:$G$27,3,0),"")</f>
        <v>Preventive Maintenance</v>
      </c>
      <c r="J1033" s="12" t="s">
        <v>112</v>
      </c>
      <c r="K1033" s="17">
        <v>46049.0</v>
      </c>
      <c r="L1033" s="17">
        <v>46049.0</v>
      </c>
      <c r="M1033" s="13"/>
      <c r="N1033" s="23"/>
      <c r="O1033" s="22"/>
      <c r="P1033" s="22"/>
    </row>
    <row r="1034" ht="22.5" customHeight="1">
      <c r="A1034" s="12" t="s">
        <v>22</v>
      </c>
      <c r="B1034" s="20" t="str">
        <f>IFERROR(VLOOKUP(A1034,Sheet1!$E$3:$H$27,4,0),"")</f>
        <v>P2</v>
      </c>
      <c r="C1034" s="14" t="s">
        <v>493</v>
      </c>
      <c r="D1034" s="12" t="s">
        <v>84</v>
      </c>
      <c r="E1034" s="13" t="str">
        <f>IFERROR(VLOOKUP(D1034,Sheet1!$B$1:$C$45,2,0),"")</f>
        <v>MBP</v>
      </c>
      <c r="F1034" s="12" t="s">
        <v>108</v>
      </c>
      <c r="G1034" s="13" t="str">
        <f t="shared" si="4"/>
        <v>Barito Raya</v>
      </c>
      <c r="H1034" s="15" t="str">
        <f>IFERROR(VLOOKUP(A1034,Sheet1!$E$3:$F$27,2,),"")</f>
        <v>Preventive</v>
      </c>
      <c r="I1034" s="16" t="str">
        <f>IFERROR(VLOOKUP(A1034,Sheet1!$E$3:$G$27,3,0),"")</f>
        <v>Preventive Maintenance</v>
      </c>
      <c r="J1034" s="12" t="s">
        <v>112</v>
      </c>
      <c r="K1034" s="17">
        <v>46049.0</v>
      </c>
      <c r="L1034" s="17">
        <v>46049.0</v>
      </c>
      <c r="M1034" s="13"/>
      <c r="N1034" s="23"/>
      <c r="O1034" s="22"/>
      <c r="P1034" s="22"/>
    </row>
    <row r="1035" ht="22.5" customHeight="1">
      <c r="A1035" s="12" t="s">
        <v>22</v>
      </c>
      <c r="B1035" s="20" t="str">
        <f>IFERROR(VLOOKUP(A1035,Sheet1!$E$3:$H$27,4,0),"")</f>
        <v>P2</v>
      </c>
      <c r="C1035" s="14" t="s">
        <v>163</v>
      </c>
      <c r="D1035" s="12" t="s">
        <v>86</v>
      </c>
      <c r="E1035" s="13" t="str">
        <f>IFERROR(VLOOKUP(D1035,Sheet1!$B$1:$C$45,2,0),"")</f>
        <v>PM</v>
      </c>
      <c r="F1035" s="12" t="s">
        <v>108</v>
      </c>
      <c r="G1035" s="13" t="str">
        <f t="shared" si="4"/>
        <v>Barito Raya</v>
      </c>
      <c r="H1035" s="15" t="str">
        <f>IFERROR(VLOOKUP(A1035,Sheet1!$E$3:$F$27,2,),"")</f>
        <v>Preventive</v>
      </c>
      <c r="I1035" s="16" t="str">
        <f>IFERROR(VLOOKUP(A1035,Sheet1!$E$3:$G$27,3,0),"")</f>
        <v>Preventive Maintenance</v>
      </c>
      <c r="J1035" s="12" t="s">
        <v>112</v>
      </c>
      <c r="K1035" s="17">
        <v>46049.0</v>
      </c>
      <c r="L1035" s="17">
        <v>46049.0</v>
      </c>
      <c r="M1035" s="13"/>
      <c r="N1035" s="23"/>
      <c r="O1035" s="22"/>
      <c r="P1035" s="22"/>
    </row>
    <row r="1036" ht="22.5" customHeight="1">
      <c r="A1036" s="12"/>
      <c r="B1036" s="20" t="str">
        <f>IFERROR(VLOOKUP(A1036,Sheet1!$E$3:$H$27,4,0),"")</f>
        <v/>
      </c>
      <c r="C1036" s="14" t="s">
        <v>419</v>
      </c>
      <c r="D1036" s="12" t="s">
        <v>76</v>
      </c>
      <c r="E1036" s="13" t="str">
        <f>IFERROR(VLOOKUP(D1036,Sheet1!$B$1:$C$45,2,0),"")</f>
        <v>TE</v>
      </c>
      <c r="F1036" s="12" t="s">
        <v>179</v>
      </c>
      <c r="G1036" s="13" t="str">
        <f t="shared" si="4"/>
        <v>Palangkaraya</v>
      </c>
      <c r="H1036" s="15" t="str">
        <f>IFERROR(VLOOKUP(A1036,Sheet1!$E$3:$F$27,2,),"")</f>
        <v/>
      </c>
      <c r="I1036" s="16" t="str">
        <f>IFERROR(VLOOKUP(A1036,Sheet1!$E$3:$G$27,3,0),"")</f>
        <v/>
      </c>
      <c r="J1036" s="12" t="s">
        <v>112</v>
      </c>
      <c r="K1036" s="17">
        <v>46049.0</v>
      </c>
      <c r="L1036" s="17">
        <v>46049.0</v>
      </c>
      <c r="M1036" s="12" t="s">
        <v>109</v>
      </c>
      <c r="N1036" s="23"/>
      <c r="O1036" s="22"/>
      <c r="P1036" s="22"/>
    </row>
    <row r="1037" ht="22.5" customHeight="1">
      <c r="A1037" s="12" t="s">
        <v>33</v>
      </c>
      <c r="B1037" s="20" t="str">
        <f>IFERROR(VLOOKUP(A1037,Sheet1!$E$3:$H$27,4,0),"")</f>
        <v>P2</v>
      </c>
      <c r="C1037" s="14" t="s">
        <v>494</v>
      </c>
      <c r="D1037" s="12" t="s">
        <v>39</v>
      </c>
      <c r="E1037" s="13" t="str">
        <f>IFERROR(VLOOKUP(D1037,Sheet1!$B$1:$C$45,2,0),"")</f>
        <v>TE</v>
      </c>
      <c r="F1037" s="12" t="s">
        <v>179</v>
      </c>
      <c r="G1037" s="13" t="str">
        <f t="shared" si="4"/>
        <v>Palangkaraya</v>
      </c>
      <c r="H1037" s="15" t="str">
        <f>IFERROR(VLOOKUP(A1037,Sheet1!$E$3:$F$27,2,),"")</f>
        <v>Preventive</v>
      </c>
      <c r="I1037" s="16" t="str">
        <f>IFERROR(VLOOKUP(A1037,Sheet1!$E$3:$G$27,3,0),"")</f>
        <v>Pengukuran dan pengambilan data log serta input Gdoc BBT</v>
      </c>
      <c r="J1037" s="12" t="s">
        <v>112</v>
      </c>
      <c r="K1037" s="17">
        <v>46049.0</v>
      </c>
      <c r="L1037" s="17">
        <v>46049.0</v>
      </c>
      <c r="M1037" s="12" t="s">
        <v>109</v>
      </c>
      <c r="N1037" s="23"/>
      <c r="O1037" s="22"/>
      <c r="P1037" s="22"/>
    </row>
    <row r="1038" ht="22.5" customHeight="1">
      <c r="A1038" s="12" t="s">
        <v>33</v>
      </c>
      <c r="B1038" s="20" t="str">
        <f>IFERROR(VLOOKUP(A1038,Sheet1!$E$3:$H$27,4,0),"")</f>
        <v>P2</v>
      </c>
      <c r="C1038" s="14" t="s">
        <v>462</v>
      </c>
      <c r="D1038" s="12" t="s">
        <v>77</v>
      </c>
      <c r="E1038" s="13" t="str">
        <f>IFERROR(VLOOKUP(D1038,Sheet1!$B$1:$C$45,2,0),"")</f>
        <v>TE</v>
      </c>
      <c r="F1038" s="12" t="s">
        <v>179</v>
      </c>
      <c r="G1038" s="13" t="str">
        <f t="shared" si="4"/>
        <v>Palangkaraya</v>
      </c>
      <c r="H1038" s="15" t="str">
        <f>IFERROR(VLOOKUP(A1038,Sheet1!$E$3:$F$27,2,),"")</f>
        <v>Preventive</v>
      </c>
      <c r="I1038" s="16" t="str">
        <f>IFERROR(VLOOKUP(A1038,Sheet1!$E$3:$G$27,3,0),"")</f>
        <v>Pengukuran dan pengambilan data log serta input Gdoc BBT</v>
      </c>
      <c r="J1038" s="12" t="s">
        <v>112</v>
      </c>
      <c r="K1038" s="17">
        <v>46049.0</v>
      </c>
      <c r="L1038" s="17">
        <v>46049.0</v>
      </c>
      <c r="M1038" s="12" t="s">
        <v>109</v>
      </c>
      <c r="N1038" s="23"/>
      <c r="O1038" s="22"/>
      <c r="P1038" s="22"/>
    </row>
    <row r="1039" ht="22.5" customHeight="1">
      <c r="A1039" s="12" t="s">
        <v>33</v>
      </c>
      <c r="B1039" s="20" t="str">
        <f>IFERROR(VLOOKUP(A1039,Sheet1!$E$3:$H$27,4,0),"")</f>
        <v>P2</v>
      </c>
      <c r="C1039" s="14" t="s">
        <v>350</v>
      </c>
      <c r="D1039" s="12" t="s">
        <v>37</v>
      </c>
      <c r="E1039" s="13" t="str">
        <f>IFERROR(VLOOKUP(D1039,Sheet1!$B$1:$C$45,2,0),"")</f>
        <v>TE</v>
      </c>
      <c r="F1039" s="12" t="s">
        <v>179</v>
      </c>
      <c r="G1039" s="13" t="str">
        <f t="shared" si="4"/>
        <v>Palangkaraya</v>
      </c>
      <c r="H1039" s="15" t="str">
        <f>IFERROR(VLOOKUP(A1039,Sheet1!$E$3:$F$27,2,),"")</f>
        <v>Preventive</v>
      </c>
      <c r="I1039" s="16" t="str">
        <f>IFERROR(VLOOKUP(A1039,Sheet1!$E$3:$G$27,3,0),"")</f>
        <v>Pengukuran dan pengambilan data log serta input Gdoc BBT</v>
      </c>
      <c r="J1039" s="12" t="s">
        <v>112</v>
      </c>
      <c r="K1039" s="17">
        <v>46049.0</v>
      </c>
      <c r="L1039" s="17">
        <v>46049.0</v>
      </c>
      <c r="M1039" s="12" t="s">
        <v>109</v>
      </c>
      <c r="N1039" s="23"/>
      <c r="O1039" s="22"/>
      <c r="P1039" s="22"/>
    </row>
    <row r="1040" ht="22.5" customHeight="1">
      <c r="A1040" s="12" t="s">
        <v>33</v>
      </c>
      <c r="B1040" s="20" t="str">
        <f>IFERROR(VLOOKUP(A1040,Sheet1!$E$3:$H$27,4,0),"")</f>
        <v>P2</v>
      </c>
      <c r="C1040" s="14" t="s">
        <v>495</v>
      </c>
      <c r="D1040" s="12" t="s">
        <v>80</v>
      </c>
      <c r="E1040" s="13" t="str">
        <f>IFERROR(VLOOKUP(D1040,Sheet1!$B$1:$C$45,2,0),"")</f>
        <v>TE</v>
      </c>
      <c r="F1040" s="12" t="s">
        <v>179</v>
      </c>
      <c r="G1040" s="13" t="str">
        <f t="shared" si="4"/>
        <v>Palangkaraya</v>
      </c>
      <c r="H1040" s="15" t="str">
        <f>IFERROR(VLOOKUP(A1040,Sheet1!$E$3:$F$27,2,),"")</f>
        <v>Preventive</v>
      </c>
      <c r="I1040" s="16" t="str">
        <f>IFERROR(VLOOKUP(A1040,Sheet1!$E$3:$G$27,3,0),"")</f>
        <v>Pengukuran dan pengambilan data log serta input Gdoc BBT</v>
      </c>
      <c r="J1040" s="12" t="s">
        <v>112</v>
      </c>
      <c r="K1040" s="17">
        <v>46049.0</v>
      </c>
      <c r="L1040" s="17">
        <v>46049.0</v>
      </c>
      <c r="M1040" s="12" t="s">
        <v>109</v>
      </c>
      <c r="N1040" s="23"/>
      <c r="O1040" s="22"/>
      <c r="P1040" s="22"/>
    </row>
    <row r="1041" ht="22.5" customHeight="1">
      <c r="A1041" s="12" t="s">
        <v>14</v>
      </c>
      <c r="B1041" s="20" t="str">
        <f>IFERROR(VLOOKUP(A1041,Sheet1!$E$3:$H$27,4,0),"")</f>
        <v>P1</v>
      </c>
      <c r="C1041" s="14" t="s">
        <v>496</v>
      </c>
      <c r="D1041" s="12" t="s">
        <v>78</v>
      </c>
      <c r="E1041" s="13" t="str">
        <f>IFERROR(VLOOKUP(D1041,Sheet1!$B$1:$C$45,2,0),"")</f>
        <v>TE</v>
      </c>
      <c r="F1041" s="12" t="s">
        <v>179</v>
      </c>
      <c r="G1041" s="13" t="str">
        <f t="shared" si="4"/>
        <v>Palangkaraya</v>
      </c>
      <c r="H1041" s="15" t="str">
        <f>IFERROR(VLOOKUP(A1041,Sheet1!$E$3:$F$27,2,),"")</f>
        <v>Corrective</v>
      </c>
      <c r="I1041" s="16" t="str">
        <f>IFERROR(VLOOKUP(A1041,Sheet1!$E$3:$G$27,3,0),"")</f>
        <v>Pemadaman,MCB Trip,Transmisi problem</v>
      </c>
      <c r="J1041" s="12" t="s">
        <v>112</v>
      </c>
      <c r="K1041" s="17">
        <v>46049.0</v>
      </c>
      <c r="L1041" s="17">
        <v>46049.0</v>
      </c>
      <c r="M1041" s="12" t="s">
        <v>109</v>
      </c>
      <c r="N1041" s="23"/>
      <c r="O1041" s="22"/>
      <c r="P1041" s="22"/>
    </row>
    <row r="1042" ht="22.5" customHeight="1">
      <c r="A1042" s="12" t="s">
        <v>65</v>
      </c>
      <c r="B1042" s="20" t="str">
        <f>IFERROR(VLOOKUP(A1042,Sheet1!$E$3:$H$27,4,0),"")</f>
        <v>P3</v>
      </c>
      <c r="C1042" s="14"/>
      <c r="D1042" s="12" t="s">
        <v>42</v>
      </c>
      <c r="E1042" s="13" t="str">
        <f>IFERROR(VLOOKUP(D1042,Sheet1!$B$1:$C$45,2,0),"")</f>
        <v>TE</v>
      </c>
      <c r="F1042" s="12" t="s">
        <v>179</v>
      </c>
      <c r="G1042" s="13" t="str">
        <f t="shared" si="4"/>
        <v>Palangkaraya</v>
      </c>
      <c r="H1042" s="15" t="str">
        <f>IFERROR(VLOOKUP(A1042,Sheet1!$E$3:$F$27,2,),"")</f>
        <v>Standby</v>
      </c>
      <c r="I1042" s="16" t="str">
        <f>IFERROR(VLOOKUP(A1042,Sheet1!$E$3:$G$27,3,0),"")</f>
        <v>Standby On Call</v>
      </c>
      <c r="J1042" s="12" t="s">
        <v>66</v>
      </c>
      <c r="K1042" s="17">
        <v>46049.0</v>
      </c>
      <c r="L1042" s="17">
        <v>46049.0</v>
      </c>
      <c r="M1042" s="12" t="s">
        <v>137</v>
      </c>
      <c r="N1042" s="23"/>
      <c r="O1042" s="22"/>
      <c r="P1042" s="22"/>
    </row>
    <row r="1043" ht="22.5" customHeight="1">
      <c r="A1043" s="12" t="s">
        <v>5</v>
      </c>
      <c r="B1043" s="20" t="str">
        <f>IFERROR(VLOOKUP(A1043,Sheet1!$E$3:$H$27,4,0),"")</f>
        <v>P1</v>
      </c>
      <c r="C1043" s="14" t="s">
        <v>302</v>
      </c>
      <c r="D1043" s="12" t="s">
        <v>71</v>
      </c>
      <c r="E1043" s="13" t="str">
        <f>IFERROR(VLOOKUP(D1043,Sheet1!$B$1:$C$45,2,0),"")</f>
        <v>TE</v>
      </c>
      <c r="F1043" s="12" t="s">
        <v>179</v>
      </c>
      <c r="G1043" s="13" t="str">
        <f t="shared" si="4"/>
        <v>Palangkaraya</v>
      </c>
      <c r="H1043" s="15" t="str">
        <f>IFERROR(VLOOKUP(A1043,Sheet1!$E$3:$F$27,2,),"")</f>
        <v>Corrective</v>
      </c>
      <c r="I1043" s="16" t="str">
        <f>IFERROR(VLOOKUP(A1043,Sheet1!$E$3:$G$27,3,0),"")</f>
        <v>Replace Optik,RRU/Soket Power/Replace GPS</v>
      </c>
      <c r="J1043" s="12" t="s">
        <v>112</v>
      </c>
      <c r="K1043" s="17">
        <v>46049.0</v>
      </c>
      <c r="L1043" s="17">
        <v>46049.0</v>
      </c>
      <c r="M1043" s="12" t="s">
        <v>109</v>
      </c>
      <c r="N1043" s="23"/>
      <c r="O1043" s="22"/>
      <c r="P1043" s="22"/>
    </row>
    <row r="1044" ht="22.5" customHeight="1">
      <c r="A1044" s="12" t="s">
        <v>5</v>
      </c>
      <c r="B1044" s="20" t="str">
        <f>IFERROR(VLOOKUP(A1044,Sheet1!$E$3:$H$27,4,0),"")</f>
        <v>P1</v>
      </c>
      <c r="C1044" s="14" t="s">
        <v>302</v>
      </c>
      <c r="D1044" s="12" t="s">
        <v>69</v>
      </c>
      <c r="E1044" s="13" t="str">
        <f>IFERROR(VLOOKUP(D1044,Sheet1!$B$1:$C$45,2,0),"")</f>
        <v>TE</v>
      </c>
      <c r="F1044" s="12" t="s">
        <v>179</v>
      </c>
      <c r="G1044" s="13" t="str">
        <f t="shared" si="4"/>
        <v>Palangkaraya</v>
      </c>
      <c r="H1044" s="15" t="str">
        <f>IFERROR(VLOOKUP(A1044,Sheet1!$E$3:$F$27,2,),"")</f>
        <v>Corrective</v>
      </c>
      <c r="I1044" s="16" t="str">
        <f>IFERROR(VLOOKUP(A1044,Sheet1!$E$3:$G$27,3,0),"")</f>
        <v>Replace Optik,RRU/Soket Power/Replace GPS</v>
      </c>
      <c r="J1044" s="12" t="s">
        <v>112</v>
      </c>
      <c r="K1044" s="17">
        <v>46049.0</v>
      </c>
      <c r="L1044" s="17">
        <v>46049.0</v>
      </c>
      <c r="M1044" s="12" t="s">
        <v>109</v>
      </c>
      <c r="N1044" s="23"/>
      <c r="O1044" s="22"/>
      <c r="P1044" s="22"/>
    </row>
    <row r="1045" ht="22.5" customHeight="1">
      <c r="A1045" s="12" t="s">
        <v>10</v>
      </c>
      <c r="B1045" s="20" t="str">
        <f>IFERROR(VLOOKUP(A1045,Sheet1!$E$3:$H$27,4,0),"")</f>
        <v>P1</v>
      </c>
      <c r="C1045" s="14" t="s">
        <v>463</v>
      </c>
      <c r="D1045" s="12" t="s">
        <v>91</v>
      </c>
      <c r="E1045" s="13" t="str">
        <f>IFERROR(VLOOKUP(D1045,Sheet1!$B$1:$C$45,2,0),"")</f>
        <v>TE</v>
      </c>
      <c r="F1045" s="12" t="s">
        <v>179</v>
      </c>
      <c r="G1045" s="13" t="str">
        <f t="shared" si="4"/>
        <v>Palangkaraya</v>
      </c>
      <c r="H1045" s="15" t="str">
        <f>IFERROR(VLOOKUP(A1045,Sheet1!$E$3:$F$27,2,),"")</f>
        <v>Corrective</v>
      </c>
      <c r="I1045" s="16" t="str">
        <f>IFERROR(VLOOKUP(A1045,Sheet1!$E$3:$G$27,3,0),"")</f>
        <v>Replace Jumper,antena/RRU</v>
      </c>
      <c r="J1045" s="12" t="s">
        <v>112</v>
      </c>
      <c r="K1045" s="17">
        <v>46049.0</v>
      </c>
      <c r="L1045" s="17">
        <v>46049.0</v>
      </c>
      <c r="M1045" s="12" t="s">
        <v>122</v>
      </c>
      <c r="N1045" s="23"/>
      <c r="O1045" s="22"/>
      <c r="P1045" s="22"/>
    </row>
    <row r="1046" ht="22.5" customHeight="1">
      <c r="A1046" s="12" t="s">
        <v>10</v>
      </c>
      <c r="B1046" s="20" t="str">
        <f>IFERROR(VLOOKUP(A1046,Sheet1!$E$3:$H$27,4,0),"")</f>
        <v>P1</v>
      </c>
      <c r="C1046" s="14" t="s">
        <v>402</v>
      </c>
      <c r="D1046" s="12" t="s">
        <v>51</v>
      </c>
      <c r="E1046" s="13" t="str">
        <f>IFERROR(VLOOKUP(D1046,Sheet1!$B$1:$C$45,2,0),"")</f>
        <v>TE</v>
      </c>
      <c r="F1046" s="12" t="s">
        <v>179</v>
      </c>
      <c r="G1046" s="13" t="str">
        <f t="shared" si="4"/>
        <v>Palangkaraya</v>
      </c>
      <c r="H1046" s="15" t="str">
        <f>IFERROR(VLOOKUP(A1046,Sheet1!$E$3:$F$27,2,),"")</f>
        <v>Corrective</v>
      </c>
      <c r="I1046" s="16" t="str">
        <f>IFERROR(VLOOKUP(A1046,Sheet1!$E$3:$G$27,3,0),"")</f>
        <v>Replace Jumper,antena/RRU</v>
      </c>
      <c r="J1046" s="12" t="s">
        <v>112</v>
      </c>
      <c r="K1046" s="17">
        <v>46049.0</v>
      </c>
      <c r="L1046" s="17">
        <v>46049.0</v>
      </c>
      <c r="M1046" s="12" t="s">
        <v>122</v>
      </c>
      <c r="N1046" s="23"/>
      <c r="O1046" s="22"/>
      <c r="P1046" s="22"/>
    </row>
    <row r="1047" ht="22.5" customHeight="1">
      <c r="A1047" s="12" t="s">
        <v>5</v>
      </c>
      <c r="B1047" s="20" t="str">
        <f>IFERROR(VLOOKUP(A1047,Sheet1!$E$3:$H$27,4,0),"")</f>
        <v>P1</v>
      </c>
      <c r="C1047" s="14" t="s">
        <v>464</v>
      </c>
      <c r="D1047" s="12" t="s">
        <v>79</v>
      </c>
      <c r="E1047" s="13" t="str">
        <f>IFERROR(VLOOKUP(D1047,Sheet1!$B$1:$C$45,2,0),"")</f>
        <v>TE</v>
      </c>
      <c r="F1047" s="12" t="s">
        <v>179</v>
      </c>
      <c r="G1047" s="13" t="str">
        <f t="shared" si="4"/>
        <v>Palangkaraya</v>
      </c>
      <c r="H1047" s="15" t="str">
        <f>IFERROR(VLOOKUP(A1047,Sheet1!$E$3:$F$27,2,),"")</f>
        <v>Corrective</v>
      </c>
      <c r="I1047" s="16" t="str">
        <f>IFERROR(VLOOKUP(A1047,Sheet1!$E$3:$G$27,3,0),"")</f>
        <v>Replace Optik,RRU/Soket Power/Replace GPS</v>
      </c>
      <c r="J1047" s="12" t="s">
        <v>112</v>
      </c>
      <c r="K1047" s="17">
        <v>46049.0</v>
      </c>
      <c r="L1047" s="17">
        <v>46049.0</v>
      </c>
      <c r="M1047" s="12" t="s">
        <v>122</v>
      </c>
      <c r="N1047" s="23"/>
      <c r="O1047" s="22"/>
      <c r="P1047" s="22"/>
    </row>
    <row r="1048" ht="22.5" customHeight="1">
      <c r="A1048" s="12" t="s">
        <v>14</v>
      </c>
      <c r="B1048" s="20" t="str">
        <f>IFERROR(VLOOKUP(A1048,Sheet1!$E$3:$H$27,4,0),"")</f>
        <v>P1</v>
      </c>
      <c r="C1048" s="14" t="s">
        <v>215</v>
      </c>
      <c r="D1048" s="12" t="s">
        <v>58</v>
      </c>
      <c r="E1048" s="13" t="str">
        <f>IFERROR(VLOOKUP(D1048,Sheet1!$B$1:$C$45,2,0),"")</f>
        <v>TE</v>
      </c>
      <c r="F1048" s="12" t="s">
        <v>179</v>
      </c>
      <c r="G1048" s="13" t="str">
        <f t="shared" si="4"/>
        <v>Palangkaraya</v>
      </c>
      <c r="H1048" s="15" t="str">
        <f>IFERROR(VLOOKUP(A1048,Sheet1!$E$3:$F$27,2,),"")</f>
        <v>Corrective</v>
      </c>
      <c r="I1048" s="16" t="str">
        <f>IFERROR(VLOOKUP(A1048,Sheet1!$E$3:$G$27,3,0),"")</f>
        <v>Pemadaman,MCB Trip,Transmisi problem</v>
      </c>
      <c r="J1048" s="12" t="s">
        <v>112</v>
      </c>
      <c r="K1048" s="17">
        <v>46049.0</v>
      </c>
      <c r="L1048" s="17">
        <v>46049.0</v>
      </c>
      <c r="M1048" s="12" t="s">
        <v>122</v>
      </c>
      <c r="N1048" s="23"/>
      <c r="O1048" s="22"/>
      <c r="P1048" s="22"/>
    </row>
    <row r="1049" ht="22.5" customHeight="1">
      <c r="A1049" s="12" t="s">
        <v>72</v>
      </c>
      <c r="B1049" s="20" t="str">
        <f>IFERROR(VLOOKUP(A1049,Sheet1!$E$3:$H$27,4,0),"")</f>
        <v>P1</v>
      </c>
      <c r="C1049" s="14" t="s">
        <v>445</v>
      </c>
      <c r="D1049" s="12" t="s">
        <v>56</v>
      </c>
      <c r="E1049" s="13" t="str">
        <f>IFERROR(VLOOKUP(D1049,Sheet1!$B$1:$C$45,2,0),"")</f>
        <v>TE</v>
      </c>
      <c r="F1049" s="12" t="s">
        <v>179</v>
      </c>
      <c r="G1049" s="13" t="str">
        <f t="shared" si="4"/>
        <v>Palangkaraya</v>
      </c>
      <c r="H1049" s="15" t="str">
        <f>IFERROR(VLOOKUP(A1049,Sheet1!$E$3:$F$27,2,),"")</f>
        <v>Corrective</v>
      </c>
      <c r="I1049" s="16" t="str">
        <f>IFERROR(VLOOKUP(A1049,Sheet1!$E$3:$G$27,3,0),"")</f>
        <v>Perbaikan Auto,pergantian relay,timer, yang berhubungan genset</v>
      </c>
      <c r="J1049" s="12" t="s">
        <v>112</v>
      </c>
      <c r="K1049" s="17">
        <v>46049.0</v>
      </c>
      <c r="L1049" s="17">
        <v>46049.0</v>
      </c>
      <c r="M1049" s="12" t="s">
        <v>122</v>
      </c>
      <c r="N1049" s="23"/>
      <c r="O1049" s="22"/>
      <c r="P1049" s="22"/>
    </row>
    <row r="1050" ht="22.5" customHeight="1">
      <c r="A1050" s="12" t="s">
        <v>65</v>
      </c>
      <c r="B1050" s="20" t="str">
        <f>IFERROR(VLOOKUP(A1050,Sheet1!$E$3:$H$27,4,0),"")</f>
        <v>P3</v>
      </c>
      <c r="C1050" s="14"/>
      <c r="D1050" s="12" t="s">
        <v>83</v>
      </c>
      <c r="E1050" s="13" t="str">
        <f>IFERROR(VLOOKUP(D1050,Sheet1!$B$1:$C$45,2,0),"")</f>
        <v>PM</v>
      </c>
      <c r="F1050" s="12" t="s">
        <v>179</v>
      </c>
      <c r="G1050" s="13" t="str">
        <f t="shared" si="4"/>
        <v>Palangkaraya</v>
      </c>
      <c r="H1050" s="15" t="str">
        <f>IFERROR(VLOOKUP(A1050,Sheet1!$E$3:$F$27,2,),"")</f>
        <v>Standby</v>
      </c>
      <c r="I1050" s="16" t="str">
        <f>IFERROR(VLOOKUP(A1050,Sheet1!$E$3:$G$27,3,0),"")</f>
        <v>Standby On Call</v>
      </c>
      <c r="J1050" s="12" t="s">
        <v>112</v>
      </c>
      <c r="K1050" s="17">
        <v>46049.0</v>
      </c>
      <c r="L1050" s="17">
        <v>46049.0</v>
      </c>
      <c r="M1050" s="12" t="s">
        <v>137</v>
      </c>
      <c r="N1050" s="23"/>
      <c r="O1050" s="22"/>
      <c r="P1050" s="22"/>
    </row>
    <row r="1051" ht="22.5" customHeight="1">
      <c r="A1051" s="12" t="s">
        <v>65</v>
      </c>
      <c r="B1051" s="20" t="str">
        <f>IFERROR(VLOOKUP(A1051,Sheet1!$E$3:$H$27,4,0),"")</f>
        <v>P3</v>
      </c>
      <c r="C1051" s="14"/>
      <c r="D1051" s="12" t="s">
        <v>82</v>
      </c>
      <c r="E1051" s="13" t="str">
        <f>IFERROR(VLOOKUP(D1051,Sheet1!$B$1:$C$45,2,0),"")</f>
        <v>PM</v>
      </c>
      <c r="F1051" s="12" t="s">
        <v>179</v>
      </c>
      <c r="G1051" s="13" t="str">
        <f t="shared" si="4"/>
        <v>Palangkaraya</v>
      </c>
      <c r="H1051" s="15" t="str">
        <f>IFERROR(VLOOKUP(A1051,Sheet1!$E$3:$F$27,2,),"")</f>
        <v>Standby</v>
      </c>
      <c r="I1051" s="16" t="str">
        <f>IFERROR(VLOOKUP(A1051,Sheet1!$E$3:$G$27,3,0),"")</f>
        <v>Standby On Call</v>
      </c>
      <c r="J1051" s="12" t="s">
        <v>112</v>
      </c>
      <c r="K1051" s="17">
        <v>46049.0</v>
      </c>
      <c r="L1051" s="17">
        <v>46049.0</v>
      </c>
      <c r="M1051" s="12" t="s">
        <v>137</v>
      </c>
      <c r="N1051" s="23"/>
      <c r="O1051" s="22"/>
      <c r="P1051" s="22"/>
    </row>
    <row r="1052" ht="22.5" customHeight="1">
      <c r="A1052" s="12" t="s">
        <v>65</v>
      </c>
      <c r="B1052" s="20" t="str">
        <f>IFERROR(VLOOKUP(A1052,Sheet1!$E$3:$H$27,4,0),"")</f>
        <v>P3</v>
      </c>
      <c r="C1052" s="14"/>
      <c r="D1052" s="12" t="s">
        <v>75</v>
      </c>
      <c r="E1052" s="13" t="str">
        <f>IFERROR(VLOOKUP(D1052,Sheet1!$B$1:$C$45,2,0),"")</f>
        <v>CME</v>
      </c>
      <c r="F1052" s="12" t="s">
        <v>179</v>
      </c>
      <c r="G1052" s="13" t="str">
        <f t="shared" si="4"/>
        <v>Palangkaraya</v>
      </c>
      <c r="H1052" s="15" t="str">
        <f>IFERROR(VLOOKUP(A1052,Sheet1!$E$3:$F$27,2,),"")</f>
        <v>Standby</v>
      </c>
      <c r="I1052" s="16" t="str">
        <f>IFERROR(VLOOKUP(A1052,Sheet1!$E$3:$G$27,3,0),"")</f>
        <v>Standby On Call</v>
      </c>
      <c r="J1052" s="12" t="s">
        <v>112</v>
      </c>
      <c r="K1052" s="17">
        <v>46049.0</v>
      </c>
      <c r="L1052" s="17">
        <v>46049.0</v>
      </c>
      <c r="M1052" s="12" t="s">
        <v>137</v>
      </c>
      <c r="N1052" s="23"/>
      <c r="O1052" s="22"/>
      <c r="P1052" s="22"/>
    </row>
    <row r="1053" ht="22.5" customHeight="1">
      <c r="A1053" s="12" t="s">
        <v>65</v>
      </c>
      <c r="B1053" s="20" t="str">
        <f>IFERROR(VLOOKUP(A1053,Sheet1!$E$3:$H$27,4,0),"")</f>
        <v>P3</v>
      </c>
      <c r="C1053" s="14"/>
      <c r="D1053" s="12" t="s">
        <v>54</v>
      </c>
      <c r="E1053" s="13" t="str">
        <f>IFERROR(VLOOKUP(D1053,Sheet1!$B$1:$C$45,2,0),"")</f>
        <v>MBP</v>
      </c>
      <c r="F1053" s="12" t="s">
        <v>179</v>
      </c>
      <c r="G1053" s="13" t="str">
        <f t="shared" si="4"/>
        <v>Palangkaraya</v>
      </c>
      <c r="H1053" s="15" t="str">
        <f>IFERROR(VLOOKUP(A1053,Sheet1!$E$3:$F$27,2,),"")</f>
        <v>Standby</v>
      </c>
      <c r="I1053" s="16" t="str">
        <f>IFERROR(VLOOKUP(A1053,Sheet1!$E$3:$G$27,3,0),"")</f>
        <v>Standby On Call</v>
      </c>
      <c r="J1053" s="12" t="s">
        <v>112</v>
      </c>
      <c r="K1053" s="17">
        <v>46049.0</v>
      </c>
      <c r="L1053" s="17">
        <v>46049.0</v>
      </c>
      <c r="M1053" s="12" t="s">
        <v>137</v>
      </c>
      <c r="N1053" s="23"/>
      <c r="O1053" s="22"/>
      <c r="P1053" s="22"/>
    </row>
    <row r="1054" ht="22.5" customHeight="1">
      <c r="A1054" s="12" t="s">
        <v>65</v>
      </c>
      <c r="B1054" s="20" t="str">
        <f>IFERROR(VLOOKUP(A1054,Sheet1!$E$3:$H$27,4,0),"")</f>
        <v>P3</v>
      </c>
      <c r="C1054" s="14"/>
      <c r="D1054" s="12" t="s">
        <v>45</v>
      </c>
      <c r="E1054" s="13" t="str">
        <f>IFERROR(VLOOKUP(D1054,Sheet1!$B$1:$C$45,2,0),"")</f>
        <v>MBP</v>
      </c>
      <c r="F1054" s="12" t="s">
        <v>179</v>
      </c>
      <c r="G1054" s="13" t="str">
        <f t="shared" si="4"/>
        <v>Palangkaraya</v>
      </c>
      <c r="H1054" s="15" t="str">
        <f>IFERROR(VLOOKUP(A1054,Sheet1!$E$3:$F$27,2,),"")</f>
        <v>Standby</v>
      </c>
      <c r="I1054" s="16" t="str">
        <f>IFERROR(VLOOKUP(A1054,Sheet1!$E$3:$G$27,3,0),"")</f>
        <v>Standby On Call</v>
      </c>
      <c r="J1054" s="12" t="s">
        <v>112</v>
      </c>
      <c r="K1054" s="17">
        <v>46049.0</v>
      </c>
      <c r="L1054" s="17">
        <v>46049.0</v>
      </c>
      <c r="M1054" s="12" t="s">
        <v>137</v>
      </c>
      <c r="N1054" s="23"/>
      <c r="O1054" s="22"/>
      <c r="P1054" s="22"/>
    </row>
    <row r="1055" ht="22.5" customHeight="1">
      <c r="A1055" s="12" t="s">
        <v>27</v>
      </c>
      <c r="B1055" s="20" t="str">
        <f>IFERROR(VLOOKUP(A1055,Sheet1!$E$3:$H$27,4,0),"")</f>
        <v>P2</v>
      </c>
      <c r="C1055" s="14" t="s">
        <v>497</v>
      </c>
      <c r="D1055" s="12" t="s">
        <v>77</v>
      </c>
      <c r="E1055" s="13" t="str">
        <f>IFERROR(VLOOKUP(D1055,Sheet1!$B$1:$C$45,2,0),"")</f>
        <v>TE</v>
      </c>
      <c r="F1055" s="12" t="s">
        <v>179</v>
      </c>
      <c r="G1055" s="13" t="str">
        <f t="shared" si="4"/>
        <v>Palangkaraya</v>
      </c>
      <c r="H1055" s="15" t="str">
        <f>IFERROR(VLOOKUP(A1055,Sheet1!$E$3:$F$27,2,),"")</f>
        <v>Preventive</v>
      </c>
      <c r="I1055" s="16" t="str">
        <f>IFERROR(VLOOKUP(A1055,Sheet1!$E$3:$G$27,3,0),"")</f>
        <v>Akses/Hub Site problem metro</v>
      </c>
      <c r="J1055" s="12" t="s">
        <v>112</v>
      </c>
      <c r="K1055" s="17">
        <v>46050.0</v>
      </c>
      <c r="L1055" s="17"/>
      <c r="M1055" s="12" t="s">
        <v>137</v>
      </c>
      <c r="N1055" s="23"/>
      <c r="O1055" s="22"/>
      <c r="P1055" s="22"/>
    </row>
    <row r="1056" ht="22.5" customHeight="1">
      <c r="A1056" s="12" t="s">
        <v>14</v>
      </c>
      <c r="B1056" s="20" t="str">
        <f>IFERROR(VLOOKUP(A1056,Sheet1!$E$3:$H$27,4,0),"")</f>
        <v>P1</v>
      </c>
      <c r="C1056" s="14" t="s">
        <v>496</v>
      </c>
      <c r="D1056" s="12" t="s">
        <v>37</v>
      </c>
      <c r="E1056" s="13" t="str">
        <f>IFERROR(VLOOKUP(D1056,Sheet1!$B$1:$C$45,2,0),"")</f>
        <v>TE</v>
      </c>
      <c r="F1056" s="12" t="s">
        <v>179</v>
      </c>
      <c r="G1056" s="13" t="str">
        <f t="shared" si="4"/>
        <v>Palangkaraya</v>
      </c>
      <c r="H1056" s="15" t="str">
        <f>IFERROR(VLOOKUP(A1056,Sheet1!$E$3:$F$27,2,),"")</f>
        <v>Corrective</v>
      </c>
      <c r="I1056" s="16" t="str">
        <f>IFERROR(VLOOKUP(A1056,Sheet1!$E$3:$G$27,3,0),"")</f>
        <v>Pemadaman,MCB Trip,Transmisi problem</v>
      </c>
      <c r="J1056" s="12" t="s">
        <v>112</v>
      </c>
      <c r="K1056" s="17">
        <v>46050.0</v>
      </c>
      <c r="L1056" s="17"/>
      <c r="M1056" s="12" t="s">
        <v>137</v>
      </c>
      <c r="N1056" s="23"/>
      <c r="O1056" s="22"/>
      <c r="P1056" s="22"/>
    </row>
    <row r="1057" ht="22.5" customHeight="1">
      <c r="A1057" s="12" t="s">
        <v>14</v>
      </c>
      <c r="B1057" s="20" t="str">
        <f>IFERROR(VLOOKUP(A1057,Sheet1!$E$3:$H$27,4,0),"")</f>
        <v>P1</v>
      </c>
      <c r="C1057" s="14" t="s">
        <v>498</v>
      </c>
      <c r="D1057" s="12" t="s">
        <v>80</v>
      </c>
      <c r="E1057" s="13" t="str">
        <f>IFERROR(VLOOKUP(D1057,Sheet1!$B$1:$C$45,2,0),"")</f>
        <v>TE</v>
      </c>
      <c r="F1057" s="12" t="s">
        <v>179</v>
      </c>
      <c r="G1057" s="13" t="str">
        <f t="shared" si="4"/>
        <v>Palangkaraya</v>
      </c>
      <c r="H1057" s="15" t="str">
        <f>IFERROR(VLOOKUP(A1057,Sheet1!$E$3:$F$27,2,),"")</f>
        <v>Corrective</v>
      </c>
      <c r="I1057" s="16" t="str">
        <f>IFERROR(VLOOKUP(A1057,Sheet1!$E$3:$G$27,3,0),"")</f>
        <v>Pemadaman,MCB Trip,Transmisi problem</v>
      </c>
      <c r="J1057" s="12" t="s">
        <v>112</v>
      </c>
      <c r="K1057" s="17">
        <v>46050.0</v>
      </c>
      <c r="L1057" s="17"/>
      <c r="M1057" s="12" t="s">
        <v>137</v>
      </c>
      <c r="N1057" s="23"/>
      <c r="O1057" s="22"/>
      <c r="P1057" s="22"/>
    </row>
    <row r="1058" ht="22.5" customHeight="1">
      <c r="A1058" s="12" t="s">
        <v>14</v>
      </c>
      <c r="B1058" s="20" t="str">
        <f>IFERROR(VLOOKUP(A1058,Sheet1!$E$3:$H$27,4,0),"")</f>
        <v>P1</v>
      </c>
      <c r="C1058" s="14" t="s">
        <v>499</v>
      </c>
      <c r="D1058" s="12" t="s">
        <v>42</v>
      </c>
      <c r="E1058" s="13" t="str">
        <f>IFERROR(VLOOKUP(D1058,Sheet1!$B$1:$C$45,2,0),"")</f>
        <v>TE</v>
      </c>
      <c r="F1058" s="12" t="s">
        <v>179</v>
      </c>
      <c r="G1058" s="13" t="str">
        <f t="shared" si="4"/>
        <v>Palangkaraya</v>
      </c>
      <c r="H1058" s="15" t="str">
        <f>IFERROR(VLOOKUP(A1058,Sheet1!$E$3:$F$27,2,),"")</f>
        <v>Corrective</v>
      </c>
      <c r="I1058" s="16" t="str">
        <f>IFERROR(VLOOKUP(A1058,Sheet1!$E$3:$G$27,3,0),"")</f>
        <v>Pemadaman,MCB Trip,Transmisi problem</v>
      </c>
      <c r="J1058" s="12" t="s">
        <v>112</v>
      </c>
      <c r="K1058" s="17">
        <v>46050.0</v>
      </c>
      <c r="L1058" s="17"/>
      <c r="M1058" s="12" t="s">
        <v>137</v>
      </c>
      <c r="N1058" s="23"/>
      <c r="O1058" s="22"/>
      <c r="P1058" s="22"/>
    </row>
    <row r="1059" ht="22.5" customHeight="1">
      <c r="A1059" s="12" t="s">
        <v>5</v>
      </c>
      <c r="B1059" s="20" t="str">
        <f>IFERROR(VLOOKUP(A1059,Sheet1!$E$3:$H$27,4,0),"")</f>
        <v>P1</v>
      </c>
      <c r="C1059" s="14" t="s">
        <v>360</v>
      </c>
      <c r="D1059" s="12" t="s">
        <v>71</v>
      </c>
      <c r="E1059" s="13" t="str">
        <f>IFERROR(VLOOKUP(D1059,Sheet1!$B$1:$C$45,2,0),"")</f>
        <v>TE</v>
      </c>
      <c r="F1059" s="12" t="s">
        <v>179</v>
      </c>
      <c r="G1059" s="13" t="str">
        <f t="shared" si="4"/>
        <v>Palangkaraya</v>
      </c>
      <c r="H1059" s="15" t="str">
        <f>IFERROR(VLOOKUP(A1059,Sheet1!$E$3:$F$27,2,),"")</f>
        <v>Corrective</v>
      </c>
      <c r="I1059" s="16" t="str">
        <f>IFERROR(VLOOKUP(A1059,Sheet1!$E$3:$G$27,3,0),"")</f>
        <v>Replace Optik,RRU/Soket Power/Replace GPS</v>
      </c>
      <c r="J1059" s="12" t="s">
        <v>112</v>
      </c>
      <c r="K1059" s="17">
        <v>46050.0</v>
      </c>
      <c r="L1059" s="17"/>
      <c r="M1059" s="12" t="s">
        <v>137</v>
      </c>
      <c r="N1059" s="23"/>
      <c r="O1059" s="22"/>
      <c r="P1059" s="22"/>
    </row>
    <row r="1060" ht="22.5" customHeight="1">
      <c r="A1060" s="12" t="s">
        <v>10</v>
      </c>
      <c r="B1060" s="20" t="str">
        <f>IFERROR(VLOOKUP(A1060,Sheet1!$E$3:$H$27,4,0),"")</f>
        <v>P1</v>
      </c>
      <c r="C1060" s="14" t="s">
        <v>463</v>
      </c>
      <c r="D1060" s="12" t="s">
        <v>91</v>
      </c>
      <c r="E1060" s="13" t="str">
        <f>IFERROR(VLOOKUP(D1060,Sheet1!$B$1:$C$45,2,0),"")</f>
        <v>TE</v>
      </c>
      <c r="F1060" s="12" t="s">
        <v>179</v>
      </c>
      <c r="G1060" s="13" t="str">
        <f t="shared" si="4"/>
        <v>Palangkaraya</v>
      </c>
      <c r="H1060" s="15" t="str">
        <f>IFERROR(VLOOKUP(A1060,Sheet1!$E$3:$F$27,2,),"")</f>
        <v>Corrective</v>
      </c>
      <c r="I1060" s="16" t="str">
        <f>IFERROR(VLOOKUP(A1060,Sheet1!$E$3:$G$27,3,0),"")</f>
        <v>Replace Jumper,antena/RRU</v>
      </c>
      <c r="J1060" s="12" t="s">
        <v>112</v>
      </c>
      <c r="K1060" s="17">
        <v>46050.0</v>
      </c>
      <c r="L1060" s="17"/>
      <c r="M1060" s="12" t="s">
        <v>137</v>
      </c>
      <c r="N1060" s="23"/>
      <c r="O1060" s="22"/>
      <c r="P1060" s="22"/>
    </row>
    <row r="1061" ht="22.5" customHeight="1">
      <c r="A1061" s="12" t="s">
        <v>10</v>
      </c>
      <c r="B1061" s="20" t="str">
        <f>IFERROR(VLOOKUP(A1061,Sheet1!$E$3:$H$27,4,0),"")</f>
        <v>P1</v>
      </c>
      <c r="C1061" s="14" t="s">
        <v>402</v>
      </c>
      <c r="D1061" s="12" t="s">
        <v>51</v>
      </c>
      <c r="E1061" s="13" t="str">
        <f>IFERROR(VLOOKUP(D1061,Sheet1!$B$1:$C$45,2,0),"")</f>
        <v>TE</v>
      </c>
      <c r="F1061" s="12" t="s">
        <v>179</v>
      </c>
      <c r="G1061" s="13" t="str">
        <f t="shared" si="4"/>
        <v>Palangkaraya</v>
      </c>
      <c r="H1061" s="15" t="str">
        <f>IFERROR(VLOOKUP(A1061,Sheet1!$E$3:$F$27,2,),"")</f>
        <v>Corrective</v>
      </c>
      <c r="I1061" s="16" t="str">
        <f>IFERROR(VLOOKUP(A1061,Sheet1!$E$3:$G$27,3,0),"")</f>
        <v>Replace Jumper,antena/RRU</v>
      </c>
      <c r="J1061" s="12" t="s">
        <v>112</v>
      </c>
      <c r="K1061" s="17">
        <v>46050.0</v>
      </c>
      <c r="L1061" s="17"/>
      <c r="M1061" s="12" t="s">
        <v>137</v>
      </c>
      <c r="N1061" s="23"/>
      <c r="O1061" s="22"/>
      <c r="P1061" s="22"/>
    </row>
    <row r="1062" ht="22.5" customHeight="1">
      <c r="A1062" s="12" t="s">
        <v>22</v>
      </c>
      <c r="B1062" s="20" t="str">
        <f>IFERROR(VLOOKUP(A1062,Sheet1!$E$3:$H$27,4,0),"")</f>
        <v>P2</v>
      </c>
      <c r="C1062" s="14" t="s">
        <v>182</v>
      </c>
      <c r="D1062" s="12" t="s">
        <v>79</v>
      </c>
      <c r="E1062" s="13" t="str">
        <f>IFERROR(VLOOKUP(D1062,Sheet1!$B$1:$C$45,2,0),"")</f>
        <v>TE</v>
      </c>
      <c r="F1062" s="12" t="s">
        <v>179</v>
      </c>
      <c r="G1062" s="13" t="str">
        <f t="shared" si="4"/>
        <v>Palangkaraya</v>
      </c>
      <c r="H1062" s="15" t="str">
        <f>IFERROR(VLOOKUP(A1062,Sheet1!$E$3:$F$27,2,),"")</f>
        <v>Preventive</v>
      </c>
      <c r="I1062" s="16" t="str">
        <f>IFERROR(VLOOKUP(A1062,Sheet1!$E$3:$G$27,3,0),"")</f>
        <v>Preventive Maintenance</v>
      </c>
      <c r="J1062" s="12" t="s">
        <v>112</v>
      </c>
      <c r="K1062" s="17">
        <v>46050.0</v>
      </c>
      <c r="L1062" s="17"/>
      <c r="M1062" s="12" t="s">
        <v>137</v>
      </c>
      <c r="N1062" s="23"/>
      <c r="O1062" s="22"/>
      <c r="P1062" s="22"/>
    </row>
    <row r="1063" ht="22.5" customHeight="1">
      <c r="A1063" s="12" t="s">
        <v>72</v>
      </c>
      <c r="B1063" s="20" t="str">
        <f>IFERROR(VLOOKUP(A1063,Sheet1!$E$3:$H$27,4,0),"")</f>
        <v>P1</v>
      </c>
      <c r="C1063" s="14" t="s">
        <v>445</v>
      </c>
      <c r="D1063" s="12" t="s">
        <v>56</v>
      </c>
      <c r="E1063" s="13" t="str">
        <f>IFERROR(VLOOKUP(D1063,Sheet1!$B$1:$C$45,2,0),"")</f>
        <v>TE</v>
      </c>
      <c r="F1063" s="12" t="s">
        <v>179</v>
      </c>
      <c r="G1063" s="13" t="str">
        <f t="shared" si="4"/>
        <v>Palangkaraya</v>
      </c>
      <c r="H1063" s="15" t="str">
        <f>IFERROR(VLOOKUP(A1063,Sheet1!$E$3:$F$27,2,),"")</f>
        <v>Corrective</v>
      </c>
      <c r="I1063" s="16" t="str">
        <f>IFERROR(VLOOKUP(A1063,Sheet1!$E$3:$G$27,3,0),"")</f>
        <v>Perbaikan Auto,pergantian relay,timer, yang berhubungan genset</v>
      </c>
      <c r="J1063" s="12" t="s">
        <v>112</v>
      </c>
      <c r="K1063" s="17">
        <v>46050.0</v>
      </c>
      <c r="L1063" s="17"/>
      <c r="M1063" s="12" t="s">
        <v>137</v>
      </c>
      <c r="N1063" s="23"/>
      <c r="O1063" s="22"/>
      <c r="P1063" s="22"/>
    </row>
    <row r="1064" ht="22.5" customHeight="1">
      <c r="A1064" s="12" t="s">
        <v>65</v>
      </c>
      <c r="B1064" s="20" t="str">
        <f>IFERROR(VLOOKUP(A1064,Sheet1!$E$3:$H$27,4,0),"")</f>
        <v>P3</v>
      </c>
      <c r="C1064" s="14"/>
      <c r="D1064" s="12" t="s">
        <v>83</v>
      </c>
      <c r="E1064" s="13" t="str">
        <f>IFERROR(VLOOKUP(D1064,Sheet1!$B$1:$C$45,2,0),"")</f>
        <v>PM</v>
      </c>
      <c r="F1064" s="12" t="s">
        <v>179</v>
      </c>
      <c r="G1064" s="13" t="str">
        <f t="shared" si="4"/>
        <v>Palangkaraya</v>
      </c>
      <c r="H1064" s="15" t="str">
        <f>IFERROR(VLOOKUP(A1064,Sheet1!$E$3:$F$27,2,),"")</f>
        <v>Standby</v>
      </c>
      <c r="I1064" s="16" t="str">
        <f>IFERROR(VLOOKUP(A1064,Sheet1!$E$3:$G$27,3,0),"")</f>
        <v>Standby On Call</v>
      </c>
      <c r="J1064" s="12" t="s">
        <v>112</v>
      </c>
      <c r="K1064" s="17">
        <v>46050.0</v>
      </c>
      <c r="L1064" s="17"/>
      <c r="M1064" s="12" t="s">
        <v>137</v>
      </c>
      <c r="N1064" s="23"/>
      <c r="O1064" s="22"/>
      <c r="P1064" s="22"/>
    </row>
    <row r="1065" ht="22.5" customHeight="1">
      <c r="A1065" s="12" t="s">
        <v>65</v>
      </c>
      <c r="B1065" s="20" t="str">
        <f>IFERROR(VLOOKUP(A1065,Sheet1!$E$3:$H$27,4,0),"")</f>
        <v>P3</v>
      </c>
      <c r="C1065" s="14"/>
      <c r="D1065" s="12" t="s">
        <v>82</v>
      </c>
      <c r="E1065" s="13" t="str">
        <f>IFERROR(VLOOKUP(D1065,Sheet1!$B$1:$C$45,2,0),"")</f>
        <v>PM</v>
      </c>
      <c r="F1065" s="12" t="s">
        <v>179</v>
      </c>
      <c r="G1065" s="13" t="str">
        <f t="shared" si="4"/>
        <v>Palangkaraya</v>
      </c>
      <c r="H1065" s="15" t="str">
        <f>IFERROR(VLOOKUP(A1065,Sheet1!$E$3:$F$27,2,),"")</f>
        <v>Standby</v>
      </c>
      <c r="I1065" s="16" t="str">
        <f>IFERROR(VLOOKUP(A1065,Sheet1!$E$3:$G$27,3,0),"")</f>
        <v>Standby On Call</v>
      </c>
      <c r="J1065" s="12" t="s">
        <v>112</v>
      </c>
      <c r="K1065" s="17">
        <v>46050.0</v>
      </c>
      <c r="L1065" s="17"/>
      <c r="M1065" s="12" t="s">
        <v>137</v>
      </c>
      <c r="N1065" s="23"/>
      <c r="O1065" s="22"/>
      <c r="P1065" s="22"/>
    </row>
    <row r="1066" ht="22.5" customHeight="1">
      <c r="A1066" s="12" t="s">
        <v>65</v>
      </c>
      <c r="B1066" s="20" t="str">
        <f>IFERROR(VLOOKUP(A1066,Sheet1!$E$3:$H$27,4,0),"")</f>
        <v>P3</v>
      </c>
      <c r="C1066" s="14"/>
      <c r="D1066" s="12" t="s">
        <v>75</v>
      </c>
      <c r="E1066" s="13" t="str">
        <f>IFERROR(VLOOKUP(D1066,Sheet1!$B$1:$C$45,2,0),"")</f>
        <v>CME</v>
      </c>
      <c r="F1066" s="12" t="s">
        <v>179</v>
      </c>
      <c r="G1066" s="13" t="str">
        <f t="shared" si="4"/>
        <v>Palangkaraya</v>
      </c>
      <c r="H1066" s="15" t="str">
        <f>IFERROR(VLOOKUP(A1066,Sheet1!$E$3:$F$27,2,),"")</f>
        <v>Standby</v>
      </c>
      <c r="I1066" s="16" t="str">
        <f>IFERROR(VLOOKUP(A1066,Sheet1!$E$3:$G$27,3,0),"")</f>
        <v>Standby On Call</v>
      </c>
      <c r="J1066" s="12" t="s">
        <v>112</v>
      </c>
      <c r="K1066" s="17">
        <v>46050.0</v>
      </c>
      <c r="L1066" s="17"/>
      <c r="M1066" s="12" t="s">
        <v>137</v>
      </c>
      <c r="N1066" s="23"/>
      <c r="O1066" s="22"/>
      <c r="P1066" s="22"/>
    </row>
    <row r="1067" ht="22.5" customHeight="1">
      <c r="A1067" s="12" t="s">
        <v>65</v>
      </c>
      <c r="B1067" s="20" t="str">
        <f>IFERROR(VLOOKUP(A1067,Sheet1!$E$3:$H$27,4,0),"")</f>
        <v>P3</v>
      </c>
      <c r="C1067" s="14"/>
      <c r="D1067" s="12" t="s">
        <v>54</v>
      </c>
      <c r="E1067" s="13" t="str">
        <f>IFERROR(VLOOKUP(D1067,Sheet1!$B$1:$C$45,2,0),"")</f>
        <v>MBP</v>
      </c>
      <c r="F1067" s="12" t="s">
        <v>179</v>
      </c>
      <c r="G1067" s="13" t="str">
        <f t="shared" si="4"/>
        <v>Palangkaraya</v>
      </c>
      <c r="H1067" s="15" t="str">
        <f>IFERROR(VLOOKUP(A1067,Sheet1!$E$3:$F$27,2,),"")</f>
        <v>Standby</v>
      </c>
      <c r="I1067" s="16" t="str">
        <f>IFERROR(VLOOKUP(A1067,Sheet1!$E$3:$G$27,3,0),"")</f>
        <v>Standby On Call</v>
      </c>
      <c r="J1067" s="12" t="s">
        <v>112</v>
      </c>
      <c r="K1067" s="17">
        <v>46050.0</v>
      </c>
      <c r="L1067" s="17"/>
      <c r="M1067" s="12" t="s">
        <v>137</v>
      </c>
      <c r="N1067" s="23"/>
      <c r="O1067" s="22"/>
      <c r="P1067" s="22"/>
    </row>
    <row r="1068" ht="22.5" customHeight="1">
      <c r="A1068" s="12" t="s">
        <v>65</v>
      </c>
      <c r="B1068" s="20" t="str">
        <f>IFERROR(VLOOKUP(A1068,Sheet1!$E$3:$H$27,4,0),"")</f>
        <v>P3</v>
      </c>
      <c r="C1068" s="14"/>
      <c r="D1068" s="12" t="s">
        <v>45</v>
      </c>
      <c r="E1068" s="13" t="str">
        <f>IFERROR(VLOOKUP(D1068,Sheet1!$B$1:$C$45,2,0),"")</f>
        <v>MBP</v>
      </c>
      <c r="F1068" s="12" t="s">
        <v>179</v>
      </c>
      <c r="G1068" s="13" t="str">
        <f t="shared" si="4"/>
        <v>Palangkaraya</v>
      </c>
      <c r="H1068" s="15" t="str">
        <f>IFERROR(VLOOKUP(A1068,Sheet1!$E$3:$F$27,2,),"")</f>
        <v>Standby</v>
      </c>
      <c r="I1068" s="16" t="str">
        <f>IFERROR(VLOOKUP(A1068,Sheet1!$E$3:$G$27,3,0),"")</f>
        <v>Standby On Call</v>
      </c>
      <c r="J1068" s="12" t="s">
        <v>112</v>
      </c>
      <c r="K1068" s="17">
        <v>46050.0</v>
      </c>
      <c r="L1068" s="17"/>
      <c r="M1068" s="12" t="s">
        <v>137</v>
      </c>
      <c r="N1068" s="23"/>
      <c r="O1068" s="22"/>
      <c r="P1068" s="22"/>
    </row>
    <row r="1069" ht="22.5" customHeight="1">
      <c r="A1069" s="12" t="s">
        <v>52</v>
      </c>
      <c r="B1069" s="20" t="str">
        <f>IFERROR(VLOOKUP(A1069,Sheet1!$E$3:$H$27,4,0),"")</f>
        <v>P1</v>
      </c>
      <c r="C1069" s="14" t="s">
        <v>500</v>
      </c>
      <c r="D1069" s="12" t="s">
        <v>12</v>
      </c>
      <c r="E1069" s="13" t="str">
        <f>IFERROR(VLOOKUP(D1069,Sheet1!$B$1:$C$45,2,0),"")</f>
        <v>TE</v>
      </c>
      <c r="F1069" s="12" t="s">
        <v>108</v>
      </c>
      <c r="G1069" s="13" t="str">
        <f t="shared" si="4"/>
        <v>Barito Raya</v>
      </c>
      <c r="H1069" s="15" t="str">
        <f>IFERROR(VLOOKUP(A1069,Sheet1!$E$3:$F$27,2,),"")</f>
        <v>Preventive</v>
      </c>
      <c r="I1069" s="16" t="str">
        <f>IFERROR(VLOOKUP(A1069,Sheet1!$E$3:$G$27,3,0),"")</f>
        <v>MCB trip/Power upnormal</v>
      </c>
      <c r="J1069" s="12" t="s">
        <v>112</v>
      </c>
      <c r="K1069" s="17">
        <v>46050.0</v>
      </c>
      <c r="L1069" s="17">
        <v>46050.0</v>
      </c>
      <c r="M1069" s="12" t="s">
        <v>109</v>
      </c>
      <c r="N1069" s="23"/>
      <c r="O1069" s="22"/>
      <c r="P1069" s="22"/>
    </row>
    <row r="1070" ht="22.5" customHeight="1">
      <c r="A1070" s="12" t="s">
        <v>27</v>
      </c>
      <c r="B1070" s="20" t="str">
        <f>IFERROR(VLOOKUP(A1070,Sheet1!$E$3:$H$27,4,0),"")</f>
        <v>P2</v>
      </c>
      <c r="C1070" s="14" t="s">
        <v>449</v>
      </c>
      <c r="D1070" s="12" t="s">
        <v>16</v>
      </c>
      <c r="E1070" s="13" t="str">
        <f>IFERROR(VLOOKUP(D1070,Sheet1!$B$1:$C$45,2,0),"")</f>
        <v>TE</v>
      </c>
      <c r="F1070" s="12" t="s">
        <v>108</v>
      </c>
      <c r="G1070" s="13" t="str">
        <f t="shared" si="4"/>
        <v>Barito Raya</v>
      </c>
      <c r="H1070" s="15" t="str">
        <f>IFERROR(VLOOKUP(A1070,Sheet1!$E$3:$F$27,2,),"")</f>
        <v>Preventive</v>
      </c>
      <c r="I1070" s="16" t="str">
        <f>IFERROR(VLOOKUP(A1070,Sheet1!$E$3:$G$27,3,0),"")</f>
        <v>Akses/Hub Site problem metro</v>
      </c>
      <c r="J1070" s="12" t="s">
        <v>112</v>
      </c>
      <c r="K1070" s="17">
        <v>46050.0</v>
      </c>
      <c r="L1070" s="17">
        <v>46050.0</v>
      </c>
      <c r="M1070" s="12" t="s">
        <v>109</v>
      </c>
      <c r="N1070" s="18"/>
      <c r="O1070" s="19"/>
      <c r="P1070" s="19"/>
    </row>
    <row r="1071" ht="22.5" customHeight="1">
      <c r="A1071" s="12" t="s">
        <v>49</v>
      </c>
      <c r="B1071" s="20" t="str">
        <f>IFERROR(VLOOKUP(A1071,Sheet1!$E$3:$H$27,4,0),"")</f>
        <v>P2</v>
      </c>
      <c r="C1071" s="14" t="s">
        <v>336</v>
      </c>
      <c r="D1071" s="12" t="s">
        <v>21</v>
      </c>
      <c r="E1071" s="13" t="str">
        <f>IFERROR(VLOOKUP(D1071,Sheet1!$B$1:$C$45,2,0),"")</f>
        <v>TE</v>
      </c>
      <c r="F1071" s="12" t="s">
        <v>108</v>
      </c>
      <c r="G1071" s="13" t="str">
        <f t="shared" si="4"/>
        <v>Barito Raya</v>
      </c>
      <c r="H1071" s="15" t="str">
        <f>IFERROR(VLOOKUP(A1071,Sheet1!$E$3:$F$27,2,),"")</f>
        <v>Preventive</v>
      </c>
      <c r="I1071" s="16" t="str">
        <f>IFERROR(VLOOKUP(A1071,Sheet1!$E$3:$G$27,3,0),"")</f>
        <v>Bts High temp impact fliker</v>
      </c>
      <c r="J1071" s="12" t="s">
        <v>112</v>
      </c>
      <c r="K1071" s="17">
        <v>46050.0</v>
      </c>
      <c r="L1071" s="17">
        <v>46050.0</v>
      </c>
      <c r="M1071" s="12" t="s">
        <v>109</v>
      </c>
      <c r="N1071" s="18"/>
      <c r="O1071" s="19"/>
      <c r="P1071" s="19"/>
    </row>
    <row r="1072" ht="22.5" customHeight="1">
      <c r="A1072" s="12" t="s">
        <v>14</v>
      </c>
      <c r="B1072" s="20" t="str">
        <f>IFERROR(VLOOKUP(A1072,Sheet1!$E$3:$H$27,4,0),"")</f>
        <v>P1</v>
      </c>
      <c r="C1072" s="14" t="s">
        <v>501</v>
      </c>
      <c r="D1072" s="12" t="s">
        <v>26</v>
      </c>
      <c r="E1072" s="13" t="str">
        <f>IFERROR(VLOOKUP(D1072,Sheet1!$B$1:$C$45,2,0),"")</f>
        <v>TE</v>
      </c>
      <c r="F1072" s="12" t="s">
        <v>108</v>
      </c>
      <c r="G1072" s="13" t="str">
        <f t="shared" si="4"/>
        <v>Barito Raya</v>
      </c>
      <c r="H1072" s="15" t="str">
        <f>IFERROR(VLOOKUP(A1072,Sheet1!$E$3:$F$27,2,),"")</f>
        <v>Corrective</v>
      </c>
      <c r="I1072" s="16" t="str">
        <f>IFERROR(VLOOKUP(A1072,Sheet1!$E$3:$G$27,3,0),"")</f>
        <v>Pemadaman,MCB Trip,Transmisi problem</v>
      </c>
      <c r="J1072" s="12" t="s">
        <v>66</v>
      </c>
      <c r="K1072" s="17">
        <v>46050.0</v>
      </c>
      <c r="L1072" s="17">
        <v>46050.0</v>
      </c>
      <c r="M1072" s="12" t="s">
        <v>109</v>
      </c>
      <c r="N1072" s="18"/>
      <c r="O1072" s="19"/>
      <c r="P1072" s="19"/>
    </row>
    <row r="1073" ht="22.5" customHeight="1">
      <c r="A1073" s="12" t="s">
        <v>14</v>
      </c>
      <c r="B1073" s="20" t="str">
        <f>IFERROR(VLOOKUP(A1073,Sheet1!$E$3:$H$27,4,0),"")</f>
        <v>P1</v>
      </c>
      <c r="C1073" s="14" t="s">
        <v>501</v>
      </c>
      <c r="D1073" s="12" t="s">
        <v>88</v>
      </c>
      <c r="E1073" s="13" t="str">
        <f>IFERROR(VLOOKUP(D1073,Sheet1!$B$1:$C$45,2,0),"")</f>
        <v>TE</v>
      </c>
      <c r="F1073" s="12" t="s">
        <v>108</v>
      </c>
      <c r="G1073" s="13" t="str">
        <f t="shared" si="4"/>
        <v>Barito Raya</v>
      </c>
      <c r="H1073" s="15" t="str">
        <f>IFERROR(VLOOKUP(A1073,Sheet1!$E$3:$F$27,2,),"")</f>
        <v>Corrective</v>
      </c>
      <c r="I1073" s="16" t="str">
        <f>IFERROR(VLOOKUP(A1073,Sheet1!$E$3:$G$27,3,0),"")</f>
        <v>Pemadaman,MCB Trip,Transmisi problem</v>
      </c>
      <c r="J1073" s="12" t="s">
        <v>66</v>
      </c>
      <c r="K1073" s="17">
        <v>46050.0</v>
      </c>
      <c r="L1073" s="17">
        <v>46050.0</v>
      </c>
      <c r="M1073" s="12" t="s">
        <v>109</v>
      </c>
      <c r="N1073" s="18"/>
      <c r="O1073" s="19"/>
      <c r="P1073" s="19"/>
    </row>
    <row r="1074" ht="22.5" customHeight="1">
      <c r="A1074" s="20"/>
      <c r="B1074" s="20" t="str">
        <f>IFERROR(VLOOKUP(A1074,Sheet1!$E$3:$H$27,4,0),"")</f>
        <v/>
      </c>
      <c r="C1074" s="14" t="s">
        <v>491</v>
      </c>
      <c r="D1074" s="12" t="s">
        <v>32</v>
      </c>
      <c r="E1074" s="13" t="str">
        <f>IFERROR(VLOOKUP(D1074,Sheet1!$B$1:$C$45,2,0),"")</f>
        <v>TE</v>
      </c>
      <c r="F1074" s="12" t="s">
        <v>108</v>
      </c>
      <c r="G1074" s="13" t="str">
        <f t="shared" si="4"/>
        <v>Barito Raya</v>
      </c>
      <c r="H1074" s="15" t="str">
        <f>IFERROR(VLOOKUP(A1074,Sheet1!$E$3:$F$27,2,),"")</f>
        <v/>
      </c>
      <c r="I1074" s="16" t="str">
        <f>IFERROR(VLOOKUP(A1074,Sheet1!$E$3:$G$27,3,0),"")</f>
        <v/>
      </c>
      <c r="J1074" s="20"/>
      <c r="K1074" s="17">
        <v>46050.0</v>
      </c>
      <c r="L1074" s="17">
        <v>46050.0</v>
      </c>
      <c r="M1074" s="13"/>
      <c r="N1074" s="23"/>
      <c r="O1074" s="22"/>
      <c r="P1074" s="22"/>
    </row>
    <row r="1075" ht="22.5" customHeight="1">
      <c r="A1075" s="12" t="s">
        <v>5</v>
      </c>
      <c r="B1075" s="20" t="str">
        <f>IFERROR(VLOOKUP(A1075,Sheet1!$E$3:$H$27,4,0),"")</f>
        <v>P1</v>
      </c>
      <c r="C1075" s="14" t="s">
        <v>338</v>
      </c>
      <c r="D1075" s="12" t="s">
        <v>39</v>
      </c>
      <c r="E1075" s="13" t="str">
        <f>IFERROR(VLOOKUP(D1075,Sheet1!$B$1:$C$45,2,0),"")</f>
        <v>TE</v>
      </c>
      <c r="F1075" s="12" t="s">
        <v>108</v>
      </c>
      <c r="G1075" s="13" t="str">
        <f t="shared" si="4"/>
        <v>Barito Raya</v>
      </c>
      <c r="H1075" s="15" t="str">
        <f>IFERROR(VLOOKUP(A1075,Sheet1!$E$3:$F$27,2,),"")</f>
        <v>Corrective</v>
      </c>
      <c r="I1075" s="16" t="str">
        <f>IFERROR(VLOOKUP(A1075,Sheet1!$E$3:$G$27,3,0),"")</f>
        <v>Replace Optik,RRU/Soket Power/Replace GPS</v>
      </c>
      <c r="J1075" s="12" t="s">
        <v>112</v>
      </c>
      <c r="K1075" s="17">
        <v>46050.0</v>
      </c>
      <c r="L1075" s="17">
        <v>46050.0</v>
      </c>
      <c r="M1075" s="12" t="s">
        <v>122</v>
      </c>
      <c r="N1075" s="18" t="s">
        <v>502</v>
      </c>
      <c r="O1075" s="19"/>
      <c r="P1075" s="19"/>
    </row>
    <row r="1076" ht="22.5" customHeight="1">
      <c r="A1076" s="12" t="s">
        <v>5</v>
      </c>
      <c r="B1076" s="20" t="str">
        <f>IFERROR(VLOOKUP(A1076,Sheet1!$E$3:$H$27,4,0),"")</f>
        <v>P1</v>
      </c>
      <c r="C1076" s="14" t="s">
        <v>338</v>
      </c>
      <c r="D1076" s="12" t="s">
        <v>76</v>
      </c>
      <c r="E1076" s="13" t="str">
        <f>IFERROR(VLOOKUP(D1076,Sheet1!$B$1:$C$45,2,0),"")</f>
        <v>TE</v>
      </c>
      <c r="F1076" s="12" t="s">
        <v>108</v>
      </c>
      <c r="G1076" s="13" t="str">
        <f t="shared" si="4"/>
        <v>Barito Raya</v>
      </c>
      <c r="H1076" s="15" t="str">
        <f>IFERROR(VLOOKUP(A1076,Sheet1!$E$3:$F$27,2,),"")</f>
        <v>Corrective</v>
      </c>
      <c r="I1076" s="16" t="str">
        <f>IFERROR(VLOOKUP(A1076,Sheet1!$E$3:$G$27,3,0),"")</f>
        <v>Replace Optik,RRU/Soket Power/Replace GPS</v>
      </c>
      <c r="J1076" s="12" t="s">
        <v>112</v>
      </c>
      <c r="K1076" s="17">
        <v>46050.0</v>
      </c>
      <c r="L1076" s="17">
        <v>46050.0</v>
      </c>
      <c r="M1076" s="12" t="s">
        <v>122</v>
      </c>
      <c r="N1076" s="18" t="s">
        <v>502</v>
      </c>
      <c r="O1076" s="19"/>
      <c r="P1076" s="19"/>
    </row>
    <row r="1077" ht="22.5" customHeight="1">
      <c r="A1077" s="20"/>
      <c r="B1077" s="20" t="str">
        <f>IFERROR(VLOOKUP(A1077,Sheet1!$E$3:$H$27,4,0),"")</f>
        <v/>
      </c>
      <c r="C1077" s="14" t="s">
        <v>491</v>
      </c>
      <c r="D1077" s="12" t="s">
        <v>74</v>
      </c>
      <c r="E1077" s="13" t="str">
        <f>IFERROR(VLOOKUP(D1077,Sheet1!$B$1:$C$45,2,0),"")</f>
        <v>TE</v>
      </c>
      <c r="F1077" s="12" t="s">
        <v>108</v>
      </c>
      <c r="G1077" s="13" t="str">
        <f t="shared" si="4"/>
        <v>Barito Raya</v>
      </c>
      <c r="H1077" s="15" t="str">
        <f>IFERROR(VLOOKUP(A1077,Sheet1!$E$3:$F$27,2,),"")</f>
        <v/>
      </c>
      <c r="I1077" s="16" t="str">
        <f>IFERROR(VLOOKUP(A1077,Sheet1!$E$3:$G$27,3,0),"")</f>
        <v/>
      </c>
      <c r="J1077" s="20"/>
      <c r="K1077" s="17">
        <v>46050.0</v>
      </c>
      <c r="L1077" s="17">
        <v>46050.0</v>
      </c>
      <c r="M1077" s="13"/>
      <c r="N1077" s="23"/>
      <c r="O1077" s="22"/>
      <c r="P1077" s="22"/>
    </row>
    <row r="1078" ht="22.5" customHeight="1">
      <c r="A1078" s="12" t="s">
        <v>22</v>
      </c>
      <c r="B1078" s="20" t="str">
        <f>IFERROR(VLOOKUP(A1078,Sheet1!$E$3:$H$27,4,0),"")</f>
        <v>P2</v>
      </c>
      <c r="C1078" s="14" t="s">
        <v>493</v>
      </c>
      <c r="D1078" s="12" t="s">
        <v>85</v>
      </c>
      <c r="E1078" s="13" t="str">
        <f>IFERROR(VLOOKUP(D1078,Sheet1!$B$1:$C$45,2,0),"")</f>
        <v>PM</v>
      </c>
      <c r="F1078" s="12" t="s">
        <v>108</v>
      </c>
      <c r="G1078" s="13" t="str">
        <f t="shared" si="4"/>
        <v>Barito Raya</v>
      </c>
      <c r="H1078" s="15" t="str">
        <f>IFERROR(VLOOKUP(A1078,Sheet1!$E$3:$F$27,2,),"")</f>
        <v>Preventive</v>
      </c>
      <c r="I1078" s="16" t="str">
        <f>IFERROR(VLOOKUP(A1078,Sheet1!$E$3:$G$27,3,0),"")</f>
        <v>Preventive Maintenance</v>
      </c>
      <c r="J1078" s="12" t="s">
        <v>112</v>
      </c>
      <c r="K1078" s="17">
        <v>46050.0</v>
      </c>
      <c r="L1078" s="17">
        <v>46050.0</v>
      </c>
      <c r="M1078" s="12" t="s">
        <v>109</v>
      </c>
      <c r="N1078" s="23"/>
      <c r="O1078" s="22"/>
      <c r="P1078" s="22"/>
    </row>
    <row r="1079" ht="22.5" customHeight="1">
      <c r="A1079" s="12" t="s">
        <v>22</v>
      </c>
      <c r="B1079" s="20" t="str">
        <f>IFERROR(VLOOKUP(A1079,Sheet1!$E$3:$H$27,4,0),"")</f>
        <v>P2</v>
      </c>
      <c r="C1079" s="14" t="s">
        <v>493</v>
      </c>
      <c r="D1079" s="12" t="s">
        <v>84</v>
      </c>
      <c r="E1079" s="13" t="str">
        <f>IFERROR(VLOOKUP(D1079,Sheet1!$B$1:$C$45,2,0),"")</f>
        <v>MBP</v>
      </c>
      <c r="F1079" s="12" t="s">
        <v>108</v>
      </c>
      <c r="G1079" s="13" t="str">
        <f t="shared" si="4"/>
        <v>Barito Raya</v>
      </c>
      <c r="H1079" s="15" t="str">
        <f>IFERROR(VLOOKUP(A1079,Sheet1!$E$3:$F$27,2,),"")</f>
        <v>Preventive</v>
      </c>
      <c r="I1079" s="16" t="str">
        <f>IFERROR(VLOOKUP(A1079,Sheet1!$E$3:$G$27,3,0),"")</f>
        <v>Preventive Maintenance</v>
      </c>
      <c r="J1079" s="12" t="s">
        <v>112</v>
      </c>
      <c r="K1079" s="17">
        <v>46050.0</v>
      </c>
      <c r="L1079" s="17">
        <v>46050.0</v>
      </c>
      <c r="M1079" s="12" t="s">
        <v>109</v>
      </c>
      <c r="N1079" s="23"/>
      <c r="O1079" s="22"/>
      <c r="P1079" s="22"/>
    </row>
    <row r="1080" ht="22.5" customHeight="1">
      <c r="A1080" s="12" t="s">
        <v>22</v>
      </c>
      <c r="B1080" s="20" t="str">
        <f>IFERROR(VLOOKUP(A1080,Sheet1!$E$3:$H$27,4,0),"")</f>
        <v>P2</v>
      </c>
      <c r="C1080" s="14" t="s">
        <v>484</v>
      </c>
      <c r="D1080" s="12" t="s">
        <v>86</v>
      </c>
      <c r="E1080" s="13" t="str">
        <f>IFERROR(VLOOKUP(D1080,Sheet1!$B$1:$C$45,2,0),"")</f>
        <v>PM</v>
      </c>
      <c r="F1080" s="12" t="s">
        <v>108</v>
      </c>
      <c r="G1080" s="13" t="str">
        <f t="shared" si="4"/>
        <v>Barito Raya</v>
      </c>
      <c r="H1080" s="15" t="str">
        <f>IFERROR(VLOOKUP(A1080,Sheet1!$E$3:$F$27,2,),"")</f>
        <v>Preventive</v>
      </c>
      <c r="I1080" s="16" t="str">
        <f>IFERROR(VLOOKUP(A1080,Sheet1!$E$3:$G$27,3,0),"")</f>
        <v>Preventive Maintenance</v>
      </c>
      <c r="J1080" s="12" t="s">
        <v>112</v>
      </c>
      <c r="K1080" s="17">
        <v>46050.0</v>
      </c>
      <c r="L1080" s="17">
        <v>46050.0</v>
      </c>
      <c r="M1080" s="12" t="s">
        <v>109</v>
      </c>
      <c r="N1080" s="23"/>
      <c r="O1080" s="22"/>
      <c r="P1080" s="22"/>
    </row>
    <row r="1081" ht="22.5" customHeight="1">
      <c r="A1081" s="12" t="s">
        <v>14</v>
      </c>
      <c r="B1081" s="20" t="str">
        <f>IFERROR(VLOOKUP(A1081,Sheet1!$E$3:$H$27,4,0),"")</f>
        <v>P1</v>
      </c>
      <c r="C1081" s="14" t="s">
        <v>170</v>
      </c>
      <c r="D1081" s="12" t="s">
        <v>4</v>
      </c>
      <c r="E1081" s="13" t="str">
        <f>IFERROR(VLOOKUP(D1081,Sheet1!$B$1:$C$45,2,0),"")</f>
        <v>CME</v>
      </c>
      <c r="F1081" s="12" t="s">
        <v>108</v>
      </c>
      <c r="G1081" s="13" t="str">
        <f t="shared" si="4"/>
        <v>Barito Raya</v>
      </c>
      <c r="H1081" s="15" t="str">
        <f>IFERROR(VLOOKUP(A1081,Sheet1!$E$3:$F$27,2,),"")</f>
        <v>Corrective</v>
      </c>
      <c r="I1081" s="16" t="str">
        <f>IFERROR(VLOOKUP(A1081,Sheet1!$E$3:$G$27,3,0),"")</f>
        <v>Pemadaman,MCB Trip,Transmisi problem</v>
      </c>
      <c r="J1081" s="12" t="s">
        <v>112</v>
      </c>
      <c r="K1081" s="17">
        <v>46050.0</v>
      </c>
      <c r="L1081" s="17">
        <v>46050.0</v>
      </c>
      <c r="M1081" s="12" t="s">
        <v>109</v>
      </c>
      <c r="N1081" s="18"/>
      <c r="O1081" s="19"/>
      <c r="P1081" s="19"/>
    </row>
    <row r="1082" ht="22.5" customHeight="1">
      <c r="A1082" s="12" t="s">
        <v>65</v>
      </c>
      <c r="B1082" s="20" t="str">
        <f>IFERROR(VLOOKUP(A1082,Sheet1!$E$3:$H$27,4,0),"")</f>
        <v>P3</v>
      </c>
      <c r="C1082" s="15"/>
      <c r="D1082" s="12" t="s">
        <v>9</v>
      </c>
      <c r="E1082" s="13" t="str">
        <f>IFERROR(VLOOKUP(D1082,Sheet1!$B$1:$C$45,2,0),"")</f>
        <v>MBP</v>
      </c>
      <c r="F1082" s="12" t="s">
        <v>108</v>
      </c>
      <c r="G1082" s="13" t="str">
        <f t="shared" si="4"/>
        <v>Barito Raya</v>
      </c>
      <c r="H1082" s="15" t="str">
        <f>IFERROR(VLOOKUP(A1082,Sheet1!$E$3:$F$27,2,),"")</f>
        <v>Standby</v>
      </c>
      <c r="I1082" s="16" t="str">
        <f>IFERROR(VLOOKUP(A1082,Sheet1!$E$3:$G$27,3,0),"")</f>
        <v>Standby On Call</v>
      </c>
      <c r="J1082" s="20"/>
      <c r="K1082" s="17">
        <v>46050.0</v>
      </c>
      <c r="L1082" s="17">
        <v>46050.0</v>
      </c>
      <c r="M1082" s="13"/>
      <c r="N1082" s="23"/>
      <c r="O1082" s="22"/>
      <c r="P1082" s="22"/>
    </row>
    <row r="1083" ht="22.5" customHeight="1">
      <c r="A1083" s="12" t="s">
        <v>65</v>
      </c>
      <c r="B1083" s="20" t="str">
        <f>IFERROR(VLOOKUP(A1083,Sheet1!$E$3:$H$27,4,0),"")</f>
        <v>P3</v>
      </c>
      <c r="C1083" s="15"/>
      <c r="D1083" s="12" t="s">
        <v>87</v>
      </c>
      <c r="E1083" s="13" t="str">
        <f>IFERROR(VLOOKUP(D1083,Sheet1!$B$1:$C$45,2,0),"")</f>
        <v>MBP</v>
      </c>
      <c r="F1083" s="12" t="s">
        <v>108</v>
      </c>
      <c r="G1083" s="13" t="str">
        <f t="shared" si="4"/>
        <v>Barito Raya</v>
      </c>
      <c r="H1083" s="15" t="str">
        <f>IFERROR(VLOOKUP(A1083,Sheet1!$E$3:$F$27,2,),"")</f>
        <v>Standby</v>
      </c>
      <c r="I1083" s="16" t="str">
        <f>IFERROR(VLOOKUP(A1083,Sheet1!$E$3:$G$27,3,0),"")</f>
        <v>Standby On Call</v>
      </c>
      <c r="J1083" s="20"/>
      <c r="K1083" s="17">
        <v>46050.0</v>
      </c>
      <c r="L1083" s="17">
        <v>46050.0</v>
      </c>
      <c r="M1083" s="13"/>
      <c r="N1083" s="23"/>
      <c r="O1083" s="22"/>
      <c r="P1083" s="22"/>
    </row>
    <row r="1084" ht="22.5" customHeight="1">
      <c r="A1084" s="12" t="s">
        <v>65</v>
      </c>
      <c r="B1084" s="20" t="str">
        <f>IFERROR(VLOOKUP(A1084,Sheet1!$E$3:$H$27,4,0),"")</f>
        <v>P3</v>
      </c>
      <c r="C1084" s="15"/>
      <c r="D1084" s="12" t="s">
        <v>29</v>
      </c>
      <c r="E1084" s="13" t="str">
        <f>IFERROR(VLOOKUP(D1084,Sheet1!$B$1:$C$45,2,0),"")</f>
        <v>MBP</v>
      </c>
      <c r="F1084" s="12" t="s">
        <v>108</v>
      </c>
      <c r="G1084" s="13" t="str">
        <f t="shared" si="4"/>
        <v>Barito Raya</v>
      </c>
      <c r="H1084" s="15" t="str">
        <f>IFERROR(VLOOKUP(A1084,Sheet1!$E$3:$F$27,2,),"")</f>
        <v>Standby</v>
      </c>
      <c r="I1084" s="16" t="str">
        <f>IFERROR(VLOOKUP(A1084,Sheet1!$E$3:$G$27,3,0),"")</f>
        <v>Standby On Call</v>
      </c>
      <c r="J1084" s="20"/>
      <c r="K1084" s="17">
        <v>46050.0</v>
      </c>
      <c r="L1084" s="17">
        <v>46050.0</v>
      </c>
      <c r="M1084" s="13"/>
      <c r="N1084" s="23"/>
      <c r="O1084" s="22"/>
      <c r="P1084" s="22"/>
    </row>
    <row r="1085" ht="22.5" customHeight="1">
      <c r="A1085" s="12" t="s">
        <v>65</v>
      </c>
      <c r="B1085" s="20" t="str">
        <f>IFERROR(VLOOKUP(A1085,Sheet1!$E$3:$H$27,4,0),"")</f>
        <v>P3</v>
      </c>
      <c r="C1085" s="15"/>
      <c r="D1085" s="12" t="s">
        <v>2</v>
      </c>
      <c r="E1085" s="13" t="str">
        <f>IFERROR(VLOOKUP(D1085,Sheet1!$B$1:$C$45,2,0),"")</f>
        <v>CME</v>
      </c>
      <c r="F1085" s="12" t="s">
        <v>108</v>
      </c>
      <c r="G1085" s="13" t="str">
        <f t="shared" si="4"/>
        <v>Barito Raya</v>
      </c>
      <c r="H1085" s="15" t="str">
        <f>IFERROR(VLOOKUP(A1085,Sheet1!$E$3:$F$27,2,),"")</f>
        <v>Standby</v>
      </c>
      <c r="I1085" s="16" t="str">
        <f>IFERROR(VLOOKUP(A1085,Sheet1!$E$3:$G$27,3,0),"")</f>
        <v>Standby On Call</v>
      </c>
      <c r="J1085" s="20"/>
      <c r="K1085" s="17">
        <v>46050.0</v>
      </c>
      <c r="L1085" s="17">
        <v>46050.0</v>
      </c>
      <c r="M1085" s="13"/>
      <c r="N1085" s="23"/>
      <c r="O1085" s="22"/>
      <c r="P1085" s="22"/>
    </row>
    <row r="1086" ht="22.5" customHeight="1">
      <c r="A1086" s="12" t="s">
        <v>65</v>
      </c>
      <c r="B1086" s="20" t="str">
        <f>IFERROR(VLOOKUP(A1086,Sheet1!$E$3:$H$27,4,0),"")</f>
        <v>P3</v>
      </c>
      <c r="C1086" s="15"/>
      <c r="D1086" s="12" t="s">
        <v>0</v>
      </c>
      <c r="E1086" s="13" t="str">
        <f>IFERROR(VLOOKUP(D1086,Sheet1!$B$1:$C$45,2,0),"")</f>
        <v>MBP</v>
      </c>
      <c r="F1086" s="12" t="s">
        <v>108</v>
      </c>
      <c r="G1086" s="13" t="str">
        <f t="shared" si="4"/>
        <v>Barito Raya</v>
      </c>
      <c r="H1086" s="15" t="str">
        <f>IFERROR(VLOOKUP(A1086,Sheet1!$E$3:$F$27,2,),"")</f>
        <v>Standby</v>
      </c>
      <c r="I1086" s="16" t="str">
        <f>IFERROR(VLOOKUP(A1086,Sheet1!$E$3:$G$27,3,0),"")</f>
        <v>Standby On Call</v>
      </c>
      <c r="J1086" s="20"/>
      <c r="K1086" s="17">
        <v>46050.0</v>
      </c>
      <c r="L1086" s="17">
        <v>46050.0</v>
      </c>
      <c r="M1086" s="13"/>
      <c r="N1086" s="23"/>
      <c r="O1086" s="22"/>
      <c r="P1086" s="22"/>
    </row>
    <row r="1087" ht="22.5" customHeight="1">
      <c r="A1087" s="12" t="s">
        <v>65</v>
      </c>
      <c r="B1087" s="20" t="str">
        <f>IFERROR(VLOOKUP(A1087,Sheet1!$E$3:$H$27,4,0),"")</f>
        <v>P3</v>
      </c>
      <c r="C1087" s="15"/>
      <c r="D1087" s="12" t="s">
        <v>12</v>
      </c>
      <c r="E1087" s="13" t="str">
        <f>IFERROR(VLOOKUP(D1087,Sheet1!$B$1:$C$45,2,0),"")</f>
        <v>TE</v>
      </c>
      <c r="F1087" s="12" t="s">
        <v>108</v>
      </c>
      <c r="G1087" s="13" t="str">
        <f t="shared" si="4"/>
        <v>Barito Raya</v>
      </c>
      <c r="H1087" s="15" t="str">
        <f>IFERROR(VLOOKUP(A1087,Sheet1!$E$3:$F$27,2,),"")</f>
        <v>Standby</v>
      </c>
      <c r="I1087" s="16" t="str">
        <f>IFERROR(VLOOKUP(A1087,Sheet1!$E$3:$G$27,3,0),"")</f>
        <v>Standby On Call</v>
      </c>
      <c r="J1087" s="20"/>
      <c r="K1087" s="17">
        <v>46051.0</v>
      </c>
      <c r="L1087" s="17">
        <v>46051.0</v>
      </c>
      <c r="M1087" s="13"/>
      <c r="N1087" s="23"/>
      <c r="O1087" s="22"/>
      <c r="P1087" s="22"/>
    </row>
    <row r="1088" ht="22.5" customHeight="1">
      <c r="A1088" s="12" t="s">
        <v>27</v>
      </c>
      <c r="B1088" s="20" t="str">
        <f>IFERROR(VLOOKUP(A1088,Sheet1!$E$3:$H$27,4,0),"")</f>
        <v>P2</v>
      </c>
      <c r="C1088" s="14" t="s">
        <v>456</v>
      </c>
      <c r="D1088" s="12" t="s">
        <v>16</v>
      </c>
      <c r="E1088" s="13" t="str">
        <f>IFERROR(VLOOKUP(D1088,Sheet1!$B$1:$C$45,2,0),"")</f>
        <v>TE</v>
      </c>
      <c r="F1088" s="12" t="s">
        <v>108</v>
      </c>
      <c r="G1088" s="13" t="str">
        <f t="shared" si="4"/>
        <v>Barito Raya</v>
      </c>
      <c r="H1088" s="15" t="str">
        <f>IFERROR(VLOOKUP(A1088,Sheet1!$E$3:$F$27,2,),"")</f>
        <v>Preventive</v>
      </c>
      <c r="I1088" s="16" t="str">
        <f>IFERROR(VLOOKUP(A1088,Sheet1!$E$3:$G$27,3,0),"")</f>
        <v>Akses/Hub Site problem metro</v>
      </c>
      <c r="J1088" s="12" t="s">
        <v>112</v>
      </c>
      <c r="K1088" s="17">
        <v>46051.0</v>
      </c>
      <c r="L1088" s="17">
        <v>46051.0</v>
      </c>
      <c r="M1088" s="12" t="s">
        <v>109</v>
      </c>
      <c r="N1088" s="23"/>
      <c r="O1088" s="22"/>
      <c r="P1088" s="22"/>
    </row>
    <row r="1089" ht="22.5" customHeight="1">
      <c r="A1089" s="12" t="s">
        <v>5</v>
      </c>
      <c r="B1089" s="20" t="str">
        <f>IFERROR(VLOOKUP(A1089,Sheet1!$E$3:$H$27,4,0),"")</f>
        <v>P1</v>
      </c>
      <c r="C1089" s="14" t="s">
        <v>336</v>
      </c>
      <c r="D1089" s="12" t="s">
        <v>21</v>
      </c>
      <c r="E1089" s="13" t="str">
        <f>IFERROR(VLOOKUP(D1089,Sheet1!$B$1:$C$45,2,0),"")</f>
        <v>TE</v>
      </c>
      <c r="F1089" s="12" t="s">
        <v>108</v>
      </c>
      <c r="G1089" s="13" t="str">
        <f t="shared" si="4"/>
        <v>Barito Raya</v>
      </c>
      <c r="H1089" s="15" t="str">
        <f>IFERROR(VLOOKUP(A1089,Sheet1!$E$3:$F$27,2,),"")</f>
        <v>Corrective</v>
      </c>
      <c r="I1089" s="16" t="str">
        <f>IFERROR(VLOOKUP(A1089,Sheet1!$E$3:$G$27,3,0),"")</f>
        <v>Replace Optik,RRU/Soket Power/Replace GPS</v>
      </c>
      <c r="J1089" s="12" t="s">
        <v>112</v>
      </c>
      <c r="K1089" s="17">
        <v>46051.0</v>
      </c>
      <c r="L1089" s="17">
        <v>46051.0</v>
      </c>
      <c r="M1089" s="12" t="s">
        <v>109</v>
      </c>
      <c r="N1089" s="23"/>
      <c r="O1089" s="22"/>
      <c r="P1089" s="22"/>
    </row>
    <row r="1090" ht="22.5" customHeight="1">
      <c r="A1090" s="12" t="s">
        <v>49</v>
      </c>
      <c r="B1090" s="20" t="str">
        <f>IFERROR(VLOOKUP(A1090,Sheet1!$E$3:$H$27,4,0),"")</f>
        <v>P2</v>
      </c>
      <c r="C1090" s="14" t="s">
        <v>481</v>
      </c>
      <c r="D1090" s="12" t="s">
        <v>26</v>
      </c>
      <c r="E1090" s="13" t="str">
        <f>IFERROR(VLOOKUP(D1090,Sheet1!$B$1:$C$45,2,0),"")</f>
        <v>TE</v>
      </c>
      <c r="F1090" s="12" t="s">
        <v>108</v>
      </c>
      <c r="G1090" s="13" t="str">
        <f t="shared" si="4"/>
        <v>Barito Raya</v>
      </c>
      <c r="H1090" s="15" t="str">
        <f>IFERROR(VLOOKUP(A1090,Sheet1!$E$3:$F$27,2,),"")</f>
        <v>Preventive</v>
      </c>
      <c r="I1090" s="16" t="str">
        <f>IFERROR(VLOOKUP(A1090,Sheet1!$E$3:$G$27,3,0),"")</f>
        <v>Bts High temp impact fliker</v>
      </c>
      <c r="J1090" s="12" t="s">
        <v>112</v>
      </c>
      <c r="K1090" s="17">
        <v>46051.0</v>
      </c>
      <c r="L1090" s="17">
        <v>46051.0</v>
      </c>
      <c r="M1090" s="12" t="s">
        <v>109</v>
      </c>
      <c r="N1090" s="23"/>
      <c r="O1090" s="22"/>
      <c r="P1090" s="22"/>
    </row>
    <row r="1091" ht="22.5" customHeight="1">
      <c r="A1091" s="12" t="s">
        <v>52</v>
      </c>
      <c r="B1091" s="20" t="str">
        <f>IFERROR(VLOOKUP(A1091,Sheet1!$E$3:$H$27,4,0),"")</f>
        <v>P1</v>
      </c>
      <c r="C1091" s="14" t="s">
        <v>326</v>
      </c>
      <c r="D1091" s="12" t="s">
        <v>88</v>
      </c>
      <c r="E1091" s="13" t="str">
        <f>IFERROR(VLOOKUP(D1091,Sheet1!$B$1:$C$45,2,0),"")</f>
        <v>TE</v>
      </c>
      <c r="F1091" s="12" t="s">
        <v>108</v>
      </c>
      <c r="G1091" s="13" t="str">
        <f t="shared" si="4"/>
        <v>Barito Raya</v>
      </c>
      <c r="H1091" s="15" t="str">
        <f>IFERROR(VLOOKUP(A1091,Sheet1!$E$3:$F$27,2,),"")</f>
        <v>Preventive</v>
      </c>
      <c r="I1091" s="16" t="str">
        <f>IFERROR(VLOOKUP(A1091,Sheet1!$E$3:$G$27,3,0),"")</f>
        <v>MCB trip/Power upnormal</v>
      </c>
      <c r="J1091" s="12" t="s">
        <v>112</v>
      </c>
      <c r="K1091" s="17">
        <v>46051.0</v>
      </c>
      <c r="L1091" s="17">
        <v>46051.0</v>
      </c>
      <c r="M1091" s="12" t="s">
        <v>109</v>
      </c>
      <c r="N1091" s="23"/>
      <c r="O1091" s="22"/>
      <c r="P1091" s="22"/>
    </row>
    <row r="1092" ht="22.5" customHeight="1">
      <c r="A1092" s="20"/>
      <c r="B1092" s="20" t="str">
        <f>IFERROR(VLOOKUP(A1092,Sheet1!$E$3:$H$27,4,0),"")</f>
        <v/>
      </c>
      <c r="C1092" s="14" t="s">
        <v>491</v>
      </c>
      <c r="D1092" s="12" t="s">
        <v>32</v>
      </c>
      <c r="E1092" s="13" t="str">
        <f>IFERROR(VLOOKUP(D1092,Sheet1!$B$1:$C$45,2,0),"")</f>
        <v>TE</v>
      </c>
      <c r="F1092" s="12" t="s">
        <v>108</v>
      </c>
      <c r="G1092" s="13" t="str">
        <f t="shared" si="4"/>
        <v>Barito Raya</v>
      </c>
      <c r="H1092" s="15" t="str">
        <f>IFERROR(VLOOKUP(A1092,Sheet1!$E$3:$F$27,2,),"")</f>
        <v/>
      </c>
      <c r="I1092" s="16" t="str">
        <f>IFERROR(VLOOKUP(A1092,Sheet1!$E$3:$G$27,3,0),"")</f>
        <v/>
      </c>
      <c r="J1092" s="20"/>
      <c r="K1092" s="17">
        <v>46051.0</v>
      </c>
      <c r="L1092" s="17">
        <v>46051.0</v>
      </c>
      <c r="M1092" s="13"/>
      <c r="N1092" s="23"/>
      <c r="O1092" s="22"/>
      <c r="P1092" s="22"/>
    </row>
    <row r="1093" ht="22.5" customHeight="1">
      <c r="A1093" s="20"/>
      <c r="B1093" s="20" t="str">
        <f>IFERROR(VLOOKUP(A1093,Sheet1!$E$3:$H$27,4,0),"")</f>
        <v/>
      </c>
      <c r="C1093" s="14" t="s">
        <v>491</v>
      </c>
      <c r="D1093" s="12" t="s">
        <v>74</v>
      </c>
      <c r="E1093" s="13" t="str">
        <f>IFERROR(VLOOKUP(D1093,Sheet1!$B$1:$C$45,2,0),"")</f>
        <v>TE</v>
      </c>
      <c r="F1093" s="12" t="s">
        <v>108</v>
      </c>
      <c r="G1093" s="13" t="str">
        <f t="shared" si="4"/>
        <v>Barito Raya</v>
      </c>
      <c r="H1093" s="15" t="str">
        <f>IFERROR(VLOOKUP(A1093,Sheet1!$E$3:$F$27,2,),"")</f>
        <v/>
      </c>
      <c r="I1093" s="16" t="str">
        <f>IFERROR(VLOOKUP(A1093,Sheet1!$E$3:$G$27,3,0),"")</f>
        <v/>
      </c>
      <c r="J1093" s="20"/>
      <c r="K1093" s="17">
        <v>46051.0</v>
      </c>
      <c r="L1093" s="17">
        <v>46051.0</v>
      </c>
      <c r="M1093" s="13"/>
      <c r="N1093" s="23"/>
      <c r="O1093" s="22"/>
      <c r="P1093" s="22"/>
    </row>
    <row r="1094" ht="22.5" customHeight="1">
      <c r="A1094" s="12" t="s">
        <v>22</v>
      </c>
      <c r="B1094" s="20" t="str">
        <f>IFERROR(VLOOKUP(A1094,Sheet1!$E$3:$H$27,4,0),"")</f>
        <v>P2</v>
      </c>
      <c r="C1094" s="14" t="s">
        <v>281</v>
      </c>
      <c r="D1094" s="12" t="s">
        <v>60</v>
      </c>
      <c r="E1094" s="13" t="str">
        <f>IFERROR(VLOOKUP(D1094,Sheet1!$B$1:$C$45,2,0),"")</f>
        <v>TE</v>
      </c>
      <c r="F1094" s="12" t="s">
        <v>108</v>
      </c>
      <c r="G1094" s="13" t="str">
        <f t="shared" si="4"/>
        <v>Barito Raya</v>
      </c>
      <c r="H1094" s="15" t="str">
        <f>IFERROR(VLOOKUP(A1094,Sheet1!$E$3:$F$27,2,),"")</f>
        <v>Preventive</v>
      </c>
      <c r="I1094" s="16" t="str">
        <f>IFERROR(VLOOKUP(A1094,Sheet1!$E$3:$G$27,3,0),"")</f>
        <v>Preventive Maintenance</v>
      </c>
      <c r="J1094" s="12" t="s">
        <v>112</v>
      </c>
      <c r="K1094" s="17">
        <v>46051.0</v>
      </c>
      <c r="L1094" s="17">
        <v>46051.0</v>
      </c>
      <c r="M1094" s="12" t="s">
        <v>109</v>
      </c>
      <c r="N1094" s="23"/>
      <c r="O1094" s="22"/>
      <c r="P1094" s="22"/>
    </row>
    <row r="1095" ht="22.5" customHeight="1">
      <c r="A1095" s="12" t="s">
        <v>5</v>
      </c>
      <c r="B1095" s="20" t="str">
        <f>IFERROR(VLOOKUP(A1095,Sheet1!$E$3:$H$27,4,0),"")</f>
        <v>P1</v>
      </c>
      <c r="C1095" s="14" t="s">
        <v>503</v>
      </c>
      <c r="D1095" s="12" t="s">
        <v>62</v>
      </c>
      <c r="E1095" s="13" t="str">
        <f>IFERROR(VLOOKUP(D1095,Sheet1!$B$1:$C$45,2,0),"")</f>
        <v>TE</v>
      </c>
      <c r="F1095" s="12" t="s">
        <v>108</v>
      </c>
      <c r="G1095" s="13" t="str">
        <f t="shared" si="4"/>
        <v>Barito Raya</v>
      </c>
      <c r="H1095" s="15" t="str">
        <f>IFERROR(VLOOKUP(A1095,Sheet1!$E$3:$F$27,2,),"")</f>
        <v>Corrective</v>
      </c>
      <c r="I1095" s="16" t="str">
        <f>IFERROR(VLOOKUP(A1095,Sheet1!$E$3:$G$27,3,0),"")</f>
        <v>Replace Optik,RRU/Soket Power/Replace GPS</v>
      </c>
      <c r="J1095" s="12" t="s">
        <v>112</v>
      </c>
      <c r="K1095" s="17">
        <v>46051.0</v>
      </c>
      <c r="L1095" s="17">
        <v>46051.0</v>
      </c>
      <c r="M1095" s="12" t="s">
        <v>109</v>
      </c>
      <c r="N1095" s="23"/>
      <c r="O1095" s="22"/>
      <c r="P1095" s="22"/>
    </row>
    <row r="1096" ht="22.5" customHeight="1">
      <c r="A1096" s="12" t="s">
        <v>10</v>
      </c>
      <c r="B1096" s="20" t="str">
        <f>IFERROR(VLOOKUP(A1096,Sheet1!$E$3:$H$27,4,0),"")</f>
        <v>P1</v>
      </c>
      <c r="C1096" s="14" t="s">
        <v>338</v>
      </c>
      <c r="D1096" s="12" t="s">
        <v>42</v>
      </c>
      <c r="E1096" s="13" t="str">
        <f>IFERROR(VLOOKUP(D1096,Sheet1!$B$1:$C$45,2,0),"")</f>
        <v>TE</v>
      </c>
      <c r="F1096" s="12" t="s">
        <v>108</v>
      </c>
      <c r="G1096" s="13" t="str">
        <f t="shared" si="4"/>
        <v>Barito Raya</v>
      </c>
      <c r="H1096" s="15" t="str">
        <f>IFERROR(VLOOKUP(A1096,Sheet1!$E$3:$F$27,2,),"")</f>
        <v>Corrective</v>
      </c>
      <c r="I1096" s="16" t="str">
        <f>IFERROR(VLOOKUP(A1096,Sheet1!$E$3:$G$27,3,0),"")</f>
        <v>Replace Jumper,antena/RRU</v>
      </c>
      <c r="J1096" s="12" t="s">
        <v>112</v>
      </c>
      <c r="K1096" s="17">
        <v>46051.0</v>
      </c>
      <c r="L1096" s="17">
        <v>46051.0</v>
      </c>
      <c r="M1096" s="12" t="s">
        <v>122</v>
      </c>
      <c r="N1096" s="23"/>
      <c r="O1096" s="22"/>
      <c r="P1096" s="22"/>
    </row>
    <row r="1097" ht="22.5" customHeight="1">
      <c r="A1097" s="12" t="s">
        <v>10</v>
      </c>
      <c r="B1097" s="20" t="str">
        <f>IFERROR(VLOOKUP(A1097,Sheet1!$E$3:$H$27,4,0),"")</f>
        <v>P1</v>
      </c>
      <c r="C1097" s="14" t="s">
        <v>338</v>
      </c>
      <c r="D1097" s="12" t="s">
        <v>39</v>
      </c>
      <c r="E1097" s="13" t="str">
        <f>IFERROR(VLOOKUP(D1097,Sheet1!$B$1:$C$45,2,0),"")</f>
        <v>TE</v>
      </c>
      <c r="F1097" s="12" t="s">
        <v>108</v>
      </c>
      <c r="G1097" s="13" t="str">
        <f t="shared" si="4"/>
        <v>Barito Raya</v>
      </c>
      <c r="H1097" s="15" t="str">
        <f>IFERROR(VLOOKUP(A1097,Sheet1!$E$3:$F$27,2,),"")</f>
        <v>Corrective</v>
      </c>
      <c r="I1097" s="16" t="str">
        <f>IFERROR(VLOOKUP(A1097,Sheet1!$E$3:$G$27,3,0),"")</f>
        <v>Replace Jumper,antena/RRU</v>
      </c>
      <c r="J1097" s="12" t="s">
        <v>112</v>
      </c>
      <c r="K1097" s="17">
        <v>46051.0</v>
      </c>
      <c r="L1097" s="17">
        <v>46051.0</v>
      </c>
      <c r="M1097" s="12" t="s">
        <v>122</v>
      </c>
      <c r="N1097" s="23"/>
      <c r="O1097" s="22"/>
      <c r="P1097" s="22"/>
    </row>
    <row r="1098" ht="22.5" customHeight="1">
      <c r="A1098" s="12" t="s">
        <v>22</v>
      </c>
      <c r="B1098" s="20" t="str">
        <f>IFERROR(VLOOKUP(A1098,Sheet1!$E$3:$H$27,4,0),"")</f>
        <v>P2</v>
      </c>
      <c r="C1098" s="14" t="s">
        <v>141</v>
      </c>
      <c r="D1098" s="12" t="s">
        <v>85</v>
      </c>
      <c r="E1098" s="13" t="str">
        <f>IFERROR(VLOOKUP(D1098,Sheet1!$B$1:$C$45,2,0),"")</f>
        <v>PM</v>
      </c>
      <c r="F1098" s="12" t="s">
        <v>108</v>
      </c>
      <c r="G1098" s="13" t="str">
        <f t="shared" si="4"/>
        <v>Barito Raya</v>
      </c>
      <c r="H1098" s="15" t="str">
        <f>IFERROR(VLOOKUP(A1098,Sheet1!$E$3:$F$27,2,),"")</f>
        <v>Preventive</v>
      </c>
      <c r="I1098" s="16" t="str">
        <f>IFERROR(VLOOKUP(A1098,Sheet1!$E$3:$G$27,3,0),"")</f>
        <v>Preventive Maintenance</v>
      </c>
      <c r="J1098" s="12" t="s">
        <v>112</v>
      </c>
      <c r="K1098" s="17">
        <v>46051.0</v>
      </c>
      <c r="L1098" s="17">
        <v>46051.0</v>
      </c>
      <c r="M1098" s="12" t="s">
        <v>109</v>
      </c>
      <c r="N1098" s="23"/>
      <c r="O1098" s="22"/>
      <c r="P1098" s="22"/>
    </row>
    <row r="1099" ht="22.5" customHeight="1">
      <c r="A1099" s="12" t="s">
        <v>22</v>
      </c>
      <c r="B1099" s="20" t="str">
        <f>IFERROR(VLOOKUP(A1099,Sheet1!$E$3:$H$27,4,0),"")</f>
        <v>P2</v>
      </c>
      <c r="C1099" s="14" t="s">
        <v>141</v>
      </c>
      <c r="D1099" s="12" t="s">
        <v>84</v>
      </c>
      <c r="E1099" s="13" t="str">
        <f>IFERROR(VLOOKUP(D1099,Sheet1!$B$1:$C$45,2,0),"")</f>
        <v>MBP</v>
      </c>
      <c r="F1099" s="12" t="s">
        <v>108</v>
      </c>
      <c r="G1099" s="13" t="str">
        <f t="shared" si="4"/>
        <v>Barito Raya</v>
      </c>
      <c r="H1099" s="15" t="str">
        <f>IFERROR(VLOOKUP(A1099,Sheet1!$E$3:$F$27,2,),"")</f>
        <v>Preventive</v>
      </c>
      <c r="I1099" s="16" t="str">
        <f>IFERROR(VLOOKUP(A1099,Sheet1!$E$3:$G$27,3,0),"")</f>
        <v>Preventive Maintenance</v>
      </c>
      <c r="J1099" s="12" t="s">
        <v>112</v>
      </c>
      <c r="K1099" s="17">
        <v>46051.0</v>
      </c>
      <c r="L1099" s="17">
        <v>46051.0</v>
      </c>
      <c r="M1099" s="12" t="s">
        <v>109</v>
      </c>
      <c r="N1099" s="23"/>
      <c r="O1099" s="22"/>
      <c r="P1099" s="22"/>
    </row>
    <row r="1100" ht="22.5" customHeight="1">
      <c r="A1100" s="12" t="s">
        <v>22</v>
      </c>
      <c r="B1100" s="20" t="str">
        <f>IFERROR(VLOOKUP(A1100,Sheet1!$E$3:$H$27,4,0),"")</f>
        <v>P2</v>
      </c>
      <c r="C1100" s="14" t="s">
        <v>313</v>
      </c>
      <c r="D1100" s="12" t="s">
        <v>86</v>
      </c>
      <c r="E1100" s="13" t="str">
        <f>IFERROR(VLOOKUP(D1100,Sheet1!$B$1:$C$45,2,0),"")</f>
        <v>PM</v>
      </c>
      <c r="F1100" s="12" t="s">
        <v>108</v>
      </c>
      <c r="G1100" s="13" t="str">
        <f t="shared" si="4"/>
        <v>Barito Raya</v>
      </c>
      <c r="H1100" s="15" t="str">
        <f>IFERROR(VLOOKUP(A1100,Sheet1!$E$3:$F$27,2,),"")</f>
        <v>Preventive</v>
      </c>
      <c r="I1100" s="16" t="str">
        <f>IFERROR(VLOOKUP(A1100,Sheet1!$E$3:$G$27,3,0),"")</f>
        <v>Preventive Maintenance</v>
      </c>
      <c r="J1100" s="12" t="s">
        <v>112</v>
      </c>
      <c r="K1100" s="17">
        <v>46051.0</v>
      </c>
      <c r="L1100" s="17">
        <v>46051.0</v>
      </c>
      <c r="M1100" s="12" t="s">
        <v>109</v>
      </c>
      <c r="N1100" s="23"/>
      <c r="O1100" s="22"/>
      <c r="P1100" s="22"/>
    </row>
    <row r="1101" ht="22.5" customHeight="1">
      <c r="A1101" s="12" t="s">
        <v>65</v>
      </c>
      <c r="B1101" s="20" t="str">
        <f>IFERROR(VLOOKUP(A1101,Sheet1!$E$3:$H$27,4,0),"")</f>
        <v>P3</v>
      </c>
      <c r="C1101" s="15"/>
      <c r="D1101" s="12" t="s">
        <v>9</v>
      </c>
      <c r="E1101" s="13" t="str">
        <f>IFERROR(VLOOKUP(D1101,Sheet1!$B$1:$C$45,2,0),"")</f>
        <v>MBP</v>
      </c>
      <c r="F1101" s="12" t="s">
        <v>108</v>
      </c>
      <c r="G1101" s="13" t="str">
        <f t="shared" si="4"/>
        <v>Barito Raya</v>
      </c>
      <c r="H1101" s="15" t="str">
        <f>IFERROR(VLOOKUP(A1101,Sheet1!$E$3:$F$27,2,),"")</f>
        <v>Standby</v>
      </c>
      <c r="I1101" s="16" t="str">
        <f>IFERROR(VLOOKUP(A1101,Sheet1!$E$3:$G$27,3,0),"")</f>
        <v>Standby On Call</v>
      </c>
      <c r="J1101" s="20"/>
      <c r="K1101" s="17">
        <v>46051.0</v>
      </c>
      <c r="L1101" s="17">
        <v>46051.0</v>
      </c>
      <c r="M1101" s="13"/>
      <c r="N1101" s="23"/>
      <c r="O1101" s="22"/>
      <c r="P1101" s="22"/>
    </row>
    <row r="1102" ht="22.5" customHeight="1">
      <c r="A1102" s="12" t="s">
        <v>65</v>
      </c>
      <c r="B1102" s="20" t="str">
        <f>IFERROR(VLOOKUP(A1102,Sheet1!$E$3:$H$27,4,0),"")</f>
        <v>P3</v>
      </c>
      <c r="C1102" s="15"/>
      <c r="D1102" s="12" t="s">
        <v>4</v>
      </c>
      <c r="E1102" s="13" t="str">
        <f>IFERROR(VLOOKUP(D1102,Sheet1!$B$1:$C$45,2,0),"")</f>
        <v>CME</v>
      </c>
      <c r="F1102" s="12" t="s">
        <v>108</v>
      </c>
      <c r="G1102" s="13" t="str">
        <f t="shared" si="4"/>
        <v>Barito Raya</v>
      </c>
      <c r="H1102" s="15" t="str">
        <f>IFERROR(VLOOKUP(A1102,Sheet1!$E$3:$F$27,2,),"")</f>
        <v>Standby</v>
      </c>
      <c r="I1102" s="16" t="str">
        <f>IFERROR(VLOOKUP(A1102,Sheet1!$E$3:$G$27,3,0),"")</f>
        <v>Standby On Call</v>
      </c>
      <c r="J1102" s="20"/>
      <c r="K1102" s="17">
        <v>46051.0</v>
      </c>
      <c r="L1102" s="17">
        <v>46051.0</v>
      </c>
      <c r="M1102" s="13"/>
      <c r="N1102" s="23"/>
      <c r="O1102" s="22"/>
      <c r="P1102" s="22"/>
    </row>
    <row r="1103" ht="22.5" customHeight="1">
      <c r="A1103" s="12" t="s">
        <v>72</v>
      </c>
      <c r="B1103" s="20" t="str">
        <f>IFERROR(VLOOKUP(A1103,Sheet1!$E$3:$H$27,4,0),"")</f>
        <v>P1</v>
      </c>
      <c r="C1103" s="14" t="s">
        <v>504</v>
      </c>
      <c r="D1103" s="12" t="s">
        <v>87</v>
      </c>
      <c r="E1103" s="13" t="str">
        <f>IFERROR(VLOOKUP(D1103,Sheet1!$B$1:$C$45,2,0),"")</f>
        <v>MBP</v>
      </c>
      <c r="F1103" s="12" t="s">
        <v>108</v>
      </c>
      <c r="G1103" s="13" t="str">
        <f t="shared" si="4"/>
        <v>Barito Raya</v>
      </c>
      <c r="H1103" s="15" t="str">
        <f>IFERROR(VLOOKUP(A1103,Sheet1!$E$3:$F$27,2,),"")</f>
        <v>Corrective</v>
      </c>
      <c r="I1103" s="16" t="str">
        <f>IFERROR(VLOOKUP(A1103,Sheet1!$E$3:$G$27,3,0),"")</f>
        <v>Perbaikan Auto,pergantian relay,timer, yang berhubungan genset</v>
      </c>
      <c r="J1103" s="12" t="s">
        <v>112</v>
      </c>
      <c r="K1103" s="17">
        <v>46051.0</v>
      </c>
      <c r="L1103" s="17">
        <v>46051.0</v>
      </c>
      <c r="M1103" s="12" t="s">
        <v>109</v>
      </c>
      <c r="N1103" s="23"/>
      <c r="O1103" s="22"/>
      <c r="P1103" s="22"/>
    </row>
    <row r="1104" ht="22.5" customHeight="1">
      <c r="A1104" s="12" t="s">
        <v>14</v>
      </c>
      <c r="B1104" s="20" t="str">
        <f>IFERROR(VLOOKUP(A1104,Sheet1!$E$3:$H$27,4,0),"")</f>
        <v>P1</v>
      </c>
      <c r="C1104" s="14" t="s">
        <v>313</v>
      </c>
      <c r="D1104" s="12" t="s">
        <v>29</v>
      </c>
      <c r="E1104" s="13" t="str">
        <f>IFERROR(VLOOKUP(D1104,Sheet1!$B$1:$C$45,2,0),"")</f>
        <v>MBP</v>
      </c>
      <c r="F1104" s="12" t="s">
        <v>108</v>
      </c>
      <c r="G1104" s="13" t="str">
        <f t="shared" si="4"/>
        <v>Barito Raya</v>
      </c>
      <c r="H1104" s="15" t="str">
        <f>IFERROR(VLOOKUP(A1104,Sheet1!$E$3:$F$27,2,),"")</f>
        <v>Corrective</v>
      </c>
      <c r="I1104" s="16" t="str">
        <f>IFERROR(VLOOKUP(A1104,Sheet1!$E$3:$G$27,3,0),"")</f>
        <v>Pemadaman,MCB Trip,Transmisi problem</v>
      </c>
      <c r="J1104" s="12" t="s">
        <v>112</v>
      </c>
      <c r="K1104" s="17">
        <v>46051.0</v>
      </c>
      <c r="L1104" s="17">
        <v>46051.0</v>
      </c>
      <c r="M1104" s="12" t="s">
        <v>109</v>
      </c>
      <c r="N1104" s="23"/>
      <c r="O1104" s="22"/>
      <c r="P1104" s="22"/>
    </row>
    <row r="1105" ht="22.5" customHeight="1">
      <c r="A1105" s="12" t="s">
        <v>65</v>
      </c>
      <c r="B1105" s="20" t="str">
        <f>IFERROR(VLOOKUP(A1105,Sheet1!$E$3:$H$27,4,0),"")</f>
        <v>P3</v>
      </c>
      <c r="C1105" s="15"/>
      <c r="D1105" s="12" t="s">
        <v>2</v>
      </c>
      <c r="E1105" s="13" t="str">
        <f>IFERROR(VLOOKUP(D1105,Sheet1!$B$1:$C$45,2,0),"")</f>
        <v>CME</v>
      </c>
      <c r="F1105" s="12" t="s">
        <v>108</v>
      </c>
      <c r="G1105" s="13" t="str">
        <f t="shared" si="4"/>
        <v>Barito Raya</v>
      </c>
      <c r="H1105" s="15" t="str">
        <f>IFERROR(VLOOKUP(A1105,Sheet1!$E$3:$F$27,2,),"")</f>
        <v>Standby</v>
      </c>
      <c r="I1105" s="16" t="str">
        <f>IFERROR(VLOOKUP(A1105,Sheet1!$E$3:$G$27,3,0),"")</f>
        <v>Standby On Call</v>
      </c>
      <c r="J1105" s="20"/>
      <c r="K1105" s="17">
        <v>46051.0</v>
      </c>
      <c r="L1105" s="17">
        <v>46051.0</v>
      </c>
      <c r="M1105" s="13"/>
      <c r="N1105" s="23"/>
      <c r="O1105" s="22"/>
      <c r="P1105" s="22"/>
    </row>
    <row r="1106" ht="22.5" customHeight="1">
      <c r="A1106" s="12" t="s">
        <v>65</v>
      </c>
      <c r="B1106" s="20" t="str">
        <f>IFERROR(VLOOKUP(A1106,Sheet1!$E$3:$H$27,4,0),"")</f>
        <v>P3</v>
      </c>
      <c r="C1106" s="15"/>
      <c r="D1106" s="12" t="s">
        <v>0</v>
      </c>
      <c r="E1106" s="13" t="str">
        <f>IFERROR(VLOOKUP(D1106,Sheet1!$B$1:$C$45,2,0),"")</f>
        <v>MBP</v>
      </c>
      <c r="F1106" s="12" t="s">
        <v>108</v>
      </c>
      <c r="G1106" s="13" t="str">
        <f t="shared" si="4"/>
        <v>Barito Raya</v>
      </c>
      <c r="H1106" s="15" t="str">
        <f>IFERROR(VLOOKUP(A1106,Sheet1!$E$3:$F$27,2,),"")</f>
        <v>Standby</v>
      </c>
      <c r="I1106" s="16" t="str">
        <f>IFERROR(VLOOKUP(A1106,Sheet1!$E$3:$G$27,3,0),"")</f>
        <v>Standby On Call</v>
      </c>
      <c r="J1106" s="20"/>
      <c r="K1106" s="17">
        <v>46051.0</v>
      </c>
      <c r="L1106" s="17">
        <v>46051.0</v>
      </c>
      <c r="M1106" s="13"/>
      <c r="N1106" s="23"/>
      <c r="O1106" s="22"/>
      <c r="P1106" s="22"/>
    </row>
    <row r="1107" ht="22.5" customHeight="1">
      <c r="A1107" s="12" t="s">
        <v>5</v>
      </c>
      <c r="B1107" s="20" t="str">
        <f>IFERROR(VLOOKUP(A1107,Sheet1!$E$3:$H$27,4,0),"")</f>
        <v>P1</v>
      </c>
      <c r="C1107" s="14" t="s">
        <v>505</v>
      </c>
      <c r="D1107" s="12" t="s">
        <v>77</v>
      </c>
      <c r="E1107" s="13" t="str">
        <f>IFERROR(VLOOKUP(D1107,Sheet1!$B$1:$C$45,2,0),"")</f>
        <v>TE</v>
      </c>
      <c r="F1107" s="12" t="s">
        <v>179</v>
      </c>
      <c r="G1107" s="13" t="str">
        <f t="shared" si="4"/>
        <v>Palangkaraya</v>
      </c>
      <c r="H1107" s="15" t="str">
        <f>IFERROR(VLOOKUP(A1107,Sheet1!$E$3:$F$27,2,),"")</f>
        <v>Corrective</v>
      </c>
      <c r="I1107" s="16" t="str">
        <f>IFERROR(VLOOKUP(A1107,Sheet1!$E$3:$G$27,3,0),"")</f>
        <v>Replace Optik,RRU/Soket Power/Replace GPS</v>
      </c>
      <c r="J1107" s="12" t="s">
        <v>112</v>
      </c>
      <c r="K1107" s="17">
        <v>46051.0</v>
      </c>
      <c r="L1107" s="17"/>
      <c r="M1107" s="12" t="s">
        <v>137</v>
      </c>
      <c r="N1107" s="23"/>
      <c r="O1107" s="22"/>
      <c r="P1107" s="22"/>
    </row>
    <row r="1108" ht="22.5" customHeight="1">
      <c r="A1108" s="12" t="s">
        <v>5</v>
      </c>
      <c r="B1108" s="20" t="str">
        <f>IFERROR(VLOOKUP(A1108,Sheet1!$E$3:$H$27,4,0),"")</f>
        <v>P1</v>
      </c>
      <c r="C1108" s="14" t="s">
        <v>506</v>
      </c>
      <c r="D1108" s="12" t="s">
        <v>37</v>
      </c>
      <c r="E1108" s="13" t="str">
        <f>IFERROR(VLOOKUP(D1108,Sheet1!$B$1:$C$45,2,0),"")</f>
        <v>TE</v>
      </c>
      <c r="F1108" s="12" t="s">
        <v>179</v>
      </c>
      <c r="G1108" s="13" t="str">
        <f t="shared" si="4"/>
        <v>Palangkaraya</v>
      </c>
      <c r="H1108" s="15" t="str">
        <f>IFERROR(VLOOKUP(A1108,Sheet1!$E$3:$F$27,2,),"")</f>
        <v>Corrective</v>
      </c>
      <c r="I1108" s="16" t="str">
        <f>IFERROR(VLOOKUP(A1108,Sheet1!$E$3:$G$27,3,0),"")</f>
        <v>Replace Optik,RRU/Soket Power/Replace GPS</v>
      </c>
      <c r="J1108" s="12" t="s">
        <v>112</v>
      </c>
      <c r="K1108" s="17">
        <v>46051.0</v>
      </c>
      <c r="L1108" s="17"/>
      <c r="M1108" s="12" t="s">
        <v>137</v>
      </c>
      <c r="N1108" s="23"/>
      <c r="O1108" s="22"/>
      <c r="P1108" s="22"/>
    </row>
    <row r="1109" ht="22.5" customHeight="1">
      <c r="A1109" s="12" t="s">
        <v>5</v>
      </c>
      <c r="B1109" s="20" t="str">
        <f>IFERROR(VLOOKUP(A1109,Sheet1!$E$3:$H$27,4,0),"")</f>
        <v>P1</v>
      </c>
      <c r="C1109" s="14" t="s">
        <v>506</v>
      </c>
      <c r="D1109" s="12" t="s">
        <v>80</v>
      </c>
      <c r="E1109" s="13" t="str">
        <f>IFERROR(VLOOKUP(D1109,Sheet1!$B$1:$C$45,2,0),"")</f>
        <v>TE</v>
      </c>
      <c r="F1109" s="12" t="s">
        <v>179</v>
      </c>
      <c r="G1109" s="13" t="str">
        <f t="shared" si="4"/>
        <v>Palangkaraya</v>
      </c>
      <c r="H1109" s="15" t="str">
        <f>IFERROR(VLOOKUP(A1109,Sheet1!$E$3:$F$27,2,),"")</f>
        <v>Corrective</v>
      </c>
      <c r="I1109" s="16" t="str">
        <f>IFERROR(VLOOKUP(A1109,Sheet1!$E$3:$G$27,3,0),"")</f>
        <v>Replace Optik,RRU/Soket Power/Replace GPS</v>
      </c>
      <c r="J1109" s="12" t="s">
        <v>112</v>
      </c>
      <c r="K1109" s="17">
        <v>46051.0</v>
      </c>
      <c r="L1109" s="17"/>
      <c r="M1109" s="12" t="s">
        <v>137</v>
      </c>
      <c r="N1109" s="23"/>
      <c r="O1109" s="22"/>
      <c r="P1109" s="22"/>
    </row>
    <row r="1110" ht="22.5" customHeight="1">
      <c r="A1110" s="12" t="s">
        <v>5</v>
      </c>
      <c r="B1110" s="20" t="str">
        <f>IFERROR(VLOOKUP(A1110,Sheet1!$E$3:$H$27,4,0),"")</f>
        <v>P1</v>
      </c>
      <c r="C1110" s="14" t="s">
        <v>267</v>
      </c>
      <c r="D1110" s="12" t="s">
        <v>71</v>
      </c>
      <c r="E1110" s="13" t="str">
        <f>IFERROR(VLOOKUP(D1110,Sheet1!$B$1:$C$45,2,0),"")</f>
        <v>TE</v>
      </c>
      <c r="F1110" s="12" t="s">
        <v>179</v>
      </c>
      <c r="G1110" s="13" t="str">
        <f t="shared" si="4"/>
        <v>Palangkaraya</v>
      </c>
      <c r="H1110" s="15" t="str">
        <f>IFERROR(VLOOKUP(A1110,Sheet1!$E$3:$F$27,2,),"")</f>
        <v>Corrective</v>
      </c>
      <c r="I1110" s="16" t="str">
        <f>IFERROR(VLOOKUP(A1110,Sheet1!$E$3:$G$27,3,0),"")</f>
        <v>Replace Optik,RRU/Soket Power/Replace GPS</v>
      </c>
      <c r="J1110" s="12" t="s">
        <v>112</v>
      </c>
      <c r="K1110" s="17">
        <v>46051.0</v>
      </c>
      <c r="L1110" s="17"/>
      <c r="M1110" s="12" t="s">
        <v>137</v>
      </c>
      <c r="N1110" s="23"/>
      <c r="O1110" s="22"/>
      <c r="P1110" s="22"/>
    </row>
    <row r="1111" ht="22.5" customHeight="1">
      <c r="A1111" s="12" t="s">
        <v>14</v>
      </c>
      <c r="B1111" s="20" t="str">
        <f>IFERROR(VLOOKUP(A1111,Sheet1!$E$3:$H$27,4,0),"")</f>
        <v>P1</v>
      </c>
      <c r="C1111" s="14" t="s">
        <v>415</v>
      </c>
      <c r="D1111" s="12" t="s">
        <v>91</v>
      </c>
      <c r="E1111" s="13" t="str">
        <f>IFERROR(VLOOKUP(D1111,Sheet1!$B$1:$C$45,2,0),"")</f>
        <v>TE</v>
      </c>
      <c r="F1111" s="12" t="s">
        <v>179</v>
      </c>
      <c r="G1111" s="13" t="str">
        <f t="shared" si="4"/>
        <v>Palangkaraya</v>
      </c>
      <c r="H1111" s="15" t="str">
        <f>IFERROR(VLOOKUP(A1111,Sheet1!$E$3:$F$27,2,),"")</f>
        <v>Corrective</v>
      </c>
      <c r="I1111" s="16" t="str">
        <f>IFERROR(VLOOKUP(A1111,Sheet1!$E$3:$G$27,3,0),"")</f>
        <v>Pemadaman,MCB Trip,Transmisi problem</v>
      </c>
      <c r="J1111" s="12" t="s">
        <v>112</v>
      </c>
      <c r="K1111" s="17">
        <v>46051.0</v>
      </c>
      <c r="L1111" s="17"/>
      <c r="M1111" s="12" t="s">
        <v>137</v>
      </c>
      <c r="N1111" s="23"/>
      <c r="O1111" s="22"/>
      <c r="P1111" s="22"/>
    </row>
    <row r="1112" ht="22.5" customHeight="1">
      <c r="A1112" s="12" t="s">
        <v>5</v>
      </c>
      <c r="B1112" s="20" t="str">
        <f>IFERROR(VLOOKUP(A1112,Sheet1!$E$3:$H$27,4,0),"")</f>
        <v>P1</v>
      </c>
      <c r="C1112" s="14" t="s">
        <v>507</v>
      </c>
      <c r="D1112" s="12" t="s">
        <v>51</v>
      </c>
      <c r="E1112" s="13" t="str">
        <f>IFERROR(VLOOKUP(D1112,Sheet1!$B$1:$C$45,2,0),"")</f>
        <v>TE</v>
      </c>
      <c r="F1112" s="12" t="s">
        <v>179</v>
      </c>
      <c r="G1112" s="13" t="str">
        <f t="shared" si="4"/>
        <v>Palangkaraya</v>
      </c>
      <c r="H1112" s="15" t="str">
        <f>IFERROR(VLOOKUP(A1112,Sheet1!$E$3:$F$27,2,),"")</f>
        <v>Corrective</v>
      </c>
      <c r="I1112" s="16" t="str">
        <f>IFERROR(VLOOKUP(A1112,Sheet1!$E$3:$G$27,3,0),"")</f>
        <v>Replace Optik,RRU/Soket Power/Replace GPS</v>
      </c>
      <c r="J1112" s="12" t="s">
        <v>112</v>
      </c>
      <c r="K1112" s="17">
        <v>46051.0</v>
      </c>
      <c r="L1112" s="17"/>
      <c r="M1112" s="12" t="s">
        <v>137</v>
      </c>
      <c r="N1112" s="23"/>
      <c r="O1112" s="22"/>
      <c r="P1112" s="22"/>
    </row>
    <row r="1113" ht="22.5" customHeight="1">
      <c r="A1113" s="12" t="s">
        <v>5</v>
      </c>
      <c r="B1113" s="20" t="str">
        <f>IFERROR(VLOOKUP(A1113,Sheet1!$E$3:$H$27,4,0),"")</f>
        <v>P1</v>
      </c>
      <c r="C1113" s="14" t="s">
        <v>464</v>
      </c>
      <c r="D1113" s="12" t="s">
        <v>79</v>
      </c>
      <c r="E1113" s="13" t="str">
        <f>IFERROR(VLOOKUP(D1113,Sheet1!$B$1:$C$45,2,0),"")</f>
        <v>TE</v>
      </c>
      <c r="F1113" s="12" t="s">
        <v>179</v>
      </c>
      <c r="G1113" s="13" t="str">
        <f t="shared" si="4"/>
        <v>Palangkaraya</v>
      </c>
      <c r="H1113" s="15" t="str">
        <f>IFERROR(VLOOKUP(A1113,Sheet1!$E$3:$F$27,2,),"")</f>
        <v>Corrective</v>
      </c>
      <c r="I1113" s="16" t="str">
        <f>IFERROR(VLOOKUP(A1113,Sheet1!$E$3:$G$27,3,0),"")</f>
        <v>Replace Optik,RRU/Soket Power/Replace GPS</v>
      </c>
      <c r="J1113" s="12" t="s">
        <v>112</v>
      </c>
      <c r="K1113" s="17">
        <v>46051.0</v>
      </c>
      <c r="L1113" s="17"/>
      <c r="M1113" s="12" t="s">
        <v>137</v>
      </c>
      <c r="N1113" s="23"/>
      <c r="O1113" s="22"/>
      <c r="P1113" s="22"/>
    </row>
    <row r="1114" ht="22.5" customHeight="1">
      <c r="A1114" s="12" t="s">
        <v>65</v>
      </c>
      <c r="B1114" s="20" t="str">
        <f>IFERROR(VLOOKUP(A1114,Sheet1!$E$3:$H$27,4,0),"")</f>
        <v>P3</v>
      </c>
      <c r="C1114" s="14"/>
      <c r="D1114" s="12" t="s">
        <v>56</v>
      </c>
      <c r="E1114" s="13" t="str">
        <f>IFERROR(VLOOKUP(D1114,Sheet1!$B$1:$C$45,2,0),"")</f>
        <v>TE</v>
      </c>
      <c r="F1114" s="12" t="s">
        <v>179</v>
      </c>
      <c r="G1114" s="13" t="str">
        <f t="shared" si="4"/>
        <v>Palangkaraya</v>
      </c>
      <c r="H1114" s="15" t="str">
        <f>IFERROR(VLOOKUP(A1114,Sheet1!$E$3:$F$27,2,),"")</f>
        <v>Standby</v>
      </c>
      <c r="I1114" s="16" t="str">
        <f>IFERROR(VLOOKUP(A1114,Sheet1!$E$3:$G$27,3,0),"")</f>
        <v>Standby On Call</v>
      </c>
      <c r="J1114" s="12" t="s">
        <v>112</v>
      </c>
      <c r="K1114" s="17">
        <v>46051.0</v>
      </c>
      <c r="L1114" s="17"/>
      <c r="M1114" s="12" t="s">
        <v>137</v>
      </c>
      <c r="N1114" s="23"/>
      <c r="O1114" s="22"/>
      <c r="P1114" s="22"/>
    </row>
    <row r="1115" ht="22.5" customHeight="1">
      <c r="A1115" s="12" t="s">
        <v>65</v>
      </c>
      <c r="B1115" s="20" t="str">
        <f>IFERROR(VLOOKUP(A1115,Sheet1!$E$3:$H$27,4,0),"")</f>
        <v>P3</v>
      </c>
      <c r="C1115" s="14"/>
      <c r="D1115" s="12" t="s">
        <v>83</v>
      </c>
      <c r="E1115" s="13" t="str">
        <f>IFERROR(VLOOKUP(D1115,Sheet1!$B$1:$C$45,2,0),"")</f>
        <v>PM</v>
      </c>
      <c r="F1115" s="12" t="s">
        <v>179</v>
      </c>
      <c r="G1115" s="13" t="str">
        <f t="shared" si="4"/>
        <v>Palangkaraya</v>
      </c>
      <c r="H1115" s="15" t="str">
        <f>IFERROR(VLOOKUP(A1115,Sheet1!$E$3:$F$27,2,),"")</f>
        <v>Standby</v>
      </c>
      <c r="I1115" s="16" t="str">
        <f>IFERROR(VLOOKUP(A1115,Sheet1!$E$3:$G$27,3,0),"")</f>
        <v>Standby On Call</v>
      </c>
      <c r="J1115" s="12" t="s">
        <v>112</v>
      </c>
      <c r="K1115" s="17">
        <v>46051.0</v>
      </c>
      <c r="L1115" s="17"/>
      <c r="M1115" s="12" t="s">
        <v>137</v>
      </c>
      <c r="N1115" s="23"/>
      <c r="O1115" s="22"/>
      <c r="P1115" s="22"/>
    </row>
    <row r="1116" ht="22.5" customHeight="1">
      <c r="A1116" s="12" t="s">
        <v>65</v>
      </c>
      <c r="B1116" s="20" t="str">
        <f>IFERROR(VLOOKUP(A1116,Sheet1!$E$3:$H$27,4,0),"")</f>
        <v>P3</v>
      </c>
      <c r="C1116" s="14"/>
      <c r="D1116" s="12" t="s">
        <v>82</v>
      </c>
      <c r="E1116" s="13" t="str">
        <f>IFERROR(VLOOKUP(D1116,Sheet1!$B$1:$C$45,2,0),"")</f>
        <v>PM</v>
      </c>
      <c r="F1116" s="12" t="s">
        <v>179</v>
      </c>
      <c r="G1116" s="13" t="str">
        <f t="shared" si="4"/>
        <v>Palangkaraya</v>
      </c>
      <c r="H1116" s="15" t="str">
        <f>IFERROR(VLOOKUP(A1116,Sheet1!$E$3:$F$27,2,),"")</f>
        <v>Standby</v>
      </c>
      <c r="I1116" s="16" t="str">
        <f>IFERROR(VLOOKUP(A1116,Sheet1!$E$3:$G$27,3,0),"")</f>
        <v>Standby On Call</v>
      </c>
      <c r="J1116" s="12" t="s">
        <v>112</v>
      </c>
      <c r="K1116" s="17">
        <v>46051.0</v>
      </c>
      <c r="L1116" s="17"/>
      <c r="M1116" s="12" t="s">
        <v>137</v>
      </c>
      <c r="N1116" s="23"/>
      <c r="O1116" s="22"/>
      <c r="P1116" s="22"/>
    </row>
    <row r="1117" ht="22.5" customHeight="1">
      <c r="A1117" s="12" t="s">
        <v>65</v>
      </c>
      <c r="B1117" s="20" t="str">
        <f>IFERROR(VLOOKUP(A1117,Sheet1!$E$3:$H$27,4,0),"")</f>
        <v>P3</v>
      </c>
      <c r="C1117" s="14"/>
      <c r="D1117" s="12" t="s">
        <v>75</v>
      </c>
      <c r="E1117" s="13" t="str">
        <f>IFERROR(VLOOKUP(D1117,Sheet1!$B$1:$C$45,2,0),"")</f>
        <v>CME</v>
      </c>
      <c r="F1117" s="12" t="s">
        <v>179</v>
      </c>
      <c r="G1117" s="13" t="str">
        <f t="shared" si="4"/>
        <v>Palangkaraya</v>
      </c>
      <c r="H1117" s="15" t="str">
        <f>IFERROR(VLOOKUP(A1117,Sheet1!$E$3:$F$27,2,),"")</f>
        <v>Standby</v>
      </c>
      <c r="I1117" s="16" t="str">
        <f>IFERROR(VLOOKUP(A1117,Sheet1!$E$3:$G$27,3,0),"")</f>
        <v>Standby On Call</v>
      </c>
      <c r="J1117" s="12" t="s">
        <v>112</v>
      </c>
      <c r="K1117" s="17">
        <v>46051.0</v>
      </c>
      <c r="L1117" s="17"/>
      <c r="M1117" s="12" t="s">
        <v>137</v>
      </c>
      <c r="N1117" s="23"/>
      <c r="O1117" s="22"/>
      <c r="P1117" s="22"/>
    </row>
    <row r="1118" ht="22.5" customHeight="1">
      <c r="A1118" s="12" t="s">
        <v>65</v>
      </c>
      <c r="B1118" s="20" t="str">
        <f>IFERROR(VLOOKUP(A1118,Sheet1!$E$3:$H$27,4,0),"")</f>
        <v>P3</v>
      </c>
      <c r="C1118" s="14"/>
      <c r="D1118" s="12" t="s">
        <v>54</v>
      </c>
      <c r="E1118" s="13" t="str">
        <f>IFERROR(VLOOKUP(D1118,Sheet1!$B$1:$C$45,2,0),"")</f>
        <v>MBP</v>
      </c>
      <c r="F1118" s="12" t="s">
        <v>179</v>
      </c>
      <c r="G1118" s="13" t="str">
        <f t="shared" si="4"/>
        <v>Palangkaraya</v>
      </c>
      <c r="H1118" s="15" t="str">
        <f>IFERROR(VLOOKUP(A1118,Sheet1!$E$3:$F$27,2,),"")</f>
        <v>Standby</v>
      </c>
      <c r="I1118" s="16" t="str">
        <f>IFERROR(VLOOKUP(A1118,Sheet1!$E$3:$G$27,3,0),"")</f>
        <v>Standby On Call</v>
      </c>
      <c r="J1118" s="12" t="s">
        <v>112</v>
      </c>
      <c r="K1118" s="17">
        <v>46051.0</v>
      </c>
      <c r="L1118" s="17"/>
      <c r="M1118" s="12" t="s">
        <v>137</v>
      </c>
      <c r="N1118" s="23"/>
      <c r="O1118" s="22"/>
      <c r="P1118" s="22"/>
    </row>
    <row r="1119" ht="22.5" customHeight="1">
      <c r="A1119" s="12" t="s">
        <v>65</v>
      </c>
      <c r="B1119" s="20" t="str">
        <f>IFERROR(VLOOKUP(A1119,Sheet1!$E$3:$H$27,4,0),"")</f>
        <v>P3</v>
      </c>
      <c r="C1119" s="14"/>
      <c r="D1119" s="12" t="s">
        <v>45</v>
      </c>
      <c r="E1119" s="13" t="str">
        <f>IFERROR(VLOOKUP(D1119,Sheet1!$B$1:$C$45,2,0),"")</f>
        <v>MBP</v>
      </c>
      <c r="F1119" s="12" t="s">
        <v>179</v>
      </c>
      <c r="G1119" s="13" t="str">
        <f t="shared" si="4"/>
        <v>Palangkaraya</v>
      </c>
      <c r="H1119" s="15" t="str">
        <f>IFERROR(VLOOKUP(A1119,Sheet1!$E$3:$F$27,2,),"")</f>
        <v>Standby</v>
      </c>
      <c r="I1119" s="16" t="str">
        <f>IFERROR(VLOOKUP(A1119,Sheet1!$E$3:$G$27,3,0),"")</f>
        <v>Standby On Call</v>
      </c>
      <c r="J1119" s="12" t="s">
        <v>112</v>
      </c>
      <c r="K1119" s="17">
        <v>46051.0</v>
      </c>
      <c r="L1119" s="17"/>
      <c r="M1119" s="12" t="s">
        <v>137</v>
      </c>
      <c r="N1119" s="23"/>
      <c r="O1119" s="22"/>
      <c r="P1119" s="22"/>
    </row>
    <row r="1120" ht="22.5" customHeight="1">
      <c r="A1120" s="12" t="s">
        <v>52</v>
      </c>
      <c r="B1120" s="20" t="str">
        <f>IFERROR(VLOOKUP(A1120,Sheet1!$E$3:$H$27,4,0),"")</f>
        <v>P1</v>
      </c>
      <c r="C1120" s="14" t="s">
        <v>273</v>
      </c>
      <c r="D1120" s="12" t="s">
        <v>12</v>
      </c>
      <c r="E1120" s="13" t="str">
        <f>IFERROR(VLOOKUP(D1120,Sheet1!$B$1:$C$45,2,0),"")</f>
        <v>TE</v>
      </c>
      <c r="F1120" s="12" t="s">
        <v>108</v>
      </c>
      <c r="G1120" s="13" t="str">
        <f t="shared" si="4"/>
        <v>Barito Raya</v>
      </c>
      <c r="H1120" s="15" t="str">
        <f>IFERROR(VLOOKUP(A1120,Sheet1!$E$3:$F$27,2,),"")</f>
        <v>Preventive</v>
      </c>
      <c r="I1120" s="16" t="str">
        <f>IFERROR(VLOOKUP(A1120,Sheet1!$E$3:$G$27,3,0),"")</f>
        <v>MCB trip/Power upnormal</v>
      </c>
      <c r="J1120" s="12" t="s">
        <v>112</v>
      </c>
      <c r="K1120" s="17">
        <v>46052.0</v>
      </c>
      <c r="L1120" s="17">
        <v>46052.0</v>
      </c>
      <c r="M1120" s="12" t="s">
        <v>109</v>
      </c>
      <c r="N1120" s="18" t="s">
        <v>508</v>
      </c>
      <c r="O1120" s="19"/>
      <c r="P1120" s="19"/>
    </row>
    <row r="1121" ht="22.5" customHeight="1">
      <c r="A1121" s="12" t="s">
        <v>52</v>
      </c>
      <c r="B1121" s="20" t="str">
        <f>IFERROR(VLOOKUP(A1121,Sheet1!$E$3:$H$27,4,0),"")</f>
        <v>P1</v>
      </c>
      <c r="C1121" s="14" t="s">
        <v>399</v>
      </c>
      <c r="D1121" s="12" t="s">
        <v>16</v>
      </c>
      <c r="E1121" s="13" t="str">
        <f>IFERROR(VLOOKUP(D1121,Sheet1!$B$1:$C$45,2,0),"")</f>
        <v>TE</v>
      </c>
      <c r="F1121" s="12" t="s">
        <v>108</v>
      </c>
      <c r="G1121" s="13" t="str">
        <f t="shared" si="4"/>
        <v>Barito Raya</v>
      </c>
      <c r="H1121" s="15" t="str">
        <f>IFERROR(VLOOKUP(A1121,Sheet1!$E$3:$F$27,2,),"")</f>
        <v>Preventive</v>
      </c>
      <c r="I1121" s="16" t="str">
        <f>IFERROR(VLOOKUP(A1121,Sheet1!$E$3:$G$27,3,0),"")</f>
        <v>MCB trip/Power upnormal</v>
      </c>
      <c r="J1121" s="12" t="s">
        <v>112</v>
      </c>
      <c r="K1121" s="17">
        <v>46052.0</v>
      </c>
      <c r="L1121" s="17">
        <v>46052.0</v>
      </c>
      <c r="M1121" s="12" t="s">
        <v>109</v>
      </c>
      <c r="N1121" s="23"/>
      <c r="O1121" s="22"/>
      <c r="P1121" s="22"/>
    </row>
    <row r="1122" ht="22.5" customHeight="1">
      <c r="A1122" s="12" t="s">
        <v>52</v>
      </c>
      <c r="B1122" s="20" t="str">
        <f>IFERROR(VLOOKUP(A1122,Sheet1!$E$3:$H$27,4,0),"")</f>
        <v>P1</v>
      </c>
      <c r="C1122" s="14" t="s">
        <v>509</v>
      </c>
      <c r="D1122" s="12" t="s">
        <v>21</v>
      </c>
      <c r="E1122" s="13" t="str">
        <f>IFERROR(VLOOKUP(D1122,Sheet1!$B$1:$C$45,2,0),"")</f>
        <v>TE</v>
      </c>
      <c r="F1122" s="12" t="s">
        <v>108</v>
      </c>
      <c r="G1122" s="13" t="str">
        <f t="shared" si="4"/>
        <v>Barito Raya</v>
      </c>
      <c r="H1122" s="15" t="str">
        <f>IFERROR(VLOOKUP(A1122,Sheet1!$E$3:$F$27,2,),"")</f>
        <v>Preventive</v>
      </c>
      <c r="I1122" s="16" t="str">
        <f>IFERROR(VLOOKUP(A1122,Sheet1!$E$3:$G$27,3,0),"")</f>
        <v>MCB trip/Power upnormal</v>
      </c>
      <c r="J1122" s="12" t="s">
        <v>112</v>
      </c>
      <c r="K1122" s="17">
        <v>46052.0</v>
      </c>
      <c r="L1122" s="17">
        <v>46052.0</v>
      </c>
      <c r="M1122" s="12" t="s">
        <v>109</v>
      </c>
      <c r="N1122" s="23"/>
      <c r="O1122" s="22"/>
      <c r="P1122" s="22"/>
    </row>
    <row r="1123" ht="22.5" customHeight="1">
      <c r="A1123" s="12" t="s">
        <v>70</v>
      </c>
      <c r="B1123" s="20" t="str">
        <f>IFERROR(VLOOKUP(A1123,Sheet1!$E$3:$H$27,4,0),"")</f>
        <v>P3</v>
      </c>
      <c r="C1123" s="15"/>
      <c r="D1123" s="12" t="s">
        <v>26</v>
      </c>
      <c r="E1123" s="13" t="str">
        <f>IFERROR(VLOOKUP(D1123,Sheet1!$B$1:$C$45,2,0),"")</f>
        <v>TE</v>
      </c>
      <c r="F1123" s="12" t="s">
        <v>108</v>
      </c>
      <c r="G1123" s="13" t="str">
        <f t="shared" si="4"/>
        <v>Barito Raya</v>
      </c>
      <c r="H1123" s="15" t="str">
        <f>IFERROR(VLOOKUP(A1123,Sheet1!$E$3:$F$27,2,),"")</f>
        <v>Sick</v>
      </c>
      <c r="I1123" s="16" t="str">
        <f>IFERROR(VLOOKUP(A1123,Sheet1!$E$3:$G$27,3,0),"")</f>
        <v>Sick</v>
      </c>
      <c r="J1123" s="20"/>
      <c r="K1123" s="17">
        <v>46052.0</v>
      </c>
      <c r="L1123" s="17">
        <v>46052.0</v>
      </c>
      <c r="M1123" s="13"/>
      <c r="N1123" s="23"/>
      <c r="O1123" s="22"/>
      <c r="P1123" s="22"/>
    </row>
    <row r="1124" ht="22.5" customHeight="1">
      <c r="A1124" s="12" t="s">
        <v>65</v>
      </c>
      <c r="B1124" s="20" t="str">
        <f>IFERROR(VLOOKUP(A1124,Sheet1!$E$3:$H$27,4,0),"")</f>
        <v>P3</v>
      </c>
      <c r="C1124" s="15"/>
      <c r="D1124" s="12" t="s">
        <v>88</v>
      </c>
      <c r="E1124" s="13" t="str">
        <f>IFERROR(VLOOKUP(D1124,Sheet1!$B$1:$C$45,2,0),"")</f>
        <v>TE</v>
      </c>
      <c r="F1124" s="12" t="s">
        <v>108</v>
      </c>
      <c r="G1124" s="13" t="str">
        <f t="shared" si="4"/>
        <v>Barito Raya</v>
      </c>
      <c r="H1124" s="15" t="str">
        <f>IFERROR(VLOOKUP(A1124,Sheet1!$E$3:$F$27,2,),"")</f>
        <v>Standby</v>
      </c>
      <c r="I1124" s="16" t="str">
        <f>IFERROR(VLOOKUP(A1124,Sheet1!$E$3:$G$27,3,0),"")</f>
        <v>Standby On Call</v>
      </c>
      <c r="J1124" s="20"/>
      <c r="K1124" s="17">
        <v>46052.0</v>
      </c>
      <c r="L1124" s="17">
        <v>46052.0</v>
      </c>
      <c r="M1124" s="13"/>
      <c r="N1124" s="23"/>
      <c r="O1124" s="22"/>
      <c r="P1124" s="22"/>
    </row>
    <row r="1125" ht="22.5" customHeight="1">
      <c r="A1125" s="20"/>
      <c r="B1125" s="20" t="str">
        <f>IFERROR(VLOOKUP(A1125,Sheet1!$E$3:$H$27,4,0),"")</f>
        <v/>
      </c>
      <c r="C1125" s="14" t="s">
        <v>510</v>
      </c>
      <c r="D1125" s="12" t="s">
        <v>32</v>
      </c>
      <c r="E1125" s="13" t="str">
        <f>IFERROR(VLOOKUP(D1125,Sheet1!$B$1:$C$45,2,0),"")</f>
        <v>TE</v>
      </c>
      <c r="F1125" s="12" t="s">
        <v>108</v>
      </c>
      <c r="G1125" s="13" t="str">
        <f t="shared" si="4"/>
        <v>Barito Raya</v>
      </c>
      <c r="H1125" s="15" t="str">
        <f>IFERROR(VLOOKUP(A1125,Sheet1!$E$3:$F$27,2,),"")</f>
        <v/>
      </c>
      <c r="I1125" s="16" t="str">
        <f>IFERROR(VLOOKUP(A1125,Sheet1!$E$3:$G$27,3,0),"")</f>
        <v/>
      </c>
      <c r="J1125" s="20"/>
      <c r="K1125" s="17">
        <v>46052.0</v>
      </c>
      <c r="L1125" s="17">
        <v>46052.0</v>
      </c>
      <c r="M1125" s="13"/>
      <c r="N1125" s="23"/>
      <c r="O1125" s="22"/>
      <c r="P1125" s="22"/>
    </row>
    <row r="1126" ht="22.5" customHeight="1">
      <c r="A1126" s="20"/>
      <c r="B1126" s="20" t="str">
        <f>IFERROR(VLOOKUP(A1126,Sheet1!$E$3:$H$27,4,0),"")</f>
        <v/>
      </c>
      <c r="C1126" s="14" t="s">
        <v>510</v>
      </c>
      <c r="D1126" s="12" t="s">
        <v>74</v>
      </c>
      <c r="E1126" s="13" t="str">
        <f>IFERROR(VLOOKUP(D1126,Sheet1!$B$1:$C$45,2,0),"")</f>
        <v>TE</v>
      </c>
      <c r="F1126" s="12" t="s">
        <v>108</v>
      </c>
      <c r="G1126" s="13" t="str">
        <f t="shared" si="4"/>
        <v>Barito Raya</v>
      </c>
      <c r="H1126" s="15" t="str">
        <f>IFERROR(VLOOKUP(A1126,Sheet1!$E$3:$F$27,2,),"")</f>
        <v/>
      </c>
      <c r="I1126" s="16" t="str">
        <f>IFERROR(VLOOKUP(A1126,Sheet1!$E$3:$G$27,3,0),"")</f>
        <v/>
      </c>
      <c r="J1126" s="20"/>
      <c r="K1126" s="17">
        <v>46052.0</v>
      </c>
      <c r="L1126" s="17">
        <v>46052.0</v>
      </c>
      <c r="M1126" s="13"/>
      <c r="N1126" s="23"/>
      <c r="O1126" s="22"/>
      <c r="P1126" s="22"/>
    </row>
    <row r="1127" ht="22.5" customHeight="1">
      <c r="A1127" s="12" t="s">
        <v>22</v>
      </c>
      <c r="B1127" s="20" t="str">
        <f>IFERROR(VLOOKUP(A1127,Sheet1!$E$3:$H$27,4,0),"")</f>
        <v>P2</v>
      </c>
      <c r="C1127" s="14" t="s">
        <v>423</v>
      </c>
      <c r="D1127" s="12" t="s">
        <v>60</v>
      </c>
      <c r="E1127" s="13" t="str">
        <f>IFERROR(VLOOKUP(D1127,Sheet1!$B$1:$C$45,2,0),"")</f>
        <v>TE</v>
      </c>
      <c r="F1127" s="12" t="s">
        <v>108</v>
      </c>
      <c r="G1127" s="13" t="str">
        <f t="shared" si="4"/>
        <v>Barito Raya</v>
      </c>
      <c r="H1127" s="15" t="str">
        <f>IFERROR(VLOOKUP(A1127,Sheet1!$E$3:$F$27,2,),"")</f>
        <v>Preventive</v>
      </c>
      <c r="I1127" s="16" t="str">
        <f>IFERROR(VLOOKUP(A1127,Sheet1!$E$3:$G$27,3,0),"")</f>
        <v>Preventive Maintenance</v>
      </c>
      <c r="J1127" s="12" t="s">
        <v>112</v>
      </c>
      <c r="K1127" s="17">
        <v>46052.0</v>
      </c>
      <c r="L1127" s="17">
        <v>46052.0</v>
      </c>
      <c r="M1127" s="12" t="s">
        <v>109</v>
      </c>
      <c r="N1127" s="23"/>
      <c r="O1127" s="22"/>
      <c r="P1127" s="22"/>
    </row>
    <row r="1128" ht="22.5" customHeight="1">
      <c r="A1128" s="12" t="s">
        <v>52</v>
      </c>
      <c r="B1128" s="20" t="str">
        <f>IFERROR(VLOOKUP(A1128,Sheet1!$E$3:$H$27,4,0),"")</f>
        <v>P1</v>
      </c>
      <c r="C1128" s="14" t="s">
        <v>460</v>
      </c>
      <c r="D1128" s="12" t="s">
        <v>62</v>
      </c>
      <c r="E1128" s="13" t="str">
        <f>IFERROR(VLOOKUP(D1128,Sheet1!$B$1:$C$45,2,0),"")</f>
        <v>TE</v>
      </c>
      <c r="F1128" s="12" t="s">
        <v>108</v>
      </c>
      <c r="G1128" s="13" t="str">
        <f t="shared" si="4"/>
        <v>Barito Raya</v>
      </c>
      <c r="H1128" s="15" t="str">
        <f>IFERROR(VLOOKUP(A1128,Sheet1!$E$3:$F$27,2,),"")</f>
        <v>Preventive</v>
      </c>
      <c r="I1128" s="16" t="str">
        <f>IFERROR(VLOOKUP(A1128,Sheet1!$E$3:$G$27,3,0),"")</f>
        <v>MCB trip/Power upnormal</v>
      </c>
      <c r="J1128" s="12" t="s">
        <v>112</v>
      </c>
      <c r="K1128" s="17">
        <v>46052.0</v>
      </c>
      <c r="L1128" s="17">
        <v>46052.0</v>
      </c>
      <c r="M1128" s="12" t="s">
        <v>109</v>
      </c>
      <c r="N1128" s="23"/>
      <c r="O1128" s="22"/>
      <c r="P1128" s="22"/>
    </row>
    <row r="1129" ht="22.5" customHeight="1">
      <c r="A1129" s="12" t="s">
        <v>65</v>
      </c>
      <c r="B1129" s="20" t="str">
        <f>IFERROR(VLOOKUP(A1129,Sheet1!$E$3:$H$27,4,0),"")</f>
        <v>P3</v>
      </c>
      <c r="C1129" s="15"/>
      <c r="D1129" s="12" t="s">
        <v>9</v>
      </c>
      <c r="E1129" s="13" t="str">
        <f>IFERROR(VLOOKUP(D1129,Sheet1!$B$1:$C$45,2,0),"")</f>
        <v>MBP</v>
      </c>
      <c r="F1129" s="12" t="s">
        <v>108</v>
      </c>
      <c r="G1129" s="13" t="str">
        <f t="shared" si="4"/>
        <v>Barito Raya</v>
      </c>
      <c r="H1129" s="15" t="str">
        <f>IFERROR(VLOOKUP(A1129,Sheet1!$E$3:$F$27,2,),"")</f>
        <v>Standby</v>
      </c>
      <c r="I1129" s="16" t="str">
        <f>IFERROR(VLOOKUP(A1129,Sheet1!$E$3:$G$27,3,0),"")</f>
        <v>Standby On Call</v>
      </c>
      <c r="J1129" s="20"/>
      <c r="K1129" s="17">
        <v>46052.0</v>
      </c>
      <c r="L1129" s="17">
        <v>46052.0</v>
      </c>
      <c r="M1129" s="13"/>
      <c r="N1129" s="23"/>
      <c r="O1129" s="22"/>
      <c r="P1129" s="22"/>
    </row>
    <row r="1130" ht="22.5" customHeight="1">
      <c r="A1130" s="12" t="s">
        <v>65</v>
      </c>
      <c r="B1130" s="20" t="str">
        <f>IFERROR(VLOOKUP(A1130,Sheet1!$E$3:$H$27,4,0),"")</f>
        <v>P3</v>
      </c>
      <c r="C1130" s="15"/>
      <c r="D1130" s="12" t="s">
        <v>4</v>
      </c>
      <c r="E1130" s="13" t="str">
        <f>IFERROR(VLOOKUP(D1130,Sheet1!$B$1:$C$45,2,0),"")</f>
        <v>CME</v>
      </c>
      <c r="F1130" s="12" t="s">
        <v>108</v>
      </c>
      <c r="G1130" s="13" t="str">
        <f t="shared" si="4"/>
        <v>Barito Raya</v>
      </c>
      <c r="H1130" s="15" t="str">
        <f>IFERROR(VLOOKUP(A1130,Sheet1!$E$3:$F$27,2,),"")</f>
        <v>Standby</v>
      </c>
      <c r="I1130" s="16" t="str">
        <f>IFERROR(VLOOKUP(A1130,Sheet1!$E$3:$G$27,3,0),"")</f>
        <v>Standby On Call</v>
      </c>
      <c r="J1130" s="20"/>
      <c r="K1130" s="17">
        <v>46052.0</v>
      </c>
      <c r="L1130" s="17">
        <v>46052.0</v>
      </c>
      <c r="M1130" s="13"/>
      <c r="N1130" s="23"/>
      <c r="O1130" s="22"/>
      <c r="P1130" s="22"/>
    </row>
    <row r="1131" ht="22.5" customHeight="1">
      <c r="A1131" s="12" t="s">
        <v>65</v>
      </c>
      <c r="B1131" s="20" t="str">
        <f>IFERROR(VLOOKUP(A1131,Sheet1!$E$3:$H$27,4,0),"")</f>
        <v>P3</v>
      </c>
      <c r="C1131" s="15"/>
      <c r="D1131" s="12" t="s">
        <v>87</v>
      </c>
      <c r="E1131" s="13" t="str">
        <f>IFERROR(VLOOKUP(D1131,Sheet1!$B$1:$C$45,2,0),"")</f>
        <v>MBP</v>
      </c>
      <c r="F1131" s="12" t="s">
        <v>108</v>
      </c>
      <c r="G1131" s="13" t="str">
        <f t="shared" si="4"/>
        <v>Barito Raya</v>
      </c>
      <c r="H1131" s="15" t="str">
        <f>IFERROR(VLOOKUP(A1131,Sheet1!$E$3:$F$27,2,),"")</f>
        <v>Standby</v>
      </c>
      <c r="I1131" s="16" t="str">
        <f>IFERROR(VLOOKUP(A1131,Sheet1!$E$3:$G$27,3,0),"")</f>
        <v>Standby On Call</v>
      </c>
      <c r="J1131" s="20"/>
      <c r="K1131" s="17">
        <v>46052.0</v>
      </c>
      <c r="L1131" s="17">
        <v>46052.0</v>
      </c>
      <c r="M1131" s="13"/>
      <c r="N1131" s="23"/>
      <c r="O1131" s="22"/>
      <c r="P1131" s="22"/>
    </row>
    <row r="1132" ht="22.5" customHeight="1">
      <c r="A1132" s="12" t="s">
        <v>65</v>
      </c>
      <c r="B1132" s="20" t="str">
        <f>IFERROR(VLOOKUP(A1132,Sheet1!$E$3:$H$27,4,0),"")</f>
        <v>P3</v>
      </c>
      <c r="C1132" s="15"/>
      <c r="D1132" s="12" t="s">
        <v>29</v>
      </c>
      <c r="E1132" s="13" t="str">
        <f>IFERROR(VLOOKUP(D1132,Sheet1!$B$1:$C$45,2,0),"")</f>
        <v>MBP</v>
      </c>
      <c r="F1132" s="12" t="s">
        <v>108</v>
      </c>
      <c r="G1132" s="13" t="str">
        <f t="shared" si="4"/>
        <v>Barito Raya</v>
      </c>
      <c r="H1132" s="15" t="str">
        <f>IFERROR(VLOOKUP(A1132,Sheet1!$E$3:$F$27,2,),"")</f>
        <v>Standby</v>
      </c>
      <c r="I1132" s="16" t="str">
        <f>IFERROR(VLOOKUP(A1132,Sheet1!$E$3:$G$27,3,0),"")</f>
        <v>Standby On Call</v>
      </c>
      <c r="J1132" s="20"/>
      <c r="K1132" s="17">
        <v>46052.0</v>
      </c>
      <c r="L1132" s="17">
        <v>46052.0</v>
      </c>
      <c r="M1132" s="13"/>
      <c r="N1132" s="23"/>
      <c r="O1132" s="22"/>
      <c r="P1132" s="22"/>
    </row>
    <row r="1133" ht="22.5" customHeight="1">
      <c r="A1133" s="12" t="s">
        <v>65</v>
      </c>
      <c r="B1133" s="20" t="str">
        <f>IFERROR(VLOOKUP(A1133,Sheet1!$E$3:$H$27,4,0),"")</f>
        <v>P3</v>
      </c>
      <c r="C1133" s="15"/>
      <c r="D1133" s="12" t="s">
        <v>2</v>
      </c>
      <c r="E1133" s="13" t="str">
        <f>IFERROR(VLOOKUP(D1133,Sheet1!$B$1:$C$45,2,0),"")</f>
        <v>CME</v>
      </c>
      <c r="F1133" s="12" t="s">
        <v>108</v>
      </c>
      <c r="G1133" s="13" t="str">
        <f t="shared" si="4"/>
        <v>Barito Raya</v>
      </c>
      <c r="H1133" s="15" t="str">
        <f>IFERROR(VLOOKUP(A1133,Sheet1!$E$3:$F$27,2,),"")</f>
        <v>Standby</v>
      </c>
      <c r="I1133" s="16" t="str">
        <f>IFERROR(VLOOKUP(A1133,Sheet1!$E$3:$G$27,3,0),"")</f>
        <v>Standby On Call</v>
      </c>
      <c r="J1133" s="20"/>
      <c r="K1133" s="17">
        <v>46052.0</v>
      </c>
      <c r="L1133" s="17">
        <v>46052.0</v>
      </c>
      <c r="M1133" s="13"/>
      <c r="N1133" s="23"/>
      <c r="O1133" s="22"/>
      <c r="P1133" s="22"/>
    </row>
    <row r="1134" ht="22.5" customHeight="1">
      <c r="A1134" s="12" t="s">
        <v>65</v>
      </c>
      <c r="B1134" s="20" t="str">
        <f>IFERROR(VLOOKUP(A1134,Sheet1!$E$3:$H$27,4,0),"")</f>
        <v>P3</v>
      </c>
      <c r="C1134" s="15"/>
      <c r="D1134" s="12" t="s">
        <v>0</v>
      </c>
      <c r="E1134" s="13" t="str">
        <f>IFERROR(VLOOKUP(D1134,Sheet1!$B$1:$C$45,2,0),"")</f>
        <v>MBP</v>
      </c>
      <c r="F1134" s="12" t="s">
        <v>108</v>
      </c>
      <c r="G1134" s="13" t="str">
        <f t="shared" si="4"/>
        <v>Barito Raya</v>
      </c>
      <c r="H1134" s="15" t="str">
        <f>IFERROR(VLOOKUP(A1134,Sheet1!$E$3:$F$27,2,),"")</f>
        <v>Standby</v>
      </c>
      <c r="I1134" s="16" t="str">
        <f>IFERROR(VLOOKUP(A1134,Sheet1!$E$3:$G$27,3,0),"")</f>
        <v>Standby On Call</v>
      </c>
      <c r="J1134" s="20"/>
      <c r="K1134" s="17">
        <v>46052.0</v>
      </c>
      <c r="L1134" s="17">
        <v>46052.0</v>
      </c>
      <c r="M1134" s="13"/>
      <c r="N1134" s="23"/>
      <c r="O1134" s="22"/>
      <c r="P1134" s="22"/>
    </row>
    <row r="1135" ht="22.5" customHeight="1">
      <c r="A1135" s="12" t="s">
        <v>22</v>
      </c>
      <c r="B1135" s="20" t="str">
        <f>IFERROR(VLOOKUP(A1135,Sheet1!$E$3:$H$27,4,0),"")</f>
        <v>P2</v>
      </c>
      <c r="C1135" s="14" t="s">
        <v>480</v>
      </c>
      <c r="D1135" s="12" t="s">
        <v>85</v>
      </c>
      <c r="E1135" s="13" t="str">
        <f>IFERROR(VLOOKUP(D1135,Sheet1!$B$1:$C$45,2,0),"")</f>
        <v>PM</v>
      </c>
      <c r="F1135" s="12" t="s">
        <v>108</v>
      </c>
      <c r="G1135" s="13" t="str">
        <f t="shared" si="4"/>
        <v>Barito Raya</v>
      </c>
      <c r="H1135" s="15" t="str">
        <f>IFERROR(VLOOKUP(A1135,Sheet1!$E$3:$F$27,2,),"")</f>
        <v>Preventive</v>
      </c>
      <c r="I1135" s="16" t="str">
        <f>IFERROR(VLOOKUP(A1135,Sheet1!$E$3:$G$27,3,0),"")</f>
        <v>Preventive Maintenance</v>
      </c>
      <c r="J1135" s="12" t="s">
        <v>112</v>
      </c>
      <c r="K1135" s="17">
        <v>46052.0</v>
      </c>
      <c r="L1135" s="17">
        <v>46052.0</v>
      </c>
      <c r="M1135" s="12" t="s">
        <v>109</v>
      </c>
      <c r="N1135" s="23"/>
      <c r="O1135" s="22"/>
      <c r="P1135" s="22"/>
    </row>
    <row r="1136" ht="22.5" customHeight="1">
      <c r="A1136" s="12" t="s">
        <v>22</v>
      </c>
      <c r="B1136" s="20" t="str">
        <f>IFERROR(VLOOKUP(A1136,Sheet1!$E$3:$H$27,4,0),"")</f>
        <v>P2</v>
      </c>
      <c r="C1136" s="14" t="s">
        <v>480</v>
      </c>
      <c r="D1136" s="12" t="s">
        <v>84</v>
      </c>
      <c r="E1136" s="13" t="str">
        <f>IFERROR(VLOOKUP(D1136,Sheet1!$B$1:$C$45,2,0),"")</f>
        <v>MBP</v>
      </c>
      <c r="F1136" s="12" t="s">
        <v>108</v>
      </c>
      <c r="G1136" s="13" t="str">
        <f t="shared" si="4"/>
        <v>Barito Raya</v>
      </c>
      <c r="H1136" s="15" t="str">
        <f>IFERROR(VLOOKUP(A1136,Sheet1!$E$3:$F$27,2,),"")</f>
        <v>Preventive</v>
      </c>
      <c r="I1136" s="16" t="str">
        <f>IFERROR(VLOOKUP(A1136,Sheet1!$E$3:$G$27,3,0),"")</f>
        <v>Preventive Maintenance</v>
      </c>
      <c r="J1136" s="12" t="s">
        <v>112</v>
      </c>
      <c r="K1136" s="17">
        <v>46052.0</v>
      </c>
      <c r="L1136" s="17">
        <v>46052.0</v>
      </c>
      <c r="M1136" s="12" t="s">
        <v>109</v>
      </c>
      <c r="N1136" s="23"/>
      <c r="O1136" s="22"/>
      <c r="P1136" s="22"/>
    </row>
    <row r="1137" ht="22.5" customHeight="1">
      <c r="A1137" s="12" t="s">
        <v>22</v>
      </c>
      <c r="B1137" s="20" t="str">
        <f>IFERROR(VLOOKUP(A1137,Sheet1!$E$3:$H$27,4,0),"")</f>
        <v>P2</v>
      </c>
      <c r="C1137" s="14" t="s">
        <v>115</v>
      </c>
      <c r="D1137" s="12" t="s">
        <v>86</v>
      </c>
      <c r="E1137" s="13" t="str">
        <f>IFERROR(VLOOKUP(D1137,Sheet1!$B$1:$C$45,2,0),"")</f>
        <v>PM</v>
      </c>
      <c r="F1137" s="12" t="s">
        <v>108</v>
      </c>
      <c r="G1137" s="13" t="str">
        <f t="shared" si="4"/>
        <v>Barito Raya</v>
      </c>
      <c r="H1137" s="15" t="str">
        <f>IFERROR(VLOOKUP(A1137,Sheet1!$E$3:$F$27,2,),"")</f>
        <v>Preventive</v>
      </c>
      <c r="I1137" s="16" t="str">
        <f>IFERROR(VLOOKUP(A1137,Sheet1!$E$3:$G$27,3,0),"")</f>
        <v>Preventive Maintenance</v>
      </c>
      <c r="J1137" s="12" t="s">
        <v>112</v>
      </c>
      <c r="K1137" s="17">
        <v>46052.0</v>
      </c>
      <c r="L1137" s="17">
        <v>46052.0</v>
      </c>
      <c r="M1137" s="12" t="s">
        <v>109</v>
      </c>
      <c r="N1137" s="23"/>
      <c r="O1137" s="22"/>
      <c r="P1137" s="22"/>
    </row>
    <row r="1138" ht="22.5" customHeight="1">
      <c r="A1138" s="12" t="s">
        <v>65</v>
      </c>
      <c r="B1138" s="20" t="str">
        <f>IFERROR(VLOOKUP(A1138,Sheet1!$E$3:$H$27,4,0),"")</f>
        <v>P3</v>
      </c>
      <c r="C1138" s="15"/>
      <c r="D1138" s="12" t="s">
        <v>12</v>
      </c>
      <c r="E1138" s="13" t="str">
        <f>IFERROR(VLOOKUP(D1138,Sheet1!$B$1:$C$45,2,0),"")</f>
        <v>TE</v>
      </c>
      <c r="F1138" s="20"/>
      <c r="G1138" s="13" t="str">
        <f t="shared" si="4"/>
        <v/>
      </c>
      <c r="H1138" s="15" t="str">
        <f>IFERROR(VLOOKUP(A1138,Sheet1!$E$3:$F$27,2,),"")</f>
        <v>Standby</v>
      </c>
      <c r="I1138" s="16" t="str">
        <f>IFERROR(VLOOKUP(A1138,Sheet1!$E$3:$G$27,3,0),"")</f>
        <v>Standby On Call</v>
      </c>
      <c r="J1138" s="20"/>
      <c r="K1138" s="17">
        <v>46055.0</v>
      </c>
      <c r="L1138" s="17">
        <v>46055.0</v>
      </c>
      <c r="M1138" s="13"/>
      <c r="N1138" s="23"/>
      <c r="O1138" s="22"/>
      <c r="P1138" s="22"/>
    </row>
    <row r="1139" ht="22.5" customHeight="1">
      <c r="A1139" s="12" t="s">
        <v>52</v>
      </c>
      <c r="B1139" s="20" t="str">
        <f>IFERROR(VLOOKUP(A1139,Sheet1!$E$3:$H$27,4,0),"")</f>
        <v>P1</v>
      </c>
      <c r="C1139" s="14" t="s">
        <v>511</v>
      </c>
      <c r="D1139" s="12" t="s">
        <v>16</v>
      </c>
      <c r="E1139" s="13" t="str">
        <f>IFERROR(VLOOKUP(D1139,Sheet1!$B$1:$C$45,2,0),"")</f>
        <v>TE</v>
      </c>
      <c r="F1139" s="12" t="s">
        <v>108</v>
      </c>
      <c r="G1139" s="12" t="s">
        <v>155</v>
      </c>
      <c r="H1139" s="15" t="str">
        <f>IFERROR(VLOOKUP(A1139,Sheet1!$E$3:$F$27,2,),"")</f>
        <v>Preventive</v>
      </c>
      <c r="I1139" s="16" t="str">
        <f>IFERROR(VLOOKUP(A1139,Sheet1!$E$3:$G$27,3,0),"")</f>
        <v>MCB trip/Power upnormal</v>
      </c>
      <c r="J1139" s="12" t="s">
        <v>112</v>
      </c>
      <c r="K1139" s="17">
        <v>46055.0</v>
      </c>
      <c r="L1139" s="17">
        <v>46055.0</v>
      </c>
      <c r="M1139" s="12" t="s">
        <v>109</v>
      </c>
      <c r="N1139" s="23"/>
      <c r="O1139" s="22"/>
      <c r="P1139" s="22"/>
    </row>
    <row r="1140" ht="22.5" customHeight="1">
      <c r="A1140" s="12" t="s">
        <v>14</v>
      </c>
      <c r="B1140" s="20" t="str">
        <f>IFERROR(VLOOKUP(A1140,Sheet1!$E$3:$H$27,4,0),"")</f>
        <v>P1</v>
      </c>
      <c r="C1140" s="14" t="s">
        <v>512</v>
      </c>
      <c r="D1140" s="12" t="s">
        <v>21</v>
      </c>
      <c r="E1140" s="13" t="str">
        <f>IFERROR(VLOOKUP(D1140,Sheet1!$B$1:$C$45,2,0),"")</f>
        <v>TE</v>
      </c>
      <c r="F1140" s="12" t="s">
        <v>108</v>
      </c>
      <c r="G1140" s="13" t="str">
        <f t="shared" ref="G1140:G1770" si="5">IFERROR(IFS(F1140="Winda Sokenda","Barito Raya",F1140="Doni Damara","Palangkaraya"),"")</f>
        <v>Barito Raya</v>
      </c>
      <c r="H1140" s="15" t="str">
        <f>IFERROR(VLOOKUP(A1140,Sheet1!$E$3:$F$27,2,),"")</f>
        <v>Corrective</v>
      </c>
      <c r="I1140" s="16" t="str">
        <f>IFERROR(VLOOKUP(A1140,Sheet1!$E$3:$G$27,3,0),"")</f>
        <v>Pemadaman,MCB Trip,Transmisi problem</v>
      </c>
      <c r="J1140" s="12" t="s">
        <v>112</v>
      </c>
      <c r="K1140" s="17">
        <v>46055.0</v>
      </c>
      <c r="L1140" s="17">
        <v>46055.0</v>
      </c>
      <c r="M1140" s="12" t="s">
        <v>109</v>
      </c>
      <c r="N1140" s="23"/>
      <c r="O1140" s="22"/>
      <c r="P1140" s="22"/>
    </row>
    <row r="1141" ht="22.5" customHeight="1">
      <c r="A1141" s="12" t="s">
        <v>52</v>
      </c>
      <c r="B1141" s="20" t="str">
        <f>IFERROR(VLOOKUP(A1141,Sheet1!$E$3:$H$27,4,0),"")</f>
        <v>P1</v>
      </c>
      <c r="C1141" s="14" t="s">
        <v>440</v>
      </c>
      <c r="D1141" s="12" t="s">
        <v>26</v>
      </c>
      <c r="E1141" s="13" t="str">
        <f>IFERROR(VLOOKUP(D1141,Sheet1!$B$1:$C$45,2,0),"")</f>
        <v>TE</v>
      </c>
      <c r="F1141" s="12" t="s">
        <v>108</v>
      </c>
      <c r="G1141" s="13" t="str">
        <f t="shared" si="5"/>
        <v>Barito Raya</v>
      </c>
      <c r="H1141" s="15" t="str">
        <f>IFERROR(VLOOKUP(A1141,Sheet1!$E$3:$F$27,2,),"")</f>
        <v>Preventive</v>
      </c>
      <c r="I1141" s="16" t="str">
        <f>IFERROR(VLOOKUP(A1141,Sheet1!$E$3:$G$27,3,0),"")</f>
        <v>MCB trip/Power upnormal</v>
      </c>
      <c r="J1141" s="12" t="s">
        <v>112</v>
      </c>
      <c r="K1141" s="17">
        <v>46055.0</v>
      </c>
      <c r="L1141" s="17">
        <v>46055.0</v>
      </c>
      <c r="M1141" s="12" t="s">
        <v>109</v>
      </c>
      <c r="N1141" s="23"/>
      <c r="O1141" s="22"/>
      <c r="P1141" s="22"/>
    </row>
    <row r="1142" ht="22.5" customHeight="1">
      <c r="A1142" s="12" t="s">
        <v>52</v>
      </c>
      <c r="B1142" s="20" t="str">
        <f>IFERROR(VLOOKUP(A1142,Sheet1!$E$3:$H$27,4,0),"")</f>
        <v>P1</v>
      </c>
      <c r="C1142" s="14" t="s">
        <v>440</v>
      </c>
      <c r="D1142" s="12" t="s">
        <v>88</v>
      </c>
      <c r="E1142" s="13" t="str">
        <f>IFERROR(VLOOKUP(D1142,Sheet1!$B$1:$C$45,2,0),"")</f>
        <v>TE</v>
      </c>
      <c r="F1142" s="12" t="s">
        <v>108</v>
      </c>
      <c r="G1142" s="13" t="str">
        <f t="shared" si="5"/>
        <v>Barito Raya</v>
      </c>
      <c r="H1142" s="15" t="str">
        <f>IFERROR(VLOOKUP(A1142,Sheet1!$E$3:$F$27,2,),"")</f>
        <v>Preventive</v>
      </c>
      <c r="I1142" s="16" t="str">
        <f>IFERROR(VLOOKUP(A1142,Sheet1!$E$3:$G$27,3,0),"")</f>
        <v>MCB trip/Power upnormal</v>
      </c>
      <c r="J1142" s="12" t="s">
        <v>112</v>
      </c>
      <c r="K1142" s="17">
        <v>46055.0</v>
      </c>
      <c r="L1142" s="17">
        <v>46055.0</v>
      </c>
      <c r="M1142" s="12" t="s">
        <v>109</v>
      </c>
      <c r="N1142" s="23"/>
      <c r="O1142" s="22"/>
      <c r="P1142" s="22"/>
    </row>
    <row r="1143" ht="22.5" customHeight="1">
      <c r="A1143" s="20"/>
      <c r="B1143" s="20" t="str">
        <f>IFERROR(VLOOKUP(A1143,Sheet1!$E$3:$H$27,4,0),"")</f>
        <v/>
      </c>
      <c r="C1143" s="14" t="s">
        <v>510</v>
      </c>
      <c r="D1143" s="12" t="s">
        <v>32</v>
      </c>
      <c r="E1143" s="13" t="str">
        <f>IFERROR(VLOOKUP(D1143,Sheet1!$B$1:$C$45,2,0),"")</f>
        <v>TE</v>
      </c>
      <c r="F1143" s="12" t="s">
        <v>108</v>
      </c>
      <c r="G1143" s="13" t="str">
        <f t="shared" si="5"/>
        <v>Barito Raya</v>
      </c>
      <c r="H1143" s="15" t="str">
        <f>IFERROR(VLOOKUP(A1143,Sheet1!$E$3:$F$27,2,),"")</f>
        <v/>
      </c>
      <c r="I1143" s="16" t="str">
        <f>IFERROR(VLOOKUP(A1143,Sheet1!$E$3:$G$27,3,0),"")</f>
        <v/>
      </c>
      <c r="J1143" s="20"/>
      <c r="K1143" s="17">
        <v>46055.0</v>
      </c>
      <c r="L1143" s="17">
        <v>46055.0</v>
      </c>
      <c r="M1143" s="13"/>
      <c r="N1143" s="23"/>
      <c r="O1143" s="22"/>
      <c r="P1143" s="22"/>
    </row>
    <row r="1144" ht="22.5" customHeight="1">
      <c r="A1144" s="20"/>
      <c r="B1144" s="20" t="str">
        <f>IFERROR(VLOOKUP(A1144,Sheet1!$E$3:$H$27,4,0),"")</f>
        <v/>
      </c>
      <c r="C1144" s="14" t="s">
        <v>510</v>
      </c>
      <c r="D1144" s="12" t="s">
        <v>74</v>
      </c>
      <c r="E1144" s="13" t="str">
        <f>IFERROR(VLOOKUP(D1144,Sheet1!$B$1:$C$45,2,0),"")</f>
        <v>TE</v>
      </c>
      <c r="F1144" s="12" t="s">
        <v>108</v>
      </c>
      <c r="G1144" s="13" t="str">
        <f t="shared" si="5"/>
        <v>Barito Raya</v>
      </c>
      <c r="H1144" s="15" t="str">
        <f>IFERROR(VLOOKUP(A1144,Sheet1!$E$3:$F$27,2,),"")</f>
        <v/>
      </c>
      <c r="I1144" s="16" t="str">
        <f>IFERROR(VLOOKUP(A1144,Sheet1!$E$3:$G$27,3,0),"")</f>
        <v/>
      </c>
      <c r="J1144" s="20"/>
      <c r="K1144" s="17">
        <v>46055.0</v>
      </c>
      <c r="L1144" s="17">
        <v>46055.0</v>
      </c>
      <c r="M1144" s="13"/>
      <c r="N1144" s="23"/>
      <c r="O1144" s="22"/>
      <c r="P1144" s="22"/>
    </row>
    <row r="1145" ht="22.5" customHeight="1">
      <c r="A1145" s="12" t="s">
        <v>14</v>
      </c>
      <c r="B1145" s="20" t="str">
        <f>IFERROR(VLOOKUP(A1145,Sheet1!$E$3:$H$27,4,0),"")</f>
        <v>P1</v>
      </c>
      <c r="C1145" s="14" t="s">
        <v>424</v>
      </c>
      <c r="D1145" s="12" t="s">
        <v>60</v>
      </c>
      <c r="E1145" s="13" t="str">
        <f>IFERROR(VLOOKUP(D1145,Sheet1!$B$1:$C$45,2,0),"")</f>
        <v>TE</v>
      </c>
      <c r="F1145" s="12" t="s">
        <v>108</v>
      </c>
      <c r="G1145" s="13" t="str">
        <f t="shared" si="5"/>
        <v>Barito Raya</v>
      </c>
      <c r="H1145" s="15" t="str">
        <f>IFERROR(VLOOKUP(A1145,Sheet1!$E$3:$F$27,2,),"")</f>
        <v>Corrective</v>
      </c>
      <c r="I1145" s="16" t="str">
        <f>IFERROR(VLOOKUP(A1145,Sheet1!$E$3:$G$27,3,0),"")</f>
        <v>Pemadaman,MCB Trip,Transmisi problem</v>
      </c>
      <c r="J1145" s="12" t="s">
        <v>112</v>
      </c>
      <c r="K1145" s="17">
        <v>46055.0</v>
      </c>
      <c r="L1145" s="17">
        <v>46055.0</v>
      </c>
      <c r="M1145" s="12" t="s">
        <v>109</v>
      </c>
      <c r="N1145" s="23"/>
      <c r="O1145" s="22"/>
      <c r="P1145" s="22"/>
    </row>
    <row r="1146" ht="22.5" customHeight="1">
      <c r="A1146" s="12" t="s">
        <v>14</v>
      </c>
      <c r="B1146" s="20" t="str">
        <f>IFERROR(VLOOKUP(A1146,Sheet1!$E$3:$H$27,4,0),"")</f>
        <v>P1</v>
      </c>
      <c r="C1146" s="14" t="s">
        <v>513</v>
      </c>
      <c r="D1146" s="12" t="s">
        <v>62</v>
      </c>
      <c r="E1146" s="13" t="str">
        <f>IFERROR(VLOOKUP(D1146,Sheet1!$B$1:$C$45,2,0),"")</f>
        <v>TE</v>
      </c>
      <c r="F1146" s="12" t="s">
        <v>108</v>
      </c>
      <c r="G1146" s="13" t="str">
        <f t="shared" si="5"/>
        <v>Barito Raya</v>
      </c>
      <c r="H1146" s="15" t="str">
        <f>IFERROR(VLOOKUP(A1146,Sheet1!$E$3:$F$27,2,),"")</f>
        <v>Corrective</v>
      </c>
      <c r="I1146" s="16" t="str">
        <f>IFERROR(VLOOKUP(A1146,Sheet1!$E$3:$G$27,3,0),"")</f>
        <v>Pemadaman,MCB Trip,Transmisi problem</v>
      </c>
      <c r="J1146" s="12" t="s">
        <v>112</v>
      </c>
      <c r="K1146" s="17">
        <v>46055.0</v>
      </c>
      <c r="L1146" s="17">
        <v>46055.0</v>
      </c>
      <c r="M1146" s="12" t="s">
        <v>109</v>
      </c>
      <c r="N1146" s="23"/>
      <c r="O1146" s="22"/>
      <c r="P1146" s="22"/>
    </row>
    <row r="1147" ht="22.5" customHeight="1">
      <c r="A1147" s="12" t="s">
        <v>22</v>
      </c>
      <c r="B1147" s="20" t="str">
        <f>IFERROR(VLOOKUP(A1147,Sheet1!$E$3:$H$27,4,0),"")</f>
        <v>P2</v>
      </c>
      <c r="C1147" s="14" t="s">
        <v>333</v>
      </c>
      <c r="D1147" s="12" t="s">
        <v>85</v>
      </c>
      <c r="E1147" s="13" t="str">
        <f>IFERROR(VLOOKUP(D1147,Sheet1!$B$1:$C$45,2,0),"")</f>
        <v>PM</v>
      </c>
      <c r="F1147" s="12" t="s">
        <v>108</v>
      </c>
      <c r="G1147" s="13" t="str">
        <f t="shared" si="5"/>
        <v>Barito Raya</v>
      </c>
      <c r="H1147" s="15" t="str">
        <f>IFERROR(VLOOKUP(A1147,Sheet1!$E$3:$F$27,2,),"")</f>
        <v>Preventive</v>
      </c>
      <c r="I1147" s="16" t="str">
        <f>IFERROR(VLOOKUP(A1147,Sheet1!$E$3:$G$27,3,0),"")</f>
        <v>Preventive Maintenance</v>
      </c>
      <c r="J1147" s="12" t="s">
        <v>112</v>
      </c>
      <c r="K1147" s="17">
        <v>46055.0</v>
      </c>
      <c r="L1147" s="17">
        <v>46055.0</v>
      </c>
      <c r="M1147" s="12" t="s">
        <v>122</v>
      </c>
      <c r="N1147" s="23"/>
      <c r="O1147" s="22"/>
      <c r="P1147" s="22"/>
    </row>
    <row r="1148" ht="22.5" customHeight="1">
      <c r="A1148" s="12" t="s">
        <v>22</v>
      </c>
      <c r="B1148" s="20" t="str">
        <f>IFERROR(VLOOKUP(A1148,Sheet1!$E$3:$H$27,4,0),"")</f>
        <v>P2</v>
      </c>
      <c r="C1148" s="14" t="s">
        <v>333</v>
      </c>
      <c r="D1148" s="12" t="s">
        <v>84</v>
      </c>
      <c r="E1148" s="13" t="str">
        <f>IFERROR(VLOOKUP(D1148,Sheet1!$B$1:$C$45,2,0),"")</f>
        <v>MBP</v>
      </c>
      <c r="F1148" s="12" t="s">
        <v>108</v>
      </c>
      <c r="G1148" s="13" t="str">
        <f t="shared" si="5"/>
        <v>Barito Raya</v>
      </c>
      <c r="H1148" s="15" t="str">
        <f>IFERROR(VLOOKUP(A1148,Sheet1!$E$3:$F$27,2,),"")</f>
        <v>Preventive</v>
      </c>
      <c r="I1148" s="16" t="str">
        <f>IFERROR(VLOOKUP(A1148,Sheet1!$E$3:$G$27,3,0),"")</f>
        <v>Preventive Maintenance</v>
      </c>
      <c r="J1148" s="12" t="s">
        <v>112</v>
      </c>
      <c r="K1148" s="17">
        <v>46055.0</v>
      </c>
      <c r="L1148" s="17">
        <v>46055.0</v>
      </c>
      <c r="M1148" s="12" t="s">
        <v>122</v>
      </c>
      <c r="N1148" s="23"/>
      <c r="O1148" s="22"/>
      <c r="P1148" s="22"/>
    </row>
    <row r="1149" ht="22.5" customHeight="1">
      <c r="A1149" s="12" t="s">
        <v>22</v>
      </c>
      <c r="B1149" s="20" t="str">
        <f>IFERROR(VLOOKUP(A1149,Sheet1!$E$3:$H$27,4,0),"")</f>
        <v>P2</v>
      </c>
      <c r="C1149" s="15"/>
      <c r="D1149" s="12" t="s">
        <v>86</v>
      </c>
      <c r="E1149" s="13" t="str">
        <f>IFERROR(VLOOKUP(D1149,Sheet1!$B$1:$C$45,2,0),"")</f>
        <v>PM</v>
      </c>
      <c r="F1149" s="12" t="s">
        <v>108</v>
      </c>
      <c r="G1149" s="13" t="str">
        <f t="shared" si="5"/>
        <v>Barito Raya</v>
      </c>
      <c r="H1149" s="15" t="str">
        <f>IFERROR(VLOOKUP(A1149,Sheet1!$E$3:$F$27,2,),"")</f>
        <v>Preventive</v>
      </c>
      <c r="I1149" s="16" t="str">
        <f>IFERROR(VLOOKUP(A1149,Sheet1!$E$3:$G$27,3,0),"")</f>
        <v>Preventive Maintenance</v>
      </c>
      <c r="J1149" s="12" t="s">
        <v>172</v>
      </c>
      <c r="K1149" s="17">
        <v>46055.0</v>
      </c>
      <c r="L1149" s="17">
        <v>46055.0</v>
      </c>
      <c r="M1149" s="12" t="s">
        <v>122</v>
      </c>
      <c r="N1149" s="23"/>
      <c r="O1149" s="22"/>
      <c r="P1149" s="22"/>
    </row>
    <row r="1150" ht="22.5" customHeight="1">
      <c r="A1150" s="12" t="s">
        <v>52</v>
      </c>
      <c r="B1150" s="20" t="str">
        <f>IFERROR(VLOOKUP(A1150,Sheet1!$E$3:$H$27,4,0),"")</f>
        <v>P1</v>
      </c>
      <c r="C1150" s="14" t="s">
        <v>111</v>
      </c>
      <c r="D1150" s="12" t="s">
        <v>9</v>
      </c>
      <c r="E1150" s="13" t="str">
        <f>IFERROR(VLOOKUP(D1150,Sheet1!$B$1:$C$45,2,0),"")</f>
        <v>MBP</v>
      </c>
      <c r="F1150" s="12" t="s">
        <v>108</v>
      </c>
      <c r="G1150" s="13" t="str">
        <f t="shared" si="5"/>
        <v>Barito Raya</v>
      </c>
      <c r="H1150" s="15" t="str">
        <f>IFERROR(VLOOKUP(A1150,Sheet1!$E$3:$F$27,2,),"")</f>
        <v>Preventive</v>
      </c>
      <c r="I1150" s="16" t="str">
        <f>IFERROR(VLOOKUP(A1150,Sheet1!$E$3:$G$27,3,0),"")</f>
        <v>MCB trip/Power upnormal</v>
      </c>
      <c r="J1150" s="12" t="s">
        <v>112</v>
      </c>
      <c r="K1150" s="17">
        <v>46055.0</v>
      </c>
      <c r="L1150" s="17">
        <v>46055.0</v>
      </c>
      <c r="M1150" s="12" t="s">
        <v>109</v>
      </c>
      <c r="N1150" s="18" t="s">
        <v>354</v>
      </c>
      <c r="O1150" s="19"/>
      <c r="P1150" s="19"/>
    </row>
    <row r="1151" ht="22.5" customHeight="1">
      <c r="A1151" s="12" t="s">
        <v>65</v>
      </c>
      <c r="B1151" s="20" t="str">
        <f>IFERROR(VLOOKUP(A1151,Sheet1!$E$3:$H$27,4,0),"")</f>
        <v>P3</v>
      </c>
      <c r="C1151" s="15"/>
      <c r="D1151" s="12" t="s">
        <v>4</v>
      </c>
      <c r="E1151" s="13" t="str">
        <f>IFERROR(VLOOKUP(D1151,Sheet1!$B$1:$C$45,2,0),"")</f>
        <v>CME</v>
      </c>
      <c r="F1151" s="12" t="s">
        <v>108</v>
      </c>
      <c r="G1151" s="13" t="str">
        <f t="shared" si="5"/>
        <v>Barito Raya</v>
      </c>
      <c r="H1151" s="15" t="str">
        <f>IFERROR(VLOOKUP(A1151,Sheet1!$E$3:$F$27,2,),"")</f>
        <v>Standby</v>
      </c>
      <c r="I1151" s="16" t="str">
        <f>IFERROR(VLOOKUP(A1151,Sheet1!$E$3:$G$27,3,0),"")</f>
        <v>Standby On Call</v>
      </c>
      <c r="J1151" s="20"/>
      <c r="K1151" s="17">
        <v>46055.0</v>
      </c>
      <c r="L1151" s="17">
        <v>46055.0</v>
      </c>
      <c r="M1151" s="13"/>
      <c r="N1151" s="23"/>
      <c r="O1151" s="22"/>
      <c r="P1151" s="22"/>
    </row>
    <row r="1152" ht="22.5" customHeight="1">
      <c r="A1152" s="12" t="s">
        <v>14</v>
      </c>
      <c r="B1152" s="20" t="str">
        <f>IFERROR(VLOOKUP(A1152,Sheet1!$E$3:$H$27,4,0),"")</f>
        <v>P1</v>
      </c>
      <c r="C1152" s="14" t="s">
        <v>514</v>
      </c>
      <c r="D1152" s="12" t="s">
        <v>87</v>
      </c>
      <c r="E1152" s="13" t="str">
        <f>IFERROR(VLOOKUP(D1152,Sheet1!$B$1:$C$45,2,0),"")</f>
        <v>MBP</v>
      </c>
      <c r="F1152" s="12" t="s">
        <v>108</v>
      </c>
      <c r="G1152" s="13" t="str">
        <f t="shared" si="5"/>
        <v>Barito Raya</v>
      </c>
      <c r="H1152" s="15" t="str">
        <f>IFERROR(VLOOKUP(A1152,Sheet1!$E$3:$F$27,2,),"")</f>
        <v>Corrective</v>
      </c>
      <c r="I1152" s="16" t="str">
        <f>IFERROR(VLOOKUP(A1152,Sheet1!$E$3:$G$27,3,0),"")</f>
        <v>Pemadaman,MCB Trip,Transmisi problem</v>
      </c>
      <c r="J1152" s="12" t="s">
        <v>112</v>
      </c>
      <c r="K1152" s="17">
        <v>46055.0</v>
      </c>
      <c r="L1152" s="17">
        <v>46055.0</v>
      </c>
      <c r="M1152" s="12" t="s">
        <v>109</v>
      </c>
      <c r="N1152" s="18" t="s">
        <v>515</v>
      </c>
      <c r="O1152" s="19"/>
      <c r="P1152" s="19"/>
    </row>
    <row r="1153" ht="22.5" customHeight="1">
      <c r="A1153" s="12" t="s">
        <v>65</v>
      </c>
      <c r="B1153" s="20" t="str">
        <f>IFERROR(VLOOKUP(A1153,Sheet1!$E$3:$H$27,4,0),"")</f>
        <v>P3</v>
      </c>
      <c r="C1153" s="15"/>
      <c r="D1153" s="12" t="s">
        <v>29</v>
      </c>
      <c r="E1153" s="13" t="str">
        <f>IFERROR(VLOOKUP(D1153,Sheet1!$B$1:$C$45,2,0),"")</f>
        <v>MBP</v>
      </c>
      <c r="F1153" s="12" t="s">
        <v>108</v>
      </c>
      <c r="G1153" s="13" t="str">
        <f t="shared" si="5"/>
        <v>Barito Raya</v>
      </c>
      <c r="H1153" s="15" t="str">
        <f>IFERROR(VLOOKUP(A1153,Sheet1!$E$3:$F$27,2,),"")</f>
        <v>Standby</v>
      </c>
      <c r="I1153" s="16" t="str">
        <f>IFERROR(VLOOKUP(A1153,Sheet1!$E$3:$G$27,3,0),"")</f>
        <v>Standby On Call</v>
      </c>
      <c r="J1153" s="20"/>
      <c r="K1153" s="17">
        <v>46055.0</v>
      </c>
      <c r="L1153" s="17">
        <v>46055.0</v>
      </c>
      <c r="M1153" s="13"/>
      <c r="N1153" s="23"/>
      <c r="O1153" s="22"/>
      <c r="P1153" s="22"/>
    </row>
    <row r="1154" ht="22.5" customHeight="1">
      <c r="A1154" s="12" t="s">
        <v>52</v>
      </c>
      <c r="B1154" s="20" t="str">
        <f>IFERROR(VLOOKUP(A1154,Sheet1!$E$3:$H$27,4,0),"")</f>
        <v>P1</v>
      </c>
      <c r="C1154" s="14" t="s">
        <v>516</v>
      </c>
      <c r="D1154" s="12" t="s">
        <v>2</v>
      </c>
      <c r="E1154" s="13" t="str">
        <f>IFERROR(VLOOKUP(D1154,Sheet1!$B$1:$C$45,2,0),"")</f>
        <v>CME</v>
      </c>
      <c r="F1154" s="12" t="s">
        <v>108</v>
      </c>
      <c r="G1154" s="13" t="str">
        <f t="shared" si="5"/>
        <v>Barito Raya</v>
      </c>
      <c r="H1154" s="15" t="str">
        <f>IFERROR(VLOOKUP(A1154,Sheet1!$E$3:$F$27,2,),"")</f>
        <v>Preventive</v>
      </c>
      <c r="I1154" s="16" t="str">
        <f>IFERROR(VLOOKUP(A1154,Sheet1!$E$3:$G$27,3,0),"")</f>
        <v>MCB trip/Power upnormal</v>
      </c>
      <c r="J1154" s="12" t="s">
        <v>112</v>
      </c>
      <c r="K1154" s="17">
        <v>46055.0</v>
      </c>
      <c r="L1154" s="17">
        <v>46055.0</v>
      </c>
      <c r="M1154" s="12" t="s">
        <v>109</v>
      </c>
      <c r="N1154" s="18" t="s">
        <v>515</v>
      </c>
      <c r="O1154" s="19"/>
      <c r="P1154" s="19"/>
    </row>
    <row r="1155" ht="22.5" customHeight="1">
      <c r="A1155" s="12" t="s">
        <v>52</v>
      </c>
      <c r="B1155" s="20" t="str">
        <f>IFERROR(VLOOKUP(A1155,Sheet1!$E$3:$H$27,4,0),"")</f>
        <v>P1</v>
      </c>
      <c r="C1155" s="14" t="s">
        <v>424</v>
      </c>
      <c r="D1155" s="12" t="s">
        <v>0</v>
      </c>
      <c r="E1155" s="13" t="str">
        <f>IFERROR(VLOOKUP(D1155,Sheet1!$B$1:$C$45,2,0),"")</f>
        <v>MBP</v>
      </c>
      <c r="F1155" s="12" t="s">
        <v>108</v>
      </c>
      <c r="G1155" s="13" t="str">
        <f t="shared" si="5"/>
        <v>Barito Raya</v>
      </c>
      <c r="H1155" s="15" t="str">
        <f>IFERROR(VLOOKUP(A1155,Sheet1!$E$3:$F$27,2,),"")</f>
        <v>Preventive</v>
      </c>
      <c r="I1155" s="16" t="str">
        <f>IFERROR(VLOOKUP(A1155,Sheet1!$E$3:$G$27,3,0),"")</f>
        <v>MCB trip/Power upnormal</v>
      </c>
      <c r="J1155" s="12" t="s">
        <v>112</v>
      </c>
      <c r="K1155" s="17">
        <v>46055.0</v>
      </c>
      <c r="L1155" s="17">
        <v>46055.0</v>
      </c>
      <c r="M1155" s="12" t="s">
        <v>137</v>
      </c>
      <c r="N1155" s="23"/>
      <c r="O1155" s="22"/>
      <c r="P1155" s="22"/>
    </row>
    <row r="1156" ht="22.5" customHeight="1">
      <c r="A1156" s="12" t="s">
        <v>5</v>
      </c>
      <c r="B1156" s="20" t="str">
        <f>IFERROR(VLOOKUP(A1156,Sheet1!$E$3:$H$27,4,0),"")</f>
        <v>P1</v>
      </c>
      <c r="C1156" s="14" t="s">
        <v>476</v>
      </c>
      <c r="D1156" s="12" t="s">
        <v>37</v>
      </c>
      <c r="E1156" s="13" t="str">
        <f>IFERROR(VLOOKUP(D1156,Sheet1!$B$1:$C$45,2,0),"")</f>
        <v>TE</v>
      </c>
      <c r="F1156" s="12" t="s">
        <v>179</v>
      </c>
      <c r="G1156" s="13" t="str">
        <f t="shared" si="5"/>
        <v>Palangkaraya</v>
      </c>
      <c r="H1156" s="15" t="str">
        <f>IFERROR(VLOOKUP(A1156,Sheet1!$E$3:$F$27,2,),"")</f>
        <v>Corrective</v>
      </c>
      <c r="I1156" s="16" t="str">
        <f>IFERROR(VLOOKUP(A1156,Sheet1!$E$3:$G$27,3,0),"")</f>
        <v>Replace Optik,RRU/Soket Power/Replace GPS</v>
      </c>
      <c r="J1156" s="12" t="s">
        <v>112</v>
      </c>
      <c r="K1156" s="17">
        <v>46055.0</v>
      </c>
      <c r="L1156" s="17"/>
      <c r="M1156" s="12" t="s">
        <v>137</v>
      </c>
      <c r="N1156" s="23"/>
      <c r="O1156" s="22"/>
      <c r="P1156" s="22"/>
    </row>
    <row r="1157" ht="22.5" customHeight="1">
      <c r="A1157" s="12" t="s">
        <v>14</v>
      </c>
      <c r="B1157" s="20" t="str">
        <f>IFERROR(VLOOKUP(A1157,Sheet1!$E$3:$H$27,4,0),"")</f>
        <v>P1</v>
      </c>
      <c r="C1157" s="14" t="s">
        <v>363</v>
      </c>
      <c r="D1157" s="12" t="s">
        <v>76</v>
      </c>
      <c r="E1157" s="13" t="str">
        <f>IFERROR(VLOOKUP(D1157,Sheet1!$B$1:$C$45,2,0),"")</f>
        <v>TE</v>
      </c>
      <c r="F1157" s="12" t="s">
        <v>179</v>
      </c>
      <c r="G1157" s="13" t="str">
        <f t="shared" si="5"/>
        <v>Palangkaraya</v>
      </c>
      <c r="H1157" s="15" t="str">
        <f>IFERROR(VLOOKUP(A1157,Sheet1!$E$3:$F$27,2,),"")</f>
        <v>Corrective</v>
      </c>
      <c r="I1157" s="16" t="str">
        <f>IFERROR(VLOOKUP(A1157,Sheet1!$E$3:$G$27,3,0),"")</f>
        <v>Pemadaman,MCB Trip,Transmisi problem</v>
      </c>
      <c r="J1157" s="12" t="s">
        <v>112</v>
      </c>
      <c r="K1157" s="17">
        <v>46055.0</v>
      </c>
      <c r="L1157" s="17"/>
      <c r="M1157" s="12" t="s">
        <v>137</v>
      </c>
      <c r="N1157" s="23"/>
      <c r="O1157" s="22"/>
      <c r="P1157" s="22"/>
    </row>
    <row r="1158" ht="22.5" customHeight="1">
      <c r="A1158" s="12" t="s">
        <v>14</v>
      </c>
      <c r="B1158" s="20" t="str">
        <f>IFERROR(VLOOKUP(A1158,Sheet1!$E$3:$H$27,4,0),"")</f>
        <v>P1</v>
      </c>
      <c r="C1158" s="14" t="s">
        <v>363</v>
      </c>
      <c r="D1158" s="12" t="s">
        <v>78</v>
      </c>
      <c r="E1158" s="13" t="str">
        <f>IFERROR(VLOOKUP(D1158,Sheet1!$B$1:$C$45,2,0),"")</f>
        <v>TE</v>
      </c>
      <c r="F1158" s="12" t="s">
        <v>179</v>
      </c>
      <c r="G1158" s="13" t="str">
        <f t="shared" si="5"/>
        <v>Palangkaraya</v>
      </c>
      <c r="H1158" s="15" t="str">
        <f>IFERROR(VLOOKUP(A1158,Sheet1!$E$3:$F$27,2,),"")</f>
        <v>Corrective</v>
      </c>
      <c r="I1158" s="16" t="str">
        <f>IFERROR(VLOOKUP(A1158,Sheet1!$E$3:$G$27,3,0),"")</f>
        <v>Pemadaman,MCB Trip,Transmisi problem</v>
      </c>
      <c r="J1158" s="12" t="s">
        <v>112</v>
      </c>
      <c r="K1158" s="17">
        <v>46055.0</v>
      </c>
      <c r="L1158" s="17"/>
      <c r="M1158" s="12" t="s">
        <v>137</v>
      </c>
      <c r="N1158" s="23"/>
      <c r="O1158" s="22"/>
      <c r="P1158" s="22"/>
    </row>
    <row r="1159" ht="22.5" customHeight="1">
      <c r="A1159" s="12" t="s">
        <v>5</v>
      </c>
      <c r="B1159" s="20" t="str">
        <f>IFERROR(VLOOKUP(A1159,Sheet1!$E$3:$H$27,4,0),"")</f>
        <v>P1</v>
      </c>
      <c r="C1159" s="14" t="s">
        <v>267</v>
      </c>
      <c r="D1159" s="12" t="s">
        <v>71</v>
      </c>
      <c r="E1159" s="13" t="str">
        <f>IFERROR(VLOOKUP(D1159,Sheet1!$B$1:$C$45,2,0),"")</f>
        <v>TE</v>
      </c>
      <c r="F1159" s="12" t="s">
        <v>179</v>
      </c>
      <c r="G1159" s="13" t="str">
        <f t="shared" si="5"/>
        <v>Palangkaraya</v>
      </c>
      <c r="H1159" s="15" t="str">
        <f>IFERROR(VLOOKUP(A1159,Sheet1!$E$3:$F$27,2,),"")</f>
        <v>Corrective</v>
      </c>
      <c r="I1159" s="16" t="str">
        <f>IFERROR(VLOOKUP(A1159,Sheet1!$E$3:$G$27,3,0),"")</f>
        <v>Replace Optik,RRU/Soket Power/Replace GPS</v>
      </c>
      <c r="J1159" s="12" t="s">
        <v>112</v>
      </c>
      <c r="K1159" s="17">
        <v>46055.0</v>
      </c>
      <c r="L1159" s="17"/>
      <c r="M1159" s="12" t="s">
        <v>137</v>
      </c>
      <c r="N1159" s="23"/>
      <c r="O1159" s="22"/>
      <c r="P1159" s="22"/>
    </row>
    <row r="1160" ht="22.5" customHeight="1">
      <c r="A1160" s="12" t="s">
        <v>14</v>
      </c>
      <c r="B1160" s="20" t="str">
        <f>IFERROR(VLOOKUP(A1160,Sheet1!$E$3:$H$27,4,0),"")</f>
        <v>P1</v>
      </c>
      <c r="C1160" s="14" t="s">
        <v>364</v>
      </c>
      <c r="D1160" s="12" t="s">
        <v>91</v>
      </c>
      <c r="E1160" s="13" t="str">
        <f>IFERROR(VLOOKUP(D1160,Sheet1!$B$1:$C$45,2,0),"")</f>
        <v>TE</v>
      </c>
      <c r="F1160" s="12" t="s">
        <v>179</v>
      </c>
      <c r="G1160" s="13" t="str">
        <f t="shared" si="5"/>
        <v>Palangkaraya</v>
      </c>
      <c r="H1160" s="15" t="str">
        <f>IFERROR(VLOOKUP(A1160,Sheet1!$E$3:$F$27,2,),"")</f>
        <v>Corrective</v>
      </c>
      <c r="I1160" s="16" t="str">
        <f>IFERROR(VLOOKUP(A1160,Sheet1!$E$3:$G$27,3,0),"")</f>
        <v>Pemadaman,MCB Trip,Transmisi problem</v>
      </c>
      <c r="J1160" s="12" t="s">
        <v>112</v>
      </c>
      <c r="K1160" s="17">
        <v>46055.0</v>
      </c>
      <c r="L1160" s="17"/>
      <c r="M1160" s="12" t="s">
        <v>137</v>
      </c>
      <c r="N1160" s="23"/>
      <c r="O1160" s="22"/>
      <c r="P1160" s="22"/>
    </row>
    <row r="1161" ht="22.5" customHeight="1">
      <c r="A1161" s="12" t="s">
        <v>70</v>
      </c>
      <c r="B1161" s="20" t="str">
        <f>IFERROR(VLOOKUP(A1161,Sheet1!$E$3:$H$27,4,0),"")</f>
        <v>P3</v>
      </c>
      <c r="C1161" s="14"/>
      <c r="D1161" s="12" t="s">
        <v>51</v>
      </c>
      <c r="E1161" s="13" t="str">
        <f>IFERROR(VLOOKUP(D1161,Sheet1!$B$1:$C$45,2,0),"")</f>
        <v>TE</v>
      </c>
      <c r="F1161" s="12" t="s">
        <v>179</v>
      </c>
      <c r="G1161" s="13" t="str">
        <f t="shared" si="5"/>
        <v>Palangkaraya</v>
      </c>
      <c r="H1161" s="15" t="str">
        <f>IFERROR(VLOOKUP(A1161,Sheet1!$E$3:$F$27,2,),"")</f>
        <v>Sick</v>
      </c>
      <c r="I1161" s="16" t="str">
        <f>IFERROR(VLOOKUP(A1161,Sheet1!$E$3:$G$27,3,0),"")</f>
        <v>Sick</v>
      </c>
      <c r="J1161" s="12" t="s">
        <v>66</v>
      </c>
      <c r="K1161" s="17">
        <v>46055.0</v>
      </c>
      <c r="L1161" s="17"/>
      <c r="M1161" s="12" t="s">
        <v>137</v>
      </c>
      <c r="N1161" s="23"/>
      <c r="O1161" s="22"/>
      <c r="P1161" s="22"/>
    </row>
    <row r="1162" ht="22.5" customHeight="1">
      <c r="A1162" s="12" t="s">
        <v>14</v>
      </c>
      <c r="B1162" s="20" t="str">
        <f>IFERROR(VLOOKUP(A1162,Sheet1!$E$3:$H$27,4,0),"")</f>
        <v>P1</v>
      </c>
      <c r="C1162" s="14" t="s">
        <v>444</v>
      </c>
      <c r="D1162" s="12" t="s">
        <v>79</v>
      </c>
      <c r="E1162" s="13" t="str">
        <f>IFERROR(VLOOKUP(D1162,Sheet1!$B$1:$C$45,2,0),"")</f>
        <v>TE</v>
      </c>
      <c r="F1162" s="12" t="s">
        <v>179</v>
      </c>
      <c r="G1162" s="13" t="str">
        <f t="shared" si="5"/>
        <v>Palangkaraya</v>
      </c>
      <c r="H1162" s="15" t="str">
        <f>IFERROR(VLOOKUP(A1162,Sheet1!$E$3:$F$27,2,),"")</f>
        <v>Corrective</v>
      </c>
      <c r="I1162" s="16" t="str">
        <f>IFERROR(VLOOKUP(A1162,Sheet1!$E$3:$G$27,3,0),"")</f>
        <v>Pemadaman,MCB Trip,Transmisi problem</v>
      </c>
      <c r="J1162" s="12" t="s">
        <v>66</v>
      </c>
      <c r="K1162" s="17">
        <v>46055.0</v>
      </c>
      <c r="L1162" s="17"/>
      <c r="M1162" s="12" t="s">
        <v>137</v>
      </c>
      <c r="N1162" s="23"/>
      <c r="O1162" s="22"/>
      <c r="P1162" s="22"/>
    </row>
    <row r="1163" ht="22.5" customHeight="1">
      <c r="A1163" s="12" t="s">
        <v>65</v>
      </c>
      <c r="B1163" s="20" t="str">
        <f>IFERROR(VLOOKUP(A1163,Sheet1!$E$3:$H$27,4,0),"")</f>
        <v>P3</v>
      </c>
      <c r="C1163" s="14"/>
      <c r="D1163" s="12" t="s">
        <v>56</v>
      </c>
      <c r="E1163" s="13" t="str">
        <f>IFERROR(VLOOKUP(D1163,Sheet1!$B$1:$C$45,2,0),"")</f>
        <v>TE</v>
      </c>
      <c r="F1163" s="12" t="s">
        <v>179</v>
      </c>
      <c r="G1163" s="13" t="str">
        <f t="shared" si="5"/>
        <v>Palangkaraya</v>
      </c>
      <c r="H1163" s="15" t="str">
        <f>IFERROR(VLOOKUP(A1163,Sheet1!$E$3:$F$27,2,),"")</f>
        <v>Standby</v>
      </c>
      <c r="I1163" s="16" t="str">
        <f>IFERROR(VLOOKUP(A1163,Sheet1!$E$3:$G$27,3,0),"")</f>
        <v>Standby On Call</v>
      </c>
      <c r="J1163" s="12" t="s">
        <v>66</v>
      </c>
      <c r="K1163" s="17">
        <v>46055.0</v>
      </c>
      <c r="L1163" s="17"/>
      <c r="M1163" s="12" t="s">
        <v>137</v>
      </c>
      <c r="N1163" s="23"/>
      <c r="O1163" s="22"/>
      <c r="P1163" s="22"/>
    </row>
    <row r="1164" ht="22.5" customHeight="1">
      <c r="A1164" s="12" t="s">
        <v>65</v>
      </c>
      <c r="B1164" s="20" t="str">
        <f>IFERROR(VLOOKUP(A1164,Sheet1!$E$3:$H$27,4,0),"")</f>
        <v>P3</v>
      </c>
      <c r="C1164" s="14"/>
      <c r="D1164" s="12" t="s">
        <v>83</v>
      </c>
      <c r="E1164" s="13" t="str">
        <f>IFERROR(VLOOKUP(D1164,Sheet1!$B$1:$C$45,2,0),"")</f>
        <v>PM</v>
      </c>
      <c r="F1164" s="12" t="s">
        <v>179</v>
      </c>
      <c r="G1164" s="13" t="str">
        <f t="shared" si="5"/>
        <v>Palangkaraya</v>
      </c>
      <c r="H1164" s="15" t="str">
        <f>IFERROR(VLOOKUP(A1164,Sheet1!$E$3:$F$27,2,),"")</f>
        <v>Standby</v>
      </c>
      <c r="I1164" s="16" t="str">
        <f>IFERROR(VLOOKUP(A1164,Sheet1!$E$3:$G$27,3,0),"")</f>
        <v>Standby On Call</v>
      </c>
      <c r="J1164" s="12" t="s">
        <v>66</v>
      </c>
      <c r="K1164" s="17">
        <v>46055.0</v>
      </c>
      <c r="L1164" s="17"/>
      <c r="M1164" s="12" t="s">
        <v>137</v>
      </c>
      <c r="N1164" s="23"/>
      <c r="O1164" s="22"/>
      <c r="P1164" s="22"/>
    </row>
    <row r="1165" ht="22.5" customHeight="1">
      <c r="A1165" s="12" t="s">
        <v>65</v>
      </c>
      <c r="B1165" s="20" t="str">
        <f>IFERROR(VLOOKUP(A1165,Sheet1!$E$3:$H$27,4,0),"")</f>
        <v>P3</v>
      </c>
      <c r="C1165" s="14"/>
      <c r="D1165" s="12" t="s">
        <v>82</v>
      </c>
      <c r="E1165" s="13" t="str">
        <f>IFERROR(VLOOKUP(D1165,Sheet1!$B$1:$C$45,2,0),"")</f>
        <v>PM</v>
      </c>
      <c r="F1165" s="12" t="s">
        <v>179</v>
      </c>
      <c r="G1165" s="13" t="str">
        <f t="shared" si="5"/>
        <v>Palangkaraya</v>
      </c>
      <c r="H1165" s="15" t="str">
        <f>IFERROR(VLOOKUP(A1165,Sheet1!$E$3:$F$27,2,),"")</f>
        <v>Standby</v>
      </c>
      <c r="I1165" s="16" t="str">
        <f>IFERROR(VLOOKUP(A1165,Sheet1!$E$3:$G$27,3,0),"")</f>
        <v>Standby On Call</v>
      </c>
      <c r="J1165" s="12" t="s">
        <v>66</v>
      </c>
      <c r="K1165" s="17">
        <v>46055.0</v>
      </c>
      <c r="L1165" s="17"/>
      <c r="M1165" s="12" t="s">
        <v>137</v>
      </c>
      <c r="N1165" s="23"/>
      <c r="O1165" s="22"/>
      <c r="P1165" s="22"/>
    </row>
    <row r="1166" ht="22.5" customHeight="1">
      <c r="A1166" s="12" t="s">
        <v>65</v>
      </c>
      <c r="B1166" s="20" t="str">
        <f>IFERROR(VLOOKUP(A1166,Sheet1!$E$3:$H$27,4,0),"")</f>
        <v>P3</v>
      </c>
      <c r="C1166" s="14"/>
      <c r="D1166" s="12" t="s">
        <v>75</v>
      </c>
      <c r="E1166" s="13" t="str">
        <f>IFERROR(VLOOKUP(D1166,Sheet1!$B$1:$C$45,2,0),"")</f>
        <v>CME</v>
      </c>
      <c r="F1166" s="12" t="s">
        <v>179</v>
      </c>
      <c r="G1166" s="13" t="str">
        <f t="shared" si="5"/>
        <v>Palangkaraya</v>
      </c>
      <c r="H1166" s="15" t="str">
        <f>IFERROR(VLOOKUP(A1166,Sheet1!$E$3:$F$27,2,),"")</f>
        <v>Standby</v>
      </c>
      <c r="I1166" s="16" t="str">
        <f>IFERROR(VLOOKUP(A1166,Sheet1!$E$3:$G$27,3,0),"")</f>
        <v>Standby On Call</v>
      </c>
      <c r="J1166" s="12" t="s">
        <v>66</v>
      </c>
      <c r="K1166" s="17">
        <v>46055.0</v>
      </c>
      <c r="L1166" s="17"/>
      <c r="M1166" s="12" t="s">
        <v>137</v>
      </c>
      <c r="N1166" s="23"/>
      <c r="O1166" s="22"/>
      <c r="P1166" s="22"/>
    </row>
    <row r="1167" ht="22.5" customHeight="1">
      <c r="A1167" s="12" t="s">
        <v>65</v>
      </c>
      <c r="B1167" s="20" t="str">
        <f>IFERROR(VLOOKUP(A1167,Sheet1!$E$3:$H$27,4,0),"")</f>
        <v>P3</v>
      </c>
      <c r="C1167" s="14"/>
      <c r="D1167" s="12" t="s">
        <v>54</v>
      </c>
      <c r="E1167" s="13" t="str">
        <f>IFERROR(VLOOKUP(D1167,Sheet1!$B$1:$C$45,2,0),"")</f>
        <v>MBP</v>
      </c>
      <c r="F1167" s="12" t="s">
        <v>179</v>
      </c>
      <c r="G1167" s="13" t="str">
        <f t="shared" si="5"/>
        <v>Palangkaraya</v>
      </c>
      <c r="H1167" s="15" t="str">
        <f>IFERROR(VLOOKUP(A1167,Sheet1!$E$3:$F$27,2,),"")</f>
        <v>Standby</v>
      </c>
      <c r="I1167" s="16" t="str">
        <f>IFERROR(VLOOKUP(A1167,Sheet1!$E$3:$G$27,3,0),"")</f>
        <v>Standby On Call</v>
      </c>
      <c r="J1167" s="12" t="s">
        <v>66</v>
      </c>
      <c r="K1167" s="17">
        <v>46055.0</v>
      </c>
      <c r="L1167" s="17"/>
      <c r="M1167" s="12" t="s">
        <v>137</v>
      </c>
      <c r="N1167" s="23"/>
      <c r="O1167" s="22"/>
      <c r="P1167" s="22"/>
    </row>
    <row r="1168" ht="22.5" hidden="1" customHeight="1">
      <c r="A1168" s="12" t="s">
        <v>65</v>
      </c>
      <c r="B1168" s="20" t="str">
        <f>IFERROR(VLOOKUP(A1168,Sheet1!$E$3:$H$27,4,0),"")</f>
        <v>P3</v>
      </c>
      <c r="C1168" s="14"/>
      <c r="D1168" s="12" t="s">
        <v>45</v>
      </c>
      <c r="E1168" s="13" t="str">
        <f>IFERROR(VLOOKUP(D1168,Sheet1!$B$1:$C$45,2,0),"")</f>
        <v>MBP</v>
      </c>
      <c r="F1168" s="12" t="s">
        <v>179</v>
      </c>
      <c r="G1168" s="13" t="str">
        <f t="shared" si="5"/>
        <v>Palangkaraya</v>
      </c>
      <c r="H1168" s="15" t="str">
        <f>IFERROR(VLOOKUP(A1168,Sheet1!$E$3:$F$27,2,),"")</f>
        <v>Standby</v>
      </c>
      <c r="I1168" s="16" t="str">
        <f>IFERROR(VLOOKUP(A1168,Sheet1!$E$3:$G$27,3,0),"")</f>
        <v>Standby On Call</v>
      </c>
      <c r="J1168" s="12" t="s">
        <v>66</v>
      </c>
      <c r="K1168" s="17">
        <v>46055.0</v>
      </c>
      <c r="L1168" s="17"/>
      <c r="M1168" s="12" t="s">
        <v>137</v>
      </c>
      <c r="N1168" s="23"/>
      <c r="O1168" s="22"/>
      <c r="P1168" s="22"/>
    </row>
    <row r="1169" ht="22.5" customHeight="1">
      <c r="A1169" s="12" t="s">
        <v>52</v>
      </c>
      <c r="B1169" s="20" t="str">
        <f>IFERROR(VLOOKUP(A1169,Sheet1!$E$3:$H$27,4,0),"")</f>
        <v>P1</v>
      </c>
      <c r="C1169" s="14" t="s">
        <v>517</v>
      </c>
      <c r="D1169" s="12" t="s">
        <v>12</v>
      </c>
      <c r="E1169" s="13" t="str">
        <f>IFERROR(VLOOKUP(D1169,Sheet1!$B$1:$C$45,2,0),"")</f>
        <v>TE</v>
      </c>
      <c r="F1169" s="12" t="s">
        <v>108</v>
      </c>
      <c r="G1169" s="13" t="str">
        <f t="shared" si="5"/>
        <v>Barito Raya</v>
      </c>
      <c r="H1169" s="15" t="str">
        <f>IFERROR(VLOOKUP(A1169,Sheet1!$E$3:$F$27,2,),"")</f>
        <v>Preventive</v>
      </c>
      <c r="I1169" s="16" t="str">
        <f>IFERROR(VLOOKUP(A1169,Sheet1!$E$3:$G$27,3,0),"")</f>
        <v>MCB trip/Power upnormal</v>
      </c>
      <c r="J1169" s="12" t="s">
        <v>112</v>
      </c>
      <c r="K1169" s="17">
        <v>46056.0</v>
      </c>
      <c r="L1169" s="17">
        <v>46056.0</v>
      </c>
      <c r="M1169" s="12" t="s">
        <v>109</v>
      </c>
      <c r="N1169" s="23"/>
      <c r="O1169" s="22"/>
      <c r="P1169" s="22"/>
    </row>
    <row r="1170" ht="22.5" customHeight="1">
      <c r="A1170" s="12" t="s">
        <v>22</v>
      </c>
      <c r="B1170" s="20" t="str">
        <f>IFERROR(VLOOKUP(A1170,Sheet1!$E$3:$H$27,4,0),"")</f>
        <v>P2</v>
      </c>
      <c r="C1170" s="14" t="s">
        <v>518</v>
      </c>
      <c r="D1170" s="12" t="s">
        <v>16</v>
      </c>
      <c r="E1170" s="13" t="str">
        <f>IFERROR(VLOOKUP(D1170,Sheet1!$B$1:$C$45,2,0),"")</f>
        <v>TE</v>
      </c>
      <c r="F1170" s="12" t="s">
        <v>108</v>
      </c>
      <c r="G1170" s="13" t="str">
        <f t="shared" si="5"/>
        <v>Barito Raya</v>
      </c>
      <c r="H1170" s="15" t="str">
        <f>IFERROR(VLOOKUP(A1170,Sheet1!$E$3:$F$27,2,),"")</f>
        <v>Preventive</v>
      </c>
      <c r="I1170" s="16" t="str">
        <f>IFERROR(VLOOKUP(A1170,Sheet1!$E$3:$G$27,3,0),"")</f>
        <v>Preventive Maintenance</v>
      </c>
      <c r="J1170" s="12" t="s">
        <v>112</v>
      </c>
      <c r="K1170" s="17">
        <v>46056.0</v>
      </c>
      <c r="L1170" s="17">
        <v>46056.0</v>
      </c>
      <c r="M1170" s="12" t="s">
        <v>109</v>
      </c>
      <c r="N1170" s="23"/>
      <c r="O1170" s="22"/>
      <c r="P1170" s="22"/>
    </row>
    <row r="1171" ht="22.5" customHeight="1">
      <c r="A1171" s="12" t="s">
        <v>52</v>
      </c>
      <c r="B1171" s="20" t="str">
        <f>IFERROR(VLOOKUP(A1171,Sheet1!$E$3:$H$27,4,0),"")</f>
        <v>P1</v>
      </c>
      <c r="C1171" s="14" t="s">
        <v>276</v>
      </c>
      <c r="D1171" s="12" t="s">
        <v>21</v>
      </c>
      <c r="E1171" s="13" t="str">
        <f>IFERROR(VLOOKUP(D1171,Sheet1!$B$1:$C$45,2,0),"")</f>
        <v>TE</v>
      </c>
      <c r="F1171" s="12" t="s">
        <v>108</v>
      </c>
      <c r="G1171" s="13" t="str">
        <f t="shared" si="5"/>
        <v>Barito Raya</v>
      </c>
      <c r="H1171" s="15" t="str">
        <f>IFERROR(VLOOKUP(A1171,Sheet1!$E$3:$F$27,2,),"")</f>
        <v>Preventive</v>
      </c>
      <c r="I1171" s="16" t="str">
        <f>IFERROR(VLOOKUP(A1171,Sheet1!$E$3:$G$27,3,0),"")</f>
        <v>MCB trip/Power upnormal</v>
      </c>
      <c r="J1171" s="12" t="s">
        <v>112</v>
      </c>
      <c r="K1171" s="17">
        <v>46056.0</v>
      </c>
      <c r="L1171" s="17">
        <v>46056.0</v>
      </c>
      <c r="M1171" s="12" t="s">
        <v>109</v>
      </c>
      <c r="N1171" s="23"/>
      <c r="O1171" s="22"/>
      <c r="P1171" s="22"/>
    </row>
    <row r="1172" ht="22.5" customHeight="1">
      <c r="A1172" s="12" t="s">
        <v>17</v>
      </c>
      <c r="B1172" s="20" t="str">
        <f>IFERROR(VLOOKUP(A1172,Sheet1!$E$3:$H$27,4,0),"")</f>
        <v>P2</v>
      </c>
      <c r="C1172" s="14" t="s">
        <v>504</v>
      </c>
      <c r="D1172" s="12" t="s">
        <v>26</v>
      </c>
      <c r="E1172" s="13" t="str">
        <f>IFERROR(VLOOKUP(D1172,Sheet1!$B$1:$C$45,2,0),"")</f>
        <v>TE</v>
      </c>
      <c r="F1172" s="12" t="s">
        <v>108</v>
      </c>
      <c r="G1172" s="13" t="str">
        <f t="shared" si="5"/>
        <v>Barito Raya</v>
      </c>
      <c r="H1172" s="15" t="str">
        <f>IFERROR(VLOOKUP(A1172,Sheet1!$E$3:$F$27,2,),"")</f>
        <v>Preventive</v>
      </c>
      <c r="I1172" s="16" t="str">
        <f>IFERROR(VLOOKUP(A1172,Sheet1!$E$3:$G$27,3,0),"")</f>
        <v>integrasi LAN dan validasi alarm</v>
      </c>
      <c r="J1172" s="12" t="s">
        <v>112</v>
      </c>
      <c r="K1172" s="17">
        <v>46056.0</v>
      </c>
      <c r="L1172" s="17">
        <v>46056.0</v>
      </c>
      <c r="M1172" s="12" t="s">
        <v>109</v>
      </c>
      <c r="N1172" s="23"/>
      <c r="O1172" s="22"/>
      <c r="P1172" s="22"/>
    </row>
    <row r="1173" ht="22.5" customHeight="1">
      <c r="A1173" s="12" t="s">
        <v>17</v>
      </c>
      <c r="B1173" s="20" t="str">
        <f>IFERROR(VLOOKUP(A1173,Sheet1!$E$3:$H$27,4,0),"")</f>
        <v>P2</v>
      </c>
      <c r="C1173" s="14" t="s">
        <v>504</v>
      </c>
      <c r="D1173" s="12" t="s">
        <v>88</v>
      </c>
      <c r="E1173" s="13" t="str">
        <f>IFERROR(VLOOKUP(D1173,Sheet1!$B$1:$C$45,2,0),"")</f>
        <v>TE</v>
      </c>
      <c r="F1173" s="12" t="s">
        <v>108</v>
      </c>
      <c r="G1173" s="13" t="str">
        <f t="shared" si="5"/>
        <v>Barito Raya</v>
      </c>
      <c r="H1173" s="15" t="str">
        <f>IFERROR(VLOOKUP(A1173,Sheet1!$E$3:$F$27,2,),"")</f>
        <v>Preventive</v>
      </c>
      <c r="I1173" s="16" t="str">
        <f>IFERROR(VLOOKUP(A1173,Sheet1!$E$3:$G$27,3,0),"")</f>
        <v>integrasi LAN dan validasi alarm</v>
      </c>
      <c r="J1173" s="12" t="s">
        <v>66</v>
      </c>
      <c r="K1173" s="17">
        <v>46056.0</v>
      </c>
      <c r="L1173" s="17">
        <v>46056.0</v>
      </c>
      <c r="M1173" s="12" t="s">
        <v>109</v>
      </c>
      <c r="N1173" s="23"/>
      <c r="O1173" s="22"/>
      <c r="P1173" s="22"/>
    </row>
    <row r="1174" ht="22.5" customHeight="1">
      <c r="A1174" s="12" t="s">
        <v>65</v>
      </c>
      <c r="B1174" s="20" t="str">
        <f>IFERROR(VLOOKUP(A1174,Sheet1!$E$3:$H$27,4,0),"")</f>
        <v>P3</v>
      </c>
      <c r="C1174" s="15"/>
      <c r="D1174" s="12" t="s">
        <v>32</v>
      </c>
      <c r="E1174" s="13" t="str">
        <f>IFERROR(VLOOKUP(D1174,Sheet1!$B$1:$C$45,2,0),"")</f>
        <v>TE</v>
      </c>
      <c r="F1174" s="12" t="s">
        <v>108</v>
      </c>
      <c r="G1174" s="13" t="str">
        <f t="shared" si="5"/>
        <v>Barito Raya</v>
      </c>
      <c r="H1174" s="15" t="str">
        <f>IFERROR(VLOOKUP(A1174,Sheet1!$E$3:$F$27,2,),"")</f>
        <v>Standby</v>
      </c>
      <c r="I1174" s="16" t="str">
        <f>IFERROR(VLOOKUP(A1174,Sheet1!$E$3:$G$27,3,0),"")</f>
        <v>Standby On Call</v>
      </c>
      <c r="J1174" s="12" t="s">
        <v>66</v>
      </c>
      <c r="K1174" s="17">
        <v>46056.0</v>
      </c>
      <c r="L1174" s="17">
        <v>46056.0</v>
      </c>
      <c r="M1174" s="13"/>
      <c r="N1174" s="23"/>
      <c r="O1174" s="22"/>
      <c r="P1174" s="22"/>
    </row>
    <row r="1175" ht="22.5" customHeight="1">
      <c r="A1175" s="12" t="s">
        <v>17</v>
      </c>
      <c r="B1175" s="20" t="str">
        <f>IFERROR(VLOOKUP(A1175,Sheet1!$E$3:$H$27,4,0),"")</f>
        <v>P2</v>
      </c>
      <c r="C1175" s="14" t="s">
        <v>121</v>
      </c>
      <c r="D1175" s="12" t="s">
        <v>60</v>
      </c>
      <c r="E1175" s="13" t="str">
        <f>IFERROR(VLOOKUP(D1175,Sheet1!$B$1:$C$45,2,0),"")</f>
        <v>TE</v>
      </c>
      <c r="F1175" s="12" t="s">
        <v>108</v>
      </c>
      <c r="G1175" s="13" t="str">
        <f t="shared" si="5"/>
        <v>Barito Raya</v>
      </c>
      <c r="H1175" s="15" t="str">
        <f>IFERROR(VLOOKUP(A1175,Sheet1!$E$3:$F$27,2,),"")</f>
        <v>Preventive</v>
      </c>
      <c r="I1175" s="16" t="str">
        <f>IFERROR(VLOOKUP(A1175,Sheet1!$E$3:$G$27,3,0),"")</f>
        <v>integrasi LAN dan validasi alarm</v>
      </c>
      <c r="J1175" s="12" t="s">
        <v>112</v>
      </c>
      <c r="K1175" s="17">
        <v>46056.0</v>
      </c>
      <c r="L1175" s="17">
        <v>46056.0</v>
      </c>
      <c r="M1175" s="12" t="s">
        <v>109</v>
      </c>
      <c r="N1175" s="18" t="s">
        <v>519</v>
      </c>
      <c r="O1175" s="19"/>
      <c r="P1175" s="19"/>
    </row>
    <row r="1176" ht="22.5" customHeight="1">
      <c r="A1176" s="12" t="s">
        <v>30</v>
      </c>
      <c r="B1176" s="20" t="str">
        <f>IFERROR(VLOOKUP(A1176,Sheet1!$E$3:$H$27,4,0),"")</f>
        <v>P3</v>
      </c>
      <c r="C1176" s="14" t="s">
        <v>280</v>
      </c>
      <c r="D1176" s="12" t="s">
        <v>62</v>
      </c>
      <c r="E1176" s="13" t="str">
        <f>IFERROR(VLOOKUP(D1176,Sheet1!$B$1:$C$45,2,0),"")</f>
        <v>TE</v>
      </c>
      <c r="F1176" s="12" t="s">
        <v>108</v>
      </c>
      <c r="G1176" s="13" t="str">
        <f t="shared" si="5"/>
        <v>Barito Raya</v>
      </c>
      <c r="H1176" s="15" t="str">
        <f>IFERROR(VLOOKUP(A1176,Sheet1!$E$3:$F$27,2,),"")</f>
        <v>Preventive</v>
      </c>
      <c r="I1176" s="16" t="str">
        <f>IFERROR(VLOOKUP(A1176,Sheet1!$E$3:$G$27,3,0),"")</f>
        <v>Pengawalan akses Vendor</v>
      </c>
      <c r="J1176" s="12" t="s">
        <v>112</v>
      </c>
      <c r="K1176" s="17">
        <v>46056.0</v>
      </c>
      <c r="L1176" s="17">
        <v>46056.0</v>
      </c>
      <c r="M1176" s="12" t="s">
        <v>109</v>
      </c>
      <c r="N1176" s="23"/>
      <c r="O1176" s="22"/>
      <c r="P1176" s="22"/>
    </row>
    <row r="1177" ht="22.5" customHeight="1">
      <c r="A1177" s="12" t="s">
        <v>5</v>
      </c>
      <c r="B1177" s="20" t="str">
        <f>IFERROR(VLOOKUP(A1177,Sheet1!$E$3:$H$27,4,0),"")</f>
        <v>P1</v>
      </c>
      <c r="C1177" s="14" t="s">
        <v>487</v>
      </c>
      <c r="D1177" s="12" t="s">
        <v>74</v>
      </c>
      <c r="E1177" s="13" t="str">
        <f>IFERROR(VLOOKUP(D1177,Sheet1!$B$1:$C$45,2,0),"")</f>
        <v>TE</v>
      </c>
      <c r="F1177" s="12" t="s">
        <v>108</v>
      </c>
      <c r="G1177" s="13" t="str">
        <f t="shared" si="5"/>
        <v>Barito Raya</v>
      </c>
      <c r="H1177" s="15" t="str">
        <f>IFERROR(VLOOKUP(A1177,Sheet1!$E$3:$F$27,2,),"")</f>
        <v>Corrective</v>
      </c>
      <c r="I1177" s="16" t="str">
        <f>IFERROR(VLOOKUP(A1177,Sheet1!$E$3:$G$27,3,0),"")</f>
        <v>Replace Optik,RRU/Soket Power/Replace GPS</v>
      </c>
      <c r="J1177" s="12" t="s">
        <v>112</v>
      </c>
      <c r="K1177" s="17">
        <v>46056.0</v>
      </c>
      <c r="L1177" s="17">
        <v>46056.0</v>
      </c>
      <c r="M1177" s="12" t="s">
        <v>122</v>
      </c>
      <c r="N1177" s="18" t="s">
        <v>520</v>
      </c>
      <c r="O1177" s="19"/>
      <c r="P1177" s="19"/>
    </row>
    <row r="1178" ht="22.5" customHeight="1">
      <c r="A1178" s="12" t="s">
        <v>14</v>
      </c>
      <c r="B1178" s="20" t="str">
        <f>IFERROR(VLOOKUP(A1178,Sheet1!$E$3:$H$27,4,0),"")</f>
        <v>P1</v>
      </c>
      <c r="C1178" s="14" t="s">
        <v>521</v>
      </c>
      <c r="D1178" s="12" t="s">
        <v>39</v>
      </c>
      <c r="E1178" s="13" t="str">
        <f>IFERROR(VLOOKUP(D1178,Sheet1!$B$1:$C$45,2,0),"")</f>
        <v>TE</v>
      </c>
      <c r="F1178" s="12" t="s">
        <v>108</v>
      </c>
      <c r="G1178" s="13" t="str">
        <f t="shared" si="5"/>
        <v>Barito Raya</v>
      </c>
      <c r="H1178" s="15" t="str">
        <f>IFERROR(VLOOKUP(A1178,Sheet1!$E$3:$F$27,2,),"")</f>
        <v>Corrective</v>
      </c>
      <c r="I1178" s="16" t="str">
        <f>IFERROR(VLOOKUP(A1178,Sheet1!$E$3:$G$27,3,0),"")</f>
        <v>Pemadaman,MCB Trip,Transmisi problem</v>
      </c>
      <c r="J1178" s="12" t="s">
        <v>112</v>
      </c>
      <c r="K1178" s="17">
        <v>46056.0</v>
      </c>
      <c r="L1178" s="17">
        <v>46056.0</v>
      </c>
      <c r="M1178" s="12" t="s">
        <v>122</v>
      </c>
      <c r="N1178" s="18" t="s">
        <v>522</v>
      </c>
      <c r="O1178" s="19"/>
      <c r="P1178" s="19"/>
    </row>
    <row r="1179" ht="22.5" customHeight="1">
      <c r="A1179" s="12" t="s">
        <v>5</v>
      </c>
      <c r="B1179" s="20" t="str">
        <f>IFERROR(VLOOKUP(A1179,Sheet1!$E$3:$H$27,4,0),"")</f>
        <v>P1</v>
      </c>
      <c r="C1179" s="14" t="s">
        <v>523</v>
      </c>
      <c r="D1179" s="12" t="s">
        <v>42</v>
      </c>
      <c r="E1179" s="13" t="str">
        <f>IFERROR(VLOOKUP(D1179,Sheet1!$B$1:$C$45,2,0),"")</f>
        <v>TE</v>
      </c>
      <c r="F1179" s="12" t="s">
        <v>108</v>
      </c>
      <c r="G1179" s="13" t="str">
        <f t="shared" si="5"/>
        <v>Barito Raya</v>
      </c>
      <c r="H1179" s="15" t="str">
        <f>IFERROR(VLOOKUP(A1179,Sheet1!$E$3:$F$27,2,),"")</f>
        <v>Corrective</v>
      </c>
      <c r="I1179" s="16" t="str">
        <f>IFERROR(VLOOKUP(A1179,Sheet1!$E$3:$G$27,3,0),"")</f>
        <v>Replace Optik,RRU/Soket Power/Replace GPS</v>
      </c>
      <c r="J1179" s="12" t="s">
        <v>112</v>
      </c>
      <c r="K1179" s="17">
        <v>46056.0</v>
      </c>
      <c r="L1179" s="17">
        <v>46056.0</v>
      </c>
      <c r="M1179" s="12" t="s">
        <v>122</v>
      </c>
      <c r="N1179" s="18" t="s">
        <v>522</v>
      </c>
      <c r="O1179" s="19"/>
      <c r="P1179" s="19"/>
    </row>
    <row r="1180" ht="22.5" customHeight="1">
      <c r="A1180" s="12" t="s">
        <v>22</v>
      </c>
      <c r="B1180" s="20" t="str">
        <f>IFERROR(VLOOKUP(A1180,Sheet1!$E$3:$H$27,4,0),"")</f>
        <v>P2</v>
      </c>
      <c r="C1180" s="14" t="s">
        <v>518</v>
      </c>
      <c r="D1180" s="12" t="s">
        <v>9</v>
      </c>
      <c r="E1180" s="13" t="str">
        <f>IFERROR(VLOOKUP(D1180,Sheet1!$B$1:$C$45,2,0),"")</f>
        <v>MBP</v>
      </c>
      <c r="F1180" s="12" t="s">
        <v>108</v>
      </c>
      <c r="G1180" s="13" t="str">
        <f t="shared" si="5"/>
        <v>Barito Raya</v>
      </c>
      <c r="H1180" s="15" t="str">
        <f>IFERROR(VLOOKUP(A1180,Sheet1!$E$3:$F$27,2,),"")</f>
        <v>Preventive</v>
      </c>
      <c r="I1180" s="16" t="str">
        <f>IFERROR(VLOOKUP(A1180,Sheet1!$E$3:$G$27,3,0),"")</f>
        <v>Preventive Maintenance</v>
      </c>
      <c r="J1180" s="12" t="s">
        <v>112</v>
      </c>
      <c r="K1180" s="17">
        <v>46056.0</v>
      </c>
      <c r="L1180" s="17">
        <v>46056.0</v>
      </c>
      <c r="M1180" s="12" t="s">
        <v>109</v>
      </c>
      <c r="N1180" s="23"/>
      <c r="O1180" s="22"/>
      <c r="P1180" s="22"/>
    </row>
    <row r="1181" ht="22.5" customHeight="1">
      <c r="A1181" s="12" t="s">
        <v>65</v>
      </c>
      <c r="B1181" s="20" t="str">
        <f>IFERROR(VLOOKUP(A1181,Sheet1!$E$3:$H$27,4,0),"")</f>
        <v>P3</v>
      </c>
      <c r="C1181" s="15"/>
      <c r="D1181" s="12" t="s">
        <v>4</v>
      </c>
      <c r="E1181" s="13" t="str">
        <f>IFERROR(VLOOKUP(D1181,Sheet1!$B$1:$C$45,2,0),"")</f>
        <v>CME</v>
      </c>
      <c r="F1181" s="12" t="s">
        <v>108</v>
      </c>
      <c r="G1181" s="13" t="str">
        <f t="shared" si="5"/>
        <v>Barito Raya</v>
      </c>
      <c r="H1181" s="15" t="str">
        <f>IFERROR(VLOOKUP(A1181,Sheet1!$E$3:$F$27,2,),"")</f>
        <v>Standby</v>
      </c>
      <c r="I1181" s="16" t="str">
        <f>IFERROR(VLOOKUP(A1181,Sheet1!$E$3:$G$27,3,0),"")</f>
        <v>Standby On Call</v>
      </c>
      <c r="J1181" s="12" t="s">
        <v>66</v>
      </c>
      <c r="K1181" s="17">
        <v>46056.0</v>
      </c>
      <c r="L1181" s="17">
        <v>46056.0</v>
      </c>
      <c r="M1181" s="13"/>
      <c r="N1181" s="23"/>
      <c r="O1181" s="22"/>
      <c r="P1181" s="22"/>
    </row>
    <row r="1182" ht="22.5" customHeight="1">
      <c r="A1182" s="12" t="s">
        <v>65</v>
      </c>
      <c r="B1182" s="20" t="str">
        <f>IFERROR(VLOOKUP(A1182,Sheet1!$E$3:$H$27,4,0),"")</f>
        <v>P3</v>
      </c>
      <c r="C1182" s="15"/>
      <c r="D1182" s="12" t="s">
        <v>87</v>
      </c>
      <c r="E1182" s="13" t="str">
        <f>IFERROR(VLOOKUP(D1182,Sheet1!$B$1:$C$45,2,0),"")</f>
        <v>MBP</v>
      </c>
      <c r="F1182" s="12" t="s">
        <v>108</v>
      </c>
      <c r="G1182" s="13" t="str">
        <f t="shared" si="5"/>
        <v>Barito Raya</v>
      </c>
      <c r="H1182" s="15" t="str">
        <f>IFERROR(VLOOKUP(A1182,Sheet1!$E$3:$F$27,2,),"")</f>
        <v>Standby</v>
      </c>
      <c r="I1182" s="16" t="str">
        <f>IFERROR(VLOOKUP(A1182,Sheet1!$E$3:$G$27,3,0),"")</f>
        <v>Standby On Call</v>
      </c>
      <c r="J1182" s="12" t="s">
        <v>66</v>
      </c>
      <c r="K1182" s="17">
        <v>46056.0</v>
      </c>
      <c r="L1182" s="17">
        <v>46056.0</v>
      </c>
      <c r="M1182" s="13"/>
      <c r="N1182" s="23"/>
      <c r="O1182" s="22"/>
      <c r="P1182" s="22"/>
    </row>
    <row r="1183" ht="22.5" customHeight="1">
      <c r="A1183" s="12" t="s">
        <v>65</v>
      </c>
      <c r="B1183" s="20" t="str">
        <f>IFERROR(VLOOKUP(A1183,Sheet1!$E$3:$H$27,4,0),"")</f>
        <v>P3</v>
      </c>
      <c r="C1183" s="15"/>
      <c r="D1183" s="12" t="s">
        <v>29</v>
      </c>
      <c r="E1183" s="13" t="str">
        <f>IFERROR(VLOOKUP(D1183,Sheet1!$B$1:$C$45,2,0),"")</f>
        <v>MBP</v>
      </c>
      <c r="F1183" s="12" t="s">
        <v>108</v>
      </c>
      <c r="G1183" s="13" t="str">
        <f t="shared" si="5"/>
        <v>Barito Raya</v>
      </c>
      <c r="H1183" s="15" t="str">
        <f>IFERROR(VLOOKUP(A1183,Sheet1!$E$3:$F$27,2,),"")</f>
        <v>Standby</v>
      </c>
      <c r="I1183" s="16" t="str">
        <f>IFERROR(VLOOKUP(A1183,Sheet1!$E$3:$G$27,3,0),"")</f>
        <v>Standby On Call</v>
      </c>
      <c r="J1183" s="12" t="s">
        <v>66</v>
      </c>
      <c r="K1183" s="17">
        <v>46056.0</v>
      </c>
      <c r="L1183" s="17">
        <v>46056.0</v>
      </c>
      <c r="M1183" s="13"/>
      <c r="N1183" s="23"/>
      <c r="O1183" s="22"/>
      <c r="P1183" s="22"/>
    </row>
    <row r="1184" ht="22.5" customHeight="1">
      <c r="A1184" s="12" t="s">
        <v>52</v>
      </c>
      <c r="B1184" s="20" t="str">
        <f>IFERROR(VLOOKUP(A1184,Sheet1!$E$3:$H$27,4,0),"")</f>
        <v>P1</v>
      </c>
      <c r="C1184" s="14" t="s">
        <v>263</v>
      </c>
      <c r="D1184" s="12" t="s">
        <v>2</v>
      </c>
      <c r="E1184" s="13" t="str">
        <f>IFERROR(VLOOKUP(D1184,Sheet1!$B$1:$C$45,2,0),"")</f>
        <v>CME</v>
      </c>
      <c r="F1184" s="12" t="s">
        <v>108</v>
      </c>
      <c r="G1184" s="13" t="str">
        <f t="shared" si="5"/>
        <v>Barito Raya</v>
      </c>
      <c r="H1184" s="15" t="str">
        <f>IFERROR(VLOOKUP(A1184,Sheet1!$E$3:$F$27,2,),"")</f>
        <v>Preventive</v>
      </c>
      <c r="I1184" s="16" t="str">
        <f>IFERROR(VLOOKUP(A1184,Sheet1!$E$3:$G$27,3,0),"")</f>
        <v>MCB trip/Power upnormal</v>
      </c>
      <c r="J1184" s="12" t="s">
        <v>112</v>
      </c>
      <c r="K1184" s="17">
        <v>46056.0</v>
      </c>
      <c r="L1184" s="17">
        <v>46056.0</v>
      </c>
      <c r="M1184" s="12" t="s">
        <v>109</v>
      </c>
      <c r="N1184" s="18" t="s">
        <v>524</v>
      </c>
      <c r="O1184" s="19"/>
      <c r="P1184" s="19"/>
    </row>
    <row r="1185" ht="22.5" customHeight="1">
      <c r="A1185" s="12" t="s">
        <v>52</v>
      </c>
      <c r="B1185" s="20" t="str">
        <f>IFERROR(VLOOKUP(A1185,Sheet1!$E$3:$H$27,4,0),"")</f>
        <v>P1</v>
      </c>
      <c r="C1185" s="14" t="s">
        <v>206</v>
      </c>
      <c r="D1185" s="12" t="s">
        <v>0</v>
      </c>
      <c r="E1185" s="13" t="str">
        <f>IFERROR(VLOOKUP(D1185,Sheet1!$B$1:$C$45,2,0),"")</f>
        <v>MBP</v>
      </c>
      <c r="F1185" s="12" t="s">
        <v>108</v>
      </c>
      <c r="G1185" s="13" t="str">
        <f t="shared" si="5"/>
        <v>Barito Raya</v>
      </c>
      <c r="H1185" s="15" t="str">
        <f>IFERROR(VLOOKUP(A1185,Sheet1!$E$3:$F$27,2,),"")</f>
        <v>Preventive</v>
      </c>
      <c r="I1185" s="16" t="str">
        <f>IFERROR(VLOOKUP(A1185,Sheet1!$E$3:$G$27,3,0),"")</f>
        <v>MCB trip/Power upnormal</v>
      </c>
      <c r="J1185" s="12" t="s">
        <v>112</v>
      </c>
      <c r="K1185" s="17">
        <v>46056.0</v>
      </c>
      <c r="L1185" s="17">
        <v>46056.0</v>
      </c>
      <c r="M1185" s="12" t="s">
        <v>109</v>
      </c>
      <c r="N1185" s="18" t="s">
        <v>515</v>
      </c>
      <c r="O1185" s="19"/>
      <c r="P1185" s="19"/>
    </row>
    <row r="1186" ht="22.5" customHeight="1">
      <c r="A1186" s="12" t="s">
        <v>22</v>
      </c>
      <c r="B1186" s="20" t="str">
        <f>IFERROR(VLOOKUP(A1186,Sheet1!$E$3:$H$27,4,0),"")</f>
        <v>P2</v>
      </c>
      <c r="C1186" s="14" t="s">
        <v>333</v>
      </c>
      <c r="D1186" s="12" t="s">
        <v>85</v>
      </c>
      <c r="E1186" s="13" t="str">
        <f>IFERROR(VLOOKUP(D1186,Sheet1!$B$1:$C$45,2,0),"")</f>
        <v>PM</v>
      </c>
      <c r="F1186" s="12" t="s">
        <v>108</v>
      </c>
      <c r="G1186" s="13" t="str">
        <f t="shared" si="5"/>
        <v>Barito Raya</v>
      </c>
      <c r="H1186" s="15" t="str">
        <f>IFERROR(VLOOKUP(A1186,Sheet1!$E$3:$F$27,2,),"")</f>
        <v>Preventive</v>
      </c>
      <c r="I1186" s="16" t="str">
        <f>IFERROR(VLOOKUP(A1186,Sheet1!$E$3:$G$27,3,0),"")</f>
        <v>Preventive Maintenance</v>
      </c>
      <c r="J1186" s="12" t="s">
        <v>112</v>
      </c>
      <c r="K1186" s="17">
        <v>46056.0</v>
      </c>
      <c r="L1186" s="17">
        <v>46056.0</v>
      </c>
      <c r="M1186" s="12" t="s">
        <v>109</v>
      </c>
      <c r="N1186" s="23"/>
      <c r="O1186" s="22"/>
      <c r="P1186" s="22"/>
    </row>
    <row r="1187" ht="22.5" customHeight="1">
      <c r="A1187" s="12" t="s">
        <v>22</v>
      </c>
      <c r="B1187" s="20" t="str">
        <f>IFERROR(VLOOKUP(A1187,Sheet1!$E$3:$H$27,4,0),"")</f>
        <v>P2</v>
      </c>
      <c r="C1187" s="14" t="s">
        <v>333</v>
      </c>
      <c r="D1187" s="12" t="s">
        <v>84</v>
      </c>
      <c r="E1187" s="13" t="str">
        <f>IFERROR(VLOOKUP(D1187,Sheet1!$B$1:$C$45,2,0),"")</f>
        <v>MBP</v>
      </c>
      <c r="F1187" s="12" t="s">
        <v>108</v>
      </c>
      <c r="G1187" s="13" t="str">
        <f t="shared" si="5"/>
        <v>Barito Raya</v>
      </c>
      <c r="H1187" s="15" t="str">
        <f>IFERROR(VLOOKUP(A1187,Sheet1!$E$3:$F$27,2,),"")</f>
        <v>Preventive</v>
      </c>
      <c r="I1187" s="16" t="str">
        <f>IFERROR(VLOOKUP(A1187,Sheet1!$E$3:$G$27,3,0),"")</f>
        <v>Preventive Maintenance</v>
      </c>
      <c r="J1187" s="12" t="s">
        <v>112</v>
      </c>
      <c r="K1187" s="17">
        <v>46056.0</v>
      </c>
      <c r="L1187" s="17">
        <v>46056.0</v>
      </c>
      <c r="M1187" s="12" t="s">
        <v>109</v>
      </c>
      <c r="N1187" s="23"/>
      <c r="O1187" s="22"/>
      <c r="P1187" s="22"/>
    </row>
    <row r="1188" ht="22.5" customHeight="1">
      <c r="A1188" s="12" t="s">
        <v>22</v>
      </c>
      <c r="B1188" s="20" t="str">
        <f>IFERROR(VLOOKUP(A1188,Sheet1!$E$3:$H$27,4,0),"")</f>
        <v>P2</v>
      </c>
      <c r="C1188" s="14" t="s">
        <v>313</v>
      </c>
      <c r="D1188" s="12" t="s">
        <v>86</v>
      </c>
      <c r="E1188" s="13" t="str">
        <f>IFERROR(VLOOKUP(D1188,Sheet1!$B$1:$C$45,2,0),"")</f>
        <v>PM</v>
      </c>
      <c r="F1188" s="12" t="s">
        <v>108</v>
      </c>
      <c r="G1188" s="13" t="str">
        <f t="shared" si="5"/>
        <v>Barito Raya</v>
      </c>
      <c r="H1188" s="15" t="str">
        <f>IFERROR(VLOOKUP(A1188,Sheet1!$E$3:$F$27,2,),"")</f>
        <v>Preventive</v>
      </c>
      <c r="I1188" s="16" t="str">
        <f>IFERROR(VLOOKUP(A1188,Sheet1!$E$3:$G$27,3,0),"")</f>
        <v>Preventive Maintenance</v>
      </c>
      <c r="J1188" s="12" t="s">
        <v>112</v>
      </c>
      <c r="K1188" s="17">
        <v>46056.0</v>
      </c>
      <c r="L1188" s="17">
        <v>46056.0</v>
      </c>
      <c r="M1188" s="12" t="s">
        <v>109</v>
      </c>
      <c r="N1188" s="23"/>
      <c r="O1188" s="22"/>
      <c r="P1188" s="22"/>
    </row>
    <row r="1189" ht="22.5" customHeight="1">
      <c r="A1189" s="12" t="s">
        <v>5</v>
      </c>
      <c r="B1189" s="20" t="str">
        <f>IFERROR(VLOOKUP(A1189,Sheet1!$E$3:$H$27,4,0),"")</f>
        <v>P1</v>
      </c>
      <c r="C1189" s="14" t="s">
        <v>476</v>
      </c>
      <c r="D1189" s="12" t="s">
        <v>37</v>
      </c>
      <c r="E1189" s="13" t="str">
        <f>IFERROR(VLOOKUP(D1189,Sheet1!$B$1:$C$45,2,0),"")</f>
        <v>TE</v>
      </c>
      <c r="F1189" s="12" t="s">
        <v>179</v>
      </c>
      <c r="G1189" s="13" t="str">
        <f t="shared" si="5"/>
        <v>Palangkaraya</v>
      </c>
      <c r="H1189" s="15" t="str">
        <f>IFERROR(VLOOKUP(A1189,Sheet1!$E$3:$F$27,2,),"")</f>
        <v>Corrective</v>
      </c>
      <c r="I1189" s="16" t="str">
        <f>IFERROR(VLOOKUP(A1189,Sheet1!$E$3:$G$27,3,0),"")</f>
        <v>Replace Optik,RRU/Soket Power/Replace GPS</v>
      </c>
      <c r="J1189" s="12" t="s">
        <v>112</v>
      </c>
      <c r="K1189" s="17">
        <v>46056.0</v>
      </c>
      <c r="L1189" s="17">
        <v>46056.0</v>
      </c>
      <c r="M1189" s="12" t="s">
        <v>109</v>
      </c>
      <c r="N1189" s="23"/>
      <c r="O1189" s="22"/>
      <c r="P1189" s="22"/>
    </row>
    <row r="1190" ht="22.5" customHeight="1">
      <c r="A1190" s="12" t="s">
        <v>5</v>
      </c>
      <c r="B1190" s="20" t="str">
        <f>IFERROR(VLOOKUP(A1190,Sheet1!$E$3:$H$27,4,0),"")</f>
        <v>P1</v>
      </c>
      <c r="C1190" s="14" t="s">
        <v>476</v>
      </c>
      <c r="D1190" s="12" t="s">
        <v>80</v>
      </c>
      <c r="E1190" s="13" t="str">
        <f>IFERROR(VLOOKUP(D1190,Sheet1!$B$1:$C$45,2,0),"")</f>
        <v>TE</v>
      </c>
      <c r="F1190" s="12" t="s">
        <v>179</v>
      </c>
      <c r="G1190" s="13" t="str">
        <f t="shared" si="5"/>
        <v>Palangkaraya</v>
      </c>
      <c r="H1190" s="15" t="str">
        <f>IFERROR(VLOOKUP(A1190,Sheet1!$E$3:$F$27,2,),"")</f>
        <v>Corrective</v>
      </c>
      <c r="I1190" s="16" t="str">
        <f>IFERROR(VLOOKUP(A1190,Sheet1!$E$3:$G$27,3,0),"")</f>
        <v>Replace Optik,RRU/Soket Power/Replace GPS</v>
      </c>
      <c r="J1190" s="12" t="s">
        <v>112</v>
      </c>
      <c r="K1190" s="17">
        <v>46056.0</v>
      </c>
      <c r="L1190" s="17">
        <v>46056.0</v>
      </c>
      <c r="M1190" s="12" t="s">
        <v>109</v>
      </c>
      <c r="N1190" s="23"/>
      <c r="O1190" s="22"/>
      <c r="P1190" s="22"/>
    </row>
    <row r="1191" ht="22.5" customHeight="1">
      <c r="A1191" s="12" t="s">
        <v>27</v>
      </c>
      <c r="B1191" s="20" t="str">
        <f>IFERROR(VLOOKUP(A1191,Sheet1!$E$3:$H$27,4,0),"")</f>
        <v>P2</v>
      </c>
      <c r="C1191" s="14" t="s">
        <v>525</v>
      </c>
      <c r="D1191" s="12" t="s">
        <v>77</v>
      </c>
      <c r="E1191" s="13" t="str">
        <f>IFERROR(VLOOKUP(D1191,Sheet1!$B$1:$C$45,2,0),"")</f>
        <v>TE</v>
      </c>
      <c r="F1191" s="12" t="s">
        <v>179</v>
      </c>
      <c r="G1191" s="13" t="str">
        <f t="shared" si="5"/>
        <v>Palangkaraya</v>
      </c>
      <c r="H1191" s="15" t="str">
        <f>IFERROR(VLOOKUP(A1191,Sheet1!$E$3:$F$27,2,),"")</f>
        <v>Preventive</v>
      </c>
      <c r="I1191" s="16" t="str">
        <f>IFERROR(VLOOKUP(A1191,Sheet1!$E$3:$G$27,3,0),"")</f>
        <v>Akses/Hub Site problem metro</v>
      </c>
      <c r="J1191" s="12" t="s">
        <v>112</v>
      </c>
      <c r="K1191" s="17">
        <v>46056.0</v>
      </c>
      <c r="L1191" s="17">
        <v>46056.0</v>
      </c>
      <c r="M1191" s="12" t="s">
        <v>109</v>
      </c>
      <c r="N1191" s="23"/>
      <c r="O1191" s="22"/>
      <c r="P1191" s="22"/>
    </row>
    <row r="1192" ht="22.5" customHeight="1">
      <c r="A1192" s="12" t="s">
        <v>5</v>
      </c>
      <c r="B1192" s="20" t="str">
        <f>IFERROR(VLOOKUP(A1192,Sheet1!$E$3:$H$27,4,0),"")</f>
        <v>P1</v>
      </c>
      <c r="C1192" s="14" t="s">
        <v>477</v>
      </c>
      <c r="D1192" s="12" t="s">
        <v>79</v>
      </c>
      <c r="E1192" s="13" t="str">
        <f>IFERROR(VLOOKUP(D1192,Sheet1!$B$1:$C$45,2,0),"")</f>
        <v>TE</v>
      </c>
      <c r="F1192" s="12" t="s">
        <v>179</v>
      </c>
      <c r="G1192" s="13" t="str">
        <f t="shared" si="5"/>
        <v>Palangkaraya</v>
      </c>
      <c r="H1192" s="15" t="str">
        <f>IFERROR(VLOOKUP(A1192,Sheet1!$E$3:$F$27,2,),"")</f>
        <v>Corrective</v>
      </c>
      <c r="I1192" s="16" t="str">
        <f>IFERROR(VLOOKUP(A1192,Sheet1!$E$3:$G$27,3,0),"")</f>
        <v>Replace Optik,RRU/Soket Power/Replace GPS</v>
      </c>
      <c r="J1192" s="12" t="s">
        <v>112</v>
      </c>
      <c r="K1192" s="17">
        <v>46056.0</v>
      </c>
      <c r="L1192" s="17">
        <v>46056.0</v>
      </c>
      <c r="M1192" s="12" t="s">
        <v>122</v>
      </c>
      <c r="N1192" s="23"/>
      <c r="O1192" s="22"/>
      <c r="P1192" s="22"/>
    </row>
    <row r="1193" ht="22.5" customHeight="1">
      <c r="A1193" s="12" t="s">
        <v>14</v>
      </c>
      <c r="B1193" s="20" t="str">
        <f>IFERROR(VLOOKUP(A1193,Sheet1!$E$3:$H$27,4,0),"")</f>
        <v>P1</v>
      </c>
      <c r="C1193" s="14" t="s">
        <v>526</v>
      </c>
      <c r="D1193" s="12" t="s">
        <v>51</v>
      </c>
      <c r="E1193" s="13" t="str">
        <f>IFERROR(VLOOKUP(D1193,Sheet1!$B$1:$C$45,2,0),"")</f>
        <v>TE</v>
      </c>
      <c r="F1193" s="12" t="s">
        <v>179</v>
      </c>
      <c r="G1193" s="13" t="str">
        <f t="shared" si="5"/>
        <v>Palangkaraya</v>
      </c>
      <c r="H1193" s="15" t="str">
        <f>IFERROR(VLOOKUP(A1193,Sheet1!$E$3:$F$27,2,),"")</f>
        <v>Corrective</v>
      </c>
      <c r="I1193" s="16" t="str">
        <f>IFERROR(VLOOKUP(A1193,Sheet1!$E$3:$G$27,3,0),"")</f>
        <v>Pemadaman,MCB Trip,Transmisi problem</v>
      </c>
      <c r="J1193" s="12" t="s">
        <v>112</v>
      </c>
      <c r="K1193" s="17">
        <v>46056.0</v>
      </c>
      <c r="L1193" s="17">
        <v>46056.0</v>
      </c>
      <c r="M1193" s="12" t="s">
        <v>109</v>
      </c>
      <c r="N1193" s="23"/>
      <c r="O1193" s="22"/>
      <c r="P1193" s="22"/>
    </row>
    <row r="1194" ht="22.5" customHeight="1">
      <c r="A1194" s="12" t="s">
        <v>14</v>
      </c>
      <c r="B1194" s="20" t="str">
        <f>IFERROR(VLOOKUP(A1194,Sheet1!$E$3:$H$27,4,0),"")</f>
        <v>P1</v>
      </c>
      <c r="C1194" s="14" t="s">
        <v>363</v>
      </c>
      <c r="D1194" s="12" t="s">
        <v>78</v>
      </c>
      <c r="E1194" s="13" t="str">
        <f>IFERROR(VLOOKUP(D1194,Sheet1!$B$1:$C$45,2,0),"")</f>
        <v>TE</v>
      </c>
      <c r="F1194" s="12" t="s">
        <v>179</v>
      </c>
      <c r="G1194" s="13" t="str">
        <f t="shared" si="5"/>
        <v>Palangkaraya</v>
      </c>
      <c r="H1194" s="15" t="str">
        <f>IFERROR(VLOOKUP(A1194,Sheet1!$E$3:$F$27,2,),"")</f>
        <v>Corrective</v>
      </c>
      <c r="I1194" s="16" t="str">
        <f>IFERROR(VLOOKUP(A1194,Sheet1!$E$3:$G$27,3,0),"")</f>
        <v>Pemadaman,MCB Trip,Transmisi problem</v>
      </c>
      <c r="J1194" s="12" t="s">
        <v>112</v>
      </c>
      <c r="K1194" s="17">
        <v>46056.0</v>
      </c>
      <c r="L1194" s="17">
        <v>46056.0</v>
      </c>
      <c r="M1194" s="12" t="s">
        <v>109</v>
      </c>
      <c r="N1194" s="23"/>
      <c r="O1194" s="22"/>
      <c r="P1194" s="22"/>
    </row>
    <row r="1195" ht="22.5" customHeight="1">
      <c r="A1195" s="12" t="s">
        <v>14</v>
      </c>
      <c r="B1195" s="20" t="str">
        <f>IFERROR(VLOOKUP(A1195,Sheet1!$E$3:$H$27,4,0),"")</f>
        <v>P1</v>
      </c>
      <c r="C1195" s="14" t="s">
        <v>363</v>
      </c>
      <c r="D1195" s="12" t="s">
        <v>76</v>
      </c>
      <c r="E1195" s="13" t="str">
        <f>IFERROR(VLOOKUP(D1195,Sheet1!$B$1:$C$45,2,0),"")</f>
        <v>TE</v>
      </c>
      <c r="F1195" s="12" t="s">
        <v>179</v>
      </c>
      <c r="G1195" s="13" t="str">
        <f t="shared" si="5"/>
        <v>Palangkaraya</v>
      </c>
      <c r="H1195" s="15" t="str">
        <f>IFERROR(VLOOKUP(A1195,Sheet1!$E$3:$F$27,2,),"")</f>
        <v>Corrective</v>
      </c>
      <c r="I1195" s="16" t="str">
        <f>IFERROR(VLOOKUP(A1195,Sheet1!$E$3:$G$27,3,0),"")</f>
        <v>Pemadaman,MCB Trip,Transmisi problem</v>
      </c>
      <c r="J1195" s="12" t="s">
        <v>112</v>
      </c>
      <c r="K1195" s="17">
        <v>46056.0</v>
      </c>
      <c r="L1195" s="17">
        <v>46056.0</v>
      </c>
      <c r="M1195" s="12" t="s">
        <v>109</v>
      </c>
      <c r="N1195" s="23"/>
      <c r="O1195" s="22"/>
      <c r="P1195" s="22"/>
    </row>
    <row r="1196" ht="22.5" customHeight="1">
      <c r="A1196" s="12" t="s">
        <v>14</v>
      </c>
      <c r="B1196" s="20" t="str">
        <f>IFERROR(VLOOKUP(A1196,Sheet1!$E$3:$H$27,4,0),"")</f>
        <v>P1</v>
      </c>
      <c r="C1196" s="14" t="s">
        <v>527</v>
      </c>
      <c r="D1196" s="12" t="s">
        <v>91</v>
      </c>
      <c r="E1196" s="13" t="str">
        <f>IFERROR(VLOOKUP(D1196,Sheet1!$B$1:$C$45,2,0),"")</f>
        <v>TE</v>
      </c>
      <c r="F1196" s="12" t="s">
        <v>179</v>
      </c>
      <c r="G1196" s="13" t="str">
        <f t="shared" si="5"/>
        <v>Palangkaraya</v>
      </c>
      <c r="H1196" s="15" t="str">
        <f>IFERROR(VLOOKUP(A1196,Sheet1!$E$3:$F$27,2,),"")</f>
        <v>Corrective</v>
      </c>
      <c r="I1196" s="16" t="str">
        <f>IFERROR(VLOOKUP(A1196,Sheet1!$E$3:$G$27,3,0),"")</f>
        <v>Pemadaman,MCB Trip,Transmisi problem</v>
      </c>
      <c r="J1196" s="12" t="s">
        <v>112</v>
      </c>
      <c r="K1196" s="17">
        <v>46056.0</v>
      </c>
      <c r="L1196" s="17">
        <v>46056.0</v>
      </c>
      <c r="M1196" s="12" t="s">
        <v>122</v>
      </c>
      <c r="N1196" s="23"/>
      <c r="O1196" s="22"/>
      <c r="P1196" s="22"/>
    </row>
    <row r="1197" ht="22.5" customHeight="1">
      <c r="A1197" s="12" t="s">
        <v>14</v>
      </c>
      <c r="B1197" s="20" t="str">
        <f>IFERROR(VLOOKUP(A1197,Sheet1!$E$3:$H$27,4,0),"")</f>
        <v>P1</v>
      </c>
      <c r="C1197" s="14" t="s">
        <v>364</v>
      </c>
      <c r="D1197" s="12" t="s">
        <v>58</v>
      </c>
      <c r="E1197" s="13" t="str">
        <f>IFERROR(VLOOKUP(D1197,Sheet1!$B$1:$C$45,2,0),"")</f>
        <v>TE</v>
      </c>
      <c r="F1197" s="12" t="s">
        <v>179</v>
      </c>
      <c r="G1197" s="13" t="str">
        <f t="shared" si="5"/>
        <v>Palangkaraya</v>
      </c>
      <c r="H1197" s="15" t="str">
        <f>IFERROR(VLOOKUP(A1197,Sheet1!$E$3:$F$27,2,),"")</f>
        <v>Corrective</v>
      </c>
      <c r="I1197" s="16" t="str">
        <f>IFERROR(VLOOKUP(A1197,Sheet1!$E$3:$G$27,3,0),"")</f>
        <v>Pemadaman,MCB Trip,Transmisi problem</v>
      </c>
      <c r="J1197" s="12" t="s">
        <v>112</v>
      </c>
      <c r="K1197" s="17">
        <v>46056.0</v>
      </c>
      <c r="L1197" s="17">
        <v>46056.0</v>
      </c>
      <c r="M1197" s="12" t="s">
        <v>122</v>
      </c>
      <c r="N1197" s="23"/>
      <c r="O1197" s="22"/>
      <c r="P1197" s="22"/>
    </row>
    <row r="1198" ht="22.5" customHeight="1">
      <c r="A1198" s="12" t="s">
        <v>5</v>
      </c>
      <c r="B1198" s="20" t="str">
        <f>IFERROR(VLOOKUP(A1198,Sheet1!$E$3:$H$27,4,0),"")</f>
        <v>P1</v>
      </c>
      <c r="C1198" s="14" t="s">
        <v>267</v>
      </c>
      <c r="D1198" s="12" t="s">
        <v>71</v>
      </c>
      <c r="E1198" s="13" t="str">
        <f>IFERROR(VLOOKUP(D1198,Sheet1!$B$1:$C$45,2,0),"")</f>
        <v>TE</v>
      </c>
      <c r="F1198" s="12" t="s">
        <v>179</v>
      </c>
      <c r="G1198" s="13" t="str">
        <f t="shared" si="5"/>
        <v>Palangkaraya</v>
      </c>
      <c r="H1198" s="15" t="str">
        <f>IFERROR(VLOOKUP(A1198,Sheet1!$E$3:$F$27,2,),"")</f>
        <v>Corrective</v>
      </c>
      <c r="I1198" s="16" t="str">
        <f>IFERROR(VLOOKUP(A1198,Sheet1!$E$3:$G$27,3,0),"")</f>
        <v>Replace Optik,RRU/Soket Power/Replace GPS</v>
      </c>
      <c r="J1198" s="12" t="s">
        <v>112</v>
      </c>
      <c r="K1198" s="17">
        <v>46056.0</v>
      </c>
      <c r="L1198" s="17">
        <v>46056.0</v>
      </c>
      <c r="M1198" s="12" t="s">
        <v>109</v>
      </c>
      <c r="N1198" s="23"/>
      <c r="O1198" s="22"/>
      <c r="P1198" s="22"/>
    </row>
    <row r="1199" ht="22.5" customHeight="1">
      <c r="A1199" s="12" t="s">
        <v>65</v>
      </c>
      <c r="B1199" s="20" t="str">
        <f>IFERROR(VLOOKUP(A1199,Sheet1!$E$3:$H$27,4,0),"")</f>
        <v>P3</v>
      </c>
      <c r="C1199" s="14"/>
      <c r="D1199" s="12" t="s">
        <v>56</v>
      </c>
      <c r="E1199" s="13" t="str">
        <f>IFERROR(VLOOKUP(D1199,Sheet1!$B$1:$C$45,2,0),"")</f>
        <v>TE</v>
      </c>
      <c r="F1199" s="12" t="s">
        <v>179</v>
      </c>
      <c r="G1199" s="13" t="str">
        <f t="shared" si="5"/>
        <v>Palangkaraya</v>
      </c>
      <c r="H1199" s="15" t="str">
        <f>IFERROR(VLOOKUP(A1199,Sheet1!$E$3:$F$27,2,),"")</f>
        <v>Standby</v>
      </c>
      <c r="I1199" s="16" t="str">
        <f>IFERROR(VLOOKUP(A1199,Sheet1!$E$3:$G$27,3,0),"")</f>
        <v>Standby On Call</v>
      </c>
      <c r="J1199" s="12" t="s">
        <v>112</v>
      </c>
      <c r="K1199" s="17">
        <v>46056.0</v>
      </c>
      <c r="L1199" s="17">
        <v>46056.0</v>
      </c>
      <c r="M1199" s="12" t="s">
        <v>137</v>
      </c>
      <c r="N1199" s="23"/>
      <c r="O1199" s="22"/>
      <c r="P1199" s="22"/>
    </row>
    <row r="1200" ht="22.5" customHeight="1">
      <c r="A1200" s="12" t="s">
        <v>65</v>
      </c>
      <c r="B1200" s="20" t="str">
        <f>IFERROR(VLOOKUP(A1200,Sheet1!$E$3:$H$27,4,0),"")</f>
        <v>P3</v>
      </c>
      <c r="C1200" s="14"/>
      <c r="D1200" s="12" t="s">
        <v>83</v>
      </c>
      <c r="E1200" s="13" t="str">
        <f>IFERROR(VLOOKUP(D1200,Sheet1!$B$1:$C$45,2,0),"")</f>
        <v>PM</v>
      </c>
      <c r="F1200" s="12" t="s">
        <v>179</v>
      </c>
      <c r="G1200" s="13" t="str">
        <f t="shared" si="5"/>
        <v>Palangkaraya</v>
      </c>
      <c r="H1200" s="15" t="str">
        <f>IFERROR(VLOOKUP(A1200,Sheet1!$E$3:$F$27,2,),"")</f>
        <v>Standby</v>
      </c>
      <c r="I1200" s="16" t="str">
        <f>IFERROR(VLOOKUP(A1200,Sheet1!$E$3:$G$27,3,0),"")</f>
        <v>Standby On Call</v>
      </c>
      <c r="J1200" s="12" t="s">
        <v>112</v>
      </c>
      <c r="K1200" s="17">
        <v>46056.0</v>
      </c>
      <c r="L1200" s="17">
        <v>46056.0</v>
      </c>
      <c r="M1200" s="12" t="s">
        <v>137</v>
      </c>
      <c r="N1200" s="23"/>
      <c r="O1200" s="22"/>
      <c r="P1200" s="22"/>
    </row>
    <row r="1201" ht="22.5" customHeight="1">
      <c r="A1201" s="12" t="s">
        <v>22</v>
      </c>
      <c r="B1201" s="20" t="str">
        <f>IFERROR(VLOOKUP(A1201,Sheet1!$E$3:$H$27,4,0),"")</f>
        <v>P2</v>
      </c>
      <c r="C1201" s="14" t="s">
        <v>528</v>
      </c>
      <c r="D1201" s="12" t="s">
        <v>82</v>
      </c>
      <c r="E1201" s="13" t="str">
        <f>IFERROR(VLOOKUP(D1201,Sheet1!$B$1:$C$45,2,0),"")</f>
        <v>PM</v>
      </c>
      <c r="F1201" s="12" t="s">
        <v>179</v>
      </c>
      <c r="G1201" s="13" t="str">
        <f t="shared" si="5"/>
        <v>Palangkaraya</v>
      </c>
      <c r="H1201" s="15" t="str">
        <f>IFERROR(VLOOKUP(A1201,Sheet1!$E$3:$F$27,2,),"")</f>
        <v>Preventive</v>
      </c>
      <c r="I1201" s="16" t="str">
        <f>IFERROR(VLOOKUP(A1201,Sheet1!$E$3:$G$27,3,0),"")</f>
        <v>Preventive Maintenance</v>
      </c>
      <c r="J1201" s="12" t="s">
        <v>112</v>
      </c>
      <c r="K1201" s="17">
        <v>46056.0</v>
      </c>
      <c r="L1201" s="17">
        <v>46056.0</v>
      </c>
      <c r="M1201" s="12" t="s">
        <v>137</v>
      </c>
      <c r="N1201" s="23"/>
      <c r="O1201" s="22"/>
      <c r="P1201" s="22"/>
    </row>
    <row r="1202" ht="22.5" customHeight="1">
      <c r="A1202" s="12" t="s">
        <v>22</v>
      </c>
      <c r="B1202" s="20" t="str">
        <f>IFERROR(VLOOKUP(A1202,Sheet1!$E$3:$H$27,4,0),"")</f>
        <v>P2</v>
      </c>
      <c r="C1202" s="14" t="s">
        <v>204</v>
      </c>
      <c r="D1202" s="12" t="s">
        <v>75</v>
      </c>
      <c r="E1202" s="13" t="str">
        <f>IFERROR(VLOOKUP(D1202,Sheet1!$B$1:$C$45,2,0),"")</f>
        <v>CME</v>
      </c>
      <c r="F1202" s="12" t="s">
        <v>179</v>
      </c>
      <c r="G1202" s="13" t="str">
        <f t="shared" si="5"/>
        <v>Palangkaraya</v>
      </c>
      <c r="H1202" s="15" t="str">
        <f>IFERROR(VLOOKUP(A1202,Sheet1!$E$3:$F$27,2,),"")</f>
        <v>Preventive</v>
      </c>
      <c r="I1202" s="16" t="str">
        <f>IFERROR(VLOOKUP(A1202,Sheet1!$E$3:$G$27,3,0),"")</f>
        <v>Preventive Maintenance</v>
      </c>
      <c r="J1202" s="12" t="s">
        <v>112</v>
      </c>
      <c r="K1202" s="17">
        <v>46056.0</v>
      </c>
      <c r="L1202" s="17">
        <v>46056.0</v>
      </c>
      <c r="M1202" s="12" t="s">
        <v>137</v>
      </c>
      <c r="N1202" s="23"/>
      <c r="O1202" s="22"/>
      <c r="P1202" s="22"/>
    </row>
    <row r="1203" ht="22.5" customHeight="1">
      <c r="A1203" s="12" t="s">
        <v>65</v>
      </c>
      <c r="B1203" s="20" t="str">
        <f>IFERROR(VLOOKUP(A1203,Sheet1!$E$3:$H$27,4,0),"")</f>
        <v>P3</v>
      </c>
      <c r="C1203" s="14"/>
      <c r="D1203" s="12" t="s">
        <v>54</v>
      </c>
      <c r="E1203" s="13" t="str">
        <f>IFERROR(VLOOKUP(D1203,Sheet1!$B$1:$C$45,2,0),"")</f>
        <v>MBP</v>
      </c>
      <c r="F1203" s="12" t="s">
        <v>179</v>
      </c>
      <c r="G1203" s="13" t="str">
        <f t="shared" si="5"/>
        <v>Palangkaraya</v>
      </c>
      <c r="H1203" s="15" t="str">
        <f>IFERROR(VLOOKUP(A1203,Sheet1!$E$3:$F$27,2,),"")</f>
        <v>Standby</v>
      </c>
      <c r="I1203" s="16" t="str">
        <f>IFERROR(VLOOKUP(A1203,Sheet1!$E$3:$G$27,3,0),"")</f>
        <v>Standby On Call</v>
      </c>
      <c r="J1203" s="12" t="s">
        <v>112</v>
      </c>
      <c r="K1203" s="17">
        <v>46056.0</v>
      </c>
      <c r="L1203" s="17">
        <v>46056.0</v>
      </c>
      <c r="M1203" s="12" t="s">
        <v>137</v>
      </c>
      <c r="N1203" s="23"/>
      <c r="O1203" s="22"/>
      <c r="P1203" s="22"/>
    </row>
    <row r="1204" ht="22.5" customHeight="1">
      <c r="A1204" s="12" t="s">
        <v>52</v>
      </c>
      <c r="B1204" s="20" t="str">
        <f>IFERROR(VLOOKUP(A1204,Sheet1!$E$3:$H$27,4,0),"")</f>
        <v>P1</v>
      </c>
      <c r="C1204" s="14" t="s">
        <v>529</v>
      </c>
      <c r="D1204" s="12" t="s">
        <v>12</v>
      </c>
      <c r="E1204" s="13" t="str">
        <f>IFERROR(VLOOKUP(D1204,Sheet1!$B$1:$C$45,2,0),"")</f>
        <v>TE</v>
      </c>
      <c r="F1204" s="12" t="s">
        <v>108</v>
      </c>
      <c r="G1204" s="13" t="str">
        <f t="shared" si="5"/>
        <v>Barito Raya</v>
      </c>
      <c r="H1204" s="15" t="str">
        <f>IFERROR(VLOOKUP(A1204,Sheet1!$E$3:$F$27,2,),"")</f>
        <v>Preventive</v>
      </c>
      <c r="I1204" s="16" t="str">
        <f>IFERROR(VLOOKUP(A1204,Sheet1!$E$3:$G$27,3,0),"")</f>
        <v>MCB trip/Power upnormal</v>
      </c>
      <c r="J1204" s="12" t="s">
        <v>112</v>
      </c>
      <c r="K1204" s="17">
        <v>46057.0</v>
      </c>
      <c r="L1204" s="17">
        <v>46057.0</v>
      </c>
      <c r="M1204" s="13"/>
      <c r="N1204" s="23"/>
      <c r="O1204" s="22"/>
      <c r="P1204" s="22"/>
    </row>
    <row r="1205" ht="22.5" customHeight="1">
      <c r="A1205" s="12" t="s">
        <v>5</v>
      </c>
      <c r="B1205" s="20" t="str">
        <f>IFERROR(VLOOKUP(A1205,Sheet1!$E$3:$H$27,4,0),"")</f>
        <v>P1</v>
      </c>
      <c r="C1205" s="14" t="s">
        <v>530</v>
      </c>
      <c r="D1205" s="12" t="s">
        <v>16</v>
      </c>
      <c r="E1205" s="13" t="str">
        <f>IFERROR(VLOOKUP(D1205,Sheet1!$B$1:$C$45,2,0),"")</f>
        <v>TE</v>
      </c>
      <c r="F1205" s="12" t="s">
        <v>108</v>
      </c>
      <c r="G1205" s="13" t="str">
        <f t="shared" si="5"/>
        <v>Barito Raya</v>
      </c>
      <c r="H1205" s="15" t="str">
        <f>IFERROR(VLOOKUP(A1205,Sheet1!$E$3:$F$27,2,),"")</f>
        <v>Corrective</v>
      </c>
      <c r="I1205" s="16" t="str">
        <f>IFERROR(VLOOKUP(A1205,Sheet1!$E$3:$G$27,3,0),"")</f>
        <v>Replace Optik,RRU/Soket Power/Replace GPS</v>
      </c>
      <c r="J1205" s="12" t="s">
        <v>112</v>
      </c>
      <c r="K1205" s="17">
        <v>46057.0</v>
      </c>
      <c r="L1205" s="17">
        <v>46057.0</v>
      </c>
      <c r="M1205" s="13"/>
      <c r="N1205" s="23"/>
      <c r="O1205" s="22"/>
      <c r="P1205" s="22"/>
    </row>
    <row r="1206" ht="22.5" customHeight="1">
      <c r="A1206" s="12" t="s">
        <v>52</v>
      </c>
      <c r="B1206" s="20" t="str">
        <f>IFERROR(VLOOKUP(A1206,Sheet1!$E$3:$H$27,4,0),"")</f>
        <v>P1</v>
      </c>
      <c r="C1206" s="14" t="s">
        <v>531</v>
      </c>
      <c r="D1206" s="12" t="s">
        <v>21</v>
      </c>
      <c r="E1206" s="13" t="str">
        <f>IFERROR(VLOOKUP(D1206,Sheet1!$B$1:$C$45,2,0),"")</f>
        <v>TE</v>
      </c>
      <c r="F1206" s="12" t="s">
        <v>108</v>
      </c>
      <c r="G1206" s="13" t="str">
        <f t="shared" si="5"/>
        <v>Barito Raya</v>
      </c>
      <c r="H1206" s="15" t="str">
        <f>IFERROR(VLOOKUP(A1206,Sheet1!$E$3:$F$27,2,),"")</f>
        <v>Preventive</v>
      </c>
      <c r="I1206" s="16" t="str">
        <f>IFERROR(VLOOKUP(A1206,Sheet1!$E$3:$G$27,3,0),"")</f>
        <v>MCB trip/Power upnormal</v>
      </c>
      <c r="J1206" s="12" t="s">
        <v>112</v>
      </c>
      <c r="K1206" s="17">
        <v>46057.0</v>
      </c>
      <c r="L1206" s="17">
        <v>46057.0</v>
      </c>
      <c r="M1206" s="13"/>
      <c r="N1206" s="23"/>
      <c r="O1206" s="22"/>
      <c r="P1206" s="22"/>
    </row>
    <row r="1207" ht="22.5" customHeight="1">
      <c r="A1207" s="12" t="s">
        <v>65</v>
      </c>
      <c r="B1207" s="20" t="str">
        <f>IFERROR(VLOOKUP(A1207,Sheet1!$E$3:$H$27,4,0),"")</f>
        <v>P3</v>
      </c>
      <c r="C1207" s="15"/>
      <c r="D1207" s="12" t="s">
        <v>26</v>
      </c>
      <c r="E1207" s="13" t="str">
        <f>IFERROR(VLOOKUP(D1207,Sheet1!$B$1:$C$45,2,0),"")</f>
        <v>TE</v>
      </c>
      <c r="F1207" s="12" t="s">
        <v>108</v>
      </c>
      <c r="G1207" s="13" t="str">
        <f t="shared" si="5"/>
        <v>Barito Raya</v>
      </c>
      <c r="H1207" s="15" t="str">
        <f>IFERROR(VLOOKUP(A1207,Sheet1!$E$3:$F$27,2,),"")</f>
        <v>Standby</v>
      </c>
      <c r="I1207" s="16" t="str">
        <f>IFERROR(VLOOKUP(A1207,Sheet1!$E$3:$G$27,3,0),"")</f>
        <v>Standby On Call</v>
      </c>
      <c r="J1207" s="20"/>
      <c r="K1207" s="17">
        <v>46057.0</v>
      </c>
      <c r="L1207" s="17">
        <v>46057.0</v>
      </c>
      <c r="M1207" s="13"/>
      <c r="N1207" s="23"/>
      <c r="O1207" s="22"/>
      <c r="P1207" s="22"/>
    </row>
    <row r="1208" ht="22.5" customHeight="1">
      <c r="A1208" s="12" t="s">
        <v>65</v>
      </c>
      <c r="B1208" s="20" t="str">
        <f>IFERROR(VLOOKUP(A1208,Sheet1!$E$3:$H$27,4,0),"")</f>
        <v>P3</v>
      </c>
      <c r="C1208" s="15"/>
      <c r="D1208" s="12" t="s">
        <v>88</v>
      </c>
      <c r="E1208" s="13" t="str">
        <f>IFERROR(VLOOKUP(D1208,Sheet1!$B$1:$C$45,2,0),"")</f>
        <v>TE</v>
      </c>
      <c r="F1208" s="12" t="s">
        <v>108</v>
      </c>
      <c r="G1208" s="13" t="str">
        <f t="shared" si="5"/>
        <v>Barito Raya</v>
      </c>
      <c r="H1208" s="15" t="str">
        <f>IFERROR(VLOOKUP(A1208,Sheet1!$E$3:$F$27,2,),"")</f>
        <v>Standby</v>
      </c>
      <c r="I1208" s="16" t="str">
        <f>IFERROR(VLOOKUP(A1208,Sheet1!$E$3:$G$27,3,0),"")</f>
        <v>Standby On Call</v>
      </c>
      <c r="J1208" s="20"/>
      <c r="K1208" s="17">
        <v>46057.0</v>
      </c>
      <c r="L1208" s="17">
        <v>46057.0</v>
      </c>
      <c r="M1208" s="13"/>
      <c r="N1208" s="23"/>
      <c r="O1208" s="22"/>
      <c r="P1208" s="22"/>
    </row>
    <row r="1209" ht="22.5" customHeight="1">
      <c r="A1209" s="12" t="s">
        <v>14</v>
      </c>
      <c r="B1209" s="20" t="str">
        <f>IFERROR(VLOOKUP(A1209,Sheet1!$E$3:$H$27,4,0),"")</f>
        <v>P1</v>
      </c>
      <c r="C1209" s="14" t="s">
        <v>532</v>
      </c>
      <c r="D1209" s="12" t="s">
        <v>32</v>
      </c>
      <c r="E1209" s="13" t="str">
        <f>IFERROR(VLOOKUP(D1209,Sheet1!$B$1:$C$45,2,0),"")</f>
        <v>TE</v>
      </c>
      <c r="F1209" s="12" t="s">
        <v>108</v>
      </c>
      <c r="G1209" s="13" t="str">
        <f t="shared" si="5"/>
        <v>Barito Raya</v>
      </c>
      <c r="H1209" s="15" t="str">
        <f>IFERROR(VLOOKUP(A1209,Sheet1!$E$3:$F$27,2,),"")</f>
        <v>Corrective</v>
      </c>
      <c r="I1209" s="16" t="str">
        <f>IFERROR(VLOOKUP(A1209,Sheet1!$E$3:$G$27,3,0),"")</f>
        <v>Pemadaman,MCB Trip,Transmisi problem</v>
      </c>
      <c r="J1209" s="12" t="s">
        <v>172</v>
      </c>
      <c r="K1209" s="17">
        <v>46057.0</v>
      </c>
      <c r="L1209" s="17">
        <v>46057.0</v>
      </c>
      <c r="M1209" s="13"/>
      <c r="N1209" s="23"/>
      <c r="O1209" s="22"/>
      <c r="P1209" s="22"/>
    </row>
    <row r="1210" ht="22.5" customHeight="1">
      <c r="A1210" s="12" t="s">
        <v>5</v>
      </c>
      <c r="B1210" s="20" t="str">
        <f>IFERROR(VLOOKUP(A1210,Sheet1!$E$3:$H$27,4,0),"")</f>
        <v>P1</v>
      </c>
      <c r="C1210" s="14" t="s">
        <v>487</v>
      </c>
      <c r="D1210" s="12" t="s">
        <v>74</v>
      </c>
      <c r="E1210" s="13" t="str">
        <f>IFERROR(VLOOKUP(D1210,Sheet1!$B$1:$C$45,2,0),"")</f>
        <v>TE</v>
      </c>
      <c r="F1210" s="12" t="s">
        <v>108</v>
      </c>
      <c r="G1210" s="13" t="str">
        <f t="shared" si="5"/>
        <v>Barito Raya</v>
      </c>
      <c r="H1210" s="15" t="str">
        <f>IFERROR(VLOOKUP(A1210,Sheet1!$E$3:$F$27,2,),"")</f>
        <v>Corrective</v>
      </c>
      <c r="I1210" s="16" t="str">
        <f>IFERROR(VLOOKUP(A1210,Sheet1!$E$3:$G$27,3,0),"")</f>
        <v>Replace Optik,RRU/Soket Power/Replace GPS</v>
      </c>
      <c r="J1210" s="12" t="s">
        <v>112</v>
      </c>
      <c r="K1210" s="17">
        <v>46057.0</v>
      </c>
      <c r="L1210" s="17">
        <v>46057.0</v>
      </c>
      <c r="M1210" s="13"/>
      <c r="N1210" s="23"/>
      <c r="O1210" s="22"/>
      <c r="P1210" s="22"/>
    </row>
    <row r="1211" ht="22.5" customHeight="1">
      <c r="A1211" s="12" t="s">
        <v>65</v>
      </c>
      <c r="B1211" s="20" t="str">
        <f>IFERROR(VLOOKUP(A1211,Sheet1!$E$3:$H$27,4,0),"")</f>
        <v>P3</v>
      </c>
      <c r="C1211" s="15"/>
      <c r="D1211" s="12" t="s">
        <v>60</v>
      </c>
      <c r="E1211" s="13" t="str">
        <f>IFERROR(VLOOKUP(D1211,Sheet1!$B$1:$C$45,2,0),"")</f>
        <v>TE</v>
      </c>
      <c r="F1211" s="12" t="s">
        <v>108</v>
      </c>
      <c r="G1211" s="13" t="str">
        <f t="shared" si="5"/>
        <v>Barito Raya</v>
      </c>
      <c r="H1211" s="15" t="str">
        <f>IFERROR(VLOOKUP(A1211,Sheet1!$E$3:$F$27,2,),"")</f>
        <v>Standby</v>
      </c>
      <c r="I1211" s="16" t="str">
        <f>IFERROR(VLOOKUP(A1211,Sheet1!$E$3:$G$27,3,0),"")</f>
        <v>Standby On Call</v>
      </c>
      <c r="J1211" s="20"/>
      <c r="K1211" s="17">
        <v>46057.0</v>
      </c>
      <c r="L1211" s="17">
        <v>46057.0</v>
      </c>
      <c r="M1211" s="13"/>
      <c r="N1211" s="23"/>
      <c r="O1211" s="22"/>
      <c r="P1211" s="22"/>
    </row>
    <row r="1212" ht="22.5" customHeight="1">
      <c r="A1212" s="12" t="s">
        <v>52</v>
      </c>
      <c r="B1212" s="20" t="str">
        <f>IFERROR(VLOOKUP(A1212,Sheet1!$E$3:$H$27,4,0),"")</f>
        <v>P1</v>
      </c>
      <c r="C1212" s="14" t="s">
        <v>474</v>
      </c>
      <c r="D1212" s="12" t="s">
        <v>62</v>
      </c>
      <c r="E1212" s="13" t="str">
        <f>IFERROR(VLOOKUP(D1212,Sheet1!$B$1:$C$45,2,0),"")</f>
        <v>TE</v>
      </c>
      <c r="F1212" s="12" t="s">
        <v>108</v>
      </c>
      <c r="G1212" s="13" t="str">
        <f t="shared" si="5"/>
        <v>Barito Raya</v>
      </c>
      <c r="H1212" s="15" t="str">
        <f>IFERROR(VLOOKUP(A1212,Sheet1!$E$3:$F$27,2,),"")</f>
        <v>Preventive</v>
      </c>
      <c r="I1212" s="16" t="str">
        <f>IFERROR(VLOOKUP(A1212,Sheet1!$E$3:$G$27,3,0),"")</f>
        <v>MCB trip/Power upnormal</v>
      </c>
      <c r="J1212" s="12" t="s">
        <v>112</v>
      </c>
      <c r="K1212" s="17">
        <v>46057.0</v>
      </c>
      <c r="L1212" s="17">
        <v>46057.0</v>
      </c>
      <c r="M1212" s="13"/>
      <c r="N1212" s="23"/>
      <c r="O1212" s="22"/>
      <c r="P1212" s="22"/>
    </row>
    <row r="1213" ht="22.5" customHeight="1">
      <c r="A1213" s="12" t="s">
        <v>14</v>
      </c>
      <c r="B1213" s="20" t="str">
        <f>IFERROR(VLOOKUP(A1213,Sheet1!$E$3:$H$27,4,0),"")</f>
        <v>P1</v>
      </c>
      <c r="C1213" s="14" t="s">
        <v>521</v>
      </c>
      <c r="D1213" s="12" t="s">
        <v>39</v>
      </c>
      <c r="E1213" s="13" t="str">
        <f>IFERROR(VLOOKUP(D1213,Sheet1!$B$1:$C$45,2,0),"")</f>
        <v>TE</v>
      </c>
      <c r="F1213" s="12" t="s">
        <v>108</v>
      </c>
      <c r="G1213" s="13" t="str">
        <f t="shared" si="5"/>
        <v>Barito Raya</v>
      </c>
      <c r="H1213" s="15" t="str">
        <f>IFERROR(VLOOKUP(A1213,Sheet1!$E$3:$F$27,2,),"")</f>
        <v>Corrective</v>
      </c>
      <c r="I1213" s="16" t="str">
        <f>IFERROR(VLOOKUP(A1213,Sheet1!$E$3:$G$27,3,0),"")</f>
        <v>Pemadaman,MCB Trip,Transmisi problem</v>
      </c>
      <c r="J1213" s="12" t="s">
        <v>112</v>
      </c>
      <c r="K1213" s="17">
        <v>46057.0</v>
      </c>
      <c r="L1213" s="17">
        <v>46057.0</v>
      </c>
      <c r="M1213" s="12" t="s">
        <v>137</v>
      </c>
      <c r="N1213" s="18" t="s">
        <v>533</v>
      </c>
      <c r="O1213" s="19"/>
      <c r="P1213" s="19"/>
    </row>
    <row r="1214" ht="22.5" customHeight="1">
      <c r="A1214" s="12" t="s">
        <v>14</v>
      </c>
      <c r="B1214" s="20" t="str">
        <f>IFERROR(VLOOKUP(A1214,Sheet1!$E$3:$H$27,4,0),"")</f>
        <v>P1</v>
      </c>
      <c r="C1214" s="14" t="s">
        <v>521</v>
      </c>
      <c r="D1214" s="12" t="s">
        <v>42</v>
      </c>
      <c r="E1214" s="13" t="str">
        <f>IFERROR(VLOOKUP(D1214,Sheet1!$B$1:$C$45,2,0),"")</f>
        <v>TE</v>
      </c>
      <c r="F1214" s="12" t="s">
        <v>108</v>
      </c>
      <c r="G1214" s="13" t="str">
        <f t="shared" si="5"/>
        <v>Barito Raya</v>
      </c>
      <c r="H1214" s="15" t="str">
        <f>IFERROR(VLOOKUP(A1214,Sheet1!$E$3:$F$27,2,),"")</f>
        <v>Corrective</v>
      </c>
      <c r="I1214" s="16" t="str">
        <f>IFERROR(VLOOKUP(A1214,Sheet1!$E$3:$G$27,3,0),"")</f>
        <v>Pemadaman,MCB Trip,Transmisi problem</v>
      </c>
      <c r="J1214" s="12" t="s">
        <v>112</v>
      </c>
      <c r="K1214" s="17">
        <v>46057.0</v>
      </c>
      <c r="L1214" s="17">
        <v>46057.0</v>
      </c>
      <c r="M1214" s="12" t="s">
        <v>137</v>
      </c>
      <c r="N1214" s="18" t="s">
        <v>533</v>
      </c>
      <c r="O1214" s="19"/>
      <c r="P1214" s="19"/>
    </row>
    <row r="1215" ht="22.5" customHeight="1">
      <c r="A1215" s="12" t="s">
        <v>65</v>
      </c>
      <c r="B1215" s="20" t="str">
        <f>IFERROR(VLOOKUP(A1215,Sheet1!$E$3:$H$27,4,0),"")</f>
        <v>P3</v>
      </c>
      <c r="C1215" s="15"/>
      <c r="D1215" s="12" t="s">
        <v>9</v>
      </c>
      <c r="E1215" s="13" t="str">
        <f>IFERROR(VLOOKUP(D1215,Sheet1!$B$1:$C$45,2,0),"")</f>
        <v>MBP</v>
      </c>
      <c r="F1215" s="12" t="s">
        <v>108</v>
      </c>
      <c r="G1215" s="13" t="str">
        <f t="shared" si="5"/>
        <v>Barito Raya</v>
      </c>
      <c r="H1215" s="15" t="str">
        <f>IFERROR(VLOOKUP(A1215,Sheet1!$E$3:$F$27,2,),"")</f>
        <v>Standby</v>
      </c>
      <c r="I1215" s="16" t="str">
        <f>IFERROR(VLOOKUP(A1215,Sheet1!$E$3:$G$27,3,0),"")</f>
        <v>Standby On Call</v>
      </c>
      <c r="J1215" s="20"/>
      <c r="K1215" s="17">
        <v>46057.0</v>
      </c>
      <c r="L1215" s="17">
        <v>46057.0</v>
      </c>
      <c r="M1215" s="13"/>
      <c r="N1215" s="23"/>
      <c r="O1215" s="22"/>
      <c r="P1215" s="22"/>
    </row>
    <row r="1216" ht="22.5" customHeight="1">
      <c r="A1216" s="12" t="s">
        <v>65</v>
      </c>
      <c r="B1216" s="20" t="str">
        <f>IFERROR(VLOOKUP(A1216,Sheet1!$E$3:$H$27,4,0),"")</f>
        <v>P3</v>
      </c>
      <c r="C1216" s="15"/>
      <c r="D1216" s="12" t="s">
        <v>4</v>
      </c>
      <c r="E1216" s="13" t="str">
        <f>IFERROR(VLOOKUP(D1216,Sheet1!$B$1:$C$45,2,0),"")</f>
        <v>CME</v>
      </c>
      <c r="F1216" s="12" t="s">
        <v>108</v>
      </c>
      <c r="G1216" s="13" t="str">
        <f t="shared" si="5"/>
        <v>Barito Raya</v>
      </c>
      <c r="H1216" s="15" t="str">
        <f>IFERROR(VLOOKUP(A1216,Sheet1!$E$3:$F$27,2,),"")</f>
        <v>Standby</v>
      </c>
      <c r="I1216" s="16" t="str">
        <f>IFERROR(VLOOKUP(A1216,Sheet1!$E$3:$G$27,3,0),"")</f>
        <v>Standby On Call</v>
      </c>
      <c r="J1216" s="20"/>
      <c r="K1216" s="17">
        <v>46057.0</v>
      </c>
      <c r="L1216" s="17">
        <v>46057.0</v>
      </c>
      <c r="M1216" s="13"/>
      <c r="N1216" s="23"/>
      <c r="O1216" s="22"/>
      <c r="P1216" s="22"/>
    </row>
    <row r="1217" ht="22.5" customHeight="1">
      <c r="A1217" s="12" t="s">
        <v>65</v>
      </c>
      <c r="B1217" s="20" t="str">
        <f>IFERROR(VLOOKUP(A1217,Sheet1!$E$3:$H$27,4,0),"")</f>
        <v>P3</v>
      </c>
      <c r="C1217" s="15"/>
      <c r="D1217" s="12" t="s">
        <v>87</v>
      </c>
      <c r="E1217" s="13" t="str">
        <f>IFERROR(VLOOKUP(D1217,Sheet1!$B$1:$C$45,2,0),"")</f>
        <v>MBP</v>
      </c>
      <c r="F1217" s="12" t="s">
        <v>108</v>
      </c>
      <c r="G1217" s="13" t="str">
        <f t="shared" si="5"/>
        <v>Barito Raya</v>
      </c>
      <c r="H1217" s="15" t="str">
        <f>IFERROR(VLOOKUP(A1217,Sheet1!$E$3:$F$27,2,),"")</f>
        <v>Standby</v>
      </c>
      <c r="I1217" s="16" t="str">
        <f>IFERROR(VLOOKUP(A1217,Sheet1!$E$3:$G$27,3,0),"")</f>
        <v>Standby On Call</v>
      </c>
      <c r="J1217" s="20"/>
      <c r="K1217" s="17">
        <v>46057.0</v>
      </c>
      <c r="L1217" s="17">
        <v>46057.0</v>
      </c>
      <c r="M1217" s="13"/>
      <c r="N1217" s="23"/>
      <c r="O1217" s="22"/>
      <c r="P1217" s="22"/>
    </row>
    <row r="1218" ht="22.5" customHeight="1">
      <c r="A1218" s="12" t="s">
        <v>27</v>
      </c>
      <c r="B1218" s="20" t="str">
        <f>IFERROR(VLOOKUP(A1218,Sheet1!$E$3:$H$27,4,0),"")</f>
        <v>P2</v>
      </c>
      <c r="C1218" s="14" t="s">
        <v>485</v>
      </c>
      <c r="D1218" s="12" t="s">
        <v>29</v>
      </c>
      <c r="E1218" s="13" t="str">
        <f>IFERROR(VLOOKUP(D1218,Sheet1!$B$1:$C$45,2,0),"")</f>
        <v>MBP</v>
      </c>
      <c r="F1218" s="12" t="s">
        <v>108</v>
      </c>
      <c r="G1218" s="13" t="str">
        <f t="shared" si="5"/>
        <v>Barito Raya</v>
      </c>
      <c r="H1218" s="15" t="str">
        <f>IFERROR(VLOOKUP(A1218,Sheet1!$E$3:$F$27,2,),"")</f>
        <v>Preventive</v>
      </c>
      <c r="I1218" s="16" t="str">
        <f>IFERROR(VLOOKUP(A1218,Sheet1!$E$3:$G$27,3,0),"")</f>
        <v>Akses/Hub Site problem metro</v>
      </c>
      <c r="J1218" s="12" t="s">
        <v>112</v>
      </c>
      <c r="K1218" s="17">
        <v>46057.0</v>
      </c>
      <c r="L1218" s="17">
        <v>46057.0</v>
      </c>
      <c r="M1218" s="13"/>
      <c r="N1218" s="23"/>
      <c r="O1218" s="22"/>
      <c r="P1218" s="22"/>
    </row>
    <row r="1219" ht="22.5" customHeight="1">
      <c r="A1219" s="12" t="s">
        <v>70</v>
      </c>
      <c r="B1219" s="20" t="str">
        <f>IFERROR(VLOOKUP(A1219,Sheet1!$E$3:$H$27,4,0),"")</f>
        <v>P3</v>
      </c>
      <c r="C1219" s="15"/>
      <c r="D1219" s="12" t="s">
        <v>2</v>
      </c>
      <c r="E1219" s="13" t="str">
        <f>IFERROR(VLOOKUP(D1219,Sheet1!$B$1:$C$45,2,0),"")</f>
        <v>CME</v>
      </c>
      <c r="F1219" s="12" t="s">
        <v>108</v>
      </c>
      <c r="G1219" s="13" t="str">
        <f t="shared" si="5"/>
        <v>Barito Raya</v>
      </c>
      <c r="H1219" s="15" t="str">
        <f>IFERROR(VLOOKUP(A1219,Sheet1!$E$3:$F$27,2,),"")</f>
        <v>Sick</v>
      </c>
      <c r="I1219" s="16" t="str">
        <f>IFERROR(VLOOKUP(A1219,Sheet1!$E$3:$G$27,3,0),"")</f>
        <v>Sick</v>
      </c>
      <c r="J1219" s="20"/>
      <c r="K1219" s="17">
        <v>46057.0</v>
      </c>
      <c r="L1219" s="17">
        <v>46057.0</v>
      </c>
      <c r="M1219" s="13"/>
      <c r="N1219" s="23"/>
      <c r="O1219" s="22"/>
      <c r="P1219" s="22"/>
    </row>
    <row r="1220" ht="22.5" customHeight="1">
      <c r="A1220" s="12" t="s">
        <v>22</v>
      </c>
      <c r="B1220" s="20" t="str">
        <f>IFERROR(VLOOKUP(A1220,Sheet1!$E$3:$H$27,4,0),"")</f>
        <v>P2</v>
      </c>
      <c r="C1220" s="14" t="s">
        <v>534</v>
      </c>
      <c r="D1220" s="12" t="s">
        <v>85</v>
      </c>
      <c r="E1220" s="13" t="str">
        <f>IFERROR(VLOOKUP(D1220,Sheet1!$B$1:$C$45,2,0),"")</f>
        <v>PM</v>
      </c>
      <c r="F1220" s="12" t="s">
        <v>108</v>
      </c>
      <c r="G1220" s="13" t="str">
        <f t="shared" si="5"/>
        <v>Barito Raya</v>
      </c>
      <c r="H1220" s="15" t="str">
        <f>IFERROR(VLOOKUP(A1220,Sheet1!$E$3:$F$27,2,),"")</f>
        <v>Preventive</v>
      </c>
      <c r="I1220" s="16" t="str">
        <f>IFERROR(VLOOKUP(A1220,Sheet1!$E$3:$G$27,3,0),"")</f>
        <v>Preventive Maintenance</v>
      </c>
      <c r="J1220" s="12" t="s">
        <v>112</v>
      </c>
      <c r="K1220" s="17">
        <v>46057.0</v>
      </c>
      <c r="L1220" s="17">
        <v>46057.0</v>
      </c>
      <c r="M1220" s="13"/>
      <c r="N1220" s="23"/>
      <c r="O1220" s="22"/>
      <c r="P1220" s="22"/>
    </row>
    <row r="1221" ht="22.5" customHeight="1">
      <c r="A1221" s="12" t="s">
        <v>22</v>
      </c>
      <c r="B1221" s="20" t="str">
        <f>IFERROR(VLOOKUP(A1221,Sheet1!$E$3:$H$27,4,0),"")</f>
        <v>P2</v>
      </c>
      <c r="C1221" s="14" t="s">
        <v>139</v>
      </c>
      <c r="D1221" s="12" t="s">
        <v>84</v>
      </c>
      <c r="E1221" s="13" t="str">
        <f>IFERROR(VLOOKUP(D1221,Sheet1!$B$1:$C$45,2,0),"")</f>
        <v>MBP</v>
      </c>
      <c r="F1221" s="12" t="s">
        <v>108</v>
      </c>
      <c r="G1221" s="13" t="str">
        <f t="shared" si="5"/>
        <v>Barito Raya</v>
      </c>
      <c r="H1221" s="15" t="str">
        <f>IFERROR(VLOOKUP(A1221,Sheet1!$E$3:$F$27,2,),"")</f>
        <v>Preventive</v>
      </c>
      <c r="I1221" s="16" t="str">
        <f>IFERROR(VLOOKUP(A1221,Sheet1!$E$3:$G$27,3,0),"")</f>
        <v>Preventive Maintenance</v>
      </c>
      <c r="J1221" s="12" t="s">
        <v>112</v>
      </c>
      <c r="K1221" s="17">
        <v>46057.0</v>
      </c>
      <c r="L1221" s="17">
        <v>46057.0</v>
      </c>
      <c r="M1221" s="13"/>
      <c r="N1221" s="23"/>
      <c r="O1221" s="22"/>
      <c r="P1221" s="22"/>
    </row>
    <row r="1222" ht="22.5" customHeight="1">
      <c r="A1222" s="12" t="s">
        <v>22</v>
      </c>
      <c r="B1222" s="20" t="str">
        <f>IFERROR(VLOOKUP(A1222,Sheet1!$E$3:$H$27,4,0),"")</f>
        <v>P2</v>
      </c>
      <c r="C1222" s="14" t="s">
        <v>209</v>
      </c>
      <c r="D1222" s="12" t="s">
        <v>86</v>
      </c>
      <c r="E1222" s="13" t="str">
        <f>IFERROR(VLOOKUP(D1222,Sheet1!$B$1:$C$45,2,0),"")</f>
        <v>PM</v>
      </c>
      <c r="F1222" s="12" t="s">
        <v>108</v>
      </c>
      <c r="G1222" s="13" t="str">
        <f t="shared" si="5"/>
        <v>Barito Raya</v>
      </c>
      <c r="H1222" s="15" t="str">
        <f>IFERROR(VLOOKUP(A1222,Sheet1!$E$3:$F$27,2,),"")</f>
        <v>Preventive</v>
      </c>
      <c r="I1222" s="16" t="str">
        <f>IFERROR(VLOOKUP(A1222,Sheet1!$E$3:$G$27,3,0),"")</f>
        <v>Preventive Maintenance</v>
      </c>
      <c r="J1222" s="12" t="s">
        <v>112</v>
      </c>
      <c r="K1222" s="17">
        <v>46057.0</v>
      </c>
      <c r="L1222" s="17">
        <v>46057.0</v>
      </c>
      <c r="M1222" s="13"/>
      <c r="N1222" s="23"/>
      <c r="O1222" s="22"/>
      <c r="P1222" s="22"/>
    </row>
    <row r="1223" ht="22.5" customHeight="1">
      <c r="A1223" s="12" t="s">
        <v>33</v>
      </c>
      <c r="B1223" s="20" t="str">
        <f>IFERROR(VLOOKUP(A1223,Sheet1!$E$3:$H$27,4,0),"")</f>
        <v>P2</v>
      </c>
      <c r="C1223" s="14" t="s">
        <v>535</v>
      </c>
      <c r="D1223" s="12" t="s">
        <v>37</v>
      </c>
      <c r="E1223" s="13" t="str">
        <f>IFERROR(VLOOKUP(D1223,Sheet1!$B$1:$C$45,2,0),"")</f>
        <v>TE</v>
      </c>
      <c r="F1223" s="12" t="s">
        <v>179</v>
      </c>
      <c r="G1223" s="13" t="str">
        <f t="shared" si="5"/>
        <v>Palangkaraya</v>
      </c>
      <c r="H1223" s="15" t="str">
        <f>IFERROR(VLOOKUP(A1223,Sheet1!$E$3:$F$27,2,),"")</f>
        <v>Preventive</v>
      </c>
      <c r="I1223" s="16" t="str">
        <f>IFERROR(VLOOKUP(A1223,Sheet1!$E$3:$G$27,3,0),"")</f>
        <v>Pengukuran dan pengambilan data log serta input Gdoc BBT</v>
      </c>
      <c r="J1223" s="12" t="s">
        <v>112</v>
      </c>
      <c r="K1223" s="17">
        <v>46057.0</v>
      </c>
      <c r="L1223" s="17">
        <v>46057.0</v>
      </c>
      <c r="M1223" s="13"/>
      <c r="N1223" s="23"/>
      <c r="O1223" s="22"/>
      <c r="P1223" s="22"/>
    </row>
    <row r="1224" ht="22.5" customHeight="1">
      <c r="A1224" s="12" t="s">
        <v>33</v>
      </c>
      <c r="B1224" s="20" t="str">
        <f>IFERROR(VLOOKUP(A1224,Sheet1!$E$3:$H$27,4,0),"")</f>
        <v>P2</v>
      </c>
      <c r="C1224" s="14" t="s">
        <v>452</v>
      </c>
      <c r="D1224" s="12" t="s">
        <v>80</v>
      </c>
      <c r="E1224" s="13" t="str">
        <f>IFERROR(VLOOKUP(D1224,Sheet1!$B$1:$C$45,2,0),"")</f>
        <v>TE</v>
      </c>
      <c r="F1224" s="12" t="s">
        <v>179</v>
      </c>
      <c r="G1224" s="13" t="str">
        <f t="shared" si="5"/>
        <v>Palangkaraya</v>
      </c>
      <c r="H1224" s="15" t="str">
        <f>IFERROR(VLOOKUP(A1224,Sheet1!$E$3:$F$27,2,),"")</f>
        <v>Preventive</v>
      </c>
      <c r="I1224" s="16" t="str">
        <f>IFERROR(VLOOKUP(A1224,Sheet1!$E$3:$G$27,3,0),"")</f>
        <v>Pengukuran dan pengambilan data log serta input Gdoc BBT</v>
      </c>
      <c r="J1224" s="12" t="s">
        <v>112</v>
      </c>
      <c r="K1224" s="17">
        <v>46057.0</v>
      </c>
      <c r="L1224" s="17">
        <v>46057.0</v>
      </c>
      <c r="M1224" s="13"/>
      <c r="N1224" s="23"/>
      <c r="O1224" s="22"/>
      <c r="P1224" s="22"/>
    </row>
    <row r="1225" ht="22.5" customHeight="1">
      <c r="A1225" s="12" t="s">
        <v>27</v>
      </c>
      <c r="B1225" s="20" t="str">
        <f>IFERROR(VLOOKUP(A1225,Sheet1!$E$3:$H$27,4,0),"")</f>
        <v>P2</v>
      </c>
      <c r="C1225" s="14" t="s">
        <v>528</v>
      </c>
      <c r="D1225" s="12" t="s">
        <v>77</v>
      </c>
      <c r="E1225" s="13" t="str">
        <f>IFERROR(VLOOKUP(D1225,Sheet1!$B$1:$C$45,2,0),"")</f>
        <v>TE</v>
      </c>
      <c r="F1225" s="12" t="s">
        <v>179</v>
      </c>
      <c r="G1225" s="13" t="str">
        <f t="shared" si="5"/>
        <v>Palangkaraya</v>
      </c>
      <c r="H1225" s="15" t="str">
        <f>IFERROR(VLOOKUP(A1225,Sheet1!$E$3:$F$27,2,),"")</f>
        <v>Preventive</v>
      </c>
      <c r="I1225" s="16" t="str">
        <f>IFERROR(VLOOKUP(A1225,Sheet1!$E$3:$G$27,3,0),"")</f>
        <v>Akses/Hub Site problem metro</v>
      </c>
      <c r="J1225" s="12" t="s">
        <v>112</v>
      </c>
      <c r="K1225" s="17">
        <v>46057.0</v>
      </c>
      <c r="L1225" s="17">
        <v>46057.0</v>
      </c>
      <c r="M1225" s="13"/>
      <c r="N1225" s="23"/>
      <c r="O1225" s="22"/>
      <c r="P1225" s="22"/>
    </row>
    <row r="1226" ht="22.5" customHeight="1">
      <c r="A1226" s="12" t="s">
        <v>70</v>
      </c>
      <c r="B1226" s="20" t="str">
        <f>IFERROR(VLOOKUP(A1226,Sheet1!$E$3:$H$27,4,0),"")</f>
        <v>P3</v>
      </c>
      <c r="C1226" s="14"/>
      <c r="D1226" s="12" t="s">
        <v>79</v>
      </c>
      <c r="E1226" s="13" t="str">
        <f>IFERROR(VLOOKUP(D1226,Sheet1!$B$1:$C$45,2,0),"")</f>
        <v>TE</v>
      </c>
      <c r="F1226" s="12" t="s">
        <v>179</v>
      </c>
      <c r="G1226" s="13" t="str">
        <f t="shared" si="5"/>
        <v>Palangkaraya</v>
      </c>
      <c r="H1226" s="15" t="str">
        <f>IFERROR(VLOOKUP(A1226,Sheet1!$E$3:$F$27,2,),"")</f>
        <v>Sick</v>
      </c>
      <c r="I1226" s="16" t="str">
        <f>IFERROR(VLOOKUP(A1226,Sheet1!$E$3:$G$27,3,0),"")</f>
        <v>Sick</v>
      </c>
      <c r="J1226" s="12" t="s">
        <v>66</v>
      </c>
      <c r="K1226" s="17">
        <v>46057.0</v>
      </c>
      <c r="L1226" s="17">
        <v>46057.0</v>
      </c>
      <c r="M1226" s="13"/>
      <c r="N1226" s="23"/>
      <c r="O1226" s="22"/>
      <c r="P1226" s="22"/>
    </row>
    <row r="1227" ht="22.5" customHeight="1">
      <c r="A1227" s="12" t="s">
        <v>5</v>
      </c>
      <c r="B1227" s="20" t="str">
        <f>IFERROR(VLOOKUP(A1227,Sheet1!$E$3:$H$27,4,0),"")</f>
        <v>P1</v>
      </c>
      <c r="C1227" s="14" t="s">
        <v>200</v>
      </c>
      <c r="D1227" s="12" t="s">
        <v>51</v>
      </c>
      <c r="E1227" s="13" t="str">
        <f>IFERROR(VLOOKUP(D1227,Sheet1!$B$1:$C$45,2,0),"")</f>
        <v>TE</v>
      </c>
      <c r="F1227" s="12" t="s">
        <v>179</v>
      </c>
      <c r="G1227" s="13" t="str">
        <f t="shared" si="5"/>
        <v>Palangkaraya</v>
      </c>
      <c r="H1227" s="15" t="str">
        <f>IFERROR(VLOOKUP(A1227,Sheet1!$E$3:$F$27,2,),"")</f>
        <v>Corrective</v>
      </c>
      <c r="I1227" s="16" t="str">
        <f>IFERROR(VLOOKUP(A1227,Sheet1!$E$3:$G$27,3,0),"")</f>
        <v>Replace Optik,RRU/Soket Power/Replace GPS</v>
      </c>
      <c r="J1227" s="12" t="s">
        <v>112</v>
      </c>
      <c r="K1227" s="17">
        <v>46057.0</v>
      </c>
      <c r="L1227" s="17">
        <v>46057.0</v>
      </c>
      <c r="M1227" s="13"/>
      <c r="N1227" s="23"/>
      <c r="O1227" s="22"/>
      <c r="P1227" s="22"/>
    </row>
    <row r="1228" ht="22.5" customHeight="1">
      <c r="A1228" s="12" t="s">
        <v>14</v>
      </c>
      <c r="B1228" s="20" t="str">
        <f>IFERROR(VLOOKUP(A1228,Sheet1!$E$3:$H$27,4,0),"")</f>
        <v>P1</v>
      </c>
      <c r="C1228" s="14" t="s">
        <v>536</v>
      </c>
      <c r="D1228" s="12" t="s">
        <v>78</v>
      </c>
      <c r="E1228" s="13" t="str">
        <f>IFERROR(VLOOKUP(D1228,Sheet1!$B$1:$C$45,2,0),"")</f>
        <v>TE</v>
      </c>
      <c r="F1228" s="12" t="s">
        <v>179</v>
      </c>
      <c r="G1228" s="13" t="str">
        <f t="shared" si="5"/>
        <v>Palangkaraya</v>
      </c>
      <c r="H1228" s="15" t="str">
        <f>IFERROR(VLOOKUP(A1228,Sheet1!$E$3:$F$27,2,),"")</f>
        <v>Corrective</v>
      </c>
      <c r="I1228" s="16" t="str">
        <f>IFERROR(VLOOKUP(A1228,Sheet1!$E$3:$G$27,3,0),"")</f>
        <v>Pemadaman,MCB Trip,Transmisi problem</v>
      </c>
      <c r="J1228" s="12" t="s">
        <v>112</v>
      </c>
      <c r="K1228" s="17">
        <v>46057.0</v>
      </c>
      <c r="L1228" s="17">
        <v>46057.0</v>
      </c>
      <c r="M1228" s="13"/>
      <c r="N1228" s="23"/>
      <c r="O1228" s="22"/>
      <c r="P1228" s="22"/>
    </row>
    <row r="1229" ht="22.5" customHeight="1">
      <c r="A1229" s="12" t="s">
        <v>14</v>
      </c>
      <c r="B1229" s="20" t="str">
        <f>IFERROR(VLOOKUP(A1229,Sheet1!$E$3:$H$27,4,0),"")</f>
        <v>P1</v>
      </c>
      <c r="C1229" s="14" t="s">
        <v>363</v>
      </c>
      <c r="D1229" s="12" t="s">
        <v>76</v>
      </c>
      <c r="E1229" s="13" t="str">
        <f>IFERROR(VLOOKUP(D1229,Sheet1!$B$1:$C$45,2,0),"")</f>
        <v>TE</v>
      </c>
      <c r="F1229" s="12" t="s">
        <v>179</v>
      </c>
      <c r="G1229" s="13" t="str">
        <f t="shared" si="5"/>
        <v>Palangkaraya</v>
      </c>
      <c r="H1229" s="15" t="str">
        <f>IFERROR(VLOOKUP(A1229,Sheet1!$E$3:$F$27,2,),"")</f>
        <v>Corrective</v>
      </c>
      <c r="I1229" s="16" t="str">
        <f>IFERROR(VLOOKUP(A1229,Sheet1!$E$3:$G$27,3,0),"")</f>
        <v>Pemadaman,MCB Trip,Transmisi problem</v>
      </c>
      <c r="J1229" s="12" t="s">
        <v>112</v>
      </c>
      <c r="K1229" s="17">
        <v>46057.0</v>
      </c>
      <c r="L1229" s="17">
        <v>46057.0</v>
      </c>
      <c r="M1229" s="13"/>
      <c r="N1229" s="23"/>
      <c r="O1229" s="22"/>
      <c r="P1229" s="22"/>
    </row>
    <row r="1230" ht="22.5" customHeight="1">
      <c r="A1230" s="12" t="s">
        <v>14</v>
      </c>
      <c r="B1230" s="20" t="str">
        <f>IFERROR(VLOOKUP(A1230,Sheet1!$E$3:$H$27,4,0),"")</f>
        <v>P1</v>
      </c>
      <c r="C1230" s="14" t="s">
        <v>527</v>
      </c>
      <c r="D1230" s="12" t="s">
        <v>91</v>
      </c>
      <c r="E1230" s="13" t="str">
        <f>IFERROR(VLOOKUP(D1230,Sheet1!$B$1:$C$45,2,0),"")</f>
        <v>TE</v>
      </c>
      <c r="F1230" s="12" t="s">
        <v>179</v>
      </c>
      <c r="G1230" s="13" t="str">
        <f t="shared" si="5"/>
        <v>Palangkaraya</v>
      </c>
      <c r="H1230" s="15" t="str">
        <f>IFERROR(VLOOKUP(A1230,Sheet1!$E$3:$F$27,2,),"")</f>
        <v>Corrective</v>
      </c>
      <c r="I1230" s="16" t="str">
        <f>IFERROR(VLOOKUP(A1230,Sheet1!$E$3:$G$27,3,0),"")</f>
        <v>Pemadaman,MCB Trip,Transmisi problem</v>
      </c>
      <c r="J1230" s="12" t="s">
        <v>112</v>
      </c>
      <c r="K1230" s="17">
        <v>46057.0</v>
      </c>
      <c r="L1230" s="17">
        <v>46057.0</v>
      </c>
      <c r="M1230" s="13"/>
      <c r="N1230" s="23"/>
      <c r="O1230" s="22"/>
      <c r="P1230" s="22"/>
    </row>
    <row r="1231" ht="22.5" customHeight="1">
      <c r="A1231" s="12" t="s">
        <v>14</v>
      </c>
      <c r="B1231" s="20" t="str">
        <f>IFERROR(VLOOKUP(A1231,Sheet1!$E$3:$H$27,4,0),"")</f>
        <v>P1</v>
      </c>
      <c r="C1231" s="14" t="s">
        <v>364</v>
      </c>
      <c r="D1231" s="12" t="s">
        <v>58</v>
      </c>
      <c r="E1231" s="13" t="str">
        <f>IFERROR(VLOOKUP(D1231,Sheet1!$B$1:$C$45,2,0),"")</f>
        <v>TE</v>
      </c>
      <c r="F1231" s="12" t="s">
        <v>179</v>
      </c>
      <c r="G1231" s="13" t="str">
        <f t="shared" si="5"/>
        <v>Palangkaraya</v>
      </c>
      <c r="H1231" s="15" t="str">
        <f>IFERROR(VLOOKUP(A1231,Sheet1!$E$3:$F$27,2,),"")</f>
        <v>Corrective</v>
      </c>
      <c r="I1231" s="16" t="str">
        <f>IFERROR(VLOOKUP(A1231,Sheet1!$E$3:$G$27,3,0),"")</f>
        <v>Pemadaman,MCB Trip,Transmisi problem</v>
      </c>
      <c r="J1231" s="12" t="s">
        <v>112</v>
      </c>
      <c r="K1231" s="17">
        <v>46057.0</v>
      </c>
      <c r="L1231" s="17">
        <v>46057.0</v>
      </c>
      <c r="M1231" s="13"/>
      <c r="N1231" s="23"/>
      <c r="O1231" s="22"/>
      <c r="P1231" s="22"/>
    </row>
    <row r="1232" ht="22.5" customHeight="1">
      <c r="A1232" s="12" t="s">
        <v>5</v>
      </c>
      <c r="B1232" s="20" t="str">
        <f>IFERROR(VLOOKUP(A1232,Sheet1!$E$3:$H$27,4,0),"")</f>
        <v>P1</v>
      </c>
      <c r="C1232" s="14" t="s">
        <v>267</v>
      </c>
      <c r="D1232" s="12" t="s">
        <v>71</v>
      </c>
      <c r="E1232" s="13" t="str">
        <f>IFERROR(VLOOKUP(D1232,Sheet1!$B$1:$C$45,2,0),"")</f>
        <v>TE</v>
      </c>
      <c r="F1232" s="12" t="s">
        <v>179</v>
      </c>
      <c r="G1232" s="13" t="str">
        <f t="shared" si="5"/>
        <v>Palangkaraya</v>
      </c>
      <c r="H1232" s="15" t="str">
        <f>IFERROR(VLOOKUP(A1232,Sheet1!$E$3:$F$27,2,),"")</f>
        <v>Corrective</v>
      </c>
      <c r="I1232" s="16" t="str">
        <f>IFERROR(VLOOKUP(A1232,Sheet1!$E$3:$G$27,3,0),"")</f>
        <v>Replace Optik,RRU/Soket Power/Replace GPS</v>
      </c>
      <c r="J1232" s="12" t="s">
        <v>112</v>
      </c>
      <c r="K1232" s="17">
        <v>46057.0</v>
      </c>
      <c r="L1232" s="17">
        <v>46057.0</v>
      </c>
      <c r="M1232" s="13"/>
      <c r="N1232" s="23"/>
      <c r="O1232" s="22"/>
      <c r="P1232" s="22"/>
    </row>
    <row r="1233" ht="22.5" customHeight="1">
      <c r="A1233" s="12" t="s">
        <v>65</v>
      </c>
      <c r="B1233" s="20" t="str">
        <f>IFERROR(VLOOKUP(A1233,Sheet1!$E$3:$H$27,4,0),"")</f>
        <v>P3</v>
      </c>
      <c r="C1233" s="14"/>
      <c r="D1233" s="12" t="s">
        <v>56</v>
      </c>
      <c r="E1233" s="13" t="str">
        <f>IFERROR(VLOOKUP(D1233,Sheet1!$B$1:$C$45,2,0),"")</f>
        <v>TE</v>
      </c>
      <c r="F1233" s="12" t="s">
        <v>179</v>
      </c>
      <c r="G1233" s="13" t="str">
        <f t="shared" si="5"/>
        <v>Palangkaraya</v>
      </c>
      <c r="H1233" s="15" t="str">
        <f>IFERROR(VLOOKUP(A1233,Sheet1!$E$3:$F$27,2,),"")</f>
        <v>Standby</v>
      </c>
      <c r="I1233" s="16" t="str">
        <f>IFERROR(VLOOKUP(A1233,Sheet1!$E$3:$G$27,3,0),"")</f>
        <v>Standby On Call</v>
      </c>
      <c r="J1233" s="12" t="s">
        <v>112</v>
      </c>
      <c r="K1233" s="17">
        <v>46057.0</v>
      </c>
      <c r="L1233" s="17">
        <v>46057.0</v>
      </c>
      <c r="M1233" s="13"/>
      <c r="N1233" s="23"/>
      <c r="O1233" s="22"/>
      <c r="P1233" s="22"/>
    </row>
    <row r="1234" ht="22.5" customHeight="1">
      <c r="A1234" s="12" t="s">
        <v>65</v>
      </c>
      <c r="B1234" s="20" t="str">
        <f>IFERROR(VLOOKUP(A1234,Sheet1!$E$3:$H$27,4,0),"")</f>
        <v>P3</v>
      </c>
      <c r="C1234" s="14"/>
      <c r="D1234" s="12" t="s">
        <v>83</v>
      </c>
      <c r="E1234" s="13" t="str">
        <f>IFERROR(VLOOKUP(D1234,Sheet1!$B$1:$C$45,2,0),"")</f>
        <v>PM</v>
      </c>
      <c r="F1234" s="12" t="s">
        <v>179</v>
      </c>
      <c r="G1234" s="13" t="str">
        <f t="shared" si="5"/>
        <v>Palangkaraya</v>
      </c>
      <c r="H1234" s="15" t="str">
        <f>IFERROR(VLOOKUP(A1234,Sheet1!$E$3:$F$27,2,),"")</f>
        <v>Standby</v>
      </c>
      <c r="I1234" s="16" t="str">
        <f>IFERROR(VLOOKUP(A1234,Sheet1!$E$3:$G$27,3,0),"")</f>
        <v>Standby On Call</v>
      </c>
      <c r="J1234" s="12" t="s">
        <v>112</v>
      </c>
      <c r="K1234" s="17">
        <v>46057.0</v>
      </c>
      <c r="L1234" s="17">
        <v>46057.0</v>
      </c>
      <c r="M1234" s="13"/>
      <c r="N1234" s="23"/>
      <c r="O1234" s="22"/>
      <c r="P1234" s="22"/>
    </row>
    <row r="1235" ht="22.5" customHeight="1">
      <c r="A1235" s="12" t="s">
        <v>22</v>
      </c>
      <c r="B1235" s="20" t="str">
        <f>IFERROR(VLOOKUP(A1235,Sheet1!$E$3:$H$27,4,0),"")</f>
        <v>P2</v>
      </c>
      <c r="C1235" s="14" t="s">
        <v>528</v>
      </c>
      <c r="D1235" s="12" t="s">
        <v>82</v>
      </c>
      <c r="E1235" s="13" t="str">
        <f>IFERROR(VLOOKUP(D1235,Sheet1!$B$1:$C$45,2,0),"")</f>
        <v>PM</v>
      </c>
      <c r="F1235" s="12" t="s">
        <v>179</v>
      </c>
      <c r="G1235" s="13" t="str">
        <f t="shared" si="5"/>
        <v>Palangkaraya</v>
      </c>
      <c r="H1235" s="15" t="str">
        <f>IFERROR(VLOOKUP(A1235,Sheet1!$E$3:$F$27,2,),"")</f>
        <v>Preventive</v>
      </c>
      <c r="I1235" s="16" t="str">
        <f>IFERROR(VLOOKUP(A1235,Sheet1!$E$3:$G$27,3,0),"")</f>
        <v>Preventive Maintenance</v>
      </c>
      <c r="J1235" s="12" t="s">
        <v>112</v>
      </c>
      <c r="K1235" s="17">
        <v>46057.0</v>
      </c>
      <c r="L1235" s="17">
        <v>46057.0</v>
      </c>
      <c r="M1235" s="13"/>
      <c r="N1235" s="23"/>
      <c r="O1235" s="22"/>
      <c r="P1235" s="22"/>
    </row>
    <row r="1236" ht="22.5" customHeight="1">
      <c r="A1236" s="12" t="s">
        <v>22</v>
      </c>
      <c r="B1236" s="20" t="str">
        <f>IFERROR(VLOOKUP(A1236,Sheet1!$E$3:$H$27,4,0),"")</f>
        <v>P2</v>
      </c>
      <c r="C1236" s="14" t="s">
        <v>204</v>
      </c>
      <c r="D1236" s="12" t="s">
        <v>75</v>
      </c>
      <c r="E1236" s="13" t="str">
        <f>IFERROR(VLOOKUP(D1236,Sheet1!$B$1:$C$45,2,0),"")</f>
        <v>CME</v>
      </c>
      <c r="F1236" s="12" t="s">
        <v>179</v>
      </c>
      <c r="G1236" s="13" t="str">
        <f t="shared" si="5"/>
        <v>Palangkaraya</v>
      </c>
      <c r="H1236" s="15" t="str">
        <f>IFERROR(VLOOKUP(A1236,Sheet1!$E$3:$F$27,2,),"")</f>
        <v>Preventive</v>
      </c>
      <c r="I1236" s="16" t="str">
        <f>IFERROR(VLOOKUP(A1236,Sheet1!$E$3:$G$27,3,0),"")</f>
        <v>Preventive Maintenance</v>
      </c>
      <c r="J1236" s="12" t="s">
        <v>112</v>
      </c>
      <c r="K1236" s="17">
        <v>46057.0</v>
      </c>
      <c r="L1236" s="17">
        <v>46057.0</v>
      </c>
      <c r="M1236" s="13"/>
      <c r="N1236" s="23"/>
      <c r="O1236" s="22"/>
      <c r="P1236" s="22"/>
    </row>
    <row r="1237" ht="22.5" customHeight="1">
      <c r="A1237" s="12" t="s">
        <v>65</v>
      </c>
      <c r="B1237" s="20" t="str">
        <f>IFERROR(VLOOKUP(A1237,Sheet1!$E$3:$H$27,4,0),"")</f>
        <v>P3</v>
      </c>
      <c r="C1237" s="14"/>
      <c r="D1237" s="12" t="s">
        <v>54</v>
      </c>
      <c r="E1237" s="13" t="str">
        <f>IFERROR(VLOOKUP(D1237,Sheet1!$B$1:$C$45,2,0),"")</f>
        <v>MBP</v>
      </c>
      <c r="F1237" s="12" t="s">
        <v>179</v>
      </c>
      <c r="G1237" s="13" t="str">
        <f t="shared" si="5"/>
        <v>Palangkaraya</v>
      </c>
      <c r="H1237" s="15" t="str">
        <f>IFERROR(VLOOKUP(A1237,Sheet1!$E$3:$F$27,2,),"")</f>
        <v>Standby</v>
      </c>
      <c r="I1237" s="16" t="str">
        <f>IFERROR(VLOOKUP(A1237,Sheet1!$E$3:$G$27,3,0),"")</f>
        <v>Standby On Call</v>
      </c>
      <c r="J1237" s="12" t="s">
        <v>112</v>
      </c>
      <c r="K1237" s="17">
        <v>46057.0</v>
      </c>
      <c r="L1237" s="17">
        <v>46057.0</v>
      </c>
      <c r="M1237" s="13"/>
      <c r="N1237" s="23"/>
      <c r="O1237" s="22"/>
      <c r="P1237" s="22"/>
    </row>
    <row r="1238" ht="22.5" customHeight="1">
      <c r="A1238" s="12" t="s">
        <v>52</v>
      </c>
      <c r="B1238" s="20" t="str">
        <f>IFERROR(VLOOKUP(A1238,Sheet1!$E$3:$H$27,4,0),"")</f>
        <v>P1</v>
      </c>
      <c r="C1238" s="14" t="s">
        <v>537</v>
      </c>
      <c r="D1238" s="12" t="s">
        <v>12</v>
      </c>
      <c r="E1238" s="13" t="str">
        <f>IFERROR(VLOOKUP(D1238,Sheet1!$B$1:$C$45,2,0),"")</f>
        <v>TE</v>
      </c>
      <c r="F1238" s="12" t="s">
        <v>108</v>
      </c>
      <c r="G1238" s="13" t="str">
        <f t="shared" si="5"/>
        <v>Barito Raya</v>
      </c>
      <c r="H1238" s="15" t="str">
        <f>IFERROR(VLOOKUP(A1238,Sheet1!$E$3:$F$27,2,),"")</f>
        <v>Preventive</v>
      </c>
      <c r="I1238" s="16" t="str">
        <f>IFERROR(VLOOKUP(A1238,Sheet1!$E$3:$G$27,3,0),"")</f>
        <v>MCB trip/Power upnormal</v>
      </c>
      <c r="J1238" s="12" t="s">
        <v>112</v>
      </c>
      <c r="K1238" s="17">
        <v>46058.0</v>
      </c>
      <c r="L1238" s="17">
        <v>46058.0</v>
      </c>
      <c r="M1238" s="12" t="s">
        <v>137</v>
      </c>
      <c r="N1238" s="23"/>
      <c r="O1238" s="22"/>
      <c r="P1238" s="22"/>
    </row>
    <row r="1239" ht="22.5" customHeight="1">
      <c r="A1239" s="12" t="s">
        <v>52</v>
      </c>
      <c r="B1239" s="20" t="str">
        <f>IFERROR(VLOOKUP(A1239,Sheet1!$E$3:$H$27,4,0),"")</f>
        <v>P1</v>
      </c>
      <c r="C1239" s="14" t="s">
        <v>538</v>
      </c>
      <c r="D1239" s="12" t="s">
        <v>16</v>
      </c>
      <c r="E1239" s="13" t="str">
        <f>IFERROR(VLOOKUP(D1239,Sheet1!$B$1:$C$45,2,0),"")</f>
        <v>TE</v>
      </c>
      <c r="F1239" s="12" t="s">
        <v>108</v>
      </c>
      <c r="G1239" s="13" t="str">
        <f t="shared" si="5"/>
        <v>Barito Raya</v>
      </c>
      <c r="H1239" s="15" t="str">
        <f>IFERROR(VLOOKUP(A1239,Sheet1!$E$3:$F$27,2,),"")</f>
        <v>Preventive</v>
      </c>
      <c r="I1239" s="16" t="str">
        <f>IFERROR(VLOOKUP(A1239,Sheet1!$E$3:$G$27,3,0),"")</f>
        <v>MCB trip/Power upnormal</v>
      </c>
      <c r="J1239" s="12" t="s">
        <v>112</v>
      </c>
      <c r="K1239" s="17">
        <v>46058.0</v>
      </c>
      <c r="L1239" s="17">
        <v>46058.0</v>
      </c>
      <c r="M1239" s="12" t="s">
        <v>137</v>
      </c>
      <c r="N1239" s="23"/>
      <c r="O1239" s="22"/>
      <c r="P1239" s="22"/>
    </row>
    <row r="1240" ht="22.5" customHeight="1">
      <c r="A1240" s="12" t="s">
        <v>38</v>
      </c>
      <c r="B1240" s="20" t="str">
        <f>IFERROR(VLOOKUP(A1240,Sheet1!$E$3:$H$27,4,0),"")</f>
        <v>P1</v>
      </c>
      <c r="C1240" s="14" t="s">
        <v>509</v>
      </c>
      <c r="D1240" s="12" t="s">
        <v>21</v>
      </c>
      <c r="E1240" s="13" t="str">
        <f>IFERROR(VLOOKUP(D1240,Sheet1!$B$1:$C$45,2,0),"")</f>
        <v>TE</v>
      </c>
      <c r="F1240" s="12" t="s">
        <v>108</v>
      </c>
      <c r="G1240" s="13" t="str">
        <f t="shared" si="5"/>
        <v>Barito Raya</v>
      </c>
      <c r="H1240" s="15" t="str">
        <f>IFERROR(VLOOKUP(A1240,Sheet1!$E$3:$F$27,2,),"")</f>
        <v>Corrective</v>
      </c>
      <c r="I1240" s="16" t="str">
        <f>IFERROR(VLOOKUP(A1240,Sheet1!$E$3:$G$27,3,0),"")</f>
        <v>Replace FAN Rectifier</v>
      </c>
      <c r="J1240" s="12" t="s">
        <v>112</v>
      </c>
      <c r="K1240" s="17">
        <v>46058.0</v>
      </c>
      <c r="L1240" s="17">
        <v>46058.0</v>
      </c>
      <c r="M1240" s="12" t="s">
        <v>137</v>
      </c>
      <c r="N1240" s="23"/>
      <c r="O1240" s="22"/>
      <c r="P1240" s="22"/>
    </row>
    <row r="1241" ht="22.5" customHeight="1">
      <c r="A1241" s="12" t="s">
        <v>49</v>
      </c>
      <c r="B1241" s="20" t="str">
        <f>IFERROR(VLOOKUP(A1241,Sheet1!$E$3:$H$27,4,0),"")</f>
        <v>P2</v>
      </c>
      <c r="C1241" s="14" t="s">
        <v>115</v>
      </c>
      <c r="D1241" s="12" t="s">
        <v>26</v>
      </c>
      <c r="E1241" s="13" t="str">
        <f>IFERROR(VLOOKUP(D1241,Sheet1!$B$1:$C$45,2,0),"")</f>
        <v>TE</v>
      </c>
      <c r="F1241" s="12" t="s">
        <v>108</v>
      </c>
      <c r="G1241" s="13" t="str">
        <f t="shared" si="5"/>
        <v>Barito Raya</v>
      </c>
      <c r="H1241" s="15" t="str">
        <f>IFERROR(VLOOKUP(A1241,Sheet1!$E$3:$F$27,2,),"")</f>
        <v>Preventive</v>
      </c>
      <c r="I1241" s="16" t="str">
        <f>IFERROR(VLOOKUP(A1241,Sheet1!$E$3:$G$27,3,0),"")</f>
        <v>Bts High temp impact fliker</v>
      </c>
      <c r="J1241" s="12" t="s">
        <v>112</v>
      </c>
      <c r="K1241" s="17">
        <v>46058.0</v>
      </c>
      <c r="L1241" s="17">
        <v>46058.0</v>
      </c>
      <c r="M1241" s="12" t="s">
        <v>109</v>
      </c>
      <c r="N1241" s="18" t="s">
        <v>539</v>
      </c>
      <c r="O1241" s="19"/>
      <c r="P1241" s="19"/>
    </row>
    <row r="1242" ht="22.5" customHeight="1">
      <c r="A1242" s="12" t="s">
        <v>30</v>
      </c>
      <c r="B1242" s="20" t="str">
        <f>IFERROR(VLOOKUP(A1242,Sheet1!$E$3:$H$27,4,0),"")</f>
        <v>P3</v>
      </c>
      <c r="C1242" s="14" t="s">
        <v>265</v>
      </c>
      <c r="D1242" s="12" t="s">
        <v>88</v>
      </c>
      <c r="E1242" s="13" t="str">
        <f>IFERROR(VLOOKUP(D1242,Sheet1!$B$1:$C$45,2,0),"")</f>
        <v>TE</v>
      </c>
      <c r="F1242" s="12" t="s">
        <v>108</v>
      </c>
      <c r="G1242" s="13" t="str">
        <f t="shared" si="5"/>
        <v>Barito Raya</v>
      </c>
      <c r="H1242" s="15" t="str">
        <f>IFERROR(VLOOKUP(A1242,Sheet1!$E$3:$F$27,2,),"")</f>
        <v>Preventive</v>
      </c>
      <c r="I1242" s="16" t="str">
        <f>IFERROR(VLOOKUP(A1242,Sheet1!$E$3:$G$27,3,0),"")</f>
        <v>Pengawalan akses Vendor</v>
      </c>
      <c r="J1242" s="12" t="s">
        <v>112</v>
      </c>
      <c r="K1242" s="17">
        <v>46058.0</v>
      </c>
      <c r="L1242" s="17">
        <v>46058.0</v>
      </c>
      <c r="M1242" s="12" t="s">
        <v>109</v>
      </c>
      <c r="N1242" s="18" t="s">
        <v>540</v>
      </c>
      <c r="O1242" s="19"/>
      <c r="P1242" s="19"/>
    </row>
    <row r="1243" ht="22.5" customHeight="1">
      <c r="A1243" s="12" t="s">
        <v>14</v>
      </c>
      <c r="B1243" s="20" t="str">
        <f>IFERROR(VLOOKUP(A1243,Sheet1!$E$3:$H$27,4,0),"")</f>
        <v>P1</v>
      </c>
      <c r="C1243" s="14" t="s">
        <v>532</v>
      </c>
      <c r="D1243" s="12" t="s">
        <v>32</v>
      </c>
      <c r="E1243" s="13" t="str">
        <f>IFERROR(VLOOKUP(D1243,Sheet1!$B$1:$C$45,2,0),"")</f>
        <v>TE</v>
      </c>
      <c r="F1243" s="12" t="s">
        <v>108</v>
      </c>
      <c r="G1243" s="13" t="str">
        <f t="shared" si="5"/>
        <v>Barito Raya</v>
      </c>
      <c r="H1243" s="15" t="str">
        <f>IFERROR(VLOOKUP(A1243,Sheet1!$E$3:$F$27,2,),"")</f>
        <v>Corrective</v>
      </c>
      <c r="I1243" s="16" t="str">
        <f>IFERROR(VLOOKUP(A1243,Sheet1!$E$3:$G$27,3,0),"")</f>
        <v>Pemadaman,MCB Trip,Transmisi problem</v>
      </c>
      <c r="J1243" s="12" t="s">
        <v>172</v>
      </c>
      <c r="K1243" s="17">
        <v>46058.0</v>
      </c>
      <c r="L1243" s="17">
        <v>46058.0</v>
      </c>
      <c r="M1243" s="12" t="s">
        <v>122</v>
      </c>
      <c r="N1243" s="23"/>
      <c r="O1243" s="22"/>
      <c r="P1243" s="22"/>
    </row>
    <row r="1244" ht="22.5" customHeight="1">
      <c r="A1244" s="12" t="s">
        <v>52</v>
      </c>
      <c r="B1244" s="20" t="str">
        <f>IFERROR(VLOOKUP(A1244,Sheet1!$E$3:$H$27,4,0),"")</f>
        <v>P1</v>
      </c>
      <c r="C1244" s="14" t="s">
        <v>516</v>
      </c>
      <c r="D1244" s="12" t="s">
        <v>74</v>
      </c>
      <c r="E1244" s="13" t="str">
        <f>IFERROR(VLOOKUP(D1244,Sheet1!$B$1:$C$45,2,0),"")</f>
        <v>TE</v>
      </c>
      <c r="F1244" s="12" t="s">
        <v>108</v>
      </c>
      <c r="G1244" s="13" t="str">
        <f t="shared" si="5"/>
        <v>Barito Raya</v>
      </c>
      <c r="H1244" s="15" t="str">
        <f>IFERROR(VLOOKUP(A1244,Sheet1!$E$3:$F$27,2,),"")</f>
        <v>Preventive</v>
      </c>
      <c r="I1244" s="16" t="str">
        <f>IFERROR(VLOOKUP(A1244,Sheet1!$E$3:$G$27,3,0),"")</f>
        <v>MCB trip/Power upnormal</v>
      </c>
      <c r="J1244" s="12" t="s">
        <v>112</v>
      </c>
      <c r="K1244" s="17">
        <v>46058.0</v>
      </c>
      <c r="L1244" s="17">
        <v>46058.0</v>
      </c>
      <c r="M1244" s="12" t="s">
        <v>109</v>
      </c>
      <c r="N1244" s="23"/>
      <c r="O1244" s="22"/>
      <c r="P1244" s="22"/>
    </row>
    <row r="1245" ht="22.5" customHeight="1">
      <c r="A1245" s="12" t="s">
        <v>22</v>
      </c>
      <c r="B1245" s="20" t="str">
        <f>IFERROR(VLOOKUP(A1245,Sheet1!$E$3:$H$27,4,0),"")</f>
        <v>P2</v>
      </c>
      <c r="C1245" s="14" t="s">
        <v>541</v>
      </c>
      <c r="D1245" s="12" t="s">
        <v>60</v>
      </c>
      <c r="E1245" s="13" t="str">
        <f>IFERROR(VLOOKUP(D1245,Sheet1!$B$1:$C$45,2,0),"")</f>
        <v>TE</v>
      </c>
      <c r="F1245" s="12" t="s">
        <v>108</v>
      </c>
      <c r="G1245" s="13" t="str">
        <f t="shared" si="5"/>
        <v>Barito Raya</v>
      </c>
      <c r="H1245" s="15" t="str">
        <f>IFERROR(VLOOKUP(A1245,Sheet1!$E$3:$F$27,2,),"")</f>
        <v>Preventive</v>
      </c>
      <c r="I1245" s="16" t="str">
        <f>IFERROR(VLOOKUP(A1245,Sheet1!$E$3:$G$27,3,0),"")</f>
        <v>Preventive Maintenance</v>
      </c>
      <c r="J1245" s="12" t="s">
        <v>112</v>
      </c>
      <c r="K1245" s="17">
        <v>46058.0</v>
      </c>
      <c r="L1245" s="17">
        <v>46058.0</v>
      </c>
      <c r="M1245" s="12" t="s">
        <v>122</v>
      </c>
      <c r="N1245" s="18" t="s">
        <v>542</v>
      </c>
      <c r="O1245" s="19"/>
      <c r="P1245" s="19"/>
    </row>
    <row r="1246" ht="22.5" customHeight="1">
      <c r="A1246" s="12" t="s">
        <v>14</v>
      </c>
      <c r="B1246" s="20" t="str">
        <f>IFERROR(VLOOKUP(A1246,Sheet1!$E$3:$H$27,4,0),"")</f>
        <v>P1</v>
      </c>
      <c r="C1246" s="14" t="s">
        <v>543</v>
      </c>
      <c r="D1246" s="12" t="s">
        <v>62</v>
      </c>
      <c r="E1246" s="13" t="str">
        <f>IFERROR(VLOOKUP(D1246,Sheet1!$B$1:$C$45,2,0),"")</f>
        <v>TE</v>
      </c>
      <c r="F1246" s="12" t="s">
        <v>108</v>
      </c>
      <c r="G1246" s="13" t="str">
        <f t="shared" si="5"/>
        <v>Barito Raya</v>
      </c>
      <c r="H1246" s="15" t="str">
        <f>IFERROR(VLOOKUP(A1246,Sheet1!$E$3:$F$27,2,),"")</f>
        <v>Corrective</v>
      </c>
      <c r="I1246" s="16" t="str">
        <f>IFERROR(VLOOKUP(A1246,Sheet1!$E$3:$G$27,3,0),"")</f>
        <v>Pemadaman,MCB Trip,Transmisi problem</v>
      </c>
      <c r="J1246" s="12" t="s">
        <v>112</v>
      </c>
      <c r="K1246" s="17">
        <v>46058.0</v>
      </c>
      <c r="L1246" s="17">
        <v>46058.0</v>
      </c>
      <c r="M1246" s="12" t="s">
        <v>109</v>
      </c>
      <c r="N1246" s="23"/>
      <c r="O1246" s="22"/>
      <c r="P1246" s="22"/>
    </row>
    <row r="1247" ht="22.5" customHeight="1">
      <c r="A1247" s="12" t="s">
        <v>14</v>
      </c>
      <c r="B1247" s="20" t="str">
        <f>IFERROR(VLOOKUP(A1247,Sheet1!$E$3:$H$27,4,0),"")</f>
        <v>P1</v>
      </c>
      <c r="C1247" s="14" t="s">
        <v>521</v>
      </c>
      <c r="D1247" s="12" t="s">
        <v>39</v>
      </c>
      <c r="E1247" s="13" t="str">
        <f>IFERROR(VLOOKUP(D1247,Sheet1!$B$1:$C$45,2,0),"")</f>
        <v>TE</v>
      </c>
      <c r="F1247" s="12" t="s">
        <v>108</v>
      </c>
      <c r="G1247" s="13" t="str">
        <f t="shared" si="5"/>
        <v>Barito Raya</v>
      </c>
      <c r="H1247" s="15" t="str">
        <f>IFERROR(VLOOKUP(A1247,Sheet1!$E$3:$F$27,2,),"")</f>
        <v>Corrective</v>
      </c>
      <c r="I1247" s="16" t="str">
        <f>IFERROR(VLOOKUP(A1247,Sheet1!$E$3:$G$27,3,0),"")</f>
        <v>Pemadaman,MCB Trip,Transmisi problem</v>
      </c>
      <c r="J1247" s="12" t="s">
        <v>112</v>
      </c>
      <c r="K1247" s="17">
        <v>46058.0</v>
      </c>
      <c r="L1247" s="17">
        <v>46058.0</v>
      </c>
      <c r="M1247" s="12" t="s">
        <v>122</v>
      </c>
      <c r="N1247" s="18" t="s">
        <v>544</v>
      </c>
      <c r="O1247" s="19"/>
      <c r="P1247" s="19"/>
    </row>
    <row r="1248" ht="22.5" customHeight="1">
      <c r="A1248" s="12" t="s">
        <v>14</v>
      </c>
      <c r="B1248" s="20" t="str">
        <f>IFERROR(VLOOKUP(A1248,Sheet1!$E$3:$H$27,4,0),"")</f>
        <v>P1</v>
      </c>
      <c r="C1248" s="14" t="s">
        <v>521</v>
      </c>
      <c r="D1248" s="12" t="s">
        <v>42</v>
      </c>
      <c r="E1248" s="13" t="str">
        <f>IFERROR(VLOOKUP(D1248,Sheet1!$B$1:$C$45,2,0),"")</f>
        <v>TE</v>
      </c>
      <c r="F1248" s="12" t="s">
        <v>108</v>
      </c>
      <c r="G1248" s="13" t="str">
        <f t="shared" si="5"/>
        <v>Barito Raya</v>
      </c>
      <c r="H1248" s="15" t="str">
        <f>IFERROR(VLOOKUP(A1248,Sheet1!$E$3:$F$27,2,),"")</f>
        <v>Corrective</v>
      </c>
      <c r="I1248" s="16" t="str">
        <f>IFERROR(VLOOKUP(A1248,Sheet1!$E$3:$G$27,3,0),"")</f>
        <v>Pemadaman,MCB Trip,Transmisi problem</v>
      </c>
      <c r="J1248" s="12" t="s">
        <v>112</v>
      </c>
      <c r="K1248" s="17">
        <v>46058.0</v>
      </c>
      <c r="L1248" s="17">
        <v>46058.0</v>
      </c>
      <c r="M1248" s="12" t="s">
        <v>122</v>
      </c>
      <c r="N1248" s="18" t="s">
        <v>544</v>
      </c>
      <c r="O1248" s="19"/>
      <c r="P1248" s="19"/>
    </row>
    <row r="1249" ht="22.5" customHeight="1">
      <c r="A1249" s="12" t="s">
        <v>65</v>
      </c>
      <c r="B1249" s="20" t="str">
        <f>IFERROR(VLOOKUP(A1249,Sheet1!$E$3:$H$27,4,0),"")</f>
        <v>P3</v>
      </c>
      <c r="C1249" s="15"/>
      <c r="D1249" s="12" t="s">
        <v>9</v>
      </c>
      <c r="E1249" s="13" t="str">
        <f>IFERROR(VLOOKUP(D1249,Sheet1!$B$1:$C$45,2,0),"")</f>
        <v>MBP</v>
      </c>
      <c r="F1249" s="12" t="s">
        <v>108</v>
      </c>
      <c r="G1249" s="13" t="str">
        <f t="shared" si="5"/>
        <v>Barito Raya</v>
      </c>
      <c r="H1249" s="15" t="str">
        <f>IFERROR(VLOOKUP(A1249,Sheet1!$E$3:$F$27,2,),"")</f>
        <v>Standby</v>
      </c>
      <c r="I1249" s="16" t="str">
        <f>IFERROR(VLOOKUP(A1249,Sheet1!$E$3:$G$27,3,0),"")</f>
        <v>Standby On Call</v>
      </c>
      <c r="J1249" s="20"/>
      <c r="K1249" s="17">
        <v>46058.0</v>
      </c>
      <c r="L1249" s="17">
        <v>46058.0</v>
      </c>
      <c r="M1249" s="13"/>
      <c r="N1249" s="23"/>
      <c r="O1249" s="22"/>
      <c r="P1249" s="22"/>
    </row>
    <row r="1250" ht="22.5" customHeight="1">
      <c r="A1250" s="12" t="s">
        <v>52</v>
      </c>
      <c r="B1250" s="20" t="str">
        <f>IFERROR(VLOOKUP(A1250,Sheet1!$E$3:$H$27,4,0),"")</f>
        <v>P1</v>
      </c>
      <c r="C1250" s="14" t="s">
        <v>545</v>
      </c>
      <c r="D1250" s="12" t="s">
        <v>4</v>
      </c>
      <c r="E1250" s="13" t="str">
        <f>IFERROR(VLOOKUP(D1250,Sheet1!$B$1:$C$45,2,0),"")</f>
        <v>CME</v>
      </c>
      <c r="F1250" s="12" t="s">
        <v>108</v>
      </c>
      <c r="G1250" s="13" t="str">
        <f t="shared" si="5"/>
        <v>Barito Raya</v>
      </c>
      <c r="H1250" s="15" t="str">
        <f>IFERROR(VLOOKUP(A1250,Sheet1!$E$3:$F$27,2,),"")</f>
        <v>Preventive</v>
      </c>
      <c r="I1250" s="16" t="str">
        <f>IFERROR(VLOOKUP(A1250,Sheet1!$E$3:$G$27,3,0),"")</f>
        <v>MCB trip/Power upnormal</v>
      </c>
      <c r="J1250" s="12" t="s">
        <v>112</v>
      </c>
      <c r="K1250" s="17">
        <v>46058.0</v>
      </c>
      <c r="L1250" s="17">
        <v>46058.0</v>
      </c>
      <c r="M1250" s="12" t="s">
        <v>137</v>
      </c>
      <c r="N1250" s="18" t="s">
        <v>264</v>
      </c>
      <c r="O1250" s="19"/>
      <c r="P1250" s="19"/>
    </row>
    <row r="1251" ht="22.5" customHeight="1">
      <c r="A1251" s="12" t="s">
        <v>30</v>
      </c>
      <c r="B1251" s="20" t="str">
        <f>IFERROR(VLOOKUP(A1251,Sheet1!$E$3:$H$27,4,0),"")</f>
        <v>P3</v>
      </c>
      <c r="C1251" s="14" t="s">
        <v>265</v>
      </c>
      <c r="D1251" s="12" t="s">
        <v>87</v>
      </c>
      <c r="E1251" s="13" t="str">
        <f>IFERROR(VLOOKUP(D1251,Sheet1!$B$1:$C$45,2,0),"")</f>
        <v>MBP</v>
      </c>
      <c r="F1251" s="12" t="s">
        <v>108</v>
      </c>
      <c r="G1251" s="13" t="str">
        <f t="shared" si="5"/>
        <v>Barito Raya</v>
      </c>
      <c r="H1251" s="15" t="str">
        <f>IFERROR(VLOOKUP(A1251,Sheet1!$E$3:$F$27,2,),"")</f>
        <v>Preventive</v>
      </c>
      <c r="I1251" s="16" t="str">
        <f>IFERROR(VLOOKUP(A1251,Sheet1!$E$3:$G$27,3,0),"")</f>
        <v>Pengawalan akses Vendor</v>
      </c>
      <c r="J1251" s="12" t="s">
        <v>112</v>
      </c>
      <c r="K1251" s="17">
        <v>46058.0</v>
      </c>
      <c r="L1251" s="17">
        <v>46058.0</v>
      </c>
      <c r="M1251" s="12" t="s">
        <v>109</v>
      </c>
      <c r="N1251" s="18" t="s">
        <v>540</v>
      </c>
      <c r="O1251" s="19"/>
      <c r="P1251" s="19"/>
    </row>
    <row r="1252" ht="22.5" customHeight="1">
      <c r="A1252" s="12" t="s">
        <v>14</v>
      </c>
      <c r="B1252" s="20" t="str">
        <f>IFERROR(VLOOKUP(A1252,Sheet1!$E$3:$H$27,4,0),"")</f>
        <v>P1</v>
      </c>
      <c r="C1252" s="14" t="s">
        <v>313</v>
      </c>
      <c r="D1252" s="12" t="s">
        <v>29</v>
      </c>
      <c r="E1252" s="13" t="str">
        <f>IFERROR(VLOOKUP(D1252,Sheet1!$B$1:$C$45,2,0),"")</f>
        <v>MBP</v>
      </c>
      <c r="F1252" s="12" t="s">
        <v>108</v>
      </c>
      <c r="G1252" s="13" t="str">
        <f t="shared" si="5"/>
        <v>Barito Raya</v>
      </c>
      <c r="H1252" s="15" t="str">
        <f>IFERROR(VLOOKUP(A1252,Sheet1!$E$3:$F$27,2,),"")</f>
        <v>Corrective</v>
      </c>
      <c r="I1252" s="16" t="str">
        <f>IFERROR(VLOOKUP(A1252,Sheet1!$E$3:$G$27,3,0),"")</f>
        <v>Pemadaman,MCB Trip,Transmisi problem</v>
      </c>
      <c r="J1252" s="12" t="s">
        <v>112</v>
      </c>
      <c r="K1252" s="17">
        <v>46058.0</v>
      </c>
      <c r="L1252" s="17">
        <v>46058.0</v>
      </c>
      <c r="M1252" s="12" t="s">
        <v>109</v>
      </c>
      <c r="N1252" s="23"/>
      <c r="O1252" s="22"/>
      <c r="P1252" s="22"/>
    </row>
    <row r="1253" ht="22.5" customHeight="1">
      <c r="A1253" s="12" t="s">
        <v>14</v>
      </c>
      <c r="B1253" s="20" t="str">
        <f>IFERROR(VLOOKUP(A1253,Sheet1!$E$3:$H$27,4,0),"")</f>
        <v>P1</v>
      </c>
      <c r="C1253" s="14" t="s">
        <v>338</v>
      </c>
      <c r="D1253" s="12" t="s">
        <v>2</v>
      </c>
      <c r="E1253" s="13" t="str">
        <f>IFERROR(VLOOKUP(D1253,Sheet1!$B$1:$C$45,2,0),"")</f>
        <v>CME</v>
      </c>
      <c r="F1253" s="12" t="s">
        <v>108</v>
      </c>
      <c r="G1253" s="13" t="str">
        <f t="shared" si="5"/>
        <v>Barito Raya</v>
      </c>
      <c r="H1253" s="15" t="str">
        <f>IFERROR(VLOOKUP(A1253,Sheet1!$E$3:$F$27,2,),"")</f>
        <v>Corrective</v>
      </c>
      <c r="I1253" s="16" t="str">
        <f>IFERROR(VLOOKUP(A1253,Sheet1!$E$3:$G$27,3,0),"")</f>
        <v>Pemadaman,MCB Trip,Transmisi problem</v>
      </c>
      <c r="J1253" s="12" t="s">
        <v>112</v>
      </c>
      <c r="K1253" s="17">
        <v>46058.0</v>
      </c>
      <c r="L1253" s="17">
        <v>46058.0</v>
      </c>
      <c r="M1253" s="12" t="s">
        <v>109</v>
      </c>
      <c r="N1253" s="18" t="s">
        <v>546</v>
      </c>
      <c r="O1253" s="19"/>
      <c r="P1253" s="19"/>
    </row>
    <row r="1254" ht="22.5" customHeight="1">
      <c r="A1254" s="12" t="s">
        <v>65</v>
      </c>
      <c r="B1254" s="20" t="str">
        <f>IFERROR(VLOOKUP(A1254,Sheet1!$E$3:$H$27,4,0),"")</f>
        <v>P3</v>
      </c>
      <c r="C1254" s="15"/>
      <c r="D1254" s="12" t="s">
        <v>0</v>
      </c>
      <c r="E1254" s="13" t="str">
        <f>IFERROR(VLOOKUP(D1254,Sheet1!$B$1:$C$45,2,0),"")</f>
        <v>MBP</v>
      </c>
      <c r="F1254" s="12" t="s">
        <v>108</v>
      </c>
      <c r="G1254" s="13" t="str">
        <f t="shared" si="5"/>
        <v>Barito Raya</v>
      </c>
      <c r="H1254" s="15" t="str">
        <f>IFERROR(VLOOKUP(A1254,Sheet1!$E$3:$F$27,2,),"")</f>
        <v>Standby</v>
      </c>
      <c r="I1254" s="16" t="str">
        <f>IFERROR(VLOOKUP(A1254,Sheet1!$E$3:$G$27,3,0),"")</f>
        <v>Standby On Call</v>
      </c>
      <c r="J1254" s="20"/>
      <c r="K1254" s="17">
        <v>46058.0</v>
      </c>
      <c r="L1254" s="17">
        <v>46058.0</v>
      </c>
      <c r="M1254" s="13"/>
      <c r="N1254" s="23"/>
      <c r="O1254" s="22"/>
      <c r="P1254" s="22"/>
    </row>
    <row r="1255" ht="22.5" customHeight="1">
      <c r="A1255" s="12" t="s">
        <v>22</v>
      </c>
      <c r="B1255" s="20" t="str">
        <f>IFERROR(VLOOKUP(A1255,Sheet1!$E$3:$H$27,4,0),"")</f>
        <v>P2</v>
      </c>
      <c r="C1255" s="14" t="s">
        <v>547</v>
      </c>
      <c r="D1255" s="12" t="s">
        <v>85</v>
      </c>
      <c r="E1255" s="13" t="str">
        <f>IFERROR(VLOOKUP(D1255,Sheet1!$B$1:$C$45,2,0),"")</f>
        <v>PM</v>
      </c>
      <c r="F1255" s="12" t="s">
        <v>108</v>
      </c>
      <c r="G1255" s="13" t="str">
        <f t="shared" si="5"/>
        <v>Barito Raya</v>
      </c>
      <c r="H1255" s="15" t="str">
        <f>IFERROR(VLOOKUP(A1255,Sheet1!$E$3:$F$27,2,),"")</f>
        <v>Preventive</v>
      </c>
      <c r="I1255" s="16" t="str">
        <f>IFERROR(VLOOKUP(A1255,Sheet1!$E$3:$G$27,3,0),"")</f>
        <v>Preventive Maintenance</v>
      </c>
      <c r="J1255" s="12" t="s">
        <v>112</v>
      </c>
      <c r="K1255" s="17">
        <v>46058.0</v>
      </c>
      <c r="L1255" s="17">
        <v>46058.0</v>
      </c>
      <c r="M1255" s="12" t="s">
        <v>109</v>
      </c>
      <c r="N1255" s="23"/>
      <c r="O1255" s="22"/>
      <c r="P1255" s="22"/>
    </row>
    <row r="1256" ht="22.5" customHeight="1">
      <c r="A1256" s="12" t="s">
        <v>22</v>
      </c>
      <c r="B1256" s="20" t="str">
        <f>IFERROR(VLOOKUP(A1256,Sheet1!$E$3:$H$27,4,0),"")</f>
        <v>P2</v>
      </c>
      <c r="C1256" s="14" t="s">
        <v>509</v>
      </c>
      <c r="D1256" s="12" t="s">
        <v>84</v>
      </c>
      <c r="E1256" s="13" t="str">
        <f>IFERROR(VLOOKUP(D1256,Sheet1!$B$1:$C$45,2,0),"")</f>
        <v>MBP</v>
      </c>
      <c r="F1256" s="12" t="s">
        <v>108</v>
      </c>
      <c r="G1256" s="13" t="str">
        <f t="shared" si="5"/>
        <v>Barito Raya</v>
      </c>
      <c r="H1256" s="15" t="str">
        <f>IFERROR(VLOOKUP(A1256,Sheet1!$E$3:$F$27,2,),"")</f>
        <v>Preventive</v>
      </c>
      <c r="I1256" s="16" t="str">
        <f>IFERROR(VLOOKUP(A1256,Sheet1!$E$3:$G$27,3,0),"")</f>
        <v>Preventive Maintenance</v>
      </c>
      <c r="J1256" s="12" t="s">
        <v>112</v>
      </c>
      <c r="K1256" s="17">
        <v>46058.0</v>
      </c>
      <c r="L1256" s="17">
        <v>46058.0</v>
      </c>
      <c r="M1256" s="12" t="s">
        <v>109</v>
      </c>
      <c r="N1256" s="23"/>
      <c r="O1256" s="22"/>
      <c r="P1256" s="22"/>
    </row>
    <row r="1257" ht="22.5" customHeight="1">
      <c r="A1257" s="12" t="s">
        <v>22</v>
      </c>
      <c r="B1257" s="20" t="str">
        <f>IFERROR(VLOOKUP(A1257,Sheet1!$E$3:$H$27,4,0),"")</f>
        <v>P2</v>
      </c>
      <c r="C1257" s="14" t="s">
        <v>504</v>
      </c>
      <c r="D1257" s="12" t="s">
        <v>86</v>
      </c>
      <c r="E1257" s="13" t="str">
        <f>IFERROR(VLOOKUP(D1257,Sheet1!$B$1:$C$45,2,0),"")</f>
        <v>PM</v>
      </c>
      <c r="F1257" s="12" t="s">
        <v>108</v>
      </c>
      <c r="G1257" s="13" t="str">
        <f t="shared" si="5"/>
        <v>Barito Raya</v>
      </c>
      <c r="H1257" s="15" t="str">
        <f>IFERROR(VLOOKUP(A1257,Sheet1!$E$3:$F$27,2,),"")</f>
        <v>Preventive</v>
      </c>
      <c r="I1257" s="16" t="str">
        <f>IFERROR(VLOOKUP(A1257,Sheet1!$E$3:$G$27,3,0),"")</f>
        <v>Preventive Maintenance</v>
      </c>
      <c r="J1257" s="12" t="s">
        <v>112</v>
      </c>
      <c r="K1257" s="17">
        <v>46058.0</v>
      </c>
      <c r="L1257" s="17">
        <v>46058.0</v>
      </c>
      <c r="M1257" s="12" t="s">
        <v>109</v>
      </c>
      <c r="N1257" s="23"/>
      <c r="O1257" s="22"/>
      <c r="P1257" s="22"/>
    </row>
    <row r="1258" ht="22.5" customHeight="1">
      <c r="A1258" s="12" t="s">
        <v>65</v>
      </c>
      <c r="B1258" s="20" t="str">
        <f>IFERROR(VLOOKUP(A1258,Sheet1!$E$3:$H$27,4,0),"")</f>
        <v>P3</v>
      </c>
      <c r="C1258" s="15"/>
      <c r="D1258" s="12" t="s">
        <v>12</v>
      </c>
      <c r="E1258" s="13" t="str">
        <f>IFERROR(VLOOKUP(D1258,Sheet1!$B$1:$C$45,2,0),"")</f>
        <v>TE</v>
      </c>
      <c r="F1258" s="12" t="s">
        <v>108</v>
      </c>
      <c r="G1258" s="13" t="str">
        <f t="shared" si="5"/>
        <v>Barito Raya</v>
      </c>
      <c r="H1258" s="15" t="str">
        <f>IFERROR(VLOOKUP(A1258,Sheet1!$E$3:$F$27,2,),"")</f>
        <v>Standby</v>
      </c>
      <c r="I1258" s="16" t="str">
        <f>IFERROR(VLOOKUP(A1258,Sheet1!$E$3:$G$27,3,0),"")</f>
        <v>Standby On Call</v>
      </c>
      <c r="J1258" s="20"/>
      <c r="K1258" s="17">
        <v>46059.0</v>
      </c>
      <c r="L1258" s="17">
        <v>46059.0</v>
      </c>
      <c r="M1258" s="13"/>
      <c r="N1258" s="23"/>
      <c r="O1258" s="22"/>
      <c r="P1258" s="22"/>
    </row>
    <row r="1259" ht="22.5" customHeight="1">
      <c r="A1259" s="12" t="s">
        <v>65</v>
      </c>
      <c r="B1259" s="20" t="str">
        <f>IFERROR(VLOOKUP(A1259,Sheet1!$E$3:$H$27,4,0),"")</f>
        <v>P3</v>
      </c>
      <c r="C1259" s="15"/>
      <c r="D1259" s="12" t="s">
        <v>16</v>
      </c>
      <c r="E1259" s="13" t="str">
        <f>IFERROR(VLOOKUP(D1259,Sheet1!$B$1:$C$45,2,0),"")</f>
        <v>TE</v>
      </c>
      <c r="F1259" s="12" t="s">
        <v>108</v>
      </c>
      <c r="G1259" s="13" t="str">
        <f t="shared" si="5"/>
        <v>Barito Raya</v>
      </c>
      <c r="H1259" s="15" t="str">
        <f>IFERROR(VLOOKUP(A1259,Sheet1!$E$3:$F$27,2,),"")</f>
        <v>Standby</v>
      </c>
      <c r="I1259" s="16" t="str">
        <f>IFERROR(VLOOKUP(A1259,Sheet1!$E$3:$G$27,3,0),"")</f>
        <v>Standby On Call</v>
      </c>
      <c r="J1259" s="20"/>
      <c r="K1259" s="17">
        <v>46059.0</v>
      </c>
      <c r="L1259" s="17">
        <v>46059.0</v>
      </c>
      <c r="M1259" s="13"/>
      <c r="N1259" s="23"/>
      <c r="O1259" s="22"/>
      <c r="P1259" s="22"/>
    </row>
    <row r="1260" ht="22.5" customHeight="1">
      <c r="A1260" s="12" t="s">
        <v>52</v>
      </c>
      <c r="B1260" s="20" t="str">
        <f>IFERROR(VLOOKUP(A1260,Sheet1!$E$3:$H$27,4,0),"")</f>
        <v>P1</v>
      </c>
      <c r="C1260" s="15"/>
      <c r="D1260" s="12" t="s">
        <v>21</v>
      </c>
      <c r="E1260" s="13" t="str">
        <f>IFERROR(VLOOKUP(D1260,Sheet1!$B$1:$C$45,2,0),"")</f>
        <v>TE</v>
      </c>
      <c r="F1260" s="12" t="s">
        <v>108</v>
      </c>
      <c r="G1260" s="13" t="str">
        <f t="shared" si="5"/>
        <v>Barito Raya</v>
      </c>
      <c r="H1260" s="15" t="str">
        <f>IFERROR(VLOOKUP(A1260,Sheet1!$E$3:$F$27,2,),"")</f>
        <v>Preventive</v>
      </c>
      <c r="I1260" s="16" t="str">
        <f>IFERROR(VLOOKUP(A1260,Sheet1!$E$3:$G$27,3,0),"")</f>
        <v>MCB trip/Power upnormal</v>
      </c>
      <c r="J1260" s="20"/>
      <c r="K1260" s="17">
        <v>46059.0</v>
      </c>
      <c r="L1260" s="17">
        <v>46059.0</v>
      </c>
      <c r="M1260" s="13"/>
      <c r="N1260" s="23"/>
      <c r="O1260" s="22"/>
      <c r="P1260" s="22"/>
    </row>
    <row r="1261" ht="22.5" customHeight="1">
      <c r="A1261" s="12" t="s">
        <v>30</v>
      </c>
      <c r="B1261" s="20" t="str">
        <f>IFERROR(VLOOKUP(A1261,Sheet1!$E$3:$H$27,4,0),"")</f>
        <v>P3</v>
      </c>
      <c r="C1261" s="14" t="s">
        <v>548</v>
      </c>
      <c r="D1261" s="12" t="s">
        <v>26</v>
      </c>
      <c r="E1261" s="13" t="str">
        <f>IFERROR(VLOOKUP(D1261,Sheet1!$B$1:$C$45,2,0),"")</f>
        <v>TE</v>
      </c>
      <c r="F1261" s="12" t="s">
        <v>108</v>
      </c>
      <c r="G1261" s="13" t="str">
        <f t="shared" si="5"/>
        <v>Barito Raya</v>
      </c>
      <c r="H1261" s="15" t="str">
        <f>IFERROR(VLOOKUP(A1261,Sheet1!$E$3:$F$27,2,),"")</f>
        <v>Preventive</v>
      </c>
      <c r="I1261" s="16" t="str">
        <f>IFERROR(VLOOKUP(A1261,Sheet1!$E$3:$G$27,3,0),"")</f>
        <v>Pengawalan akses Vendor</v>
      </c>
      <c r="J1261" s="12" t="s">
        <v>112</v>
      </c>
      <c r="K1261" s="17">
        <v>46059.0</v>
      </c>
      <c r="L1261" s="17">
        <v>46059.0</v>
      </c>
      <c r="M1261" s="12" t="s">
        <v>109</v>
      </c>
      <c r="N1261" s="18" t="s">
        <v>549</v>
      </c>
      <c r="O1261" s="19"/>
      <c r="P1261" s="19"/>
    </row>
    <row r="1262" ht="22.5" customHeight="1">
      <c r="A1262" s="12" t="s">
        <v>65</v>
      </c>
      <c r="B1262" s="20" t="str">
        <f>IFERROR(VLOOKUP(A1262,Sheet1!$E$3:$H$27,4,0),"")</f>
        <v>P3</v>
      </c>
      <c r="C1262" s="15"/>
      <c r="D1262" s="12" t="s">
        <v>88</v>
      </c>
      <c r="E1262" s="13" t="str">
        <f>IFERROR(VLOOKUP(D1262,Sheet1!$B$1:$C$45,2,0),"")</f>
        <v>TE</v>
      </c>
      <c r="F1262" s="12" t="s">
        <v>108</v>
      </c>
      <c r="G1262" s="13" t="str">
        <f t="shared" si="5"/>
        <v>Barito Raya</v>
      </c>
      <c r="H1262" s="15" t="str">
        <f>IFERROR(VLOOKUP(A1262,Sheet1!$E$3:$F$27,2,),"")</f>
        <v>Standby</v>
      </c>
      <c r="I1262" s="16" t="str">
        <f>IFERROR(VLOOKUP(A1262,Sheet1!$E$3:$G$27,3,0),"")</f>
        <v>Standby On Call</v>
      </c>
      <c r="J1262" s="20"/>
      <c r="K1262" s="17">
        <v>46059.0</v>
      </c>
      <c r="L1262" s="17">
        <v>46059.0</v>
      </c>
      <c r="M1262" s="13"/>
      <c r="N1262" s="23"/>
      <c r="O1262" s="22"/>
      <c r="P1262" s="22"/>
    </row>
    <row r="1263" ht="22.5" customHeight="1">
      <c r="A1263" s="12" t="s">
        <v>14</v>
      </c>
      <c r="B1263" s="20" t="str">
        <f>IFERROR(VLOOKUP(A1263,Sheet1!$E$3:$H$27,4,0),"")</f>
        <v>P1</v>
      </c>
      <c r="C1263" s="14" t="s">
        <v>532</v>
      </c>
      <c r="D1263" s="12" t="s">
        <v>32</v>
      </c>
      <c r="E1263" s="13" t="str">
        <f>IFERROR(VLOOKUP(D1263,Sheet1!$B$1:$C$45,2,0),"")</f>
        <v>TE</v>
      </c>
      <c r="F1263" s="12" t="s">
        <v>108</v>
      </c>
      <c r="G1263" s="13" t="str">
        <f t="shared" si="5"/>
        <v>Barito Raya</v>
      </c>
      <c r="H1263" s="15" t="str">
        <f>IFERROR(VLOOKUP(A1263,Sheet1!$E$3:$F$27,2,),"")</f>
        <v>Corrective</v>
      </c>
      <c r="I1263" s="16" t="str">
        <f>IFERROR(VLOOKUP(A1263,Sheet1!$E$3:$G$27,3,0),"")</f>
        <v>Pemadaman,MCB Trip,Transmisi problem</v>
      </c>
      <c r="J1263" s="12" t="s">
        <v>112</v>
      </c>
      <c r="K1263" s="17">
        <v>46059.0</v>
      </c>
      <c r="L1263" s="17">
        <v>46059.0</v>
      </c>
      <c r="M1263" s="12" t="s">
        <v>109</v>
      </c>
      <c r="N1263" s="23"/>
      <c r="O1263" s="22"/>
      <c r="P1263" s="22"/>
    </row>
    <row r="1264" ht="22.5" customHeight="1">
      <c r="A1264" s="12" t="s">
        <v>65</v>
      </c>
      <c r="B1264" s="20" t="str">
        <f>IFERROR(VLOOKUP(A1264,Sheet1!$E$3:$H$27,4,0),"")</f>
        <v>P3</v>
      </c>
      <c r="C1264" s="15"/>
      <c r="D1264" s="12" t="s">
        <v>74</v>
      </c>
      <c r="E1264" s="13" t="str">
        <f>IFERROR(VLOOKUP(D1264,Sheet1!$B$1:$C$45,2,0),"")</f>
        <v>TE</v>
      </c>
      <c r="F1264" s="12" t="s">
        <v>108</v>
      </c>
      <c r="G1264" s="13" t="str">
        <f t="shared" si="5"/>
        <v>Barito Raya</v>
      </c>
      <c r="H1264" s="15" t="str">
        <f>IFERROR(VLOOKUP(A1264,Sheet1!$E$3:$F$27,2,),"")</f>
        <v>Standby</v>
      </c>
      <c r="I1264" s="16" t="str">
        <f>IFERROR(VLOOKUP(A1264,Sheet1!$E$3:$G$27,3,0),"")</f>
        <v>Standby On Call</v>
      </c>
      <c r="J1264" s="20"/>
      <c r="K1264" s="17">
        <v>46059.0</v>
      </c>
      <c r="L1264" s="17">
        <v>46059.0</v>
      </c>
      <c r="M1264" s="13"/>
      <c r="N1264" s="23"/>
      <c r="O1264" s="22"/>
      <c r="P1264" s="22"/>
    </row>
    <row r="1265" ht="22.5" customHeight="1">
      <c r="A1265" s="12" t="s">
        <v>22</v>
      </c>
      <c r="B1265" s="20" t="str">
        <f>IFERROR(VLOOKUP(A1265,Sheet1!$E$3:$H$27,4,0),"")</f>
        <v>P2</v>
      </c>
      <c r="C1265" s="14" t="s">
        <v>541</v>
      </c>
      <c r="D1265" s="12" t="s">
        <v>60</v>
      </c>
      <c r="E1265" s="13" t="str">
        <f>IFERROR(VLOOKUP(D1265,Sheet1!$B$1:$C$45,2,0),"")</f>
        <v>TE</v>
      </c>
      <c r="F1265" s="12" t="s">
        <v>108</v>
      </c>
      <c r="G1265" s="13" t="str">
        <f t="shared" si="5"/>
        <v>Barito Raya</v>
      </c>
      <c r="H1265" s="15" t="str">
        <f>IFERROR(VLOOKUP(A1265,Sheet1!$E$3:$F$27,2,),"")</f>
        <v>Preventive</v>
      </c>
      <c r="I1265" s="16" t="str">
        <f>IFERROR(VLOOKUP(A1265,Sheet1!$E$3:$G$27,3,0),"")</f>
        <v>Preventive Maintenance</v>
      </c>
      <c r="J1265" s="12" t="s">
        <v>112</v>
      </c>
      <c r="K1265" s="17">
        <v>46059.0</v>
      </c>
      <c r="L1265" s="17">
        <v>46059.0</v>
      </c>
      <c r="M1265" s="12" t="s">
        <v>109</v>
      </c>
      <c r="N1265" s="23"/>
      <c r="O1265" s="22"/>
      <c r="P1265" s="22"/>
    </row>
    <row r="1266" ht="22.5" customHeight="1">
      <c r="A1266" s="12" t="s">
        <v>65</v>
      </c>
      <c r="B1266" s="20" t="str">
        <f>IFERROR(VLOOKUP(A1266,Sheet1!$E$3:$H$27,4,0),"")</f>
        <v>P3</v>
      </c>
      <c r="C1266" s="15"/>
      <c r="D1266" s="12" t="s">
        <v>62</v>
      </c>
      <c r="E1266" s="13" t="str">
        <f>IFERROR(VLOOKUP(D1266,Sheet1!$B$1:$C$45,2,0),"")</f>
        <v>TE</v>
      </c>
      <c r="F1266" s="12" t="s">
        <v>108</v>
      </c>
      <c r="G1266" s="13" t="str">
        <f t="shared" si="5"/>
        <v>Barito Raya</v>
      </c>
      <c r="H1266" s="15" t="str">
        <f>IFERROR(VLOOKUP(A1266,Sheet1!$E$3:$F$27,2,),"")</f>
        <v>Standby</v>
      </c>
      <c r="I1266" s="16" t="str">
        <f>IFERROR(VLOOKUP(A1266,Sheet1!$E$3:$G$27,3,0),"")</f>
        <v>Standby On Call</v>
      </c>
      <c r="J1266" s="20"/>
      <c r="K1266" s="17">
        <v>46059.0</v>
      </c>
      <c r="L1266" s="17">
        <v>46059.0</v>
      </c>
      <c r="M1266" s="13"/>
      <c r="N1266" s="23"/>
      <c r="O1266" s="22"/>
      <c r="P1266" s="22"/>
    </row>
    <row r="1267" ht="22.5" customHeight="1">
      <c r="A1267" s="12" t="s">
        <v>14</v>
      </c>
      <c r="B1267" s="20" t="str">
        <f>IFERROR(VLOOKUP(A1267,Sheet1!$E$3:$H$27,4,0),"")</f>
        <v>P1</v>
      </c>
      <c r="C1267" s="14" t="s">
        <v>521</v>
      </c>
      <c r="D1267" s="12" t="s">
        <v>42</v>
      </c>
      <c r="E1267" s="13" t="str">
        <f>IFERROR(VLOOKUP(D1267,Sheet1!$B$1:$C$45,2,0),"")</f>
        <v>TE</v>
      </c>
      <c r="F1267" s="12" t="s">
        <v>108</v>
      </c>
      <c r="G1267" s="13" t="str">
        <f t="shared" si="5"/>
        <v>Barito Raya</v>
      </c>
      <c r="H1267" s="15" t="str">
        <f>IFERROR(VLOOKUP(A1267,Sheet1!$E$3:$F$27,2,),"")</f>
        <v>Corrective</v>
      </c>
      <c r="I1267" s="16" t="str">
        <f>IFERROR(VLOOKUP(A1267,Sheet1!$E$3:$G$27,3,0),"")</f>
        <v>Pemadaman,MCB Trip,Transmisi problem</v>
      </c>
      <c r="J1267" s="20"/>
      <c r="K1267" s="17">
        <v>46059.0</v>
      </c>
      <c r="L1267" s="17">
        <v>46059.0</v>
      </c>
      <c r="M1267" s="13"/>
      <c r="N1267" s="23"/>
      <c r="O1267" s="22"/>
      <c r="P1267" s="22"/>
    </row>
    <row r="1268" ht="22.5" customHeight="1">
      <c r="A1268" s="12" t="s">
        <v>14</v>
      </c>
      <c r="B1268" s="20" t="str">
        <f>IFERROR(VLOOKUP(A1268,Sheet1!$E$3:$H$27,4,0),"")</f>
        <v>P1</v>
      </c>
      <c r="C1268" s="14" t="s">
        <v>521</v>
      </c>
      <c r="D1268" s="12" t="s">
        <v>39</v>
      </c>
      <c r="E1268" s="13" t="str">
        <f>IFERROR(VLOOKUP(D1268,Sheet1!$B$1:$C$45,2,0),"")</f>
        <v>TE</v>
      </c>
      <c r="F1268" s="12" t="s">
        <v>108</v>
      </c>
      <c r="G1268" s="13" t="str">
        <f t="shared" si="5"/>
        <v>Barito Raya</v>
      </c>
      <c r="H1268" s="15" t="str">
        <f>IFERROR(VLOOKUP(A1268,Sheet1!$E$3:$F$27,2,),"")</f>
        <v>Corrective</v>
      </c>
      <c r="I1268" s="16" t="str">
        <f>IFERROR(VLOOKUP(A1268,Sheet1!$E$3:$G$27,3,0),"")</f>
        <v>Pemadaman,MCB Trip,Transmisi problem</v>
      </c>
      <c r="J1268" s="20"/>
      <c r="K1268" s="17">
        <v>46059.0</v>
      </c>
      <c r="L1268" s="17">
        <v>46059.0</v>
      </c>
      <c r="M1268" s="13"/>
      <c r="N1268" s="23"/>
      <c r="O1268" s="22"/>
      <c r="P1268" s="22"/>
    </row>
    <row r="1269" ht="22.5" customHeight="1">
      <c r="A1269" s="12" t="s">
        <v>65</v>
      </c>
      <c r="B1269" s="20" t="str">
        <f>IFERROR(VLOOKUP(A1269,Sheet1!$E$3:$H$27,4,0),"")</f>
        <v>P3</v>
      </c>
      <c r="C1269" s="15"/>
      <c r="D1269" s="12" t="s">
        <v>9</v>
      </c>
      <c r="E1269" s="13" t="str">
        <f>IFERROR(VLOOKUP(D1269,Sheet1!$B$1:$C$45,2,0),"")</f>
        <v>MBP</v>
      </c>
      <c r="F1269" s="12" t="s">
        <v>108</v>
      </c>
      <c r="G1269" s="13" t="str">
        <f t="shared" si="5"/>
        <v>Barito Raya</v>
      </c>
      <c r="H1269" s="15" t="str">
        <f>IFERROR(VLOOKUP(A1269,Sheet1!$E$3:$F$27,2,),"")</f>
        <v>Standby</v>
      </c>
      <c r="I1269" s="16" t="str">
        <f>IFERROR(VLOOKUP(A1269,Sheet1!$E$3:$G$27,3,0),"")</f>
        <v>Standby On Call</v>
      </c>
      <c r="J1269" s="20"/>
      <c r="K1269" s="17">
        <v>46059.0</v>
      </c>
      <c r="L1269" s="17">
        <v>46059.0</v>
      </c>
      <c r="M1269" s="13"/>
      <c r="N1269" s="23"/>
      <c r="O1269" s="22"/>
      <c r="P1269" s="22"/>
    </row>
    <row r="1270" ht="22.5" customHeight="1">
      <c r="A1270" s="12" t="s">
        <v>52</v>
      </c>
      <c r="B1270" s="20" t="str">
        <f>IFERROR(VLOOKUP(A1270,Sheet1!$E$3:$H$27,4,0),"")</f>
        <v>P1</v>
      </c>
      <c r="C1270" s="14" t="s">
        <v>161</v>
      </c>
      <c r="D1270" s="12" t="s">
        <v>4</v>
      </c>
      <c r="E1270" s="13" t="str">
        <f>IFERROR(VLOOKUP(D1270,Sheet1!$B$1:$C$45,2,0),"")</f>
        <v>CME</v>
      </c>
      <c r="F1270" s="12" t="s">
        <v>108</v>
      </c>
      <c r="G1270" s="13" t="str">
        <f t="shared" si="5"/>
        <v>Barito Raya</v>
      </c>
      <c r="H1270" s="15" t="str">
        <f>IFERROR(VLOOKUP(A1270,Sheet1!$E$3:$F$27,2,),"")</f>
        <v>Preventive</v>
      </c>
      <c r="I1270" s="16" t="str">
        <f>IFERROR(VLOOKUP(A1270,Sheet1!$E$3:$G$27,3,0),"")</f>
        <v>MCB trip/Power upnormal</v>
      </c>
      <c r="J1270" s="12" t="s">
        <v>112</v>
      </c>
      <c r="K1270" s="17">
        <v>46059.0</v>
      </c>
      <c r="L1270" s="17">
        <v>46059.0</v>
      </c>
      <c r="M1270" s="12" t="s">
        <v>109</v>
      </c>
      <c r="N1270" s="18" t="s">
        <v>550</v>
      </c>
      <c r="O1270" s="19"/>
      <c r="P1270" s="19"/>
    </row>
    <row r="1271" ht="22.5" customHeight="1">
      <c r="A1271" s="12" t="s">
        <v>65</v>
      </c>
      <c r="B1271" s="20" t="str">
        <f>IFERROR(VLOOKUP(A1271,Sheet1!$E$3:$H$27,4,0),"")</f>
        <v>P3</v>
      </c>
      <c r="C1271" s="15"/>
      <c r="D1271" s="12" t="s">
        <v>29</v>
      </c>
      <c r="E1271" s="13" t="str">
        <f>IFERROR(VLOOKUP(D1271,Sheet1!$B$1:$C$45,2,0),"")</f>
        <v>MBP</v>
      </c>
      <c r="F1271" s="12" t="s">
        <v>108</v>
      </c>
      <c r="G1271" s="13" t="str">
        <f t="shared" si="5"/>
        <v>Barito Raya</v>
      </c>
      <c r="H1271" s="15" t="str">
        <f>IFERROR(VLOOKUP(A1271,Sheet1!$E$3:$F$27,2,),"")</f>
        <v>Standby</v>
      </c>
      <c r="I1271" s="16" t="str">
        <f>IFERROR(VLOOKUP(A1271,Sheet1!$E$3:$G$27,3,0),"")</f>
        <v>Standby On Call</v>
      </c>
      <c r="J1271" s="20"/>
      <c r="K1271" s="17">
        <v>46059.0</v>
      </c>
      <c r="L1271" s="17">
        <v>46059.0</v>
      </c>
      <c r="M1271" s="13"/>
      <c r="N1271" s="23"/>
      <c r="O1271" s="22"/>
      <c r="P1271" s="22"/>
    </row>
    <row r="1272" ht="22.5" customHeight="1">
      <c r="A1272" s="12" t="s">
        <v>65</v>
      </c>
      <c r="B1272" s="20" t="str">
        <f>IFERROR(VLOOKUP(A1272,Sheet1!$E$3:$H$27,4,0),"")</f>
        <v>P3</v>
      </c>
      <c r="C1272" s="15"/>
      <c r="D1272" s="12" t="s">
        <v>2</v>
      </c>
      <c r="E1272" s="13" t="str">
        <f>IFERROR(VLOOKUP(D1272,Sheet1!$B$1:$C$45,2,0),"")</f>
        <v>CME</v>
      </c>
      <c r="F1272" s="12" t="s">
        <v>108</v>
      </c>
      <c r="G1272" s="13" t="str">
        <f t="shared" si="5"/>
        <v>Barito Raya</v>
      </c>
      <c r="H1272" s="15" t="str">
        <f>IFERROR(VLOOKUP(A1272,Sheet1!$E$3:$F$27,2,),"")</f>
        <v>Standby</v>
      </c>
      <c r="I1272" s="16" t="str">
        <f>IFERROR(VLOOKUP(A1272,Sheet1!$E$3:$G$27,3,0),"")</f>
        <v>Standby On Call</v>
      </c>
      <c r="J1272" s="20"/>
      <c r="K1272" s="17">
        <v>46059.0</v>
      </c>
      <c r="L1272" s="17">
        <v>46059.0</v>
      </c>
      <c r="M1272" s="13"/>
      <c r="N1272" s="23"/>
      <c r="O1272" s="22"/>
      <c r="P1272" s="22"/>
    </row>
    <row r="1273" ht="22.5" customHeight="1">
      <c r="A1273" s="12" t="s">
        <v>65</v>
      </c>
      <c r="B1273" s="20" t="str">
        <f>IFERROR(VLOOKUP(A1273,Sheet1!$E$3:$H$27,4,0),"")</f>
        <v>P3</v>
      </c>
      <c r="C1273" s="15"/>
      <c r="D1273" s="12" t="s">
        <v>0</v>
      </c>
      <c r="E1273" s="13" t="str">
        <f>IFERROR(VLOOKUP(D1273,Sheet1!$B$1:$C$45,2,0),"")</f>
        <v>MBP</v>
      </c>
      <c r="F1273" s="12" t="s">
        <v>108</v>
      </c>
      <c r="G1273" s="13" t="str">
        <f t="shared" si="5"/>
        <v>Barito Raya</v>
      </c>
      <c r="H1273" s="15" t="str">
        <f>IFERROR(VLOOKUP(A1273,Sheet1!$E$3:$F$27,2,),"")</f>
        <v>Standby</v>
      </c>
      <c r="I1273" s="16" t="str">
        <f>IFERROR(VLOOKUP(A1273,Sheet1!$E$3:$G$27,3,0),"")</f>
        <v>Standby On Call</v>
      </c>
      <c r="J1273" s="20"/>
      <c r="K1273" s="17">
        <v>46059.0</v>
      </c>
      <c r="L1273" s="17">
        <v>46059.0</v>
      </c>
      <c r="M1273" s="13"/>
      <c r="N1273" s="23"/>
      <c r="O1273" s="22"/>
      <c r="P1273" s="22"/>
    </row>
    <row r="1274" ht="22.5" customHeight="1">
      <c r="A1274" s="12" t="s">
        <v>22</v>
      </c>
      <c r="B1274" s="20" t="str">
        <f>IFERROR(VLOOKUP(A1274,Sheet1!$E$3:$H$27,4,0),"")</f>
        <v>P2</v>
      </c>
      <c r="C1274" s="15"/>
      <c r="D1274" s="12" t="s">
        <v>85</v>
      </c>
      <c r="E1274" s="13" t="str">
        <f>IFERROR(VLOOKUP(D1274,Sheet1!$B$1:$C$45,2,0),"")</f>
        <v>PM</v>
      </c>
      <c r="F1274" s="12" t="s">
        <v>108</v>
      </c>
      <c r="G1274" s="13" t="str">
        <f t="shared" si="5"/>
        <v>Barito Raya</v>
      </c>
      <c r="H1274" s="15" t="str">
        <f>IFERROR(VLOOKUP(A1274,Sheet1!$E$3:$F$27,2,),"")</f>
        <v>Preventive</v>
      </c>
      <c r="I1274" s="16" t="str">
        <f>IFERROR(VLOOKUP(A1274,Sheet1!$E$3:$G$27,3,0),"")</f>
        <v>Preventive Maintenance</v>
      </c>
      <c r="J1274" s="12" t="s">
        <v>112</v>
      </c>
      <c r="K1274" s="17">
        <v>46059.0</v>
      </c>
      <c r="L1274" s="17">
        <v>46059.0</v>
      </c>
      <c r="M1274" s="12" t="s">
        <v>109</v>
      </c>
      <c r="N1274" s="23"/>
      <c r="O1274" s="22"/>
      <c r="P1274" s="22"/>
    </row>
    <row r="1275" ht="22.5" customHeight="1">
      <c r="A1275" s="12" t="s">
        <v>22</v>
      </c>
      <c r="B1275" s="20" t="str">
        <f>IFERROR(VLOOKUP(A1275,Sheet1!$E$3:$H$27,4,0),"")</f>
        <v>P2</v>
      </c>
      <c r="C1275" s="15"/>
      <c r="D1275" s="12" t="s">
        <v>84</v>
      </c>
      <c r="E1275" s="13" t="str">
        <f>IFERROR(VLOOKUP(D1275,Sheet1!$B$1:$C$45,2,0),"")</f>
        <v>MBP</v>
      </c>
      <c r="F1275" s="12" t="s">
        <v>108</v>
      </c>
      <c r="G1275" s="13" t="str">
        <f t="shared" si="5"/>
        <v>Barito Raya</v>
      </c>
      <c r="H1275" s="15" t="str">
        <f>IFERROR(VLOOKUP(A1275,Sheet1!$E$3:$F$27,2,),"")</f>
        <v>Preventive</v>
      </c>
      <c r="I1275" s="16" t="str">
        <f>IFERROR(VLOOKUP(A1275,Sheet1!$E$3:$G$27,3,0),"")</f>
        <v>Preventive Maintenance</v>
      </c>
      <c r="J1275" s="12" t="s">
        <v>112</v>
      </c>
      <c r="K1275" s="17">
        <v>46059.0</v>
      </c>
      <c r="L1275" s="17">
        <v>46059.0</v>
      </c>
      <c r="M1275" s="12" t="s">
        <v>109</v>
      </c>
      <c r="N1275" s="23"/>
      <c r="O1275" s="22"/>
      <c r="P1275" s="22"/>
    </row>
    <row r="1276" ht="22.5" customHeight="1">
      <c r="A1276" s="12" t="s">
        <v>22</v>
      </c>
      <c r="B1276" s="20" t="str">
        <f>IFERROR(VLOOKUP(A1276,Sheet1!$E$3:$H$27,4,0),"")</f>
        <v>P2</v>
      </c>
      <c r="C1276" s="14" t="s">
        <v>457</v>
      </c>
      <c r="D1276" s="12" t="s">
        <v>86</v>
      </c>
      <c r="E1276" s="13" t="str">
        <f>IFERROR(VLOOKUP(D1276,Sheet1!$B$1:$C$45,2,0),"")</f>
        <v>PM</v>
      </c>
      <c r="F1276" s="12" t="s">
        <v>108</v>
      </c>
      <c r="G1276" s="13" t="str">
        <f t="shared" si="5"/>
        <v>Barito Raya</v>
      </c>
      <c r="H1276" s="15" t="str">
        <f>IFERROR(VLOOKUP(A1276,Sheet1!$E$3:$F$27,2,),"")</f>
        <v>Preventive</v>
      </c>
      <c r="I1276" s="16" t="str">
        <f>IFERROR(VLOOKUP(A1276,Sheet1!$E$3:$G$27,3,0),"")</f>
        <v>Preventive Maintenance</v>
      </c>
      <c r="J1276" s="12" t="s">
        <v>112</v>
      </c>
      <c r="K1276" s="17">
        <v>46059.0</v>
      </c>
      <c r="L1276" s="17">
        <v>46059.0</v>
      </c>
      <c r="M1276" s="12" t="s">
        <v>109</v>
      </c>
      <c r="N1276" s="23"/>
      <c r="O1276" s="22"/>
      <c r="P1276" s="22"/>
    </row>
    <row r="1277" ht="22.5" customHeight="1">
      <c r="A1277" s="12" t="s">
        <v>65</v>
      </c>
      <c r="B1277" s="20" t="str">
        <f>IFERROR(VLOOKUP(A1277,Sheet1!$E$3:$H$27,4,0),"")</f>
        <v>P3</v>
      </c>
      <c r="C1277" s="15"/>
      <c r="D1277" s="12" t="s">
        <v>12</v>
      </c>
      <c r="E1277" s="13" t="str">
        <f>IFERROR(VLOOKUP(D1277,Sheet1!$B$1:$C$45,2,0),"")</f>
        <v>TE</v>
      </c>
      <c r="F1277" s="12" t="s">
        <v>108</v>
      </c>
      <c r="G1277" s="13" t="str">
        <f t="shared" si="5"/>
        <v>Barito Raya</v>
      </c>
      <c r="H1277" s="15" t="str">
        <f>IFERROR(VLOOKUP(A1277,Sheet1!$E$3:$F$27,2,),"")</f>
        <v>Standby</v>
      </c>
      <c r="I1277" s="16" t="str">
        <f>IFERROR(VLOOKUP(A1277,Sheet1!$E$3:$G$27,3,0),"")</f>
        <v>Standby On Call</v>
      </c>
      <c r="J1277" s="12" t="s">
        <v>66</v>
      </c>
      <c r="K1277" s="17">
        <v>46062.0</v>
      </c>
      <c r="L1277" s="17">
        <v>46062.0</v>
      </c>
      <c r="M1277" s="13"/>
      <c r="N1277" s="23"/>
      <c r="O1277" s="22"/>
      <c r="P1277" s="22"/>
    </row>
    <row r="1278" ht="22.5" customHeight="1">
      <c r="A1278" s="12" t="s">
        <v>22</v>
      </c>
      <c r="B1278" s="20" t="str">
        <f>IFERROR(VLOOKUP(A1278,Sheet1!$E$3:$H$27,4,0),"")</f>
        <v>P2</v>
      </c>
      <c r="C1278" s="14" t="s">
        <v>211</v>
      </c>
      <c r="D1278" s="12" t="s">
        <v>16</v>
      </c>
      <c r="E1278" s="13" t="str">
        <f>IFERROR(VLOOKUP(D1278,Sheet1!$B$1:$C$45,2,0),"")</f>
        <v>TE</v>
      </c>
      <c r="F1278" s="12" t="s">
        <v>108</v>
      </c>
      <c r="G1278" s="13" t="str">
        <f t="shared" si="5"/>
        <v>Barito Raya</v>
      </c>
      <c r="H1278" s="15" t="str">
        <f>IFERROR(VLOOKUP(A1278,Sheet1!$E$3:$F$27,2,),"")</f>
        <v>Preventive</v>
      </c>
      <c r="I1278" s="16" t="str">
        <f>IFERROR(VLOOKUP(A1278,Sheet1!$E$3:$G$27,3,0),"")</f>
        <v>Preventive Maintenance</v>
      </c>
      <c r="J1278" s="12" t="s">
        <v>112</v>
      </c>
      <c r="K1278" s="17">
        <v>46062.0</v>
      </c>
      <c r="L1278" s="17">
        <v>46062.0</v>
      </c>
      <c r="M1278" s="13"/>
      <c r="N1278" s="23"/>
      <c r="O1278" s="22"/>
      <c r="P1278" s="22"/>
    </row>
    <row r="1279" ht="22.5" customHeight="1">
      <c r="A1279" s="12" t="s">
        <v>14</v>
      </c>
      <c r="B1279" s="20" t="str">
        <f>IFERROR(VLOOKUP(A1279,Sheet1!$E$3:$H$27,4,0),"")</f>
        <v>P1</v>
      </c>
      <c r="C1279" s="14" t="s">
        <v>551</v>
      </c>
      <c r="D1279" s="12" t="s">
        <v>21</v>
      </c>
      <c r="E1279" s="13" t="str">
        <f>IFERROR(VLOOKUP(D1279,Sheet1!$B$1:$C$45,2,0),"")</f>
        <v>TE</v>
      </c>
      <c r="F1279" s="12" t="s">
        <v>108</v>
      </c>
      <c r="G1279" s="13" t="str">
        <f t="shared" si="5"/>
        <v>Barito Raya</v>
      </c>
      <c r="H1279" s="15" t="str">
        <f>IFERROR(VLOOKUP(A1279,Sheet1!$E$3:$F$27,2,),"")</f>
        <v>Corrective</v>
      </c>
      <c r="I1279" s="16" t="str">
        <f>IFERROR(VLOOKUP(A1279,Sheet1!$E$3:$G$27,3,0),"")</f>
        <v>Pemadaman,MCB Trip,Transmisi problem</v>
      </c>
      <c r="J1279" s="12" t="s">
        <v>112</v>
      </c>
      <c r="K1279" s="17">
        <v>46062.0</v>
      </c>
      <c r="L1279" s="17">
        <v>46062.0</v>
      </c>
      <c r="M1279" s="12" t="s">
        <v>109</v>
      </c>
      <c r="N1279" s="23"/>
      <c r="O1279" s="22"/>
      <c r="P1279" s="22"/>
    </row>
    <row r="1280" ht="22.5" customHeight="1">
      <c r="A1280" s="12" t="s">
        <v>14</v>
      </c>
      <c r="B1280" s="20" t="str">
        <f>IFERROR(VLOOKUP(A1280,Sheet1!$E$3:$H$27,4,0),"")</f>
        <v>P1</v>
      </c>
      <c r="C1280" s="14" t="s">
        <v>552</v>
      </c>
      <c r="D1280" s="12" t="s">
        <v>26</v>
      </c>
      <c r="E1280" s="13" t="str">
        <f>IFERROR(VLOOKUP(D1280,Sheet1!$B$1:$C$45,2,0),"")</f>
        <v>TE</v>
      </c>
      <c r="F1280" s="12" t="s">
        <v>108</v>
      </c>
      <c r="G1280" s="13" t="str">
        <f t="shared" si="5"/>
        <v>Barito Raya</v>
      </c>
      <c r="H1280" s="15" t="str">
        <f>IFERROR(VLOOKUP(A1280,Sheet1!$E$3:$F$27,2,),"")</f>
        <v>Corrective</v>
      </c>
      <c r="I1280" s="16" t="str">
        <f>IFERROR(VLOOKUP(A1280,Sheet1!$E$3:$G$27,3,0),"")</f>
        <v>Pemadaman,MCB Trip,Transmisi problem</v>
      </c>
      <c r="J1280" s="12" t="s">
        <v>112</v>
      </c>
      <c r="K1280" s="17">
        <v>46062.0</v>
      </c>
      <c r="L1280" s="17">
        <v>46062.0</v>
      </c>
      <c r="M1280" s="12" t="s">
        <v>109</v>
      </c>
      <c r="N1280" s="23"/>
      <c r="O1280" s="22"/>
      <c r="P1280" s="22"/>
    </row>
    <row r="1281" ht="22.5" customHeight="1">
      <c r="A1281" s="12" t="s">
        <v>14</v>
      </c>
      <c r="B1281" s="20" t="str">
        <f>IFERROR(VLOOKUP(A1281,Sheet1!$E$3:$H$27,4,0),"")</f>
        <v>P1</v>
      </c>
      <c r="C1281" s="14" t="s">
        <v>552</v>
      </c>
      <c r="D1281" s="12" t="s">
        <v>88</v>
      </c>
      <c r="E1281" s="13" t="str">
        <f>IFERROR(VLOOKUP(D1281,Sheet1!$B$1:$C$45,2,0),"")</f>
        <v>TE</v>
      </c>
      <c r="F1281" s="12" t="s">
        <v>108</v>
      </c>
      <c r="G1281" s="13" t="str">
        <f t="shared" si="5"/>
        <v>Barito Raya</v>
      </c>
      <c r="H1281" s="15" t="str">
        <f>IFERROR(VLOOKUP(A1281,Sheet1!$E$3:$F$27,2,),"")</f>
        <v>Corrective</v>
      </c>
      <c r="I1281" s="16" t="str">
        <f>IFERROR(VLOOKUP(A1281,Sheet1!$E$3:$G$27,3,0),"")</f>
        <v>Pemadaman,MCB Trip,Transmisi problem</v>
      </c>
      <c r="J1281" s="12" t="s">
        <v>112</v>
      </c>
      <c r="K1281" s="17">
        <v>46062.0</v>
      </c>
      <c r="L1281" s="17">
        <v>46062.0</v>
      </c>
      <c r="M1281" s="12" t="s">
        <v>109</v>
      </c>
      <c r="N1281" s="23"/>
      <c r="O1281" s="22"/>
      <c r="P1281" s="22"/>
    </row>
    <row r="1282" ht="22.5" customHeight="1">
      <c r="A1282" s="12"/>
      <c r="B1282" s="20" t="str">
        <f>IFERROR(VLOOKUP(A1282,Sheet1!$E$3:$H$27,4,0),"")</f>
        <v/>
      </c>
      <c r="C1282" s="14" t="s">
        <v>553</v>
      </c>
      <c r="D1282" s="12" t="s">
        <v>32</v>
      </c>
      <c r="E1282" s="13" t="str">
        <f>IFERROR(VLOOKUP(D1282,Sheet1!$B$1:$C$45,2,0),"")</f>
        <v>TE</v>
      </c>
      <c r="F1282" s="12" t="s">
        <v>108</v>
      </c>
      <c r="G1282" s="13" t="str">
        <f t="shared" si="5"/>
        <v>Barito Raya</v>
      </c>
      <c r="H1282" s="15" t="str">
        <f>IFERROR(VLOOKUP(A1282,Sheet1!$E$3:$F$27,2,),"")</f>
        <v/>
      </c>
      <c r="I1282" s="16" t="str">
        <f>IFERROR(VLOOKUP(A1282,Sheet1!$E$3:$G$27,3,0),"")</f>
        <v/>
      </c>
      <c r="J1282" s="12"/>
      <c r="K1282" s="17">
        <v>46062.0</v>
      </c>
      <c r="L1282" s="17">
        <v>46062.0</v>
      </c>
      <c r="M1282" s="12"/>
      <c r="N1282" s="23"/>
      <c r="O1282" s="22"/>
      <c r="P1282" s="22"/>
    </row>
    <row r="1283" ht="22.5" customHeight="1">
      <c r="A1283" s="12" t="s">
        <v>33</v>
      </c>
      <c r="B1283" s="20" t="str">
        <f>IFERROR(VLOOKUP(A1283,Sheet1!$E$3:$H$27,4,0),"")</f>
        <v>P2</v>
      </c>
      <c r="C1283" s="14" t="s">
        <v>516</v>
      </c>
      <c r="D1283" s="12" t="s">
        <v>74</v>
      </c>
      <c r="E1283" s="13" t="str">
        <f>IFERROR(VLOOKUP(D1283,Sheet1!$B$1:$C$45,2,0),"")</f>
        <v>TE</v>
      </c>
      <c r="F1283" s="12" t="s">
        <v>108</v>
      </c>
      <c r="G1283" s="13" t="str">
        <f t="shared" si="5"/>
        <v>Barito Raya</v>
      </c>
      <c r="H1283" s="15" t="str">
        <f>IFERROR(VLOOKUP(A1283,Sheet1!$E$3:$F$27,2,),"")</f>
        <v>Preventive</v>
      </c>
      <c r="I1283" s="16" t="str">
        <f>IFERROR(VLOOKUP(A1283,Sheet1!$E$3:$G$27,3,0),"")</f>
        <v>Pengukuran dan pengambilan data log serta input Gdoc BBT</v>
      </c>
      <c r="J1283" s="12" t="s">
        <v>112</v>
      </c>
      <c r="K1283" s="17">
        <v>46062.0</v>
      </c>
      <c r="L1283" s="17">
        <v>46062.0</v>
      </c>
      <c r="M1283" s="12" t="s">
        <v>109</v>
      </c>
      <c r="N1283" s="23"/>
      <c r="O1283" s="22"/>
      <c r="P1283" s="22"/>
    </row>
    <row r="1284" ht="22.5" customHeight="1">
      <c r="A1284" s="12" t="s">
        <v>22</v>
      </c>
      <c r="B1284" s="20" t="str">
        <f>IFERROR(VLOOKUP(A1284,Sheet1!$E$3:$H$27,4,0),"")</f>
        <v>P2</v>
      </c>
      <c r="C1284" s="14" t="s">
        <v>554</v>
      </c>
      <c r="D1284" s="12" t="s">
        <v>60</v>
      </c>
      <c r="E1284" s="13" t="str">
        <f>IFERROR(VLOOKUP(D1284,Sheet1!$B$1:$C$45,2,0),"")</f>
        <v>TE</v>
      </c>
      <c r="F1284" s="12" t="s">
        <v>108</v>
      </c>
      <c r="G1284" s="13" t="str">
        <f t="shared" si="5"/>
        <v>Barito Raya</v>
      </c>
      <c r="H1284" s="15" t="str">
        <f>IFERROR(VLOOKUP(A1284,Sheet1!$E$3:$F$27,2,),"")</f>
        <v>Preventive</v>
      </c>
      <c r="I1284" s="16" t="str">
        <f>IFERROR(VLOOKUP(A1284,Sheet1!$E$3:$G$27,3,0),"")</f>
        <v>Preventive Maintenance</v>
      </c>
      <c r="J1284" s="12" t="s">
        <v>112</v>
      </c>
      <c r="K1284" s="17">
        <v>46062.0</v>
      </c>
      <c r="L1284" s="17">
        <v>46062.0</v>
      </c>
      <c r="M1284" s="12" t="s">
        <v>109</v>
      </c>
      <c r="N1284" s="23"/>
      <c r="O1284" s="22"/>
      <c r="P1284" s="22"/>
    </row>
    <row r="1285" ht="22.5" customHeight="1">
      <c r="A1285" s="12" t="s">
        <v>65</v>
      </c>
      <c r="B1285" s="20" t="str">
        <f>IFERROR(VLOOKUP(A1285,Sheet1!$E$3:$H$27,4,0),"")</f>
        <v>P3</v>
      </c>
      <c r="C1285" s="15"/>
      <c r="D1285" s="12" t="s">
        <v>62</v>
      </c>
      <c r="E1285" s="13" t="str">
        <f>IFERROR(VLOOKUP(D1285,Sheet1!$B$1:$C$45,2,0),"")</f>
        <v>TE</v>
      </c>
      <c r="F1285" s="12" t="s">
        <v>108</v>
      </c>
      <c r="G1285" s="13" t="str">
        <f t="shared" si="5"/>
        <v>Barito Raya</v>
      </c>
      <c r="H1285" s="15" t="str">
        <f>IFERROR(VLOOKUP(A1285,Sheet1!$E$3:$F$27,2,),"")</f>
        <v>Standby</v>
      </c>
      <c r="I1285" s="16" t="str">
        <f>IFERROR(VLOOKUP(A1285,Sheet1!$E$3:$G$27,3,0),"")</f>
        <v>Standby On Call</v>
      </c>
      <c r="J1285" s="12" t="s">
        <v>66</v>
      </c>
      <c r="K1285" s="17">
        <v>46062.0</v>
      </c>
      <c r="L1285" s="17">
        <v>46062.0</v>
      </c>
      <c r="M1285" s="13"/>
      <c r="N1285" s="23"/>
      <c r="O1285" s="22"/>
      <c r="P1285" s="22"/>
    </row>
    <row r="1286" ht="22.5" customHeight="1">
      <c r="A1286" s="12" t="s">
        <v>14</v>
      </c>
      <c r="B1286" s="20" t="str">
        <f>IFERROR(VLOOKUP(A1286,Sheet1!$E$3:$H$27,4,0),"")</f>
        <v>P1</v>
      </c>
      <c r="C1286" s="14" t="s">
        <v>551</v>
      </c>
      <c r="D1286" s="12" t="s">
        <v>4</v>
      </c>
      <c r="E1286" s="13" t="str">
        <f>IFERROR(VLOOKUP(D1286,Sheet1!$B$1:$C$45,2,0),"")</f>
        <v>CME</v>
      </c>
      <c r="F1286" s="12" t="s">
        <v>108</v>
      </c>
      <c r="G1286" s="13" t="str">
        <f t="shared" si="5"/>
        <v>Barito Raya</v>
      </c>
      <c r="H1286" s="15" t="str">
        <f>IFERROR(VLOOKUP(A1286,Sheet1!$E$3:$F$27,2,),"")</f>
        <v>Corrective</v>
      </c>
      <c r="I1286" s="16" t="str">
        <f>IFERROR(VLOOKUP(A1286,Sheet1!$E$3:$G$27,3,0),"")</f>
        <v>Pemadaman,MCB Trip,Transmisi problem</v>
      </c>
      <c r="J1286" s="12" t="s">
        <v>112</v>
      </c>
      <c r="K1286" s="17">
        <v>46062.0</v>
      </c>
      <c r="L1286" s="17">
        <v>46062.0</v>
      </c>
      <c r="M1286" s="13"/>
      <c r="N1286" s="23"/>
      <c r="O1286" s="22"/>
      <c r="P1286" s="22"/>
    </row>
    <row r="1287" ht="22.5" customHeight="1">
      <c r="A1287" s="12" t="s">
        <v>22</v>
      </c>
      <c r="B1287" s="20" t="str">
        <f>IFERROR(VLOOKUP(A1287,Sheet1!$E$3:$H$27,4,0),"")</f>
        <v>P2</v>
      </c>
      <c r="C1287" s="14" t="s">
        <v>211</v>
      </c>
      <c r="D1287" s="12" t="s">
        <v>9</v>
      </c>
      <c r="E1287" s="13" t="str">
        <f>IFERROR(VLOOKUP(D1287,Sheet1!$B$1:$C$45,2,0),"")</f>
        <v>MBP</v>
      </c>
      <c r="F1287" s="12" t="s">
        <v>108</v>
      </c>
      <c r="G1287" s="13" t="str">
        <f t="shared" si="5"/>
        <v>Barito Raya</v>
      </c>
      <c r="H1287" s="15" t="str">
        <f>IFERROR(VLOOKUP(A1287,Sheet1!$E$3:$F$27,2,),"")</f>
        <v>Preventive</v>
      </c>
      <c r="I1287" s="16" t="str">
        <f>IFERROR(VLOOKUP(A1287,Sheet1!$E$3:$G$27,3,0),"")</f>
        <v>Preventive Maintenance</v>
      </c>
      <c r="J1287" s="12" t="s">
        <v>112</v>
      </c>
      <c r="K1287" s="17">
        <v>46062.0</v>
      </c>
      <c r="L1287" s="17">
        <v>46062.0</v>
      </c>
      <c r="M1287" s="13"/>
      <c r="N1287" s="23"/>
      <c r="O1287" s="22"/>
      <c r="P1287" s="22"/>
    </row>
    <row r="1288" ht="22.5" customHeight="1">
      <c r="A1288" s="12" t="s">
        <v>65</v>
      </c>
      <c r="B1288" s="20" t="str">
        <f>IFERROR(VLOOKUP(A1288,Sheet1!$E$3:$H$27,4,0),"")</f>
        <v>P3</v>
      </c>
      <c r="C1288" s="15"/>
      <c r="D1288" s="12" t="s">
        <v>87</v>
      </c>
      <c r="E1288" s="13" t="str">
        <f>IFERROR(VLOOKUP(D1288,Sheet1!$B$1:$C$45,2,0),"")</f>
        <v>MBP</v>
      </c>
      <c r="F1288" s="12" t="s">
        <v>108</v>
      </c>
      <c r="G1288" s="13" t="str">
        <f t="shared" si="5"/>
        <v>Barito Raya</v>
      </c>
      <c r="H1288" s="15" t="str">
        <f>IFERROR(VLOOKUP(A1288,Sheet1!$E$3:$F$27,2,),"")</f>
        <v>Standby</v>
      </c>
      <c r="I1288" s="16" t="str">
        <f>IFERROR(VLOOKUP(A1288,Sheet1!$E$3:$G$27,3,0),"")</f>
        <v>Standby On Call</v>
      </c>
      <c r="J1288" s="12" t="s">
        <v>66</v>
      </c>
      <c r="K1288" s="17">
        <v>46062.0</v>
      </c>
      <c r="L1288" s="17">
        <v>46062.0</v>
      </c>
      <c r="M1288" s="13"/>
      <c r="N1288" s="23"/>
      <c r="O1288" s="22"/>
      <c r="P1288" s="22"/>
    </row>
    <row r="1289" ht="22.5" customHeight="1">
      <c r="A1289" s="12" t="s">
        <v>55</v>
      </c>
      <c r="B1289" s="20" t="str">
        <f>IFERROR(VLOOKUP(A1289,Sheet1!$E$3:$H$27,4,0),"")</f>
        <v>P2</v>
      </c>
      <c r="C1289" s="14" t="s">
        <v>555</v>
      </c>
      <c r="D1289" s="12" t="s">
        <v>29</v>
      </c>
      <c r="E1289" s="13" t="str">
        <f>IFERROR(VLOOKUP(D1289,Sheet1!$B$1:$C$45,2,0),"")</f>
        <v>MBP</v>
      </c>
      <c r="F1289" s="12" t="s">
        <v>108</v>
      </c>
      <c r="G1289" s="13" t="str">
        <f t="shared" si="5"/>
        <v>Barito Raya</v>
      </c>
      <c r="H1289" s="15" t="str">
        <f>IFERROR(VLOOKUP(A1289,Sheet1!$E$3:$F$27,2,),"")</f>
        <v>Corrective</v>
      </c>
      <c r="I1289" s="16" t="str">
        <f>IFERROR(VLOOKUP(A1289,Sheet1!$E$3:$G$27,3,0),"")</f>
        <v>Penambahan Modul Recti</v>
      </c>
      <c r="J1289" s="12" t="s">
        <v>112</v>
      </c>
      <c r="K1289" s="17">
        <v>46062.0</v>
      </c>
      <c r="L1289" s="17">
        <v>46062.0</v>
      </c>
      <c r="M1289" s="12" t="s">
        <v>109</v>
      </c>
      <c r="N1289" s="23"/>
      <c r="O1289" s="22"/>
      <c r="P1289" s="22"/>
    </row>
    <row r="1290" ht="22.5" customHeight="1">
      <c r="A1290" s="12" t="s">
        <v>65</v>
      </c>
      <c r="B1290" s="20" t="str">
        <f>IFERROR(VLOOKUP(A1290,Sheet1!$E$3:$H$27,4,0),"")</f>
        <v>P3</v>
      </c>
      <c r="C1290" s="15"/>
      <c r="D1290" s="12" t="s">
        <v>2</v>
      </c>
      <c r="E1290" s="13" t="str">
        <f>IFERROR(VLOOKUP(D1290,Sheet1!$B$1:$C$45,2,0),"")</f>
        <v>CME</v>
      </c>
      <c r="F1290" s="12" t="s">
        <v>108</v>
      </c>
      <c r="G1290" s="13" t="str">
        <f t="shared" si="5"/>
        <v>Barito Raya</v>
      </c>
      <c r="H1290" s="15" t="str">
        <f>IFERROR(VLOOKUP(A1290,Sheet1!$E$3:$F$27,2,),"")</f>
        <v>Standby</v>
      </c>
      <c r="I1290" s="16" t="str">
        <f>IFERROR(VLOOKUP(A1290,Sheet1!$E$3:$G$27,3,0),"")</f>
        <v>Standby On Call</v>
      </c>
      <c r="J1290" s="12" t="s">
        <v>66</v>
      </c>
      <c r="K1290" s="17">
        <v>46062.0</v>
      </c>
      <c r="L1290" s="17">
        <v>46062.0</v>
      </c>
      <c r="M1290" s="13"/>
      <c r="N1290" s="23"/>
      <c r="O1290" s="22"/>
      <c r="P1290" s="22"/>
    </row>
    <row r="1291" ht="22.5" customHeight="1">
      <c r="A1291" s="12" t="s">
        <v>65</v>
      </c>
      <c r="B1291" s="20" t="str">
        <f>IFERROR(VLOOKUP(A1291,Sheet1!$E$3:$H$27,4,0),"")</f>
        <v>P3</v>
      </c>
      <c r="C1291" s="15"/>
      <c r="D1291" s="12" t="s">
        <v>0</v>
      </c>
      <c r="E1291" s="13" t="str">
        <f>IFERROR(VLOOKUP(D1291,Sheet1!$B$1:$C$45,2,0),"")</f>
        <v>MBP</v>
      </c>
      <c r="F1291" s="12" t="s">
        <v>108</v>
      </c>
      <c r="G1291" s="13" t="str">
        <f t="shared" si="5"/>
        <v>Barito Raya</v>
      </c>
      <c r="H1291" s="15" t="str">
        <f>IFERROR(VLOOKUP(A1291,Sheet1!$E$3:$F$27,2,),"")</f>
        <v>Standby</v>
      </c>
      <c r="I1291" s="16" t="str">
        <f>IFERROR(VLOOKUP(A1291,Sheet1!$E$3:$G$27,3,0),"")</f>
        <v>Standby On Call</v>
      </c>
      <c r="J1291" s="12" t="s">
        <v>66</v>
      </c>
      <c r="K1291" s="17">
        <v>46062.0</v>
      </c>
      <c r="L1291" s="17">
        <v>46062.0</v>
      </c>
      <c r="M1291" s="13"/>
      <c r="N1291" s="23"/>
      <c r="O1291" s="22"/>
      <c r="P1291" s="22"/>
    </row>
    <row r="1292" ht="22.5" customHeight="1">
      <c r="A1292" s="12" t="s">
        <v>22</v>
      </c>
      <c r="B1292" s="20" t="str">
        <f>IFERROR(VLOOKUP(A1292,Sheet1!$E$3:$H$27,4,0),"")</f>
        <v>P2</v>
      </c>
      <c r="C1292" s="14" t="s">
        <v>509</v>
      </c>
      <c r="D1292" s="12" t="s">
        <v>85</v>
      </c>
      <c r="E1292" s="13" t="str">
        <f>IFERROR(VLOOKUP(D1292,Sheet1!$B$1:$C$45,2,0),"")</f>
        <v>PM</v>
      </c>
      <c r="F1292" s="12" t="s">
        <v>108</v>
      </c>
      <c r="G1292" s="13" t="str">
        <f t="shared" si="5"/>
        <v>Barito Raya</v>
      </c>
      <c r="H1292" s="15" t="str">
        <f>IFERROR(VLOOKUP(A1292,Sheet1!$E$3:$F$27,2,),"")</f>
        <v>Preventive</v>
      </c>
      <c r="I1292" s="16" t="str">
        <f>IFERROR(VLOOKUP(A1292,Sheet1!$E$3:$G$27,3,0),"")</f>
        <v>Preventive Maintenance</v>
      </c>
      <c r="J1292" s="12" t="s">
        <v>112</v>
      </c>
      <c r="K1292" s="17">
        <v>46062.0</v>
      </c>
      <c r="L1292" s="17">
        <v>46062.0</v>
      </c>
      <c r="M1292" s="12" t="s">
        <v>109</v>
      </c>
      <c r="N1292" s="23"/>
      <c r="O1292" s="22"/>
      <c r="P1292" s="22"/>
    </row>
    <row r="1293" ht="22.5" customHeight="1">
      <c r="A1293" s="12" t="s">
        <v>22</v>
      </c>
      <c r="B1293" s="20" t="str">
        <f>IFERROR(VLOOKUP(A1293,Sheet1!$E$3:$H$27,4,0),"")</f>
        <v>P2</v>
      </c>
      <c r="C1293" s="14" t="s">
        <v>509</v>
      </c>
      <c r="D1293" s="12" t="s">
        <v>84</v>
      </c>
      <c r="E1293" s="13" t="str">
        <f>IFERROR(VLOOKUP(D1293,Sheet1!$B$1:$C$45,2,0),"")</f>
        <v>MBP</v>
      </c>
      <c r="F1293" s="12" t="s">
        <v>108</v>
      </c>
      <c r="G1293" s="13" t="str">
        <f t="shared" si="5"/>
        <v>Barito Raya</v>
      </c>
      <c r="H1293" s="15" t="str">
        <f>IFERROR(VLOOKUP(A1293,Sheet1!$E$3:$F$27,2,),"")</f>
        <v>Preventive</v>
      </c>
      <c r="I1293" s="16" t="str">
        <f>IFERROR(VLOOKUP(A1293,Sheet1!$E$3:$G$27,3,0),"")</f>
        <v>Preventive Maintenance</v>
      </c>
      <c r="J1293" s="12" t="s">
        <v>112</v>
      </c>
      <c r="K1293" s="17">
        <v>46062.0</v>
      </c>
      <c r="L1293" s="17">
        <v>46062.0</v>
      </c>
      <c r="M1293" s="12" t="s">
        <v>109</v>
      </c>
      <c r="N1293" s="23"/>
      <c r="O1293" s="22"/>
      <c r="P1293" s="22"/>
    </row>
    <row r="1294" ht="22.5" customHeight="1">
      <c r="A1294" s="12" t="s">
        <v>22</v>
      </c>
      <c r="B1294" s="20" t="str">
        <f>IFERROR(VLOOKUP(A1294,Sheet1!$E$3:$H$27,4,0),"")</f>
        <v>P2</v>
      </c>
      <c r="C1294" s="15"/>
      <c r="D1294" s="12" t="s">
        <v>86</v>
      </c>
      <c r="E1294" s="13" t="str">
        <f>IFERROR(VLOOKUP(D1294,Sheet1!$B$1:$C$45,2,0),"")</f>
        <v>PM</v>
      </c>
      <c r="F1294" s="12" t="s">
        <v>108</v>
      </c>
      <c r="G1294" s="13" t="str">
        <f t="shared" si="5"/>
        <v>Barito Raya</v>
      </c>
      <c r="H1294" s="15" t="str">
        <f>IFERROR(VLOOKUP(A1294,Sheet1!$E$3:$F$27,2,),"")</f>
        <v>Preventive</v>
      </c>
      <c r="I1294" s="16" t="str">
        <f>IFERROR(VLOOKUP(A1294,Sheet1!$E$3:$G$27,3,0),"")</f>
        <v>Preventive Maintenance</v>
      </c>
      <c r="J1294" s="12" t="s">
        <v>112</v>
      </c>
      <c r="K1294" s="17">
        <v>46062.0</v>
      </c>
      <c r="L1294" s="17">
        <v>46062.0</v>
      </c>
      <c r="M1294" s="12" t="s">
        <v>109</v>
      </c>
      <c r="N1294" s="23"/>
      <c r="O1294" s="22"/>
      <c r="P1294" s="22"/>
    </row>
    <row r="1295" ht="22.5" customHeight="1">
      <c r="A1295" s="12" t="s">
        <v>14</v>
      </c>
      <c r="B1295" s="20" t="str">
        <f>IFERROR(VLOOKUP(A1295,Sheet1!$E$3:$H$27,4,0),"")</f>
        <v>P1</v>
      </c>
      <c r="C1295" s="14" t="s">
        <v>556</v>
      </c>
      <c r="D1295" s="12" t="s">
        <v>42</v>
      </c>
      <c r="E1295" s="13" t="str">
        <f>IFERROR(VLOOKUP(D1295,Sheet1!$B$1:$C$45,2,0),"")</f>
        <v>TE</v>
      </c>
      <c r="F1295" s="12" t="s">
        <v>108</v>
      </c>
      <c r="G1295" s="13" t="str">
        <f t="shared" si="5"/>
        <v>Barito Raya</v>
      </c>
      <c r="H1295" s="15" t="str">
        <f>IFERROR(VLOOKUP(A1295,Sheet1!$E$3:$F$27,2,),"")</f>
        <v>Corrective</v>
      </c>
      <c r="I1295" s="16" t="str">
        <f>IFERROR(VLOOKUP(A1295,Sheet1!$E$3:$G$27,3,0),"")</f>
        <v>Pemadaman,MCB Trip,Transmisi problem</v>
      </c>
      <c r="J1295" s="12" t="s">
        <v>112</v>
      </c>
      <c r="K1295" s="17">
        <v>46062.0</v>
      </c>
      <c r="L1295" s="17">
        <v>46062.0</v>
      </c>
      <c r="M1295" s="12" t="s">
        <v>109</v>
      </c>
      <c r="N1295" s="23"/>
      <c r="O1295" s="22"/>
      <c r="P1295" s="22"/>
    </row>
    <row r="1296" ht="22.5" customHeight="1">
      <c r="A1296" s="12" t="s">
        <v>14</v>
      </c>
      <c r="B1296" s="20" t="str">
        <f>IFERROR(VLOOKUP(A1296,Sheet1!$E$3:$H$27,4,0),"")</f>
        <v>P1</v>
      </c>
      <c r="C1296" s="14" t="s">
        <v>556</v>
      </c>
      <c r="D1296" s="12" t="s">
        <v>39</v>
      </c>
      <c r="E1296" s="13" t="str">
        <f>IFERROR(VLOOKUP(D1296,Sheet1!$B$1:$C$45,2,0),"")</f>
        <v>TE</v>
      </c>
      <c r="F1296" s="12" t="s">
        <v>108</v>
      </c>
      <c r="G1296" s="13" t="str">
        <f t="shared" si="5"/>
        <v>Barito Raya</v>
      </c>
      <c r="H1296" s="15" t="str">
        <f>IFERROR(VLOOKUP(A1296,Sheet1!$E$3:$F$27,2,),"")</f>
        <v>Corrective</v>
      </c>
      <c r="I1296" s="16" t="str">
        <f>IFERROR(VLOOKUP(A1296,Sheet1!$E$3:$G$27,3,0),"")</f>
        <v>Pemadaman,MCB Trip,Transmisi problem</v>
      </c>
      <c r="J1296" s="12" t="s">
        <v>112</v>
      </c>
      <c r="K1296" s="17">
        <v>46062.0</v>
      </c>
      <c r="L1296" s="17">
        <v>46062.0</v>
      </c>
      <c r="M1296" s="12" t="s">
        <v>109</v>
      </c>
      <c r="N1296" s="23"/>
      <c r="O1296" s="22"/>
      <c r="P1296" s="22"/>
    </row>
    <row r="1297" ht="22.5" customHeight="1">
      <c r="A1297" s="12" t="s">
        <v>65</v>
      </c>
      <c r="B1297" s="20" t="str">
        <f>IFERROR(VLOOKUP(A1297,Sheet1!$E$3:$H$27,4,0),"")</f>
        <v>P3</v>
      </c>
      <c r="C1297" s="15"/>
      <c r="D1297" s="12" t="s">
        <v>12</v>
      </c>
      <c r="E1297" s="13" t="str">
        <f>IFERROR(VLOOKUP(D1297,Sheet1!$B$1:$C$45,2,0),"")</f>
        <v>TE</v>
      </c>
      <c r="F1297" s="12" t="s">
        <v>108</v>
      </c>
      <c r="G1297" s="13" t="str">
        <f t="shared" si="5"/>
        <v>Barito Raya</v>
      </c>
      <c r="H1297" s="15" t="str">
        <f>IFERROR(VLOOKUP(A1297,Sheet1!$E$3:$F$27,2,),"")</f>
        <v>Standby</v>
      </c>
      <c r="I1297" s="16" t="str">
        <f>IFERROR(VLOOKUP(A1297,Sheet1!$E$3:$G$27,3,0),"")</f>
        <v>Standby On Call</v>
      </c>
      <c r="J1297" s="20"/>
      <c r="K1297" s="17">
        <v>46063.0</v>
      </c>
      <c r="L1297" s="17">
        <v>46063.0</v>
      </c>
      <c r="M1297" s="13"/>
      <c r="N1297" s="23"/>
      <c r="O1297" s="22"/>
      <c r="P1297" s="22"/>
    </row>
    <row r="1298" ht="22.5" customHeight="1">
      <c r="A1298" s="20"/>
      <c r="B1298" s="20" t="str">
        <f>IFERROR(VLOOKUP(A1298,Sheet1!$E$3:$H$27,4,0),"")</f>
        <v/>
      </c>
      <c r="C1298" s="14" t="s">
        <v>557</v>
      </c>
      <c r="D1298" s="12" t="s">
        <v>16</v>
      </c>
      <c r="E1298" s="13" t="str">
        <f>IFERROR(VLOOKUP(D1298,Sheet1!$B$1:$C$45,2,0),"")</f>
        <v>TE</v>
      </c>
      <c r="F1298" s="12" t="s">
        <v>108</v>
      </c>
      <c r="G1298" s="13" t="str">
        <f t="shared" si="5"/>
        <v>Barito Raya</v>
      </c>
      <c r="H1298" s="15" t="str">
        <f>IFERROR(VLOOKUP(A1298,Sheet1!$E$3:$F$27,2,),"")</f>
        <v/>
      </c>
      <c r="I1298" s="16" t="str">
        <f>IFERROR(VLOOKUP(A1298,Sheet1!$E$3:$G$27,3,0),"")</f>
        <v/>
      </c>
      <c r="J1298" s="12" t="s">
        <v>112</v>
      </c>
      <c r="K1298" s="17">
        <v>46063.0</v>
      </c>
      <c r="L1298" s="17">
        <v>46063.0</v>
      </c>
      <c r="M1298" s="12" t="s">
        <v>109</v>
      </c>
      <c r="N1298" s="23"/>
      <c r="O1298" s="22"/>
      <c r="P1298" s="22"/>
    </row>
    <row r="1299" ht="22.5" customHeight="1">
      <c r="A1299" s="20"/>
      <c r="B1299" s="20" t="str">
        <f>IFERROR(VLOOKUP(A1299,Sheet1!$E$3:$H$27,4,0),"")</f>
        <v/>
      </c>
      <c r="C1299" s="14" t="s">
        <v>557</v>
      </c>
      <c r="D1299" s="12" t="s">
        <v>21</v>
      </c>
      <c r="E1299" s="13" t="str">
        <f>IFERROR(VLOOKUP(D1299,Sheet1!$B$1:$C$45,2,0),"")</f>
        <v>TE</v>
      </c>
      <c r="F1299" s="12" t="s">
        <v>108</v>
      </c>
      <c r="G1299" s="13" t="str">
        <f t="shared" si="5"/>
        <v>Barito Raya</v>
      </c>
      <c r="H1299" s="15" t="str">
        <f>IFERROR(VLOOKUP(A1299,Sheet1!$E$3:$F$27,2,),"")</f>
        <v/>
      </c>
      <c r="I1299" s="16" t="str">
        <f>IFERROR(VLOOKUP(A1299,Sheet1!$E$3:$G$27,3,0),"")</f>
        <v/>
      </c>
      <c r="J1299" s="12" t="s">
        <v>112</v>
      </c>
      <c r="K1299" s="17">
        <v>46063.0</v>
      </c>
      <c r="L1299" s="17">
        <v>46063.0</v>
      </c>
      <c r="M1299" s="12" t="s">
        <v>109</v>
      </c>
      <c r="N1299" s="23"/>
      <c r="O1299" s="22"/>
      <c r="P1299" s="22"/>
    </row>
    <row r="1300" ht="22.5" customHeight="1">
      <c r="A1300" s="12" t="s">
        <v>52</v>
      </c>
      <c r="B1300" s="20" t="str">
        <f>IFERROR(VLOOKUP(A1300,Sheet1!$E$3:$H$27,4,0),"")</f>
        <v>P1</v>
      </c>
      <c r="C1300" s="14" t="s">
        <v>265</v>
      </c>
      <c r="D1300" s="12" t="s">
        <v>26</v>
      </c>
      <c r="E1300" s="13" t="str">
        <f>IFERROR(VLOOKUP(D1300,Sheet1!$B$1:$C$45,2,0),"")</f>
        <v>TE</v>
      </c>
      <c r="F1300" s="12" t="s">
        <v>108</v>
      </c>
      <c r="G1300" s="13" t="str">
        <f t="shared" si="5"/>
        <v>Barito Raya</v>
      </c>
      <c r="H1300" s="15" t="str">
        <f>IFERROR(VLOOKUP(A1300,Sheet1!$E$3:$F$27,2,),"")</f>
        <v>Preventive</v>
      </c>
      <c r="I1300" s="16" t="str">
        <f>IFERROR(VLOOKUP(A1300,Sheet1!$E$3:$G$27,3,0),"")</f>
        <v>MCB trip/Power upnormal</v>
      </c>
      <c r="J1300" s="12" t="s">
        <v>112</v>
      </c>
      <c r="K1300" s="17">
        <v>46063.0</v>
      </c>
      <c r="L1300" s="17">
        <v>46063.0</v>
      </c>
      <c r="M1300" s="12" t="s">
        <v>109</v>
      </c>
      <c r="N1300" s="18"/>
      <c r="O1300" s="19"/>
      <c r="P1300" s="19"/>
    </row>
    <row r="1301" ht="22.5" customHeight="1">
      <c r="A1301" s="12" t="s">
        <v>43</v>
      </c>
      <c r="B1301" s="20" t="str">
        <f>IFERROR(VLOOKUP(A1301,Sheet1!$E$3:$H$27,4,0),"")</f>
        <v>P1</v>
      </c>
      <c r="C1301" s="14" t="s">
        <v>355</v>
      </c>
      <c r="D1301" s="12" t="s">
        <v>88</v>
      </c>
      <c r="E1301" s="13" t="str">
        <f>IFERROR(VLOOKUP(D1301,Sheet1!$B$1:$C$45,2,0),"")</f>
        <v>TE</v>
      </c>
      <c r="F1301" s="12" t="s">
        <v>108</v>
      </c>
      <c r="G1301" s="13" t="str">
        <f t="shared" si="5"/>
        <v>Barito Raya</v>
      </c>
      <c r="H1301" s="15" t="str">
        <f>IFERROR(VLOOKUP(A1301,Sheet1!$E$3:$F$27,2,),"")</f>
        <v>Corrective</v>
      </c>
      <c r="I1301" s="16" t="str">
        <f>IFERROR(VLOOKUP(A1301,Sheet1!$E$3:$G$27,3,0),"")</f>
        <v>Impact BTS down / RX Level &gt;70 / PL</v>
      </c>
      <c r="J1301" s="12" t="s">
        <v>112</v>
      </c>
      <c r="K1301" s="17">
        <v>46063.0</v>
      </c>
      <c r="L1301" s="17">
        <v>46063.0</v>
      </c>
      <c r="M1301" s="12" t="s">
        <v>122</v>
      </c>
      <c r="N1301" s="18" t="s">
        <v>558</v>
      </c>
      <c r="O1301" s="19"/>
      <c r="P1301" s="19"/>
    </row>
    <row r="1302" ht="22.5" customHeight="1">
      <c r="A1302" s="20"/>
      <c r="B1302" s="20" t="str">
        <f>IFERROR(VLOOKUP(A1302,Sheet1!$E$3:$H$27,4,0),"")</f>
        <v/>
      </c>
      <c r="C1302" s="14" t="s">
        <v>559</v>
      </c>
      <c r="D1302" s="12" t="s">
        <v>32</v>
      </c>
      <c r="E1302" s="13" t="str">
        <f>IFERROR(VLOOKUP(D1302,Sheet1!$B$1:$C$45,2,0),"")</f>
        <v>TE</v>
      </c>
      <c r="F1302" s="12" t="s">
        <v>108</v>
      </c>
      <c r="G1302" s="13" t="str">
        <f t="shared" si="5"/>
        <v>Barito Raya</v>
      </c>
      <c r="H1302" s="15" t="str">
        <f>IFERROR(VLOOKUP(A1302,Sheet1!$E$3:$F$27,2,),"")</f>
        <v/>
      </c>
      <c r="I1302" s="16" t="str">
        <f>IFERROR(VLOOKUP(A1302,Sheet1!$E$3:$G$27,3,0),"")</f>
        <v/>
      </c>
      <c r="J1302" s="20"/>
      <c r="K1302" s="17">
        <v>46063.0</v>
      </c>
      <c r="L1302" s="17">
        <v>46063.0</v>
      </c>
      <c r="M1302" s="13"/>
      <c r="N1302" s="23"/>
      <c r="O1302" s="22"/>
      <c r="P1302" s="22"/>
    </row>
    <row r="1303" ht="22.5" customHeight="1">
      <c r="A1303" s="12" t="s">
        <v>65</v>
      </c>
      <c r="B1303" s="20" t="str">
        <f>IFERROR(VLOOKUP(A1303,Sheet1!$E$3:$H$27,4,0),"")</f>
        <v>P3</v>
      </c>
      <c r="C1303" s="14"/>
      <c r="D1303" s="12" t="s">
        <v>74</v>
      </c>
      <c r="E1303" s="13" t="str">
        <f>IFERROR(VLOOKUP(D1303,Sheet1!$B$1:$C$45,2,0),"")</f>
        <v>TE</v>
      </c>
      <c r="F1303" s="12" t="s">
        <v>108</v>
      </c>
      <c r="G1303" s="13" t="str">
        <f t="shared" si="5"/>
        <v>Barito Raya</v>
      </c>
      <c r="H1303" s="15" t="str">
        <f>IFERROR(VLOOKUP(A1303,Sheet1!$E$3:$F$27,2,),"")</f>
        <v>Standby</v>
      </c>
      <c r="I1303" s="16" t="str">
        <f>IFERROR(VLOOKUP(A1303,Sheet1!$E$3:$G$27,3,0),"")</f>
        <v>Standby On Call</v>
      </c>
      <c r="J1303" s="12" t="s">
        <v>66</v>
      </c>
      <c r="K1303" s="17">
        <v>46063.0</v>
      </c>
      <c r="L1303" s="17">
        <v>46063.0</v>
      </c>
      <c r="M1303" s="13"/>
      <c r="N1303" s="23"/>
      <c r="O1303" s="22"/>
      <c r="P1303" s="22"/>
    </row>
    <row r="1304" ht="22.5" customHeight="1">
      <c r="A1304" s="12" t="s">
        <v>14</v>
      </c>
      <c r="B1304" s="20" t="str">
        <f>IFERROR(VLOOKUP(A1304,Sheet1!$E$3:$H$27,4,0),"")</f>
        <v>P1</v>
      </c>
      <c r="C1304" s="14" t="s">
        <v>560</v>
      </c>
      <c r="D1304" s="12" t="s">
        <v>60</v>
      </c>
      <c r="E1304" s="13" t="str">
        <f>IFERROR(VLOOKUP(D1304,Sheet1!$B$1:$C$45,2,0),"")</f>
        <v>TE</v>
      </c>
      <c r="F1304" s="12" t="s">
        <v>108</v>
      </c>
      <c r="G1304" s="13" t="str">
        <f t="shared" si="5"/>
        <v>Barito Raya</v>
      </c>
      <c r="H1304" s="15" t="str">
        <f>IFERROR(VLOOKUP(A1304,Sheet1!$E$3:$F$27,2,),"")</f>
        <v>Corrective</v>
      </c>
      <c r="I1304" s="16" t="str">
        <f>IFERROR(VLOOKUP(A1304,Sheet1!$E$3:$G$27,3,0),"")</f>
        <v>Pemadaman,MCB Trip,Transmisi problem</v>
      </c>
      <c r="J1304" s="12" t="s">
        <v>112</v>
      </c>
      <c r="K1304" s="17">
        <v>46063.0</v>
      </c>
      <c r="L1304" s="17">
        <v>46063.0</v>
      </c>
      <c r="M1304" s="12" t="s">
        <v>109</v>
      </c>
      <c r="N1304" s="23"/>
      <c r="O1304" s="22"/>
      <c r="P1304" s="22"/>
    </row>
    <row r="1305" ht="22.5" customHeight="1">
      <c r="A1305" s="12" t="s">
        <v>52</v>
      </c>
      <c r="B1305" s="20" t="str">
        <f>IFERROR(VLOOKUP(A1305,Sheet1!$E$3:$H$27,4,0),"")</f>
        <v>P1</v>
      </c>
      <c r="C1305" s="14" t="s">
        <v>382</v>
      </c>
      <c r="D1305" s="12" t="s">
        <v>62</v>
      </c>
      <c r="E1305" s="13" t="str">
        <f>IFERROR(VLOOKUP(D1305,Sheet1!$B$1:$C$45,2,0),"")</f>
        <v>TE</v>
      </c>
      <c r="F1305" s="12" t="s">
        <v>108</v>
      </c>
      <c r="G1305" s="13" t="str">
        <f t="shared" si="5"/>
        <v>Barito Raya</v>
      </c>
      <c r="H1305" s="15" t="str">
        <f>IFERROR(VLOOKUP(A1305,Sheet1!$E$3:$F$27,2,),"")</f>
        <v>Preventive</v>
      </c>
      <c r="I1305" s="16" t="str">
        <f>IFERROR(VLOOKUP(A1305,Sheet1!$E$3:$G$27,3,0),"")</f>
        <v>MCB trip/Power upnormal</v>
      </c>
      <c r="J1305" s="12" t="s">
        <v>112</v>
      </c>
      <c r="K1305" s="17">
        <v>46063.0</v>
      </c>
      <c r="L1305" s="17">
        <v>46063.0</v>
      </c>
      <c r="M1305" s="12" t="s">
        <v>122</v>
      </c>
      <c r="N1305" s="18" t="s">
        <v>558</v>
      </c>
      <c r="O1305" s="19"/>
      <c r="P1305" s="19"/>
    </row>
    <row r="1306" ht="22.5" customHeight="1">
      <c r="A1306" s="12" t="s">
        <v>65</v>
      </c>
      <c r="B1306" s="20" t="str">
        <f>IFERROR(VLOOKUP(A1306,Sheet1!$E$3:$H$27,4,0),"")</f>
        <v>P3</v>
      </c>
      <c r="C1306" s="14"/>
      <c r="D1306" s="12" t="s">
        <v>4</v>
      </c>
      <c r="E1306" s="13" t="str">
        <f>IFERROR(VLOOKUP(D1306,Sheet1!$B$1:$C$45,2,0),"")</f>
        <v>CME</v>
      </c>
      <c r="F1306" s="12" t="s">
        <v>108</v>
      </c>
      <c r="G1306" s="13" t="str">
        <f t="shared" si="5"/>
        <v>Barito Raya</v>
      </c>
      <c r="H1306" s="15" t="str">
        <f>IFERROR(VLOOKUP(A1306,Sheet1!$E$3:$F$27,2,),"")</f>
        <v>Standby</v>
      </c>
      <c r="I1306" s="16" t="str">
        <f>IFERROR(VLOOKUP(A1306,Sheet1!$E$3:$G$27,3,0),"")</f>
        <v>Standby On Call</v>
      </c>
      <c r="J1306" s="12" t="s">
        <v>66</v>
      </c>
      <c r="K1306" s="17">
        <v>46063.0</v>
      </c>
      <c r="L1306" s="17">
        <v>46063.0</v>
      </c>
      <c r="M1306" s="13"/>
      <c r="N1306" s="23"/>
      <c r="O1306" s="22"/>
      <c r="P1306" s="22"/>
    </row>
    <row r="1307" ht="22.5" customHeight="1">
      <c r="A1307" s="12" t="s">
        <v>22</v>
      </c>
      <c r="B1307" s="20" t="str">
        <f>IFERROR(VLOOKUP(A1307,Sheet1!$E$3:$H$27,4,0),"")</f>
        <v>P2</v>
      </c>
      <c r="C1307" s="14" t="s">
        <v>286</v>
      </c>
      <c r="D1307" s="12" t="s">
        <v>9</v>
      </c>
      <c r="E1307" s="13" t="str">
        <f>IFERROR(VLOOKUP(D1307,Sheet1!$B$1:$C$45,2,0),"")</f>
        <v>MBP</v>
      </c>
      <c r="F1307" s="12" t="s">
        <v>108</v>
      </c>
      <c r="G1307" s="13" t="str">
        <f t="shared" si="5"/>
        <v>Barito Raya</v>
      </c>
      <c r="H1307" s="15" t="str">
        <f>IFERROR(VLOOKUP(A1307,Sheet1!$E$3:$F$27,2,),"")</f>
        <v>Preventive</v>
      </c>
      <c r="I1307" s="16" t="str">
        <f>IFERROR(VLOOKUP(A1307,Sheet1!$E$3:$G$27,3,0),"")</f>
        <v>Preventive Maintenance</v>
      </c>
      <c r="J1307" s="12" t="s">
        <v>112</v>
      </c>
      <c r="K1307" s="17">
        <v>46063.0</v>
      </c>
      <c r="L1307" s="17">
        <v>46063.0</v>
      </c>
      <c r="M1307" s="12" t="s">
        <v>122</v>
      </c>
      <c r="N1307" s="18" t="s">
        <v>558</v>
      </c>
      <c r="O1307" s="19"/>
      <c r="P1307" s="19"/>
    </row>
    <row r="1308" ht="22.5" customHeight="1">
      <c r="A1308" s="12" t="s">
        <v>65</v>
      </c>
      <c r="B1308" s="20" t="str">
        <f>IFERROR(VLOOKUP(A1308,Sheet1!$E$3:$H$27,4,0),"")</f>
        <v>P3</v>
      </c>
      <c r="C1308" s="15"/>
      <c r="D1308" s="12" t="s">
        <v>87</v>
      </c>
      <c r="E1308" s="13" t="str">
        <f>IFERROR(VLOOKUP(D1308,Sheet1!$B$1:$C$45,2,0),"")</f>
        <v>MBP</v>
      </c>
      <c r="F1308" s="12" t="s">
        <v>108</v>
      </c>
      <c r="G1308" s="13" t="str">
        <f t="shared" si="5"/>
        <v>Barito Raya</v>
      </c>
      <c r="H1308" s="15" t="str">
        <f>IFERROR(VLOOKUP(A1308,Sheet1!$E$3:$F$27,2,),"")</f>
        <v>Standby</v>
      </c>
      <c r="I1308" s="16" t="str">
        <f>IFERROR(VLOOKUP(A1308,Sheet1!$E$3:$G$27,3,0),"")</f>
        <v>Standby On Call</v>
      </c>
      <c r="J1308" s="12" t="s">
        <v>66</v>
      </c>
      <c r="K1308" s="17">
        <v>46063.0</v>
      </c>
      <c r="L1308" s="17">
        <v>46063.0</v>
      </c>
      <c r="M1308" s="13"/>
      <c r="N1308" s="23"/>
      <c r="O1308" s="22"/>
      <c r="P1308" s="22"/>
    </row>
    <row r="1309" ht="22.5" customHeight="1">
      <c r="A1309" s="12" t="s">
        <v>65</v>
      </c>
      <c r="B1309" s="20" t="str">
        <f>IFERROR(VLOOKUP(A1309,Sheet1!$E$3:$H$27,4,0),"")</f>
        <v>P3</v>
      </c>
      <c r="C1309" s="14"/>
      <c r="D1309" s="12" t="s">
        <v>29</v>
      </c>
      <c r="E1309" s="13" t="str">
        <f>IFERROR(VLOOKUP(D1309,Sheet1!$B$1:$C$45,2,0),"")</f>
        <v>MBP</v>
      </c>
      <c r="F1309" s="12" t="s">
        <v>108</v>
      </c>
      <c r="G1309" s="13" t="str">
        <f t="shared" si="5"/>
        <v>Barito Raya</v>
      </c>
      <c r="H1309" s="15" t="str">
        <f>IFERROR(VLOOKUP(A1309,Sheet1!$E$3:$F$27,2,),"")</f>
        <v>Standby</v>
      </c>
      <c r="I1309" s="16" t="str">
        <f>IFERROR(VLOOKUP(A1309,Sheet1!$E$3:$G$27,3,0),"")</f>
        <v>Standby On Call</v>
      </c>
      <c r="J1309" s="12" t="s">
        <v>66</v>
      </c>
      <c r="K1309" s="17">
        <v>46063.0</v>
      </c>
      <c r="L1309" s="17">
        <v>46063.0</v>
      </c>
      <c r="M1309" s="13"/>
      <c r="N1309" s="23"/>
      <c r="O1309" s="22"/>
      <c r="P1309" s="22"/>
    </row>
    <row r="1310" ht="22.5" customHeight="1">
      <c r="A1310" s="12" t="s">
        <v>65</v>
      </c>
      <c r="B1310" s="20" t="str">
        <f>IFERROR(VLOOKUP(A1310,Sheet1!$E$3:$H$27,4,0),"")</f>
        <v>P3</v>
      </c>
      <c r="C1310" s="15"/>
      <c r="D1310" s="12" t="s">
        <v>2</v>
      </c>
      <c r="E1310" s="13" t="str">
        <f>IFERROR(VLOOKUP(D1310,Sheet1!$B$1:$C$45,2,0),"")</f>
        <v>CME</v>
      </c>
      <c r="F1310" s="12" t="s">
        <v>108</v>
      </c>
      <c r="G1310" s="13" t="str">
        <f t="shared" si="5"/>
        <v>Barito Raya</v>
      </c>
      <c r="H1310" s="15" t="str">
        <f>IFERROR(VLOOKUP(A1310,Sheet1!$E$3:$F$27,2,),"")</f>
        <v>Standby</v>
      </c>
      <c r="I1310" s="16" t="str">
        <f>IFERROR(VLOOKUP(A1310,Sheet1!$E$3:$G$27,3,0),"")</f>
        <v>Standby On Call</v>
      </c>
      <c r="J1310" s="12" t="s">
        <v>66</v>
      </c>
      <c r="K1310" s="17">
        <v>46063.0</v>
      </c>
      <c r="L1310" s="17">
        <v>46063.0</v>
      </c>
      <c r="M1310" s="13"/>
      <c r="N1310" s="23"/>
      <c r="O1310" s="22"/>
      <c r="P1310" s="22"/>
    </row>
    <row r="1311" ht="22.5" customHeight="1">
      <c r="A1311" s="12" t="s">
        <v>65</v>
      </c>
      <c r="B1311" s="20" t="str">
        <f>IFERROR(VLOOKUP(A1311,Sheet1!$E$3:$H$27,4,0),"")</f>
        <v>P3</v>
      </c>
      <c r="C1311" s="15"/>
      <c r="D1311" s="12" t="s">
        <v>0</v>
      </c>
      <c r="E1311" s="13" t="str">
        <f>IFERROR(VLOOKUP(D1311,Sheet1!$B$1:$C$45,2,0),"")</f>
        <v>MBP</v>
      </c>
      <c r="F1311" s="12" t="s">
        <v>108</v>
      </c>
      <c r="G1311" s="13" t="str">
        <f t="shared" si="5"/>
        <v>Barito Raya</v>
      </c>
      <c r="H1311" s="15" t="str">
        <f>IFERROR(VLOOKUP(A1311,Sheet1!$E$3:$F$27,2,),"")</f>
        <v>Standby</v>
      </c>
      <c r="I1311" s="16" t="str">
        <f>IFERROR(VLOOKUP(A1311,Sheet1!$E$3:$G$27,3,0),"")</f>
        <v>Standby On Call</v>
      </c>
      <c r="J1311" s="12" t="s">
        <v>66</v>
      </c>
      <c r="K1311" s="17">
        <v>46063.0</v>
      </c>
      <c r="L1311" s="17">
        <v>46063.0</v>
      </c>
      <c r="M1311" s="13"/>
      <c r="N1311" s="23"/>
      <c r="O1311" s="22"/>
      <c r="P1311" s="22"/>
    </row>
    <row r="1312" ht="22.5" customHeight="1">
      <c r="A1312" s="12" t="s">
        <v>22</v>
      </c>
      <c r="B1312" s="20" t="str">
        <f>IFERROR(VLOOKUP(A1312,Sheet1!$E$3:$H$27,4,0),"")</f>
        <v>P2</v>
      </c>
      <c r="C1312" s="15"/>
      <c r="D1312" s="12" t="s">
        <v>85</v>
      </c>
      <c r="E1312" s="13" t="str">
        <f>IFERROR(VLOOKUP(D1312,Sheet1!$B$1:$C$45,2,0),"")</f>
        <v>PM</v>
      </c>
      <c r="F1312" s="12" t="s">
        <v>108</v>
      </c>
      <c r="G1312" s="13" t="str">
        <f t="shared" si="5"/>
        <v>Barito Raya</v>
      </c>
      <c r="H1312" s="15" t="str">
        <f>IFERROR(VLOOKUP(A1312,Sheet1!$E$3:$F$27,2,),"")</f>
        <v>Preventive</v>
      </c>
      <c r="I1312" s="16" t="str">
        <f>IFERROR(VLOOKUP(A1312,Sheet1!$E$3:$G$27,3,0),"")</f>
        <v>Preventive Maintenance</v>
      </c>
      <c r="J1312" s="12" t="s">
        <v>112</v>
      </c>
      <c r="K1312" s="17">
        <v>46063.0</v>
      </c>
      <c r="L1312" s="17">
        <v>46063.0</v>
      </c>
      <c r="M1312" s="12" t="s">
        <v>109</v>
      </c>
      <c r="N1312" s="23"/>
      <c r="O1312" s="22"/>
      <c r="P1312" s="22"/>
    </row>
    <row r="1313" ht="22.5" customHeight="1">
      <c r="A1313" s="12" t="s">
        <v>22</v>
      </c>
      <c r="B1313" s="20" t="str">
        <f>IFERROR(VLOOKUP(A1313,Sheet1!$E$3:$H$27,4,0),"")</f>
        <v>P2</v>
      </c>
      <c r="C1313" s="15"/>
      <c r="D1313" s="12" t="s">
        <v>84</v>
      </c>
      <c r="E1313" s="13" t="str">
        <f>IFERROR(VLOOKUP(D1313,Sheet1!$B$1:$C$45,2,0),"")</f>
        <v>MBP</v>
      </c>
      <c r="F1313" s="12" t="s">
        <v>108</v>
      </c>
      <c r="G1313" s="13" t="str">
        <f t="shared" si="5"/>
        <v>Barito Raya</v>
      </c>
      <c r="H1313" s="15" t="str">
        <f>IFERROR(VLOOKUP(A1313,Sheet1!$E$3:$F$27,2,),"")</f>
        <v>Preventive</v>
      </c>
      <c r="I1313" s="16" t="str">
        <f>IFERROR(VLOOKUP(A1313,Sheet1!$E$3:$G$27,3,0),"")</f>
        <v>Preventive Maintenance</v>
      </c>
      <c r="J1313" s="12" t="s">
        <v>112</v>
      </c>
      <c r="K1313" s="17">
        <v>46063.0</v>
      </c>
      <c r="L1313" s="17">
        <v>46063.0</v>
      </c>
      <c r="M1313" s="12" t="s">
        <v>109</v>
      </c>
      <c r="N1313" s="23"/>
      <c r="O1313" s="22"/>
      <c r="P1313" s="22"/>
    </row>
    <row r="1314" ht="22.5" customHeight="1">
      <c r="A1314" s="12" t="s">
        <v>22</v>
      </c>
      <c r="B1314" s="20" t="str">
        <f>IFERROR(VLOOKUP(A1314,Sheet1!$E$3:$H$27,4,0),"")</f>
        <v>P2</v>
      </c>
      <c r="C1314" s="15"/>
      <c r="D1314" s="12" t="s">
        <v>86</v>
      </c>
      <c r="E1314" s="13" t="str">
        <f>IFERROR(VLOOKUP(D1314,Sheet1!$B$1:$C$45,2,0),"")</f>
        <v>PM</v>
      </c>
      <c r="F1314" s="12" t="s">
        <v>108</v>
      </c>
      <c r="G1314" s="13" t="str">
        <f t="shared" si="5"/>
        <v>Barito Raya</v>
      </c>
      <c r="H1314" s="15" t="str">
        <f>IFERROR(VLOOKUP(A1314,Sheet1!$E$3:$F$27,2,),"")</f>
        <v>Preventive</v>
      </c>
      <c r="I1314" s="16" t="str">
        <f>IFERROR(VLOOKUP(A1314,Sheet1!$E$3:$G$27,3,0),"")</f>
        <v>Preventive Maintenance</v>
      </c>
      <c r="J1314" s="12" t="s">
        <v>172</v>
      </c>
      <c r="K1314" s="17">
        <v>46063.0</v>
      </c>
      <c r="L1314" s="17">
        <v>46063.0</v>
      </c>
      <c r="M1314" s="12" t="s">
        <v>122</v>
      </c>
      <c r="N1314" s="23"/>
      <c r="O1314" s="22"/>
      <c r="P1314" s="22"/>
    </row>
    <row r="1315" ht="22.5" customHeight="1">
      <c r="A1315" s="12" t="s">
        <v>52</v>
      </c>
      <c r="B1315" s="20" t="str">
        <f>IFERROR(VLOOKUP(A1315,Sheet1!$E$3:$H$27,4,0),"")</f>
        <v>P1</v>
      </c>
      <c r="C1315" s="14" t="s">
        <v>420</v>
      </c>
      <c r="D1315" s="12" t="s">
        <v>12</v>
      </c>
      <c r="E1315" s="13" t="str">
        <f>IFERROR(VLOOKUP(D1315,Sheet1!$B$1:$C$45,2,0),"")</f>
        <v>TE</v>
      </c>
      <c r="F1315" s="12" t="s">
        <v>108</v>
      </c>
      <c r="G1315" s="13" t="str">
        <f t="shared" si="5"/>
        <v>Barito Raya</v>
      </c>
      <c r="H1315" s="15" t="str">
        <f>IFERROR(VLOOKUP(A1315,Sheet1!$E$3:$F$27,2,),"")</f>
        <v>Preventive</v>
      </c>
      <c r="I1315" s="16" t="str">
        <f>IFERROR(VLOOKUP(A1315,Sheet1!$E$3:$G$27,3,0),"")</f>
        <v>MCB trip/Power upnormal</v>
      </c>
      <c r="J1315" s="12" t="s">
        <v>112</v>
      </c>
      <c r="K1315" s="17">
        <v>46064.0</v>
      </c>
      <c r="L1315" s="17">
        <v>46064.0</v>
      </c>
      <c r="M1315" s="12" t="s">
        <v>137</v>
      </c>
      <c r="N1315" s="23"/>
      <c r="O1315" s="22"/>
      <c r="P1315" s="22"/>
    </row>
    <row r="1316" ht="22.5" customHeight="1">
      <c r="A1316" s="12" t="s">
        <v>22</v>
      </c>
      <c r="B1316" s="20" t="str">
        <f>IFERROR(VLOOKUP(A1316,Sheet1!$E$3:$H$27,4,0),"")</f>
        <v>P2</v>
      </c>
      <c r="C1316" s="14" t="s">
        <v>561</v>
      </c>
      <c r="D1316" s="12" t="s">
        <v>16</v>
      </c>
      <c r="E1316" s="13" t="str">
        <f>IFERROR(VLOOKUP(D1316,Sheet1!$B$1:$C$45,2,0),"")</f>
        <v>TE</v>
      </c>
      <c r="F1316" s="12" t="s">
        <v>108</v>
      </c>
      <c r="G1316" s="13" t="str">
        <f t="shared" si="5"/>
        <v>Barito Raya</v>
      </c>
      <c r="H1316" s="15" t="str">
        <f>IFERROR(VLOOKUP(A1316,Sheet1!$E$3:$F$27,2,),"")</f>
        <v>Preventive</v>
      </c>
      <c r="I1316" s="16" t="str">
        <f>IFERROR(VLOOKUP(A1316,Sheet1!$E$3:$G$27,3,0),"")</f>
        <v>Preventive Maintenance</v>
      </c>
      <c r="J1316" s="12" t="s">
        <v>112</v>
      </c>
      <c r="K1316" s="17">
        <v>46064.0</v>
      </c>
      <c r="L1316" s="17">
        <v>46064.0</v>
      </c>
      <c r="M1316" s="12" t="s">
        <v>137</v>
      </c>
      <c r="N1316" s="23"/>
      <c r="O1316" s="22"/>
      <c r="P1316" s="22"/>
    </row>
    <row r="1317" ht="22.5" customHeight="1">
      <c r="A1317" s="12" t="s">
        <v>52</v>
      </c>
      <c r="B1317" s="20" t="str">
        <f>IFERROR(VLOOKUP(A1317,Sheet1!$E$3:$H$27,4,0),"")</f>
        <v>P1</v>
      </c>
      <c r="C1317" s="14" t="s">
        <v>551</v>
      </c>
      <c r="D1317" s="12" t="s">
        <v>21</v>
      </c>
      <c r="E1317" s="13" t="str">
        <f>IFERROR(VLOOKUP(D1317,Sheet1!$B$1:$C$45,2,0),"")</f>
        <v>TE</v>
      </c>
      <c r="F1317" s="12" t="s">
        <v>108</v>
      </c>
      <c r="G1317" s="13" t="str">
        <f t="shared" si="5"/>
        <v>Barito Raya</v>
      </c>
      <c r="H1317" s="15" t="str">
        <f>IFERROR(VLOOKUP(A1317,Sheet1!$E$3:$F$27,2,),"")</f>
        <v>Preventive</v>
      </c>
      <c r="I1317" s="16" t="str">
        <f>IFERROR(VLOOKUP(A1317,Sheet1!$E$3:$G$27,3,0),"")</f>
        <v>MCB trip/Power upnormal</v>
      </c>
      <c r="J1317" s="12" t="s">
        <v>112</v>
      </c>
      <c r="K1317" s="17">
        <v>46064.0</v>
      </c>
      <c r="L1317" s="17">
        <v>46064.0</v>
      </c>
      <c r="M1317" s="12" t="s">
        <v>137</v>
      </c>
      <c r="N1317" s="23"/>
      <c r="O1317" s="22"/>
      <c r="P1317" s="22"/>
    </row>
    <row r="1318" ht="22.5" customHeight="1">
      <c r="A1318" s="12" t="s">
        <v>14</v>
      </c>
      <c r="B1318" s="20" t="str">
        <f>IFERROR(VLOOKUP(A1318,Sheet1!$E$3:$H$27,4,0),"")</f>
        <v>P1</v>
      </c>
      <c r="C1318" s="14" t="s">
        <v>115</v>
      </c>
      <c r="D1318" s="12" t="s">
        <v>26</v>
      </c>
      <c r="E1318" s="13" t="str">
        <f>IFERROR(VLOOKUP(D1318,Sheet1!$B$1:$C$45,2,0),"")</f>
        <v>TE</v>
      </c>
      <c r="F1318" s="12" t="s">
        <v>108</v>
      </c>
      <c r="G1318" s="13" t="str">
        <f t="shared" si="5"/>
        <v>Barito Raya</v>
      </c>
      <c r="H1318" s="15" t="str">
        <f>IFERROR(VLOOKUP(A1318,Sheet1!$E$3:$F$27,2,),"")</f>
        <v>Corrective</v>
      </c>
      <c r="I1318" s="16" t="str">
        <f>IFERROR(VLOOKUP(A1318,Sheet1!$E$3:$G$27,3,0),"")</f>
        <v>Pemadaman,MCB Trip,Transmisi problem</v>
      </c>
      <c r="J1318" s="12" t="s">
        <v>112</v>
      </c>
      <c r="K1318" s="17">
        <v>46064.0</v>
      </c>
      <c r="L1318" s="17">
        <v>46064.0</v>
      </c>
      <c r="M1318" s="12" t="s">
        <v>137</v>
      </c>
      <c r="N1318" s="23"/>
      <c r="O1318" s="22"/>
      <c r="P1318" s="22"/>
    </row>
    <row r="1319" ht="22.5" customHeight="1">
      <c r="A1319" s="12" t="s">
        <v>25</v>
      </c>
      <c r="B1319" s="20" t="str">
        <f>IFERROR(VLOOKUP(A1319,Sheet1!$E$3:$H$27,4,0),"")</f>
        <v>P2</v>
      </c>
      <c r="C1319" s="14" t="s">
        <v>548</v>
      </c>
      <c r="D1319" s="12" t="s">
        <v>88</v>
      </c>
      <c r="E1319" s="13" t="str">
        <f>IFERROR(VLOOKUP(D1319,Sheet1!$B$1:$C$45,2,0),"")</f>
        <v>TE</v>
      </c>
      <c r="F1319" s="12" t="s">
        <v>108</v>
      </c>
      <c r="G1319" s="13" t="str">
        <f t="shared" si="5"/>
        <v>Barito Raya</v>
      </c>
      <c r="H1319" s="15" t="str">
        <f>IFERROR(VLOOKUP(A1319,Sheet1!$E$3:$F$27,2,),"")</f>
        <v>Corrective</v>
      </c>
      <c r="I1319" s="16" t="str">
        <f>IFERROR(VLOOKUP(A1319,Sheet1!$E$3:$G$27,3,0),"")</f>
        <v>Support Event</v>
      </c>
      <c r="J1319" s="12" t="s">
        <v>112</v>
      </c>
      <c r="K1319" s="17">
        <v>46064.0</v>
      </c>
      <c r="L1319" s="17">
        <v>46064.0</v>
      </c>
      <c r="M1319" s="13"/>
      <c r="N1319" s="23"/>
      <c r="O1319" s="22"/>
      <c r="P1319" s="22"/>
    </row>
    <row r="1320" ht="22.5" customHeight="1">
      <c r="A1320" s="12" t="s">
        <v>43</v>
      </c>
      <c r="B1320" s="20" t="str">
        <f>IFERROR(VLOOKUP(A1320,Sheet1!$E$3:$H$27,4,0),"")</f>
        <v>P1</v>
      </c>
      <c r="C1320" s="14" t="s">
        <v>355</v>
      </c>
      <c r="D1320" s="12" t="s">
        <v>32</v>
      </c>
      <c r="E1320" s="13" t="str">
        <f>IFERROR(VLOOKUP(D1320,Sheet1!$B$1:$C$45,2,0),"")</f>
        <v>TE</v>
      </c>
      <c r="F1320" s="12" t="s">
        <v>108</v>
      </c>
      <c r="G1320" s="13" t="str">
        <f t="shared" si="5"/>
        <v>Barito Raya</v>
      </c>
      <c r="H1320" s="15" t="str">
        <f>IFERROR(VLOOKUP(A1320,Sheet1!$E$3:$F$27,2,),"")</f>
        <v>Corrective</v>
      </c>
      <c r="I1320" s="16" t="str">
        <f>IFERROR(VLOOKUP(A1320,Sheet1!$E$3:$G$27,3,0),"")</f>
        <v>Impact BTS down / RX Level &gt;70 / PL</v>
      </c>
      <c r="J1320" s="12" t="s">
        <v>112</v>
      </c>
      <c r="K1320" s="17">
        <v>46064.0</v>
      </c>
      <c r="L1320" s="17">
        <v>46064.0</v>
      </c>
      <c r="M1320" s="12" t="s">
        <v>137</v>
      </c>
      <c r="N1320" s="23"/>
      <c r="O1320" s="22"/>
      <c r="P1320" s="22"/>
    </row>
    <row r="1321" ht="22.5" customHeight="1">
      <c r="A1321" s="12" t="s">
        <v>52</v>
      </c>
      <c r="B1321" s="20" t="str">
        <f>IFERROR(VLOOKUP(A1321,Sheet1!$E$3:$H$27,4,0),"")</f>
        <v>P1</v>
      </c>
      <c r="C1321" s="14" t="s">
        <v>562</v>
      </c>
      <c r="D1321" s="12" t="s">
        <v>74</v>
      </c>
      <c r="E1321" s="13" t="str">
        <f>IFERROR(VLOOKUP(D1321,Sheet1!$B$1:$C$45,2,0),"")</f>
        <v>TE</v>
      </c>
      <c r="F1321" s="12" t="s">
        <v>108</v>
      </c>
      <c r="G1321" s="13" t="str">
        <f t="shared" si="5"/>
        <v>Barito Raya</v>
      </c>
      <c r="H1321" s="15" t="str">
        <f>IFERROR(VLOOKUP(A1321,Sheet1!$E$3:$F$27,2,),"")</f>
        <v>Preventive</v>
      </c>
      <c r="I1321" s="16" t="str">
        <f>IFERROR(VLOOKUP(A1321,Sheet1!$E$3:$G$27,3,0),"")</f>
        <v>MCB trip/Power upnormal</v>
      </c>
      <c r="J1321" s="12" t="s">
        <v>112</v>
      </c>
      <c r="K1321" s="17">
        <v>46064.0</v>
      </c>
      <c r="L1321" s="17">
        <v>46064.0</v>
      </c>
      <c r="M1321" s="12" t="s">
        <v>109</v>
      </c>
      <c r="N1321" s="23"/>
      <c r="O1321" s="22"/>
      <c r="P1321" s="22"/>
    </row>
    <row r="1322" ht="22.5" customHeight="1">
      <c r="A1322" s="12" t="s">
        <v>55</v>
      </c>
      <c r="B1322" s="20" t="str">
        <f>IFERROR(VLOOKUP(A1322,Sheet1!$E$3:$H$27,4,0),"")</f>
        <v>P2</v>
      </c>
      <c r="C1322" s="14" t="s">
        <v>560</v>
      </c>
      <c r="D1322" s="12" t="s">
        <v>60</v>
      </c>
      <c r="E1322" s="13" t="str">
        <f>IFERROR(VLOOKUP(D1322,Sheet1!$B$1:$C$45,2,0),"")</f>
        <v>TE</v>
      </c>
      <c r="F1322" s="12" t="s">
        <v>108</v>
      </c>
      <c r="G1322" s="13" t="str">
        <f t="shared" si="5"/>
        <v>Barito Raya</v>
      </c>
      <c r="H1322" s="15" t="str">
        <f>IFERROR(VLOOKUP(A1322,Sheet1!$E$3:$F$27,2,),"")</f>
        <v>Corrective</v>
      </c>
      <c r="I1322" s="16" t="str">
        <f>IFERROR(VLOOKUP(A1322,Sheet1!$E$3:$G$27,3,0),"")</f>
        <v>Penambahan Modul Recti</v>
      </c>
      <c r="J1322" s="12" t="s">
        <v>112</v>
      </c>
      <c r="K1322" s="17">
        <v>46064.0</v>
      </c>
      <c r="L1322" s="17">
        <v>46064.0</v>
      </c>
      <c r="M1322" s="12" t="s">
        <v>137</v>
      </c>
      <c r="N1322" s="23"/>
      <c r="O1322" s="22"/>
      <c r="P1322" s="22"/>
    </row>
    <row r="1323" ht="22.5" customHeight="1">
      <c r="A1323" s="12" t="s">
        <v>52</v>
      </c>
      <c r="B1323" s="20" t="str">
        <f>IFERROR(VLOOKUP(A1323,Sheet1!$E$3:$H$27,4,0),"")</f>
        <v>P1</v>
      </c>
      <c r="C1323" s="14" t="s">
        <v>382</v>
      </c>
      <c r="D1323" s="12" t="s">
        <v>62</v>
      </c>
      <c r="E1323" s="13" t="str">
        <f>IFERROR(VLOOKUP(D1323,Sheet1!$B$1:$C$45,2,0),"")</f>
        <v>TE</v>
      </c>
      <c r="F1323" s="12" t="s">
        <v>108</v>
      </c>
      <c r="G1323" s="13" t="str">
        <f t="shared" si="5"/>
        <v>Barito Raya</v>
      </c>
      <c r="H1323" s="15" t="str">
        <f>IFERROR(VLOOKUP(A1323,Sheet1!$E$3:$F$27,2,),"")</f>
        <v>Preventive</v>
      </c>
      <c r="I1323" s="16" t="str">
        <f>IFERROR(VLOOKUP(A1323,Sheet1!$E$3:$G$27,3,0),"")</f>
        <v>MCB trip/Power upnormal</v>
      </c>
      <c r="J1323" s="12" t="s">
        <v>112</v>
      </c>
      <c r="K1323" s="17">
        <v>46064.0</v>
      </c>
      <c r="L1323" s="17">
        <v>46064.0</v>
      </c>
      <c r="M1323" s="12" t="s">
        <v>137</v>
      </c>
      <c r="N1323" s="23"/>
      <c r="O1323" s="22"/>
      <c r="P1323" s="22"/>
    </row>
    <row r="1324" ht="22.5" customHeight="1">
      <c r="A1324" s="12" t="s">
        <v>22</v>
      </c>
      <c r="B1324" s="20" t="str">
        <f>IFERROR(VLOOKUP(A1324,Sheet1!$E$3:$H$27,4,0),"")</f>
        <v>P2</v>
      </c>
      <c r="C1324" s="14" t="s">
        <v>286</v>
      </c>
      <c r="D1324" s="12" t="s">
        <v>9</v>
      </c>
      <c r="E1324" s="13" t="str">
        <f>IFERROR(VLOOKUP(D1324,Sheet1!$B$1:$C$45,2,0),"")</f>
        <v>MBP</v>
      </c>
      <c r="F1324" s="12" t="s">
        <v>108</v>
      </c>
      <c r="G1324" s="13" t="str">
        <f t="shared" si="5"/>
        <v>Barito Raya</v>
      </c>
      <c r="H1324" s="15" t="str">
        <f>IFERROR(VLOOKUP(A1324,Sheet1!$E$3:$F$27,2,),"")</f>
        <v>Preventive</v>
      </c>
      <c r="I1324" s="16" t="str">
        <f>IFERROR(VLOOKUP(A1324,Sheet1!$E$3:$G$27,3,0),"")</f>
        <v>Preventive Maintenance</v>
      </c>
      <c r="J1324" s="12" t="s">
        <v>112</v>
      </c>
      <c r="K1324" s="17">
        <v>46064.0</v>
      </c>
      <c r="L1324" s="17">
        <v>46064.0</v>
      </c>
      <c r="M1324" s="12" t="s">
        <v>137</v>
      </c>
      <c r="N1324" s="23"/>
      <c r="O1324" s="22"/>
      <c r="P1324" s="22"/>
    </row>
    <row r="1325" ht="22.5" customHeight="1">
      <c r="A1325" s="12" t="s">
        <v>65</v>
      </c>
      <c r="B1325" s="20" t="str">
        <f>IFERROR(VLOOKUP(A1325,Sheet1!$E$3:$H$27,4,0),"")</f>
        <v>P3</v>
      </c>
      <c r="C1325" s="15"/>
      <c r="D1325" s="12" t="s">
        <v>4</v>
      </c>
      <c r="E1325" s="13" t="str">
        <f>IFERROR(VLOOKUP(D1325,Sheet1!$B$1:$C$45,2,0),"")</f>
        <v>CME</v>
      </c>
      <c r="F1325" s="12" t="s">
        <v>108</v>
      </c>
      <c r="G1325" s="13" t="str">
        <f t="shared" si="5"/>
        <v>Barito Raya</v>
      </c>
      <c r="H1325" s="15" t="str">
        <f>IFERROR(VLOOKUP(A1325,Sheet1!$E$3:$F$27,2,),"")</f>
        <v>Standby</v>
      </c>
      <c r="I1325" s="16" t="str">
        <f>IFERROR(VLOOKUP(A1325,Sheet1!$E$3:$G$27,3,0),"")</f>
        <v>Standby On Call</v>
      </c>
      <c r="J1325" s="12" t="s">
        <v>66</v>
      </c>
      <c r="K1325" s="17">
        <v>46064.0</v>
      </c>
      <c r="L1325" s="17">
        <v>46064.0</v>
      </c>
      <c r="M1325" s="13"/>
      <c r="N1325" s="23"/>
      <c r="O1325" s="22"/>
      <c r="P1325" s="22"/>
    </row>
    <row r="1326" ht="22.5" customHeight="1">
      <c r="A1326" s="12" t="s">
        <v>65</v>
      </c>
      <c r="B1326" s="20" t="str">
        <f>IFERROR(VLOOKUP(A1326,Sheet1!$E$3:$H$27,4,0),"")</f>
        <v>P3</v>
      </c>
      <c r="C1326" s="15"/>
      <c r="D1326" s="12" t="s">
        <v>87</v>
      </c>
      <c r="E1326" s="13" t="str">
        <f>IFERROR(VLOOKUP(D1326,Sheet1!$B$1:$C$45,2,0),"")</f>
        <v>MBP</v>
      </c>
      <c r="F1326" s="12" t="s">
        <v>108</v>
      </c>
      <c r="G1326" s="13" t="str">
        <f t="shared" si="5"/>
        <v>Barito Raya</v>
      </c>
      <c r="H1326" s="15" t="str">
        <f>IFERROR(VLOOKUP(A1326,Sheet1!$E$3:$F$27,2,),"")</f>
        <v>Standby</v>
      </c>
      <c r="I1326" s="16" t="str">
        <f>IFERROR(VLOOKUP(A1326,Sheet1!$E$3:$G$27,3,0),"")</f>
        <v>Standby On Call</v>
      </c>
      <c r="J1326" s="12" t="s">
        <v>66</v>
      </c>
      <c r="K1326" s="17">
        <v>46064.0</v>
      </c>
      <c r="L1326" s="17">
        <v>46064.0</v>
      </c>
      <c r="M1326" s="13"/>
      <c r="N1326" s="23"/>
      <c r="O1326" s="22"/>
      <c r="P1326" s="22"/>
    </row>
    <row r="1327" ht="22.5" customHeight="1">
      <c r="A1327" s="12" t="s">
        <v>14</v>
      </c>
      <c r="B1327" s="20" t="str">
        <f>IFERROR(VLOOKUP(A1327,Sheet1!$E$3:$H$27,4,0),"")</f>
        <v>P1</v>
      </c>
      <c r="C1327" s="14" t="s">
        <v>313</v>
      </c>
      <c r="D1327" s="12" t="s">
        <v>29</v>
      </c>
      <c r="E1327" s="13" t="str">
        <f>IFERROR(VLOOKUP(D1327,Sheet1!$B$1:$C$45,2,0),"")</f>
        <v>MBP</v>
      </c>
      <c r="F1327" s="12" t="s">
        <v>108</v>
      </c>
      <c r="G1327" s="13" t="str">
        <f t="shared" si="5"/>
        <v>Barito Raya</v>
      </c>
      <c r="H1327" s="15" t="str">
        <f>IFERROR(VLOOKUP(A1327,Sheet1!$E$3:$F$27,2,),"")</f>
        <v>Corrective</v>
      </c>
      <c r="I1327" s="16" t="str">
        <f>IFERROR(VLOOKUP(A1327,Sheet1!$E$3:$G$27,3,0),"")</f>
        <v>Pemadaman,MCB Trip,Transmisi problem</v>
      </c>
      <c r="J1327" s="12" t="s">
        <v>112</v>
      </c>
      <c r="K1327" s="17">
        <v>46064.0</v>
      </c>
      <c r="L1327" s="17">
        <v>46064.0</v>
      </c>
      <c r="M1327" s="12" t="s">
        <v>109</v>
      </c>
      <c r="N1327" s="23"/>
      <c r="O1327" s="22"/>
      <c r="P1327" s="22"/>
    </row>
    <row r="1328" ht="22.5" customHeight="1">
      <c r="A1328" s="12" t="s">
        <v>46</v>
      </c>
      <c r="B1328" s="20" t="str">
        <f>IFERROR(VLOOKUP(A1328,Sheet1!$E$3:$H$27,4,0),"")</f>
        <v>P2</v>
      </c>
      <c r="C1328" s="14" t="s">
        <v>195</v>
      </c>
      <c r="D1328" s="12" t="s">
        <v>2</v>
      </c>
      <c r="E1328" s="13" t="str">
        <f>IFERROR(VLOOKUP(D1328,Sheet1!$B$1:$C$45,2,0),"")</f>
        <v>CME</v>
      </c>
      <c r="F1328" s="12" t="s">
        <v>108</v>
      </c>
      <c r="G1328" s="13" t="str">
        <f t="shared" si="5"/>
        <v>Barito Raya</v>
      </c>
      <c r="H1328" s="15" t="str">
        <f>IFERROR(VLOOKUP(A1328,Sheet1!$E$3:$F$27,2,),"")</f>
        <v>Preventive</v>
      </c>
      <c r="I1328" s="16" t="str">
        <f>IFERROR(VLOOKUP(A1328,Sheet1!$E$3:$G$27,3,0),"")</f>
        <v>Instalasi Battery</v>
      </c>
      <c r="J1328" s="12" t="s">
        <v>112</v>
      </c>
      <c r="K1328" s="17">
        <v>46064.0</v>
      </c>
      <c r="L1328" s="17">
        <v>46064.0</v>
      </c>
      <c r="M1328" s="12" t="s">
        <v>137</v>
      </c>
      <c r="N1328" s="23"/>
      <c r="O1328" s="22"/>
      <c r="P1328" s="22"/>
    </row>
    <row r="1329" ht="22.5" customHeight="1">
      <c r="A1329" s="12" t="s">
        <v>65</v>
      </c>
      <c r="B1329" s="20" t="str">
        <f>IFERROR(VLOOKUP(A1329,Sheet1!$E$3:$H$27,4,0),"")</f>
        <v>P3</v>
      </c>
      <c r="C1329" s="15"/>
      <c r="D1329" s="12" t="s">
        <v>0</v>
      </c>
      <c r="E1329" s="13" t="str">
        <f>IFERROR(VLOOKUP(D1329,Sheet1!$B$1:$C$45,2,0),"")</f>
        <v>MBP</v>
      </c>
      <c r="F1329" s="12" t="s">
        <v>108</v>
      </c>
      <c r="G1329" s="13" t="str">
        <f t="shared" si="5"/>
        <v>Barito Raya</v>
      </c>
      <c r="H1329" s="15" t="str">
        <f>IFERROR(VLOOKUP(A1329,Sheet1!$E$3:$F$27,2,),"")</f>
        <v>Standby</v>
      </c>
      <c r="I1329" s="16" t="str">
        <f>IFERROR(VLOOKUP(A1329,Sheet1!$E$3:$G$27,3,0),"")</f>
        <v>Standby On Call</v>
      </c>
      <c r="J1329" s="12" t="s">
        <v>66</v>
      </c>
      <c r="K1329" s="17">
        <v>46064.0</v>
      </c>
      <c r="L1329" s="17">
        <v>46064.0</v>
      </c>
      <c r="M1329" s="13"/>
      <c r="N1329" s="23"/>
      <c r="O1329" s="22"/>
      <c r="P1329" s="22"/>
    </row>
    <row r="1330" ht="22.5" customHeight="1">
      <c r="A1330" s="12" t="s">
        <v>22</v>
      </c>
      <c r="B1330" s="20" t="str">
        <f>IFERROR(VLOOKUP(A1330,Sheet1!$E$3:$H$27,4,0),"")</f>
        <v>P2</v>
      </c>
      <c r="C1330" s="14" t="s">
        <v>321</v>
      </c>
      <c r="D1330" s="12" t="s">
        <v>85</v>
      </c>
      <c r="E1330" s="13" t="str">
        <f>IFERROR(VLOOKUP(D1330,Sheet1!$B$1:$C$45,2,0),"")</f>
        <v>PM</v>
      </c>
      <c r="F1330" s="12" t="s">
        <v>108</v>
      </c>
      <c r="G1330" s="13" t="str">
        <f t="shared" si="5"/>
        <v>Barito Raya</v>
      </c>
      <c r="H1330" s="15" t="str">
        <f>IFERROR(VLOOKUP(A1330,Sheet1!$E$3:$F$27,2,),"")</f>
        <v>Preventive</v>
      </c>
      <c r="I1330" s="16" t="str">
        <f>IFERROR(VLOOKUP(A1330,Sheet1!$E$3:$G$27,3,0),"")</f>
        <v>Preventive Maintenance</v>
      </c>
      <c r="J1330" s="12" t="s">
        <v>172</v>
      </c>
      <c r="K1330" s="17">
        <v>46064.0</v>
      </c>
      <c r="L1330" s="17">
        <v>46064.0</v>
      </c>
      <c r="M1330" s="12"/>
      <c r="N1330" s="23"/>
      <c r="O1330" s="22"/>
      <c r="P1330" s="22"/>
    </row>
    <row r="1331" ht="22.5" customHeight="1">
      <c r="A1331" s="12" t="s">
        <v>22</v>
      </c>
      <c r="B1331" s="20" t="str">
        <f>IFERROR(VLOOKUP(A1331,Sheet1!$E$3:$H$27,4,0),"")</f>
        <v>P2</v>
      </c>
      <c r="C1331" s="14" t="s">
        <v>321</v>
      </c>
      <c r="D1331" s="12" t="s">
        <v>84</v>
      </c>
      <c r="E1331" s="13" t="str">
        <f>IFERROR(VLOOKUP(D1331,Sheet1!$B$1:$C$45,2,0),"")</f>
        <v>MBP</v>
      </c>
      <c r="F1331" s="12" t="s">
        <v>108</v>
      </c>
      <c r="G1331" s="13" t="str">
        <f t="shared" si="5"/>
        <v>Barito Raya</v>
      </c>
      <c r="H1331" s="15" t="str">
        <f>IFERROR(VLOOKUP(A1331,Sheet1!$E$3:$F$27,2,),"")</f>
        <v>Preventive</v>
      </c>
      <c r="I1331" s="16" t="str">
        <f>IFERROR(VLOOKUP(A1331,Sheet1!$E$3:$G$27,3,0),"")</f>
        <v>Preventive Maintenance</v>
      </c>
      <c r="J1331" s="12" t="s">
        <v>172</v>
      </c>
      <c r="K1331" s="17">
        <v>46064.0</v>
      </c>
      <c r="L1331" s="17">
        <v>46064.0</v>
      </c>
      <c r="M1331" s="12"/>
      <c r="N1331" s="23"/>
      <c r="O1331" s="22"/>
      <c r="P1331" s="22"/>
    </row>
    <row r="1332" ht="22.5" customHeight="1">
      <c r="A1332" s="12" t="s">
        <v>22</v>
      </c>
      <c r="B1332" s="20" t="str">
        <f>IFERROR(VLOOKUP(A1332,Sheet1!$E$3:$H$27,4,0),"")</f>
        <v>P2</v>
      </c>
      <c r="C1332" s="14" t="s">
        <v>563</v>
      </c>
      <c r="D1332" s="12" t="s">
        <v>86</v>
      </c>
      <c r="E1332" s="13" t="str">
        <f>IFERROR(VLOOKUP(D1332,Sheet1!$B$1:$C$45,2,0),"")</f>
        <v>PM</v>
      </c>
      <c r="F1332" s="12" t="s">
        <v>108</v>
      </c>
      <c r="G1332" s="13" t="str">
        <f t="shared" si="5"/>
        <v>Barito Raya</v>
      </c>
      <c r="H1332" s="15" t="str">
        <f>IFERROR(VLOOKUP(A1332,Sheet1!$E$3:$F$27,2,),"")</f>
        <v>Preventive</v>
      </c>
      <c r="I1332" s="16" t="str">
        <f>IFERROR(VLOOKUP(A1332,Sheet1!$E$3:$G$27,3,0),"")</f>
        <v>Preventive Maintenance</v>
      </c>
      <c r="J1332" s="12" t="s">
        <v>112</v>
      </c>
      <c r="K1332" s="17">
        <v>46064.0</v>
      </c>
      <c r="L1332" s="17">
        <v>46064.0</v>
      </c>
      <c r="M1332" s="12" t="s">
        <v>137</v>
      </c>
      <c r="N1332" s="23"/>
      <c r="O1332" s="22"/>
      <c r="P1332" s="22"/>
    </row>
    <row r="1333" ht="22.5" customHeight="1">
      <c r="A1333" s="12"/>
      <c r="B1333" s="20" t="str">
        <f>IFERROR(VLOOKUP(A1333,Sheet1!$E$3:$H$27,4,0),"")</f>
        <v/>
      </c>
      <c r="C1333" s="14" t="s">
        <v>535</v>
      </c>
      <c r="D1333" s="12" t="s">
        <v>37</v>
      </c>
      <c r="E1333" s="13" t="str">
        <f>IFERROR(VLOOKUP(D1333,Sheet1!$B$1:$C$45,2,0),"")</f>
        <v>TE</v>
      </c>
      <c r="F1333" s="12" t="s">
        <v>179</v>
      </c>
      <c r="G1333" s="13" t="str">
        <f t="shared" si="5"/>
        <v>Palangkaraya</v>
      </c>
      <c r="H1333" s="15" t="str">
        <f>IFERROR(VLOOKUP(A1333,Sheet1!$E$3:$F$27,2,),"")</f>
        <v/>
      </c>
      <c r="I1333" s="16" t="str">
        <f>IFERROR(VLOOKUP(A1333,Sheet1!$E$3:$G$27,3,0),"")</f>
        <v/>
      </c>
      <c r="J1333" s="12" t="s">
        <v>112</v>
      </c>
      <c r="K1333" s="17">
        <v>46064.0</v>
      </c>
      <c r="L1333" s="17">
        <v>46064.0</v>
      </c>
      <c r="M1333" s="12" t="s">
        <v>122</v>
      </c>
      <c r="N1333" s="23"/>
      <c r="O1333" s="22"/>
      <c r="P1333" s="22"/>
    </row>
    <row r="1334" ht="22.5" customHeight="1">
      <c r="A1334" s="12" t="s">
        <v>33</v>
      </c>
      <c r="B1334" s="20" t="str">
        <f>IFERROR(VLOOKUP(A1334,Sheet1!$E$3:$H$27,4,0),"")</f>
        <v>P2</v>
      </c>
      <c r="C1334" s="14" t="s">
        <v>452</v>
      </c>
      <c r="D1334" s="12" t="s">
        <v>80</v>
      </c>
      <c r="E1334" s="13" t="str">
        <f>IFERROR(VLOOKUP(D1334,Sheet1!$B$1:$C$45,2,0),"")</f>
        <v>TE</v>
      </c>
      <c r="F1334" s="12" t="s">
        <v>179</v>
      </c>
      <c r="G1334" s="13" t="str">
        <f t="shared" si="5"/>
        <v>Palangkaraya</v>
      </c>
      <c r="H1334" s="15" t="str">
        <f>IFERROR(VLOOKUP(A1334,Sheet1!$E$3:$F$27,2,),"")</f>
        <v>Preventive</v>
      </c>
      <c r="I1334" s="16" t="str">
        <f>IFERROR(VLOOKUP(A1334,Sheet1!$E$3:$G$27,3,0),"")</f>
        <v>Pengukuran dan pengambilan data log serta input Gdoc BBT</v>
      </c>
      <c r="J1334" s="12" t="s">
        <v>112</v>
      </c>
      <c r="K1334" s="17">
        <v>46064.0</v>
      </c>
      <c r="L1334" s="17">
        <v>46064.0</v>
      </c>
      <c r="M1334" s="12" t="s">
        <v>122</v>
      </c>
      <c r="N1334" s="23"/>
      <c r="O1334" s="22"/>
      <c r="P1334" s="22"/>
    </row>
    <row r="1335" ht="22.5" customHeight="1">
      <c r="A1335" s="12" t="s">
        <v>27</v>
      </c>
      <c r="B1335" s="20" t="str">
        <f>IFERROR(VLOOKUP(A1335,Sheet1!$E$3:$H$27,4,0),"")</f>
        <v>P2</v>
      </c>
      <c r="C1335" s="14" t="s">
        <v>535</v>
      </c>
      <c r="D1335" s="12" t="s">
        <v>77</v>
      </c>
      <c r="E1335" s="13" t="str">
        <f>IFERROR(VLOOKUP(D1335,Sheet1!$B$1:$C$45,2,0),"")</f>
        <v>TE</v>
      </c>
      <c r="F1335" s="12" t="s">
        <v>179</v>
      </c>
      <c r="G1335" s="13" t="str">
        <f t="shared" si="5"/>
        <v>Palangkaraya</v>
      </c>
      <c r="H1335" s="15" t="str">
        <f>IFERROR(VLOOKUP(A1335,Sheet1!$E$3:$F$27,2,),"")</f>
        <v>Preventive</v>
      </c>
      <c r="I1335" s="16" t="str">
        <f>IFERROR(VLOOKUP(A1335,Sheet1!$E$3:$G$27,3,0),"")</f>
        <v>Akses/Hub Site problem metro</v>
      </c>
      <c r="J1335" s="12" t="s">
        <v>112</v>
      </c>
      <c r="K1335" s="17">
        <v>46064.0</v>
      </c>
      <c r="L1335" s="17">
        <v>46064.0</v>
      </c>
      <c r="M1335" s="12" t="s">
        <v>109</v>
      </c>
      <c r="N1335" s="23"/>
      <c r="O1335" s="22"/>
      <c r="P1335" s="22"/>
    </row>
    <row r="1336" ht="22.5" customHeight="1">
      <c r="A1336" s="12" t="s">
        <v>5</v>
      </c>
      <c r="B1336" s="20" t="str">
        <f>IFERROR(VLOOKUP(A1336,Sheet1!$E$3:$H$27,4,0),"")</f>
        <v>P1</v>
      </c>
      <c r="C1336" s="14" t="s">
        <v>564</v>
      </c>
      <c r="D1336" s="12" t="s">
        <v>78</v>
      </c>
      <c r="E1336" s="13" t="str">
        <f>IFERROR(VLOOKUP(D1336,Sheet1!$B$1:$C$45,2,0),"")</f>
        <v>TE</v>
      </c>
      <c r="F1336" s="12" t="s">
        <v>179</v>
      </c>
      <c r="G1336" s="13" t="str">
        <f t="shared" si="5"/>
        <v>Palangkaraya</v>
      </c>
      <c r="H1336" s="15" t="str">
        <f>IFERROR(VLOOKUP(A1336,Sheet1!$E$3:$F$27,2,),"")</f>
        <v>Corrective</v>
      </c>
      <c r="I1336" s="16" t="str">
        <f>IFERROR(VLOOKUP(A1336,Sheet1!$E$3:$G$27,3,0),"")</f>
        <v>Replace Optik,RRU/Soket Power/Replace GPS</v>
      </c>
      <c r="J1336" s="12" t="s">
        <v>112</v>
      </c>
      <c r="K1336" s="17">
        <v>46064.0</v>
      </c>
      <c r="L1336" s="17">
        <v>46064.0</v>
      </c>
      <c r="M1336" s="12" t="s">
        <v>137</v>
      </c>
      <c r="N1336" s="23"/>
      <c r="O1336" s="22"/>
      <c r="P1336" s="22"/>
    </row>
    <row r="1337" ht="22.5" customHeight="1">
      <c r="A1337" s="12" t="s">
        <v>5</v>
      </c>
      <c r="B1337" s="20" t="str">
        <f>IFERROR(VLOOKUP(A1337,Sheet1!$E$3:$H$27,4,0),"")</f>
        <v>P1</v>
      </c>
      <c r="C1337" s="14" t="s">
        <v>564</v>
      </c>
      <c r="D1337" s="12" t="s">
        <v>76</v>
      </c>
      <c r="E1337" s="13" t="str">
        <f>IFERROR(VLOOKUP(D1337,Sheet1!$B$1:$C$45,2,0),"")</f>
        <v>TE</v>
      </c>
      <c r="F1337" s="12" t="s">
        <v>179</v>
      </c>
      <c r="G1337" s="13" t="str">
        <f t="shared" si="5"/>
        <v>Palangkaraya</v>
      </c>
      <c r="H1337" s="15" t="str">
        <f>IFERROR(VLOOKUP(A1337,Sheet1!$E$3:$F$27,2,),"")</f>
        <v>Corrective</v>
      </c>
      <c r="I1337" s="16" t="str">
        <f>IFERROR(VLOOKUP(A1337,Sheet1!$E$3:$G$27,3,0),"")</f>
        <v>Replace Optik,RRU/Soket Power/Replace GPS</v>
      </c>
      <c r="J1337" s="12" t="s">
        <v>112</v>
      </c>
      <c r="K1337" s="17">
        <v>46064.0</v>
      </c>
      <c r="L1337" s="17">
        <v>46064.0</v>
      </c>
      <c r="M1337" s="12" t="s">
        <v>137</v>
      </c>
      <c r="N1337" s="23"/>
      <c r="O1337" s="22"/>
      <c r="P1337" s="22"/>
    </row>
    <row r="1338" ht="22.5" customHeight="1">
      <c r="A1338" s="12" t="s">
        <v>5</v>
      </c>
      <c r="B1338" s="20" t="str">
        <f>IFERROR(VLOOKUP(A1338,Sheet1!$E$3:$H$27,4,0),"")</f>
        <v>P1</v>
      </c>
      <c r="C1338" s="14" t="s">
        <v>200</v>
      </c>
      <c r="D1338" s="12" t="s">
        <v>51</v>
      </c>
      <c r="E1338" s="13" t="str">
        <f>IFERROR(VLOOKUP(D1338,Sheet1!$B$1:$C$45,2,0),"")</f>
        <v>TE</v>
      </c>
      <c r="F1338" s="12" t="s">
        <v>179</v>
      </c>
      <c r="G1338" s="13" t="str">
        <f t="shared" si="5"/>
        <v>Palangkaraya</v>
      </c>
      <c r="H1338" s="15" t="str">
        <f>IFERROR(VLOOKUP(A1338,Sheet1!$E$3:$F$27,2,),"")</f>
        <v>Corrective</v>
      </c>
      <c r="I1338" s="16" t="str">
        <f>IFERROR(VLOOKUP(A1338,Sheet1!$E$3:$G$27,3,0),"")</f>
        <v>Replace Optik,RRU/Soket Power/Replace GPS</v>
      </c>
      <c r="J1338" s="12" t="s">
        <v>112</v>
      </c>
      <c r="K1338" s="17">
        <v>46064.0</v>
      </c>
      <c r="L1338" s="17">
        <v>46064.0</v>
      </c>
      <c r="M1338" s="12" t="s">
        <v>122</v>
      </c>
      <c r="N1338" s="23"/>
      <c r="O1338" s="22"/>
      <c r="P1338" s="22"/>
    </row>
    <row r="1339" ht="22.5" customHeight="1">
      <c r="A1339" s="12" t="s">
        <v>17</v>
      </c>
      <c r="B1339" s="20" t="str">
        <f>IFERROR(VLOOKUP(A1339,Sheet1!$E$3:$H$27,4,0),"")</f>
        <v>P2</v>
      </c>
      <c r="C1339" s="14" t="s">
        <v>182</v>
      </c>
      <c r="D1339" s="12" t="s">
        <v>79</v>
      </c>
      <c r="E1339" s="13" t="str">
        <f>IFERROR(VLOOKUP(D1339,Sheet1!$B$1:$C$45,2,0),"")</f>
        <v>TE</v>
      </c>
      <c r="F1339" s="12" t="s">
        <v>179</v>
      </c>
      <c r="G1339" s="13" t="str">
        <f t="shared" si="5"/>
        <v>Palangkaraya</v>
      </c>
      <c r="H1339" s="15" t="str">
        <f>IFERROR(VLOOKUP(A1339,Sheet1!$E$3:$F$27,2,),"")</f>
        <v>Preventive</v>
      </c>
      <c r="I1339" s="16" t="str">
        <f>IFERROR(VLOOKUP(A1339,Sheet1!$E$3:$G$27,3,0),"")</f>
        <v>integrasi LAN dan validasi alarm</v>
      </c>
      <c r="J1339" s="12" t="s">
        <v>112</v>
      </c>
      <c r="K1339" s="17">
        <v>46064.0</v>
      </c>
      <c r="L1339" s="17">
        <v>46064.0</v>
      </c>
      <c r="M1339" s="12" t="s">
        <v>137</v>
      </c>
      <c r="N1339" s="23"/>
      <c r="O1339" s="22"/>
      <c r="P1339" s="22"/>
    </row>
    <row r="1340" ht="22.5" customHeight="1">
      <c r="A1340" s="12" t="s">
        <v>14</v>
      </c>
      <c r="B1340" s="20" t="str">
        <f>IFERROR(VLOOKUP(A1340,Sheet1!$E$3:$H$27,4,0),"")</f>
        <v>P1</v>
      </c>
      <c r="C1340" s="14" t="s">
        <v>565</v>
      </c>
      <c r="D1340" s="12" t="s">
        <v>91</v>
      </c>
      <c r="E1340" s="13" t="str">
        <f>IFERROR(VLOOKUP(D1340,Sheet1!$B$1:$C$45,2,0),"")</f>
        <v>TE</v>
      </c>
      <c r="F1340" s="12" t="s">
        <v>179</v>
      </c>
      <c r="G1340" s="13" t="str">
        <f t="shared" si="5"/>
        <v>Palangkaraya</v>
      </c>
      <c r="H1340" s="15" t="str">
        <f>IFERROR(VLOOKUP(A1340,Sheet1!$E$3:$F$27,2,),"")</f>
        <v>Corrective</v>
      </c>
      <c r="I1340" s="16" t="str">
        <f>IFERROR(VLOOKUP(A1340,Sheet1!$E$3:$G$27,3,0),"")</f>
        <v>Pemadaman,MCB Trip,Transmisi problem</v>
      </c>
      <c r="J1340" s="12" t="s">
        <v>112</v>
      </c>
      <c r="K1340" s="17">
        <v>46064.0</v>
      </c>
      <c r="L1340" s="17">
        <v>46064.0</v>
      </c>
      <c r="M1340" s="12" t="s">
        <v>137</v>
      </c>
      <c r="N1340" s="23"/>
      <c r="O1340" s="22"/>
      <c r="P1340" s="22"/>
    </row>
    <row r="1341" ht="22.5" customHeight="1">
      <c r="A1341" s="12" t="s">
        <v>14</v>
      </c>
      <c r="B1341" s="20" t="str">
        <f>IFERROR(VLOOKUP(A1341,Sheet1!$E$3:$H$27,4,0),"")</f>
        <v>P1</v>
      </c>
      <c r="C1341" s="14" t="s">
        <v>566</v>
      </c>
      <c r="D1341" s="12" t="s">
        <v>58</v>
      </c>
      <c r="E1341" s="13" t="str">
        <f>IFERROR(VLOOKUP(D1341,Sheet1!$B$1:$C$45,2,0),"")</f>
        <v>TE</v>
      </c>
      <c r="F1341" s="12" t="s">
        <v>179</v>
      </c>
      <c r="G1341" s="13" t="str">
        <f t="shared" si="5"/>
        <v>Palangkaraya</v>
      </c>
      <c r="H1341" s="15" t="str">
        <f>IFERROR(VLOOKUP(A1341,Sheet1!$E$3:$F$27,2,),"")</f>
        <v>Corrective</v>
      </c>
      <c r="I1341" s="16" t="str">
        <f>IFERROR(VLOOKUP(A1341,Sheet1!$E$3:$G$27,3,0),"")</f>
        <v>Pemadaman,MCB Trip,Transmisi problem</v>
      </c>
      <c r="J1341" s="12" t="s">
        <v>112</v>
      </c>
      <c r="K1341" s="17">
        <v>46064.0</v>
      </c>
      <c r="L1341" s="17">
        <v>46064.0</v>
      </c>
      <c r="M1341" s="12" t="s">
        <v>137</v>
      </c>
      <c r="N1341" s="23"/>
      <c r="O1341" s="22"/>
      <c r="P1341" s="22"/>
    </row>
    <row r="1342" ht="22.5" customHeight="1">
      <c r="A1342" s="12" t="s">
        <v>5</v>
      </c>
      <c r="B1342" s="20" t="str">
        <f>IFERROR(VLOOKUP(A1342,Sheet1!$E$3:$H$27,4,0),"")</f>
        <v>P1</v>
      </c>
      <c r="C1342" s="14" t="s">
        <v>567</v>
      </c>
      <c r="D1342" s="12" t="s">
        <v>71</v>
      </c>
      <c r="E1342" s="13" t="str">
        <f>IFERROR(VLOOKUP(D1342,Sheet1!$B$1:$C$45,2,0),"")</f>
        <v>TE</v>
      </c>
      <c r="F1342" s="12" t="s">
        <v>179</v>
      </c>
      <c r="G1342" s="13" t="str">
        <f t="shared" si="5"/>
        <v>Palangkaraya</v>
      </c>
      <c r="H1342" s="15" t="str">
        <f>IFERROR(VLOOKUP(A1342,Sheet1!$E$3:$F$27,2,),"")</f>
        <v>Corrective</v>
      </c>
      <c r="I1342" s="16" t="str">
        <f>IFERROR(VLOOKUP(A1342,Sheet1!$E$3:$G$27,3,0),"")</f>
        <v>Replace Optik,RRU/Soket Power/Replace GPS</v>
      </c>
      <c r="J1342" s="12" t="s">
        <v>112</v>
      </c>
      <c r="K1342" s="17">
        <v>46064.0</v>
      </c>
      <c r="L1342" s="17">
        <v>46064.0</v>
      </c>
      <c r="M1342" s="12" t="s">
        <v>137</v>
      </c>
      <c r="N1342" s="23"/>
      <c r="O1342" s="22"/>
      <c r="P1342" s="22"/>
    </row>
    <row r="1343" ht="22.5" customHeight="1">
      <c r="A1343" s="12" t="s">
        <v>52</v>
      </c>
      <c r="B1343" s="20" t="str">
        <f>IFERROR(VLOOKUP(A1343,Sheet1!$E$3:$H$27,4,0),"")</f>
        <v>P1</v>
      </c>
      <c r="C1343" s="14" t="s">
        <v>346</v>
      </c>
      <c r="D1343" s="12" t="s">
        <v>56</v>
      </c>
      <c r="E1343" s="13" t="str">
        <f>IFERROR(VLOOKUP(D1343,Sheet1!$B$1:$C$45,2,0),"")</f>
        <v>TE</v>
      </c>
      <c r="F1343" s="12" t="s">
        <v>179</v>
      </c>
      <c r="G1343" s="13" t="str">
        <f t="shared" si="5"/>
        <v>Palangkaraya</v>
      </c>
      <c r="H1343" s="15" t="str">
        <f>IFERROR(VLOOKUP(A1343,Sheet1!$E$3:$F$27,2,),"")</f>
        <v>Preventive</v>
      </c>
      <c r="I1343" s="16" t="str">
        <f>IFERROR(VLOOKUP(A1343,Sheet1!$E$3:$G$27,3,0),"")</f>
        <v>MCB trip/Power upnormal</v>
      </c>
      <c r="J1343" s="12" t="s">
        <v>112</v>
      </c>
      <c r="K1343" s="17">
        <v>46064.0</v>
      </c>
      <c r="L1343" s="17">
        <v>46064.0</v>
      </c>
      <c r="M1343" s="12" t="s">
        <v>137</v>
      </c>
      <c r="N1343" s="23"/>
      <c r="O1343" s="22"/>
      <c r="P1343" s="22"/>
    </row>
    <row r="1344" ht="22.5" customHeight="1">
      <c r="A1344" s="12" t="s">
        <v>22</v>
      </c>
      <c r="B1344" s="20" t="str">
        <f>IFERROR(VLOOKUP(A1344,Sheet1!$E$3:$H$27,4,0),"")</f>
        <v>P2</v>
      </c>
      <c r="C1344" s="14"/>
      <c r="D1344" s="12" t="s">
        <v>83</v>
      </c>
      <c r="E1344" s="13" t="str">
        <f>IFERROR(VLOOKUP(D1344,Sheet1!$B$1:$C$45,2,0),"")</f>
        <v>PM</v>
      </c>
      <c r="F1344" s="12" t="s">
        <v>179</v>
      </c>
      <c r="G1344" s="13" t="str">
        <f t="shared" si="5"/>
        <v>Palangkaraya</v>
      </c>
      <c r="H1344" s="15" t="str">
        <f>IFERROR(VLOOKUP(A1344,Sheet1!$E$3:$F$27,2,),"")</f>
        <v>Preventive</v>
      </c>
      <c r="I1344" s="16" t="str">
        <f>IFERROR(VLOOKUP(A1344,Sheet1!$E$3:$G$27,3,0),"")</f>
        <v>Preventive Maintenance</v>
      </c>
      <c r="J1344" s="12" t="s">
        <v>112</v>
      </c>
      <c r="K1344" s="17">
        <v>46064.0</v>
      </c>
      <c r="L1344" s="17">
        <v>46064.0</v>
      </c>
      <c r="M1344" s="12" t="s">
        <v>137</v>
      </c>
      <c r="N1344" s="23"/>
      <c r="O1344" s="22"/>
      <c r="P1344" s="22"/>
    </row>
    <row r="1345" ht="22.5" customHeight="1">
      <c r="A1345" s="12" t="s">
        <v>22</v>
      </c>
      <c r="B1345" s="20" t="str">
        <f>IFERROR(VLOOKUP(A1345,Sheet1!$E$3:$H$27,4,0),"")</f>
        <v>P2</v>
      </c>
      <c r="C1345" s="14"/>
      <c r="D1345" s="12" t="s">
        <v>82</v>
      </c>
      <c r="E1345" s="13" t="str">
        <f>IFERROR(VLOOKUP(D1345,Sheet1!$B$1:$C$45,2,0),"")</f>
        <v>PM</v>
      </c>
      <c r="F1345" s="12" t="s">
        <v>179</v>
      </c>
      <c r="G1345" s="13" t="str">
        <f t="shared" si="5"/>
        <v>Palangkaraya</v>
      </c>
      <c r="H1345" s="15" t="str">
        <f>IFERROR(VLOOKUP(A1345,Sheet1!$E$3:$F$27,2,),"")</f>
        <v>Preventive</v>
      </c>
      <c r="I1345" s="16" t="str">
        <f>IFERROR(VLOOKUP(A1345,Sheet1!$E$3:$G$27,3,0),"")</f>
        <v>Preventive Maintenance</v>
      </c>
      <c r="J1345" s="12" t="s">
        <v>112</v>
      </c>
      <c r="K1345" s="17">
        <v>46064.0</v>
      </c>
      <c r="L1345" s="17">
        <v>46064.0</v>
      </c>
      <c r="M1345" s="12" t="s">
        <v>137</v>
      </c>
      <c r="N1345" s="23"/>
      <c r="O1345" s="22"/>
      <c r="P1345" s="22"/>
    </row>
    <row r="1346" ht="22.5" customHeight="1">
      <c r="A1346" s="12" t="s">
        <v>22</v>
      </c>
      <c r="B1346" s="20" t="str">
        <f>IFERROR(VLOOKUP(A1346,Sheet1!$E$3:$H$27,4,0),"")</f>
        <v>P2</v>
      </c>
      <c r="C1346" s="14"/>
      <c r="D1346" s="12" t="s">
        <v>75</v>
      </c>
      <c r="E1346" s="13" t="str">
        <f>IFERROR(VLOOKUP(D1346,Sheet1!$B$1:$C$45,2,0),"")</f>
        <v>CME</v>
      </c>
      <c r="F1346" s="12" t="s">
        <v>179</v>
      </c>
      <c r="G1346" s="13" t="str">
        <f t="shared" si="5"/>
        <v>Palangkaraya</v>
      </c>
      <c r="H1346" s="15" t="str">
        <f>IFERROR(VLOOKUP(A1346,Sheet1!$E$3:$F$27,2,),"")</f>
        <v>Preventive</v>
      </c>
      <c r="I1346" s="16" t="str">
        <f>IFERROR(VLOOKUP(A1346,Sheet1!$E$3:$G$27,3,0),"")</f>
        <v>Preventive Maintenance</v>
      </c>
      <c r="J1346" s="12" t="s">
        <v>112</v>
      </c>
      <c r="K1346" s="17">
        <v>46064.0</v>
      </c>
      <c r="L1346" s="17">
        <v>46064.0</v>
      </c>
      <c r="M1346" s="12" t="s">
        <v>137</v>
      </c>
      <c r="N1346" s="23"/>
      <c r="O1346" s="22"/>
      <c r="P1346" s="22"/>
    </row>
    <row r="1347" ht="22.5" customHeight="1">
      <c r="A1347" s="12" t="s">
        <v>65</v>
      </c>
      <c r="B1347" s="20" t="str">
        <f>IFERROR(VLOOKUP(A1347,Sheet1!$E$3:$H$27,4,0),"")</f>
        <v>P3</v>
      </c>
      <c r="C1347" s="14"/>
      <c r="D1347" s="12" t="s">
        <v>54</v>
      </c>
      <c r="E1347" s="13" t="str">
        <f>IFERROR(VLOOKUP(D1347,Sheet1!$B$1:$C$45,2,0),"")</f>
        <v>MBP</v>
      </c>
      <c r="F1347" s="12" t="s">
        <v>179</v>
      </c>
      <c r="G1347" s="13" t="str">
        <f t="shared" si="5"/>
        <v>Palangkaraya</v>
      </c>
      <c r="H1347" s="15" t="str">
        <f>IFERROR(VLOOKUP(A1347,Sheet1!$E$3:$F$27,2,),"")</f>
        <v>Standby</v>
      </c>
      <c r="I1347" s="16" t="str">
        <f>IFERROR(VLOOKUP(A1347,Sheet1!$E$3:$G$27,3,0),"")</f>
        <v>Standby On Call</v>
      </c>
      <c r="J1347" s="12" t="s">
        <v>66</v>
      </c>
      <c r="K1347" s="17">
        <v>46064.0</v>
      </c>
      <c r="L1347" s="17">
        <v>46064.0</v>
      </c>
      <c r="M1347" s="12" t="s">
        <v>137</v>
      </c>
      <c r="N1347" s="23"/>
      <c r="O1347" s="22"/>
      <c r="P1347" s="22"/>
    </row>
    <row r="1348" ht="22.5" customHeight="1">
      <c r="A1348" s="12" t="s">
        <v>33</v>
      </c>
      <c r="B1348" s="20" t="str">
        <f>IFERROR(VLOOKUP(A1348,Sheet1!$E$3:$H$27,4,0),"")</f>
        <v>P2</v>
      </c>
      <c r="C1348" s="14" t="s">
        <v>535</v>
      </c>
      <c r="D1348" s="12" t="s">
        <v>37</v>
      </c>
      <c r="E1348" s="13" t="str">
        <f>IFERROR(VLOOKUP(D1348,Sheet1!$B$1:$C$45,2,0),"")</f>
        <v>TE</v>
      </c>
      <c r="F1348" s="12" t="s">
        <v>179</v>
      </c>
      <c r="G1348" s="13" t="str">
        <f t="shared" si="5"/>
        <v>Palangkaraya</v>
      </c>
      <c r="H1348" s="15" t="str">
        <f>IFERROR(VLOOKUP(A1348,Sheet1!$E$3:$F$27,2,),"")</f>
        <v>Preventive</v>
      </c>
      <c r="I1348" s="16" t="str">
        <f>IFERROR(VLOOKUP(A1348,Sheet1!$E$3:$G$27,3,0),"")</f>
        <v>Pengukuran dan pengambilan data log serta input Gdoc BBT</v>
      </c>
      <c r="J1348" s="12" t="s">
        <v>112</v>
      </c>
      <c r="K1348" s="17">
        <v>46065.0</v>
      </c>
      <c r="L1348" s="17"/>
      <c r="M1348" s="12" t="s">
        <v>137</v>
      </c>
      <c r="N1348" s="23"/>
      <c r="O1348" s="22"/>
      <c r="P1348" s="22"/>
    </row>
    <row r="1349" ht="22.5" customHeight="1">
      <c r="A1349" s="12" t="s">
        <v>5</v>
      </c>
      <c r="B1349" s="20" t="str">
        <f>IFERROR(VLOOKUP(A1349,Sheet1!$E$3:$H$27,4,0),"")</f>
        <v>P1</v>
      </c>
      <c r="C1349" s="14" t="s">
        <v>507</v>
      </c>
      <c r="D1349" s="12" t="s">
        <v>76</v>
      </c>
      <c r="E1349" s="13" t="str">
        <f>IFERROR(VLOOKUP(D1349,Sheet1!$B$1:$C$45,2,0),"")</f>
        <v>TE</v>
      </c>
      <c r="F1349" s="12" t="s">
        <v>179</v>
      </c>
      <c r="G1349" s="13" t="str">
        <f t="shared" si="5"/>
        <v>Palangkaraya</v>
      </c>
      <c r="H1349" s="15" t="str">
        <f>IFERROR(VLOOKUP(A1349,Sheet1!$E$3:$F$27,2,),"")</f>
        <v>Corrective</v>
      </c>
      <c r="I1349" s="16" t="str">
        <f>IFERROR(VLOOKUP(A1349,Sheet1!$E$3:$G$27,3,0),"")</f>
        <v>Replace Optik,RRU/Soket Power/Replace GPS</v>
      </c>
      <c r="J1349" s="12" t="s">
        <v>112</v>
      </c>
      <c r="K1349" s="17">
        <v>46065.0</v>
      </c>
      <c r="L1349" s="17"/>
      <c r="M1349" s="12" t="s">
        <v>137</v>
      </c>
      <c r="N1349" s="23"/>
      <c r="O1349" s="22"/>
      <c r="P1349" s="22"/>
    </row>
    <row r="1350" ht="22.5" customHeight="1">
      <c r="A1350" s="12" t="s">
        <v>68</v>
      </c>
      <c r="B1350" s="20" t="str">
        <f>IFERROR(VLOOKUP(A1350,Sheet1!$E$3:$H$27,4,0),"")</f>
        <v>P3</v>
      </c>
      <c r="C1350" s="14"/>
      <c r="D1350" s="12" t="s">
        <v>78</v>
      </c>
      <c r="E1350" s="13" t="str">
        <f>IFERROR(VLOOKUP(D1350,Sheet1!$B$1:$C$45,2,0),"")</f>
        <v>TE</v>
      </c>
      <c r="F1350" s="12" t="s">
        <v>179</v>
      </c>
      <c r="G1350" s="13" t="str">
        <f t="shared" si="5"/>
        <v>Palangkaraya</v>
      </c>
      <c r="H1350" s="15" t="str">
        <f>IFERROR(VLOOKUP(A1350,Sheet1!$E$3:$F$27,2,),"")</f>
        <v>On Leave</v>
      </c>
      <c r="I1350" s="16" t="str">
        <f>IFERROR(VLOOKUP(A1350,Sheet1!$E$3:$G$27,3,0),"")</f>
        <v>On Leave</v>
      </c>
      <c r="J1350" s="12" t="s">
        <v>66</v>
      </c>
      <c r="K1350" s="17">
        <v>46065.0</v>
      </c>
      <c r="L1350" s="17"/>
      <c r="M1350" s="12" t="s">
        <v>137</v>
      </c>
      <c r="N1350" s="23"/>
      <c r="O1350" s="22"/>
      <c r="P1350" s="22"/>
    </row>
    <row r="1351" ht="22.5" customHeight="1">
      <c r="A1351" s="12" t="s">
        <v>5</v>
      </c>
      <c r="B1351" s="20" t="str">
        <f>IFERROR(VLOOKUP(A1351,Sheet1!$E$3:$H$27,4,0),"")</f>
        <v>P1</v>
      </c>
      <c r="C1351" s="14" t="s">
        <v>200</v>
      </c>
      <c r="D1351" s="12" t="s">
        <v>51</v>
      </c>
      <c r="E1351" s="13" t="str">
        <f>IFERROR(VLOOKUP(D1351,Sheet1!$B$1:$C$45,2,0),"")</f>
        <v>TE</v>
      </c>
      <c r="F1351" s="12" t="s">
        <v>179</v>
      </c>
      <c r="G1351" s="13" t="str">
        <f t="shared" si="5"/>
        <v>Palangkaraya</v>
      </c>
      <c r="H1351" s="15" t="str">
        <f>IFERROR(VLOOKUP(A1351,Sheet1!$E$3:$F$27,2,),"")</f>
        <v>Corrective</v>
      </c>
      <c r="I1351" s="16" t="str">
        <f>IFERROR(VLOOKUP(A1351,Sheet1!$E$3:$G$27,3,0),"")</f>
        <v>Replace Optik,RRU/Soket Power/Replace GPS</v>
      </c>
      <c r="J1351" s="12" t="s">
        <v>112</v>
      </c>
      <c r="K1351" s="17">
        <v>46065.0</v>
      </c>
      <c r="L1351" s="17"/>
      <c r="M1351" s="12" t="s">
        <v>137</v>
      </c>
      <c r="N1351" s="23"/>
      <c r="O1351" s="22"/>
      <c r="P1351" s="22"/>
    </row>
    <row r="1352" ht="22.5" customHeight="1">
      <c r="A1352" s="12" t="s">
        <v>5</v>
      </c>
      <c r="B1352" s="20" t="str">
        <f>IFERROR(VLOOKUP(A1352,Sheet1!$E$3:$H$27,4,0),"")</f>
        <v>P1</v>
      </c>
      <c r="C1352" s="14" t="s">
        <v>477</v>
      </c>
      <c r="D1352" s="12" t="s">
        <v>79</v>
      </c>
      <c r="E1352" s="13" t="str">
        <f>IFERROR(VLOOKUP(D1352,Sheet1!$B$1:$C$45,2,0),"")</f>
        <v>TE</v>
      </c>
      <c r="F1352" s="12" t="s">
        <v>179</v>
      </c>
      <c r="G1352" s="13" t="str">
        <f t="shared" si="5"/>
        <v>Palangkaraya</v>
      </c>
      <c r="H1352" s="15" t="str">
        <f>IFERROR(VLOOKUP(A1352,Sheet1!$E$3:$F$27,2,),"")</f>
        <v>Corrective</v>
      </c>
      <c r="I1352" s="16" t="str">
        <f>IFERROR(VLOOKUP(A1352,Sheet1!$E$3:$G$27,3,0),"")</f>
        <v>Replace Optik,RRU/Soket Power/Replace GPS</v>
      </c>
      <c r="J1352" s="12" t="s">
        <v>112</v>
      </c>
      <c r="K1352" s="17">
        <v>46065.0</v>
      </c>
      <c r="L1352" s="17"/>
      <c r="M1352" s="12" t="s">
        <v>137</v>
      </c>
      <c r="N1352" s="23"/>
      <c r="O1352" s="22"/>
      <c r="P1352" s="22"/>
    </row>
    <row r="1353" ht="22.5" customHeight="1">
      <c r="A1353" s="12" t="s">
        <v>14</v>
      </c>
      <c r="B1353" s="20" t="str">
        <f>IFERROR(VLOOKUP(A1353,Sheet1!$E$3:$H$27,4,0),"")</f>
        <v>P1</v>
      </c>
      <c r="C1353" s="14" t="s">
        <v>565</v>
      </c>
      <c r="D1353" s="12" t="s">
        <v>91</v>
      </c>
      <c r="E1353" s="13" t="str">
        <f>IFERROR(VLOOKUP(D1353,Sheet1!$B$1:$C$45,2,0),"")</f>
        <v>TE</v>
      </c>
      <c r="F1353" s="12" t="s">
        <v>179</v>
      </c>
      <c r="G1353" s="13" t="str">
        <f t="shared" si="5"/>
        <v>Palangkaraya</v>
      </c>
      <c r="H1353" s="15" t="str">
        <f>IFERROR(VLOOKUP(A1353,Sheet1!$E$3:$F$27,2,),"")</f>
        <v>Corrective</v>
      </c>
      <c r="I1353" s="16" t="str">
        <f>IFERROR(VLOOKUP(A1353,Sheet1!$E$3:$G$27,3,0),"")</f>
        <v>Pemadaman,MCB Trip,Transmisi problem</v>
      </c>
      <c r="J1353" s="12" t="s">
        <v>112</v>
      </c>
      <c r="K1353" s="17">
        <v>46065.0</v>
      </c>
      <c r="L1353" s="17"/>
      <c r="M1353" s="12" t="s">
        <v>137</v>
      </c>
      <c r="N1353" s="23"/>
      <c r="O1353" s="22"/>
      <c r="P1353" s="22"/>
    </row>
    <row r="1354" ht="22.5" customHeight="1">
      <c r="A1354" s="12" t="s">
        <v>14</v>
      </c>
      <c r="B1354" s="20" t="str">
        <f>IFERROR(VLOOKUP(A1354,Sheet1!$E$3:$H$27,4,0),"")</f>
        <v>P1</v>
      </c>
      <c r="C1354" s="14" t="s">
        <v>566</v>
      </c>
      <c r="D1354" s="12" t="s">
        <v>58</v>
      </c>
      <c r="E1354" s="13" t="str">
        <f>IFERROR(VLOOKUP(D1354,Sheet1!$B$1:$C$45,2,0),"")</f>
        <v>TE</v>
      </c>
      <c r="F1354" s="12" t="s">
        <v>179</v>
      </c>
      <c r="G1354" s="13" t="str">
        <f t="shared" si="5"/>
        <v>Palangkaraya</v>
      </c>
      <c r="H1354" s="15" t="str">
        <f>IFERROR(VLOOKUP(A1354,Sheet1!$E$3:$F$27,2,),"")</f>
        <v>Corrective</v>
      </c>
      <c r="I1354" s="16" t="str">
        <f>IFERROR(VLOOKUP(A1354,Sheet1!$E$3:$G$27,3,0),"")</f>
        <v>Pemadaman,MCB Trip,Transmisi problem</v>
      </c>
      <c r="J1354" s="12" t="s">
        <v>112</v>
      </c>
      <c r="K1354" s="17">
        <v>46065.0</v>
      </c>
      <c r="L1354" s="17"/>
      <c r="M1354" s="12" t="s">
        <v>137</v>
      </c>
      <c r="N1354" s="23"/>
      <c r="O1354" s="22"/>
      <c r="P1354" s="22"/>
    </row>
    <row r="1355" ht="22.5" customHeight="1">
      <c r="A1355" s="12" t="s">
        <v>5</v>
      </c>
      <c r="B1355" s="20" t="str">
        <f>IFERROR(VLOOKUP(A1355,Sheet1!$E$3:$H$27,4,0),"")</f>
        <v>P1</v>
      </c>
      <c r="C1355" s="14" t="s">
        <v>567</v>
      </c>
      <c r="D1355" s="12" t="s">
        <v>71</v>
      </c>
      <c r="E1355" s="13" t="str">
        <f>IFERROR(VLOOKUP(D1355,Sheet1!$B$1:$C$45,2,0),"")</f>
        <v>TE</v>
      </c>
      <c r="F1355" s="12" t="s">
        <v>179</v>
      </c>
      <c r="G1355" s="13" t="str">
        <f t="shared" si="5"/>
        <v>Palangkaraya</v>
      </c>
      <c r="H1355" s="15" t="str">
        <f>IFERROR(VLOOKUP(A1355,Sheet1!$E$3:$F$27,2,),"")</f>
        <v>Corrective</v>
      </c>
      <c r="I1355" s="16" t="str">
        <f>IFERROR(VLOOKUP(A1355,Sheet1!$E$3:$G$27,3,0),"")</f>
        <v>Replace Optik,RRU/Soket Power/Replace GPS</v>
      </c>
      <c r="J1355" s="12" t="s">
        <v>112</v>
      </c>
      <c r="K1355" s="17">
        <v>46065.0</v>
      </c>
      <c r="L1355" s="17"/>
      <c r="M1355" s="12" t="s">
        <v>137</v>
      </c>
      <c r="N1355" s="23"/>
      <c r="O1355" s="22"/>
      <c r="P1355" s="22"/>
    </row>
    <row r="1356" ht="22.5" customHeight="1">
      <c r="A1356" s="12" t="s">
        <v>65</v>
      </c>
      <c r="B1356" s="20" t="str">
        <f>IFERROR(VLOOKUP(A1356,Sheet1!$E$3:$H$27,4,0),"")</f>
        <v>P3</v>
      </c>
      <c r="C1356" s="14"/>
      <c r="D1356" s="12" t="s">
        <v>56</v>
      </c>
      <c r="E1356" s="13" t="str">
        <f>IFERROR(VLOOKUP(D1356,Sheet1!$B$1:$C$45,2,0),"")</f>
        <v>TE</v>
      </c>
      <c r="F1356" s="12" t="s">
        <v>179</v>
      </c>
      <c r="G1356" s="13" t="str">
        <f t="shared" si="5"/>
        <v>Palangkaraya</v>
      </c>
      <c r="H1356" s="15" t="str">
        <f>IFERROR(VLOOKUP(A1356,Sheet1!$E$3:$F$27,2,),"")</f>
        <v>Standby</v>
      </c>
      <c r="I1356" s="16" t="str">
        <f>IFERROR(VLOOKUP(A1356,Sheet1!$E$3:$G$27,3,0),"")</f>
        <v>Standby On Call</v>
      </c>
      <c r="J1356" s="12" t="s">
        <v>112</v>
      </c>
      <c r="K1356" s="17">
        <v>46065.0</v>
      </c>
      <c r="L1356" s="17"/>
      <c r="M1356" s="12" t="s">
        <v>137</v>
      </c>
      <c r="N1356" s="23"/>
      <c r="O1356" s="22"/>
      <c r="P1356" s="22"/>
    </row>
    <row r="1357" ht="22.5" customHeight="1">
      <c r="A1357" s="12" t="s">
        <v>22</v>
      </c>
      <c r="B1357" s="20" t="str">
        <f>IFERROR(VLOOKUP(A1357,Sheet1!$E$3:$H$27,4,0),"")</f>
        <v>P2</v>
      </c>
      <c r="C1357" s="14"/>
      <c r="D1357" s="12" t="s">
        <v>83</v>
      </c>
      <c r="E1357" s="13" t="str">
        <f>IFERROR(VLOOKUP(D1357,Sheet1!$B$1:$C$45,2,0),"")</f>
        <v>PM</v>
      </c>
      <c r="F1357" s="12" t="s">
        <v>179</v>
      </c>
      <c r="G1357" s="13" t="str">
        <f t="shared" si="5"/>
        <v>Palangkaraya</v>
      </c>
      <c r="H1357" s="15" t="str">
        <f>IFERROR(VLOOKUP(A1357,Sheet1!$E$3:$F$27,2,),"")</f>
        <v>Preventive</v>
      </c>
      <c r="I1357" s="16" t="str">
        <f>IFERROR(VLOOKUP(A1357,Sheet1!$E$3:$G$27,3,0),"")</f>
        <v>Preventive Maintenance</v>
      </c>
      <c r="J1357" s="12" t="s">
        <v>112</v>
      </c>
      <c r="K1357" s="17">
        <v>46065.0</v>
      </c>
      <c r="L1357" s="17"/>
      <c r="M1357" s="12" t="s">
        <v>137</v>
      </c>
      <c r="N1357" s="23"/>
      <c r="O1357" s="22"/>
      <c r="P1357" s="22"/>
    </row>
    <row r="1358" ht="22.5" customHeight="1">
      <c r="A1358" s="12" t="s">
        <v>22</v>
      </c>
      <c r="B1358" s="20" t="str">
        <f>IFERROR(VLOOKUP(A1358,Sheet1!$E$3:$H$27,4,0),"")</f>
        <v>P2</v>
      </c>
      <c r="C1358" s="14"/>
      <c r="D1358" s="12" t="s">
        <v>82</v>
      </c>
      <c r="E1358" s="13" t="str">
        <f>IFERROR(VLOOKUP(D1358,Sheet1!$B$1:$C$45,2,0),"")</f>
        <v>PM</v>
      </c>
      <c r="F1358" s="12" t="s">
        <v>179</v>
      </c>
      <c r="G1358" s="13" t="str">
        <f t="shared" si="5"/>
        <v>Palangkaraya</v>
      </c>
      <c r="H1358" s="15" t="str">
        <f>IFERROR(VLOOKUP(A1358,Sheet1!$E$3:$F$27,2,),"")</f>
        <v>Preventive</v>
      </c>
      <c r="I1358" s="16" t="str">
        <f>IFERROR(VLOOKUP(A1358,Sheet1!$E$3:$G$27,3,0),"")</f>
        <v>Preventive Maintenance</v>
      </c>
      <c r="J1358" s="12" t="s">
        <v>112</v>
      </c>
      <c r="K1358" s="17">
        <v>46065.0</v>
      </c>
      <c r="L1358" s="17"/>
      <c r="M1358" s="12" t="s">
        <v>137</v>
      </c>
      <c r="N1358" s="23"/>
      <c r="O1358" s="22"/>
      <c r="P1358" s="22"/>
    </row>
    <row r="1359" ht="22.5" hidden="1" customHeight="1">
      <c r="A1359" s="12" t="s">
        <v>22</v>
      </c>
      <c r="B1359" s="20" t="str">
        <f>IFERROR(VLOOKUP(A1359,Sheet1!$E$3:$H$27,4,0),"")</f>
        <v>P2</v>
      </c>
      <c r="C1359" s="14"/>
      <c r="D1359" s="12" t="s">
        <v>75</v>
      </c>
      <c r="E1359" s="13" t="str">
        <f>IFERROR(VLOOKUP(D1359,Sheet1!$B$1:$C$45,2,0),"")</f>
        <v>CME</v>
      </c>
      <c r="F1359" s="12" t="s">
        <v>179</v>
      </c>
      <c r="G1359" s="13" t="str">
        <f t="shared" si="5"/>
        <v>Palangkaraya</v>
      </c>
      <c r="H1359" s="15" t="str">
        <f>IFERROR(VLOOKUP(A1359,Sheet1!$E$3:$F$27,2,),"")</f>
        <v>Preventive</v>
      </c>
      <c r="I1359" s="16" t="str">
        <f>IFERROR(VLOOKUP(A1359,Sheet1!$E$3:$G$27,3,0),"")</f>
        <v>Preventive Maintenance</v>
      </c>
      <c r="J1359" s="12" t="s">
        <v>112</v>
      </c>
      <c r="K1359" s="17">
        <v>46065.0</v>
      </c>
      <c r="L1359" s="17"/>
      <c r="M1359" s="12" t="s">
        <v>137</v>
      </c>
      <c r="N1359" s="23"/>
      <c r="O1359" s="22"/>
      <c r="P1359" s="22"/>
    </row>
    <row r="1360" ht="22.5" hidden="1" customHeight="1">
      <c r="A1360" s="12" t="s">
        <v>65</v>
      </c>
      <c r="B1360" s="20" t="str">
        <f>IFERROR(VLOOKUP(A1360,Sheet1!$E$3:$H$27,4,0),"")</f>
        <v>P3</v>
      </c>
      <c r="C1360" s="14"/>
      <c r="D1360" s="12" t="s">
        <v>54</v>
      </c>
      <c r="E1360" s="13" t="str">
        <f>IFERROR(VLOOKUP(D1360,Sheet1!$B$1:$C$45,2,0),"")</f>
        <v>MBP</v>
      </c>
      <c r="F1360" s="12" t="s">
        <v>179</v>
      </c>
      <c r="G1360" s="13" t="str">
        <f t="shared" si="5"/>
        <v>Palangkaraya</v>
      </c>
      <c r="H1360" s="15" t="str">
        <f>IFERROR(VLOOKUP(A1360,Sheet1!$E$3:$F$27,2,),"")</f>
        <v>Standby</v>
      </c>
      <c r="I1360" s="16" t="str">
        <f>IFERROR(VLOOKUP(A1360,Sheet1!$E$3:$G$27,3,0),"")</f>
        <v>Standby On Call</v>
      </c>
      <c r="J1360" s="12" t="s">
        <v>66</v>
      </c>
      <c r="K1360" s="17">
        <v>46065.0</v>
      </c>
      <c r="L1360" s="17"/>
      <c r="M1360" s="12" t="s">
        <v>137</v>
      </c>
      <c r="N1360" s="23"/>
      <c r="O1360" s="22"/>
      <c r="P1360" s="22"/>
    </row>
    <row r="1361" ht="22.5" customHeight="1">
      <c r="A1361" s="12" t="s">
        <v>30</v>
      </c>
      <c r="B1361" s="20" t="str">
        <f>IFERROR(VLOOKUP(A1361,Sheet1!$E$3:$H$27,4,0),"")</f>
        <v>P3</v>
      </c>
      <c r="C1361" s="14" t="s">
        <v>568</v>
      </c>
      <c r="D1361" s="12" t="s">
        <v>12</v>
      </c>
      <c r="E1361" s="13" t="str">
        <f>IFERROR(VLOOKUP(D1361,Sheet1!$B$1:$C$45,2,0),"")</f>
        <v>TE</v>
      </c>
      <c r="F1361" s="12" t="s">
        <v>108</v>
      </c>
      <c r="G1361" s="13" t="str">
        <f t="shared" si="5"/>
        <v>Barito Raya</v>
      </c>
      <c r="H1361" s="15" t="str">
        <f>IFERROR(VLOOKUP(A1361,Sheet1!$E$3:$F$27,2,),"")</f>
        <v>Preventive</v>
      </c>
      <c r="I1361" s="16" t="str">
        <f>IFERROR(VLOOKUP(A1361,Sheet1!$E$3:$G$27,3,0),"")</f>
        <v>Pengawalan akses Vendor</v>
      </c>
      <c r="J1361" s="20"/>
      <c r="K1361" s="17">
        <v>46065.0</v>
      </c>
      <c r="L1361" s="17">
        <v>46065.0</v>
      </c>
      <c r="M1361" s="12" t="s">
        <v>109</v>
      </c>
      <c r="N1361" s="23"/>
      <c r="O1361" s="22"/>
      <c r="P1361" s="22"/>
    </row>
    <row r="1362" ht="22.5" customHeight="1">
      <c r="A1362" s="12" t="s">
        <v>22</v>
      </c>
      <c r="B1362" s="20" t="str">
        <f>IFERROR(VLOOKUP(A1362,Sheet1!$E$3:$H$27,4,0),"")</f>
        <v>P2</v>
      </c>
      <c r="C1362" s="14" t="s">
        <v>275</v>
      </c>
      <c r="D1362" s="12" t="s">
        <v>16</v>
      </c>
      <c r="E1362" s="13" t="str">
        <f>IFERROR(VLOOKUP(D1362,Sheet1!$B$1:$C$45,2,0),"")</f>
        <v>TE</v>
      </c>
      <c r="F1362" s="12" t="s">
        <v>108</v>
      </c>
      <c r="G1362" s="13" t="str">
        <f t="shared" si="5"/>
        <v>Barito Raya</v>
      </c>
      <c r="H1362" s="15" t="str">
        <f>IFERROR(VLOOKUP(A1362,Sheet1!$E$3:$F$27,2,),"")</f>
        <v>Preventive</v>
      </c>
      <c r="I1362" s="16" t="str">
        <f>IFERROR(VLOOKUP(A1362,Sheet1!$E$3:$G$27,3,0),"")</f>
        <v>Preventive Maintenance</v>
      </c>
      <c r="J1362" s="12" t="s">
        <v>112</v>
      </c>
      <c r="K1362" s="17">
        <v>46065.0</v>
      </c>
      <c r="L1362" s="17">
        <v>46065.0</v>
      </c>
      <c r="M1362" s="12" t="s">
        <v>109</v>
      </c>
      <c r="N1362" s="23"/>
      <c r="O1362" s="22"/>
      <c r="P1362" s="22"/>
    </row>
    <row r="1363" ht="22.5" customHeight="1">
      <c r="A1363" s="12" t="s">
        <v>25</v>
      </c>
      <c r="B1363" s="20" t="str">
        <f>IFERROR(VLOOKUP(A1363,Sheet1!$E$3:$H$27,4,0),"")</f>
        <v>P2</v>
      </c>
      <c r="C1363" s="14" t="s">
        <v>255</v>
      </c>
      <c r="D1363" s="12" t="s">
        <v>21</v>
      </c>
      <c r="E1363" s="13" t="str">
        <f>IFERROR(VLOOKUP(D1363,Sheet1!$B$1:$C$45,2,0),"")</f>
        <v>TE</v>
      </c>
      <c r="F1363" s="12" t="s">
        <v>108</v>
      </c>
      <c r="G1363" s="13" t="str">
        <f t="shared" si="5"/>
        <v>Barito Raya</v>
      </c>
      <c r="H1363" s="15" t="str">
        <f>IFERROR(VLOOKUP(A1363,Sheet1!$E$3:$F$27,2,),"")</f>
        <v>Corrective</v>
      </c>
      <c r="I1363" s="16" t="str">
        <f>IFERROR(VLOOKUP(A1363,Sheet1!$E$3:$G$27,3,0),"")</f>
        <v>Support Event</v>
      </c>
      <c r="J1363" s="12" t="s">
        <v>112</v>
      </c>
      <c r="K1363" s="17">
        <v>46065.0</v>
      </c>
      <c r="L1363" s="17">
        <v>46065.0</v>
      </c>
      <c r="M1363" s="12" t="s">
        <v>109</v>
      </c>
      <c r="N1363" s="23"/>
      <c r="O1363" s="22"/>
      <c r="P1363" s="22"/>
    </row>
    <row r="1364" ht="22.5" customHeight="1">
      <c r="A1364" s="12" t="s">
        <v>14</v>
      </c>
      <c r="B1364" s="20" t="str">
        <f>IFERROR(VLOOKUP(A1364,Sheet1!$E$3:$H$27,4,0),"")</f>
        <v>P1</v>
      </c>
      <c r="C1364" s="14" t="s">
        <v>569</v>
      </c>
      <c r="D1364" s="12" t="s">
        <v>26</v>
      </c>
      <c r="E1364" s="13" t="str">
        <f>IFERROR(VLOOKUP(D1364,Sheet1!$B$1:$C$45,2,0),"")</f>
        <v>TE</v>
      </c>
      <c r="F1364" s="12" t="s">
        <v>108</v>
      </c>
      <c r="G1364" s="13" t="str">
        <f t="shared" si="5"/>
        <v>Barito Raya</v>
      </c>
      <c r="H1364" s="15" t="str">
        <f>IFERROR(VLOOKUP(A1364,Sheet1!$E$3:$F$27,2,),"")</f>
        <v>Corrective</v>
      </c>
      <c r="I1364" s="16" t="str">
        <f>IFERROR(VLOOKUP(A1364,Sheet1!$E$3:$G$27,3,0),"")</f>
        <v>Pemadaman,MCB Trip,Transmisi problem</v>
      </c>
      <c r="J1364" s="12" t="s">
        <v>112</v>
      </c>
      <c r="K1364" s="17">
        <v>46065.0</v>
      </c>
      <c r="L1364" s="17">
        <v>46065.0</v>
      </c>
      <c r="M1364" s="12" t="s">
        <v>109</v>
      </c>
      <c r="N1364" s="23"/>
      <c r="O1364" s="22"/>
      <c r="P1364" s="22"/>
    </row>
    <row r="1365" ht="22.5" customHeight="1">
      <c r="A1365" s="12" t="s">
        <v>14</v>
      </c>
      <c r="B1365" s="20" t="str">
        <f>IFERROR(VLOOKUP(A1365,Sheet1!$E$3:$H$27,4,0),"")</f>
        <v>P1</v>
      </c>
      <c r="C1365" s="14" t="s">
        <v>569</v>
      </c>
      <c r="D1365" s="12" t="s">
        <v>88</v>
      </c>
      <c r="E1365" s="13" t="str">
        <f>IFERROR(VLOOKUP(D1365,Sheet1!$B$1:$C$45,2,0),"")</f>
        <v>TE</v>
      </c>
      <c r="F1365" s="12" t="s">
        <v>108</v>
      </c>
      <c r="G1365" s="13" t="str">
        <f t="shared" si="5"/>
        <v>Barito Raya</v>
      </c>
      <c r="H1365" s="15" t="str">
        <f>IFERROR(VLOOKUP(A1365,Sheet1!$E$3:$F$27,2,),"")</f>
        <v>Corrective</v>
      </c>
      <c r="I1365" s="16" t="str">
        <f>IFERROR(VLOOKUP(A1365,Sheet1!$E$3:$G$27,3,0),"")</f>
        <v>Pemadaman,MCB Trip,Transmisi problem</v>
      </c>
      <c r="J1365" s="12" t="s">
        <v>112</v>
      </c>
      <c r="K1365" s="17">
        <v>46065.0</v>
      </c>
      <c r="L1365" s="17">
        <v>46065.0</v>
      </c>
      <c r="M1365" s="12" t="s">
        <v>109</v>
      </c>
      <c r="N1365" s="23"/>
      <c r="O1365" s="22"/>
      <c r="P1365" s="22"/>
    </row>
    <row r="1366" ht="22.5" customHeight="1">
      <c r="A1366" s="12" t="s">
        <v>14</v>
      </c>
      <c r="B1366" s="20" t="str">
        <f>IFERROR(VLOOKUP(A1366,Sheet1!$E$3:$H$27,4,0),"")</f>
        <v>P1</v>
      </c>
      <c r="C1366" s="14" t="s">
        <v>570</v>
      </c>
      <c r="D1366" s="12" t="s">
        <v>32</v>
      </c>
      <c r="E1366" s="13" t="str">
        <f>IFERROR(VLOOKUP(D1366,Sheet1!$B$1:$C$45,2,0),"")</f>
        <v>TE</v>
      </c>
      <c r="F1366" s="12" t="s">
        <v>108</v>
      </c>
      <c r="G1366" s="13" t="str">
        <f t="shared" si="5"/>
        <v>Barito Raya</v>
      </c>
      <c r="H1366" s="15" t="str">
        <f>IFERROR(VLOOKUP(A1366,Sheet1!$E$3:$F$27,2,),"")</f>
        <v>Corrective</v>
      </c>
      <c r="I1366" s="16" t="str">
        <f>IFERROR(VLOOKUP(A1366,Sheet1!$E$3:$G$27,3,0),"")</f>
        <v>Pemadaman,MCB Trip,Transmisi problem</v>
      </c>
      <c r="J1366" s="12" t="s">
        <v>112</v>
      </c>
      <c r="K1366" s="17">
        <v>46065.0</v>
      </c>
      <c r="L1366" s="17">
        <v>46065.0</v>
      </c>
      <c r="M1366" s="12" t="s">
        <v>109</v>
      </c>
      <c r="N1366" s="23"/>
      <c r="O1366" s="22"/>
      <c r="P1366" s="22"/>
    </row>
    <row r="1367" ht="22.5" customHeight="1">
      <c r="A1367" s="12" t="s">
        <v>52</v>
      </c>
      <c r="B1367" s="20" t="str">
        <f>IFERROR(VLOOKUP(A1367,Sheet1!$E$3:$H$27,4,0),"")</f>
        <v>P1</v>
      </c>
      <c r="C1367" s="14" t="s">
        <v>398</v>
      </c>
      <c r="D1367" s="12" t="s">
        <v>74</v>
      </c>
      <c r="E1367" s="13" t="str">
        <f>IFERROR(VLOOKUP(D1367,Sheet1!$B$1:$C$45,2,0),"")</f>
        <v>TE</v>
      </c>
      <c r="F1367" s="12" t="s">
        <v>108</v>
      </c>
      <c r="G1367" s="13" t="str">
        <f t="shared" si="5"/>
        <v>Barito Raya</v>
      </c>
      <c r="H1367" s="15" t="str">
        <f>IFERROR(VLOOKUP(A1367,Sheet1!$E$3:$F$27,2,),"")</f>
        <v>Preventive</v>
      </c>
      <c r="I1367" s="16" t="str">
        <f>IFERROR(VLOOKUP(A1367,Sheet1!$E$3:$G$27,3,0),"")</f>
        <v>MCB trip/Power upnormal</v>
      </c>
      <c r="J1367" s="12" t="s">
        <v>112</v>
      </c>
      <c r="K1367" s="17">
        <v>46065.0</v>
      </c>
      <c r="L1367" s="17">
        <v>46065.0</v>
      </c>
      <c r="M1367" s="12" t="s">
        <v>109</v>
      </c>
      <c r="N1367" s="23"/>
      <c r="O1367" s="22"/>
      <c r="P1367" s="22"/>
    </row>
    <row r="1368" ht="22.5" customHeight="1">
      <c r="A1368" s="12" t="s">
        <v>30</v>
      </c>
      <c r="B1368" s="20" t="str">
        <f>IFERROR(VLOOKUP(A1368,Sheet1!$E$3:$H$27,4,0),"")</f>
        <v>P3</v>
      </c>
      <c r="C1368" s="14" t="s">
        <v>571</v>
      </c>
      <c r="D1368" s="12" t="s">
        <v>60</v>
      </c>
      <c r="E1368" s="13" t="str">
        <f>IFERROR(VLOOKUP(D1368,Sheet1!$B$1:$C$45,2,0),"")</f>
        <v>TE</v>
      </c>
      <c r="F1368" s="12" t="s">
        <v>108</v>
      </c>
      <c r="G1368" s="13" t="str">
        <f t="shared" si="5"/>
        <v>Barito Raya</v>
      </c>
      <c r="H1368" s="15" t="str">
        <f>IFERROR(VLOOKUP(A1368,Sheet1!$E$3:$F$27,2,),"")</f>
        <v>Preventive</v>
      </c>
      <c r="I1368" s="16" t="str">
        <f>IFERROR(VLOOKUP(A1368,Sheet1!$E$3:$G$27,3,0),"")</f>
        <v>Pengawalan akses Vendor</v>
      </c>
      <c r="J1368" s="12" t="s">
        <v>112</v>
      </c>
      <c r="K1368" s="17">
        <v>46065.0</v>
      </c>
      <c r="L1368" s="17">
        <v>46065.0</v>
      </c>
      <c r="M1368" s="12" t="s">
        <v>109</v>
      </c>
      <c r="N1368" s="23"/>
      <c r="O1368" s="22"/>
      <c r="P1368" s="22"/>
    </row>
    <row r="1369" ht="22.5" customHeight="1">
      <c r="A1369" s="12" t="s">
        <v>52</v>
      </c>
      <c r="B1369" s="20" t="str">
        <f>IFERROR(VLOOKUP(A1369,Sheet1!$E$3:$H$27,4,0),"")</f>
        <v>P1</v>
      </c>
      <c r="C1369" s="14" t="s">
        <v>281</v>
      </c>
      <c r="D1369" s="12" t="s">
        <v>62</v>
      </c>
      <c r="E1369" s="13" t="str">
        <f>IFERROR(VLOOKUP(D1369,Sheet1!$B$1:$C$45,2,0),"")</f>
        <v>TE</v>
      </c>
      <c r="F1369" s="12" t="s">
        <v>108</v>
      </c>
      <c r="G1369" s="13" t="str">
        <f t="shared" si="5"/>
        <v>Barito Raya</v>
      </c>
      <c r="H1369" s="15" t="str">
        <f>IFERROR(VLOOKUP(A1369,Sheet1!$E$3:$F$27,2,),"")</f>
        <v>Preventive</v>
      </c>
      <c r="I1369" s="16" t="str">
        <f>IFERROR(VLOOKUP(A1369,Sheet1!$E$3:$G$27,3,0),"")</f>
        <v>MCB trip/Power upnormal</v>
      </c>
      <c r="J1369" s="12" t="s">
        <v>112</v>
      </c>
      <c r="K1369" s="17">
        <v>46065.0</v>
      </c>
      <c r="L1369" s="17">
        <v>46065.0</v>
      </c>
      <c r="M1369" s="12" t="s">
        <v>122</v>
      </c>
      <c r="N1369" s="18" t="s">
        <v>558</v>
      </c>
      <c r="O1369" s="19"/>
      <c r="P1369" s="19"/>
    </row>
    <row r="1370" ht="22.5" customHeight="1">
      <c r="A1370" s="12" t="s">
        <v>22</v>
      </c>
      <c r="B1370" s="20" t="str">
        <f>IFERROR(VLOOKUP(A1370,Sheet1!$E$3:$H$27,4,0),"")</f>
        <v>P2</v>
      </c>
      <c r="C1370" s="14" t="s">
        <v>275</v>
      </c>
      <c r="D1370" s="12" t="s">
        <v>9</v>
      </c>
      <c r="E1370" s="13" t="str">
        <f>IFERROR(VLOOKUP(D1370,Sheet1!$B$1:$C$45,2,0),"")</f>
        <v>MBP</v>
      </c>
      <c r="F1370" s="12" t="s">
        <v>108</v>
      </c>
      <c r="G1370" s="13" t="str">
        <f t="shared" si="5"/>
        <v>Barito Raya</v>
      </c>
      <c r="H1370" s="15" t="str">
        <f>IFERROR(VLOOKUP(A1370,Sheet1!$E$3:$F$27,2,),"")</f>
        <v>Preventive</v>
      </c>
      <c r="I1370" s="16" t="str">
        <f>IFERROR(VLOOKUP(A1370,Sheet1!$E$3:$G$27,3,0),"")</f>
        <v>Preventive Maintenance</v>
      </c>
      <c r="J1370" s="12" t="s">
        <v>112</v>
      </c>
      <c r="K1370" s="17">
        <v>46065.0</v>
      </c>
      <c r="L1370" s="17">
        <v>46065.0</v>
      </c>
      <c r="M1370" s="12" t="s">
        <v>109</v>
      </c>
      <c r="N1370" s="23"/>
      <c r="O1370" s="22"/>
      <c r="P1370" s="22"/>
    </row>
    <row r="1371" ht="22.5" customHeight="1">
      <c r="A1371" s="12" t="s">
        <v>25</v>
      </c>
      <c r="B1371" s="20" t="str">
        <f>IFERROR(VLOOKUP(A1371,Sheet1!$E$3:$H$27,4,0),"")</f>
        <v>P2</v>
      </c>
      <c r="C1371" s="14" t="s">
        <v>255</v>
      </c>
      <c r="D1371" s="12" t="s">
        <v>4</v>
      </c>
      <c r="E1371" s="13" t="str">
        <f>IFERROR(VLOOKUP(D1371,Sheet1!$B$1:$C$45,2,0),"")</f>
        <v>CME</v>
      </c>
      <c r="F1371" s="12" t="s">
        <v>108</v>
      </c>
      <c r="G1371" s="13" t="str">
        <f t="shared" si="5"/>
        <v>Barito Raya</v>
      </c>
      <c r="H1371" s="15" t="str">
        <f>IFERROR(VLOOKUP(A1371,Sheet1!$E$3:$F$27,2,),"")</f>
        <v>Corrective</v>
      </c>
      <c r="I1371" s="16" t="str">
        <f>IFERROR(VLOOKUP(A1371,Sheet1!$E$3:$G$27,3,0),"")</f>
        <v>Support Event</v>
      </c>
      <c r="J1371" s="12" t="s">
        <v>112</v>
      </c>
      <c r="K1371" s="17">
        <v>46065.0</v>
      </c>
      <c r="L1371" s="17">
        <v>46065.0</v>
      </c>
      <c r="M1371" s="12" t="s">
        <v>109</v>
      </c>
      <c r="N1371" s="23"/>
      <c r="O1371" s="22"/>
      <c r="P1371" s="22"/>
    </row>
    <row r="1372" ht="22.5" customHeight="1">
      <c r="A1372" s="12" t="s">
        <v>65</v>
      </c>
      <c r="B1372" s="20" t="str">
        <f>IFERROR(VLOOKUP(A1372,Sheet1!$E$3:$H$27,4,0),"")</f>
        <v>P3</v>
      </c>
      <c r="C1372" s="16"/>
      <c r="D1372" s="12" t="s">
        <v>87</v>
      </c>
      <c r="E1372" s="13" t="str">
        <f>IFERROR(VLOOKUP(D1372,Sheet1!$B$1:$C$45,2,0),"")</f>
        <v>MBP</v>
      </c>
      <c r="F1372" s="12" t="s">
        <v>108</v>
      </c>
      <c r="G1372" s="13" t="str">
        <f t="shared" si="5"/>
        <v>Barito Raya</v>
      </c>
      <c r="H1372" s="15" t="str">
        <f>IFERROR(VLOOKUP(A1372,Sheet1!$E$3:$F$27,2,),"")</f>
        <v>Standby</v>
      </c>
      <c r="I1372" s="16" t="str">
        <f>IFERROR(VLOOKUP(A1372,Sheet1!$E$3:$G$27,3,0),"")</f>
        <v>Standby On Call</v>
      </c>
      <c r="J1372" s="12" t="s">
        <v>66</v>
      </c>
      <c r="K1372" s="17">
        <v>46065.0</v>
      </c>
      <c r="L1372" s="17">
        <v>46065.0</v>
      </c>
      <c r="M1372" s="13"/>
      <c r="N1372" s="23"/>
      <c r="O1372" s="22"/>
      <c r="P1372" s="22"/>
    </row>
    <row r="1373" ht="22.5" customHeight="1">
      <c r="A1373" s="12" t="s">
        <v>65</v>
      </c>
      <c r="B1373" s="20" t="str">
        <f>IFERROR(VLOOKUP(A1373,Sheet1!$E$3:$H$27,4,0),"")</f>
        <v>P3</v>
      </c>
      <c r="C1373" s="15"/>
      <c r="D1373" s="12" t="s">
        <v>29</v>
      </c>
      <c r="E1373" s="13" t="str">
        <f>IFERROR(VLOOKUP(D1373,Sheet1!$B$1:$C$45,2,0),"")</f>
        <v>MBP</v>
      </c>
      <c r="F1373" s="12" t="s">
        <v>108</v>
      </c>
      <c r="G1373" s="13" t="str">
        <f t="shared" si="5"/>
        <v>Barito Raya</v>
      </c>
      <c r="H1373" s="15" t="str">
        <f>IFERROR(VLOOKUP(A1373,Sheet1!$E$3:$F$27,2,),"")</f>
        <v>Standby</v>
      </c>
      <c r="I1373" s="16" t="str">
        <f>IFERROR(VLOOKUP(A1373,Sheet1!$E$3:$G$27,3,0),"")</f>
        <v>Standby On Call</v>
      </c>
      <c r="J1373" s="12" t="s">
        <v>66</v>
      </c>
      <c r="K1373" s="17">
        <v>46065.0</v>
      </c>
      <c r="L1373" s="17">
        <v>46065.0</v>
      </c>
      <c r="M1373" s="13"/>
      <c r="N1373" s="23"/>
      <c r="O1373" s="22"/>
      <c r="P1373" s="22"/>
    </row>
    <row r="1374" ht="22.5" customHeight="1">
      <c r="A1374" s="12" t="s">
        <v>65</v>
      </c>
      <c r="B1374" s="20" t="str">
        <f>IFERROR(VLOOKUP(A1374,Sheet1!$E$3:$H$27,4,0),"")</f>
        <v>P3</v>
      </c>
      <c r="C1374" s="15"/>
      <c r="D1374" s="12" t="s">
        <v>2</v>
      </c>
      <c r="E1374" s="13" t="str">
        <f>IFERROR(VLOOKUP(D1374,Sheet1!$B$1:$C$45,2,0),"")</f>
        <v>CME</v>
      </c>
      <c r="F1374" s="12" t="s">
        <v>108</v>
      </c>
      <c r="G1374" s="13" t="str">
        <f t="shared" si="5"/>
        <v>Barito Raya</v>
      </c>
      <c r="H1374" s="15" t="str">
        <f>IFERROR(VLOOKUP(A1374,Sheet1!$E$3:$F$27,2,),"")</f>
        <v>Standby</v>
      </c>
      <c r="I1374" s="16" t="str">
        <f>IFERROR(VLOOKUP(A1374,Sheet1!$E$3:$G$27,3,0),"")</f>
        <v>Standby On Call</v>
      </c>
      <c r="J1374" s="12" t="s">
        <v>66</v>
      </c>
      <c r="K1374" s="17">
        <v>46065.0</v>
      </c>
      <c r="L1374" s="17">
        <v>46065.0</v>
      </c>
      <c r="M1374" s="13"/>
      <c r="N1374" s="23"/>
      <c r="O1374" s="22"/>
      <c r="P1374" s="22"/>
    </row>
    <row r="1375" ht="22.5" customHeight="1">
      <c r="A1375" s="12" t="s">
        <v>65</v>
      </c>
      <c r="B1375" s="20" t="str">
        <f>IFERROR(VLOOKUP(A1375,Sheet1!$E$3:$H$27,4,0),"")</f>
        <v>P3</v>
      </c>
      <c r="C1375" s="15"/>
      <c r="D1375" s="12" t="s">
        <v>0</v>
      </c>
      <c r="E1375" s="13" t="str">
        <f>IFERROR(VLOOKUP(D1375,Sheet1!$B$1:$C$45,2,0),"")</f>
        <v>MBP</v>
      </c>
      <c r="F1375" s="12" t="s">
        <v>108</v>
      </c>
      <c r="G1375" s="13" t="str">
        <f t="shared" si="5"/>
        <v>Barito Raya</v>
      </c>
      <c r="H1375" s="15" t="str">
        <f>IFERROR(VLOOKUP(A1375,Sheet1!$E$3:$F$27,2,),"")</f>
        <v>Standby</v>
      </c>
      <c r="I1375" s="16" t="str">
        <f>IFERROR(VLOOKUP(A1375,Sheet1!$E$3:$G$27,3,0),"")</f>
        <v>Standby On Call</v>
      </c>
      <c r="J1375" s="12" t="s">
        <v>66</v>
      </c>
      <c r="K1375" s="17">
        <v>46065.0</v>
      </c>
      <c r="L1375" s="17">
        <v>46065.0</v>
      </c>
      <c r="M1375" s="13"/>
      <c r="N1375" s="23"/>
      <c r="O1375" s="22"/>
      <c r="P1375" s="22"/>
    </row>
    <row r="1376" ht="22.5" customHeight="1">
      <c r="A1376" s="12" t="s">
        <v>22</v>
      </c>
      <c r="B1376" s="20" t="str">
        <f>IFERROR(VLOOKUP(A1376,Sheet1!$E$3:$H$27,4,0),"")</f>
        <v>P2</v>
      </c>
      <c r="C1376" s="14" t="s">
        <v>321</v>
      </c>
      <c r="D1376" s="12" t="s">
        <v>85</v>
      </c>
      <c r="E1376" s="13" t="str">
        <f>IFERROR(VLOOKUP(D1376,Sheet1!$B$1:$C$45,2,0),"")</f>
        <v>PM</v>
      </c>
      <c r="F1376" s="12" t="s">
        <v>108</v>
      </c>
      <c r="G1376" s="13" t="str">
        <f t="shared" si="5"/>
        <v>Barito Raya</v>
      </c>
      <c r="H1376" s="15" t="str">
        <f>IFERROR(VLOOKUP(A1376,Sheet1!$E$3:$F$27,2,),"")</f>
        <v>Preventive</v>
      </c>
      <c r="I1376" s="16" t="str">
        <f>IFERROR(VLOOKUP(A1376,Sheet1!$E$3:$G$27,3,0),"")</f>
        <v>Preventive Maintenance</v>
      </c>
      <c r="J1376" s="12" t="s">
        <v>172</v>
      </c>
      <c r="K1376" s="17">
        <v>46065.0</v>
      </c>
      <c r="L1376" s="17">
        <v>46065.0</v>
      </c>
      <c r="M1376" s="12" t="s">
        <v>109</v>
      </c>
      <c r="N1376" s="23"/>
      <c r="O1376" s="22"/>
      <c r="P1376" s="22"/>
    </row>
    <row r="1377" ht="22.5" customHeight="1">
      <c r="A1377" s="12" t="s">
        <v>22</v>
      </c>
      <c r="B1377" s="20" t="str">
        <f>IFERROR(VLOOKUP(A1377,Sheet1!$E$3:$H$27,4,0),"")</f>
        <v>P2</v>
      </c>
      <c r="C1377" s="14" t="s">
        <v>321</v>
      </c>
      <c r="D1377" s="12" t="s">
        <v>84</v>
      </c>
      <c r="E1377" s="13" t="str">
        <f>IFERROR(VLOOKUP(D1377,Sheet1!$B$1:$C$45,2,0),"")</f>
        <v>MBP</v>
      </c>
      <c r="F1377" s="12" t="s">
        <v>108</v>
      </c>
      <c r="G1377" s="13" t="str">
        <f t="shared" si="5"/>
        <v>Barito Raya</v>
      </c>
      <c r="H1377" s="15" t="str">
        <f>IFERROR(VLOOKUP(A1377,Sheet1!$E$3:$F$27,2,),"")</f>
        <v>Preventive</v>
      </c>
      <c r="I1377" s="16" t="str">
        <f>IFERROR(VLOOKUP(A1377,Sheet1!$E$3:$G$27,3,0),"")</f>
        <v>Preventive Maintenance</v>
      </c>
      <c r="J1377" s="12" t="s">
        <v>172</v>
      </c>
      <c r="K1377" s="17">
        <v>46065.0</v>
      </c>
      <c r="L1377" s="17">
        <v>46065.0</v>
      </c>
      <c r="M1377" s="12" t="s">
        <v>109</v>
      </c>
      <c r="N1377" s="23"/>
      <c r="O1377" s="22"/>
      <c r="P1377" s="22"/>
    </row>
    <row r="1378" ht="22.5" customHeight="1">
      <c r="A1378" s="12" t="s">
        <v>22</v>
      </c>
      <c r="B1378" s="20" t="str">
        <f>IFERROR(VLOOKUP(A1378,Sheet1!$E$3:$H$27,4,0),"")</f>
        <v>P2</v>
      </c>
      <c r="C1378" s="14" t="s">
        <v>489</v>
      </c>
      <c r="D1378" s="12" t="s">
        <v>86</v>
      </c>
      <c r="E1378" s="13" t="str">
        <f>IFERROR(VLOOKUP(D1378,Sheet1!$B$1:$C$45,2,0),"")</f>
        <v>PM</v>
      </c>
      <c r="F1378" s="12" t="s">
        <v>108</v>
      </c>
      <c r="G1378" s="13" t="str">
        <f t="shared" si="5"/>
        <v>Barito Raya</v>
      </c>
      <c r="H1378" s="15" t="str">
        <f>IFERROR(VLOOKUP(A1378,Sheet1!$E$3:$F$27,2,),"")</f>
        <v>Preventive</v>
      </c>
      <c r="I1378" s="16" t="str">
        <f>IFERROR(VLOOKUP(A1378,Sheet1!$E$3:$G$27,3,0),"")</f>
        <v>Preventive Maintenance</v>
      </c>
      <c r="J1378" s="12" t="s">
        <v>112</v>
      </c>
      <c r="K1378" s="17">
        <v>46065.0</v>
      </c>
      <c r="L1378" s="17">
        <v>46065.0</v>
      </c>
      <c r="M1378" s="12" t="s">
        <v>109</v>
      </c>
      <c r="N1378" s="23"/>
      <c r="O1378" s="22"/>
      <c r="P1378" s="22"/>
    </row>
    <row r="1379" ht="22.5" customHeight="1">
      <c r="A1379" s="12" t="s">
        <v>5</v>
      </c>
      <c r="B1379" s="20" t="str">
        <f>IFERROR(VLOOKUP(A1379,Sheet1!$E$3:$H$27,4,0),"")</f>
        <v>P1</v>
      </c>
      <c r="C1379" s="14" t="s">
        <v>572</v>
      </c>
      <c r="D1379" s="12" t="s">
        <v>80</v>
      </c>
      <c r="E1379" s="13" t="str">
        <f>IFERROR(VLOOKUP(D1379,Sheet1!$B$1:$C$45,2,0),"")</f>
        <v>TE</v>
      </c>
      <c r="F1379" s="12" t="s">
        <v>108</v>
      </c>
      <c r="G1379" s="13" t="str">
        <f t="shared" si="5"/>
        <v>Barito Raya</v>
      </c>
      <c r="H1379" s="15" t="str">
        <f>IFERROR(VLOOKUP(A1379,Sheet1!$E$3:$F$27,2,),"")</f>
        <v>Corrective</v>
      </c>
      <c r="I1379" s="16" t="str">
        <f>IFERROR(VLOOKUP(A1379,Sheet1!$E$3:$G$27,3,0),"")</f>
        <v>Replace Optik,RRU/Soket Power/Replace GPS</v>
      </c>
      <c r="J1379" s="12" t="s">
        <v>112</v>
      </c>
      <c r="K1379" s="17">
        <v>46065.0</v>
      </c>
      <c r="L1379" s="17">
        <v>46065.0</v>
      </c>
      <c r="M1379" s="12" t="s">
        <v>122</v>
      </c>
      <c r="N1379" s="18" t="s">
        <v>520</v>
      </c>
      <c r="O1379" s="19"/>
      <c r="P1379" s="19"/>
    </row>
    <row r="1380" ht="22.5" customHeight="1">
      <c r="A1380" s="12" t="s">
        <v>5</v>
      </c>
      <c r="B1380" s="20" t="str">
        <f>IFERROR(VLOOKUP(A1380,Sheet1!$E$3:$H$27,4,0),"")</f>
        <v>P1</v>
      </c>
      <c r="C1380" s="14" t="s">
        <v>572</v>
      </c>
      <c r="D1380" s="12" t="s">
        <v>76</v>
      </c>
      <c r="E1380" s="13" t="str">
        <f>IFERROR(VLOOKUP(D1380,Sheet1!$B$1:$C$45,2,0),"")</f>
        <v>TE</v>
      </c>
      <c r="F1380" s="12" t="s">
        <v>108</v>
      </c>
      <c r="G1380" s="13" t="str">
        <f t="shared" si="5"/>
        <v>Barito Raya</v>
      </c>
      <c r="H1380" s="15" t="str">
        <f>IFERROR(VLOOKUP(A1380,Sheet1!$E$3:$F$27,2,),"")</f>
        <v>Corrective</v>
      </c>
      <c r="I1380" s="16" t="str">
        <f>IFERROR(VLOOKUP(A1380,Sheet1!$E$3:$G$27,3,0),"")</f>
        <v>Replace Optik,RRU/Soket Power/Replace GPS</v>
      </c>
      <c r="J1380" s="12" t="s">
        <v>112</v>
      </c>
      <c r="K1380" s="17">
        <v>46065.0</v>
      </c>
      <c r="L1380" s="17">
        <v>46065.0</v>
      </c>
      <c r="M1380" s="12" t="s">
        <v>122</v>
      </c>
      <c r="N1380" s="18" t="s">
        <v>520</v>
      </c>
      <c r="O1380" s="19"/>
      <c r="P1380" s="19"/>
    </row>
    <row r="1381" ht="22.5" customHeight="1">
      <c r="A1381" s="12" t="s">
        <v>30</v>
      </c>
      <c r="B1381" s="20" t="str">
        <f>IFERROR(VLOOKUP(A1381,Sheet1!$E$3:$H$27,4,0),"")</f>
        <v>P3</v>
      </c>
      <c r="C1381" s="14" t="s">
        <v>333</v>
      </c>
      <c r="D1381" s="12" t="s">
        <v>12</v>
      </c>
      <c r="E1381" s="13" t="str">
        <f>IFERROR(VLOOKUP(D1381,Sheet1!$B$1:$C$45,2,0),"")</f>
        <v>TE</v>
      </c>
      <c r="F1381" s="12" t="s">
        <v>108</v>
      </c>
      <c r="G1381" s="13" t="str">
        <f t="shared" si="5"/>
        <v>Barito Raya</v>
      </c>
      <c r="H1381" s="15" t="str">
        <f>IFERROR(VLOOKUP(A1381,Sheet1!$E$3:$F$27,2,),"")</f>
        <v>Preventive</v>
      </c>
      <c r="I1381" s="16" t="str">
        <f>IFERROR(VLOOKUP(A1381,Sheet1!$E$3:$G$27,3,0),"")</f>
        <v>Pengawalan akses Vendor</v>
      </c>
      <c r="J1381" s="12" t="s">
        <v>112</v>
      </c>
      <c r="K1381" s="17">
        <v>46066.0</v>
      </c>
      <c r="L1381" s="17">
        <v>46066.0</v>
      </c>
      <c r="M1381" s="12" t="s">
        <v>137</v>
      </c>
      <c r="N1381" s="23"/>
      <c r="O1381" s="22"/>
      <c r="P1381" s="22"/>
    </row>
    <row r="1382" ht="22.5" customHeight="1">
      <c r="A1382" s="12" t="s">
        <v>5</v>
      </c>
      <c r="B1382" s="20" t="str">
        <f>IFERROR(VLOOKUP(A1382,Sheet1!$E$3:$H$27,4,0),"")</f>
        <v>P1</v>
      </c>
      <c r="C1382" s="14" t="s">
        <v>573</v>
      </c>
      <c r="D1382" s="12" t="s">
        <v>16</v>
      </c>
      <c r="E1382" s="13" t="str">
        <f>IFERROR(VLOOKUP(D1382,Sheet1!$B$1:$C$45,2,0),"")</f>
        <v>TE</v>
      </c>
      <c r="F1382" s="12" t="s">
        <v>108</v>
      </c>
      <c r="G1382" s="13" t="str">
        <f t="shared" si="5"/>
        <v>Barito Raya</v>
      </c>
      <c r="H1382" s="15" t="str">
        <f>IFERROR(VLOOKUP(A1382,Sheet1!$E$3:$F$27,2,),"")</f>
        <v>Corrective</v>
      </c>
      <c r="I1382" s="16" t="str">
        <f>IFERROR(VLOOKUP(A1382,Sheet1!$E$3:$G$27,3,0),"")</f>
        <v>Replace Optik,RRU/Soket Power/Replace GPS</v>
      </c>
      <c r="J1382" s="12" t="s">
        <v>172</v>
      </c>
      <c r="K1382" s="17">
        <v>46066.0</v>
      </c>
      <c r="L1382" s="17">
        <v>46066.0</v>
      </c>
      <c r="M1382" s="13"/>
      <c r="N1382" s="23"/>
      <c r="O1382" s="22"/>
      <c r="P1382" s="22"/>
    </row>
    <row r="1383" ht="22.5" customHeight="1">
      <c r="A1383" s="12" t="s">
        <v>5</v>
      </c>
      <c r="B1383" s="20" t="str">
        <f>IFERROR(VLOOKUP(A1383,Sheet1!$E$3:$H$27,4,0),"")</f>
        <v>P1</v>
      </c>
      <c r="C1383" s="14" t="s">
        <v>573</v>
      </c>
      <c r="D1383" s="12" t="s">
        <v>21</v>
      </c>
      <c r="E1383" s="13" t="str">
        <f>IFERROR(VLOOKUP(D1383,Sheet1!$B$1:$C$45,2,0),"")</f>
        <v>TE</v>
      </c>
      <c r="F1383" s="12" t="s">
        <v>108</v>
      </c>
      <c r="G1383" s="13" t="str">
        <f t="shared" si="5"/>
        <v>Barito Raya</v>
      </c>
      <c r="H1383" s="15" t="str">
        <f>IFERROR(VLOOKUP(A1383,Sheet1!$E$3:$F$27,2,),"")</f>
        <v>Corrective</v>
      </c>
      <c r="I1383" s="16" t="str">
        <f>IFERROR(VLOOKUP(A1383,Sheet1!$E$3:$G$27,3,0),"")</f>
        <v>Replace Optik,RRU/Soket Power/Replace GPS</v>
      </c>
      <c r="J1383" s="12" t="s">
        <v>172</v>
      </c>
      <c r="K1383" s="17">
        <v>46066.0</v>
      </c>
      <c r="L1383" s="17">
        <v>46066.0</v>
      </c>
      <c r="M1383" s="13"/>
      <c r="N1383" s="23"/>
      <c r="O1383" s="22"/>
      <c r="P1383" s="22"/>
    </row>
    <row r="1384" ht="22.5" customHeight="1">
      <c r="A1384" s="20"/>
      <c r="B1384" s="20" t="str">
        <f>IFERROR(VLOOKUP(A1384,Sheet1!$E$3:$H$27,4,0),"")</f>
        <v/>
      </c>
      <c r="C1384" s="15"/>
      <c r="D1384" s="12" t="s">
        <v>26</v>
      </c>
      <c r="E1384" s="13" t="str">
        <f>IFERROR(VLOOKUP(D1384,Sheet1!$B$1:$C$45,2,0),"")</f>
        <v>TE</v>
      </c>
      <c r="F1384" s="12" t="s">
        <v>108</v>
      </c>
      <c r="G1384" s="13" t="str">
        <f t="shared" si="5"/>
        <v>Barito Raya</v>
      </c>
      <c r="H1384" s="15" t="str">
        <f>IFERROR(VLOOKUP(A1384,Sheet1!$E$3:$F$27,2,),"")</f>
        <v/>
      </c>
      <c r="I1384" s="16" t="str">
        <f>IFERROR(VLOOKUP(A1384,Sheet1!$E$3:$G$27,3,0),"")</f>
        <v/>
      </c>
      <c r="J1384" s="20"/>
      <c r="K1384" s="17">
        <v>46066.0</v>
      </c>
      <c r="L1384" s="17">
        <v>46066.0</v>
      </c>
      <c r="M1384" s="13"/>
      <c r="N1384" s="23"/>
      <c r="O1384" s="22"/>
      <c r="P1384" s="22"/>
    </row>
    <row r="1385" ht="22.5" customHeight="1">
      <c r="A1385" s="20"/>
      <c r="B1385" s="20" t="str">
        <f>IFERROR(VLOOKUP(A1385,Sheet1!$E$3:$H$27,4,0),"")</f>
        <v/>
      </c>
      <c r="C1385" s="15"/>
      <c r="D1385" s="12" t="s">
        <v>88</v>
      </c>
      <c r="E1385" s="13" t="str">
        <f>IFERROR(VLOOKUP(D1385,Sheet1!$B$1:$C$45,2,0),"")</f>
        <v>TE</v>
      </c>
      <c r="F1385" s="12" t="s">
        <v>108</v>
      </c>
      <c r="G1385" s="13" t="str">
        <f t="shared" si="5"/>
        <v>Barito Raya</v>
      </c>
      <c r="H1385" s="15" t="str">
        <f>IFERROR(VLOOKUP(A1385,Sheet1!$E$3:$F$27,2,),"")</f>
        <v/>
      </c>
      <c r="I1385" s="16" t="str">
        <f>IFERROR(VLOOKUP(A1385,Sheet1!$E$3:$G$27,3,0),"")</f>
        <v/>
      </c>
      <c r="J1385" s="20"/>
      <c r="K1385" s="17">
        <v>46066.0</v>
      </c>
      <c r="L1385" s="17">
        <v>46066.0</v>
      </c>
      <c r="M1385" s="13"/>
      <c r="N1385" s="23"/>
      <c r="O1385" s="22"/>
      <c r="P1385" s="22"/>
    </row>
    <row r="1386" ht="22.5" customHeight="1">
      <c r="A1386" s="12" t="s">
        <v>14</v>
      </c>
      <c r="B1386" s="20" t="str">
        <f>IFERROR(VLOOKUP(A1386,Sheet1!$E$3:$H$27,4,0),"")</f>
        <v>P1</v>
      </c>
      <c r="C1386" s="14" t="s">
        <v>574</v>
      </c>
      <c r="D1386" s="12" t="s">
        <v>32</v>
      </c>
      <c r="E1386" s="13" t="str">
        <f>IFERROR(VLOOKUP(D1386,Sheet1!$B$1:$C$45,2,0),"")</f>
        <v>TE</v>
      </c>
      <c r="F1386" s="12" t="s">
        <v>108</v>
      </c>
      <c r="G1386" s="13" t="str">
        <f t="shared" si="5"/>
        <v>Barito Raya</v>
      </c>
      <c r="H1386" s="15" t="str">
        <f>IFERROR(VLOOKUP(A1386,Sheet1!$E$3:$F$27,2,),"")</f>
        <v>Corrective</v>
      </c>
      <c r="I1386" s="16" t="str">
        <f>IFERROR(VLOOKUP(A1386,Sheet1!$E$3:$G$27,3,0),"")</f>
        <v>Pemadaman,MCB Trip,Transmisi problem</v>
      </c>
      <c r="J1386" s="12" t="s">
        <v>112</v>
      </c>
      <c r="K1386" s="17">
        <v>46066.0</v>
      </c>
      <c r="L1386" s="17">
        <v>46066.0</v>
      </c>
      <c r="M1386" s="12" t="s">
        <v>137</v>
      </c>
      <c r="N1386" s="23"/>
      <c r="O1386" s="22"/>
      <c r="P1386" s="22"/>
    </row>
    <row r="1387" ht="22.5" customHeight="1">
      <c r="A1387" s="20"/>
      <c r="B1387" s="20" t="str">
        <f>IFERROR(VLOOKUP(A1387,Sheet1!$E$3:$H$27,4,0),"")</f>
        <v/>
      </c>
      <c r="C1387" s="15"/>
      <c r="D1387" s="12" t="s">
        <v>74</v>
      </c>
      <c r="E1387" s="13" t="str">
        <f>IFERROR(VLOOKUP(D1387,Sheet1!$B$1:$C$45,2,0),"")</f>
        <v>TE</v>
      </c>
      <c r="F1387" s="12" t="s">
        <v>108</v>
      </c>
      <c r="G1387" s="13" t="str">
        <f t="shared" si="5"/>
        <v>Barito Raya</v>
      </c>
      <c r="H1387" s="15" t="str">
        <f>IFERROR(VLOOKUP(A1387,Sheet1!$E$3:$F$27,2,),"")</f>
        <v/>
      </c>
      <c r="I1387" s="16" t="str">
        <f>IFERROR(VLOOKUP(A1387,Sheet1!$E$3:$G$27,3,0),"")</f>
        <v/>
      </c>
      <c r="J1387" s="20"/>
      <c r="K1387" s="17">
        <v>46066.0</v>
      </c>
      <c r="L1387" s="17">
        <v>46066.0</v>
      </c>
      <c r="M1387" s="13"/>
      <c r="N1387" s="23"/>
      <c r="O1387" s="22"/>
      <c r="P1387" s="22"/>
    </row>
    <row r="1388" ht="22.5" customHeight="1">
      <c r="A1388" s="12" t="s">
        <v>22</v>
      </c>
      <c r="B1388" s="20" t="str">
        <f>IFERROR(VLOOKUP(A1388,Sheet1!$E$3:$H$27,4,0),"")</f>
        <v>P2</v>
      </c>
      <c r="C1388" s="14" t="s">
        <v>575</v>
      </c>
      <c r="D1388" s="12" t="s">
        <v>60</v>
      </c>
      <c r="E1388" s="13" t="str">
        <f>IFERROR(VLOOKUP(D1388,Sheet1!$B$1:$C$45,2,0),"")</f>
        <v>TE</v>
      </c>
      <c r="F1388" s="12" t="s">
        <v>108</v>
      </c>
      <c r="G1388" s="13" t="str">
        <f t="shared" si="5"/>
        <v>Barito Raya</v>
      </c>
      <c r="H1388" s="15" t="str">
        <f>IFERROR(VLOOKUP(A1388,Sheet1!$E$3:$F$27,2,),"")</f>
        <v>Preventive</v>
      </c>
      <c r="I1388" s="16" t="str">
        <f>IFERROR(VLOOKUP(A1388,Sheet1!$E$3:$G$27,3,0),"")</f>
        <v>Preventive Maintenance</v>
      </c>
      <c r="J1388" s="12" t="s">
        <v>112</v>
      </c>
      <c r="K1388" s="17">
        <v>46066.0</v>
      </c>
      <c r="L1388" s="17">
        <v>46066.0</v>
      </c>
      <c r="M1388" s="12" t="s">
        <v>137</v>
      </c>
      <c r="N1388" s="23"/>
      <c r="O1388" s="22"/>
      <c r="P1388" s="22"/>
    </row>
    <row r="1389" ht="22.5" customHeight="1">
      <c r="A1389" s="12" t="s">
        <v>52</v>
      </c>
      <c r="B1389" s="20" t="str">
        <f>IFERROR(VLOOKUP(A1389,Sheet1!$E$3:$H$27,4,0),"")</f>
        <v>P1</v>
      </c>
      <c r="C1389" s="14" t="s">
        <v>281</v>
      </c>
      <c r="D1389" s="12" t="s">
        <v>62</v>
      </c>
      <c r="E1389" s="13" t="str">
        <f>IFERROR(VLOOKUP(D1389,Sheet1!$B$1:$C$45,2,0),"")</f>
        <v>TE</v>
      </c>
      <c r="F1389" s="12" t="s">
        <v>108</v>
      </c>
      <c r="G1389" s="13" t="str">
        <f t="shared" si="5"/>
        <v>Barito Raya</v>
      </c>
      <c r="H1389" s="15" t="str">
        <f>IFERROR(VLOOKUP(A1389,Sheet1!$E$3:$F$27,2,),"")</f>
        <v>Preventive</v>
      </c>
      <c r="I1389" s="16" t="str">
        <f>IFERROR(VLOOKUP(A1389,Sheet1!$E$3:$G$27,3,0),"")</f>
        <v>MCB trip/Power upnormal</v>
      </c>
      <c r="J1389" s="12" t="s">
        <v>112</v>
      </c>
      <c r="K1389" s="17">
        <v>46066.0</v>
      </c>
      <c r="L1389" s="17">
        <v>46066.0</v>
      </c>
      <c r="M1389" s="12" t="s">
        <v>137</v>
      </c>
      <c r="N1389" s="23"/>
      <c r="O1389" s="22"/>
      <c r="P1389" s="22"/>
    </row>
    <row r="1390" ht="22.5" customHeight="1">
      <c r="A1390" s="12" t="s">
        <v>5</v>
      </c>
      <c r="B1390" s="20" t="str">
        <f>IFERROR(VLOOKUP(A1390,Sheet1!$E$3:$H$27,4,0),"")</f>
        <v>P1</v>
      </c>
      <c r="C1390" s="14" t="s">
        <v>572</v>
      </c>
      <c r="D1390" s="12" t="s">
        <v>80</v>
      </c>
      <c r="E1390" s="13" t="str">
        <f>IFERROR(VLOOKUP(D1390,Sheet1!$B$1:$C$45,2,0),"")</f>
        <v>TE</v>
      </c>
      <c r="F1390" s="12" t="s">
        <v>108</v>
      </c>
      <c r="G1390" s="13" t="str">
        <f t="shared" si="5"/>
        <v>Barito Raya</v>
      </c>
      <c r="H1390" s="15" t="str">
        <f>IFERROR(VLOOKUP(A1390,Sheet1!$E$3:$F$27,2,),"")</f>
        <v>Corrective</v>
      </c>
      <c r="I1390" s="16" t="str">
        <f>IFERROR(VLOOKUP(A1390,Sheet1!$E$3:$G$27,3,0),"")</f>
        <v>Replace Optik,RRU/Soket Power/Replace GPS</v>
      </c>
      <c r="J1390" s="12" t="s">
        <v>112</v>
      </c>
      <c r="K1390" s="17">
        <v>46066.0</v>
      </c>
      <c r="L1390" s="17">
        <v>46066.0</v>
      </c>
      <c r="M1390" s="12" t="s">
        <v>137</v>
      </c>
      <c r="N1390" s="23"/>
      <c r="O1390" s="22"/>
      <c r="P1390" s="22"/>
    </row>
    <row r="1391" ht="22.5" customHeight="1">
      <c r="A1391" s="12" t="s">
        <v>5</v>
      </c>
      <c r="B1391" s="20" t="str">
        <f>IFERROR(VLOOKUP(A1391,Sheet1!$E$3:$H$27,4,0),"")</f>
        <v>P1</v>
      </c>
      <c r="C1391" s="14" t="s">
        <v>572</v>
      </c>
      <c r="D1391" s="12" t="s">
        <v>76</v>
      </c>
      <c r="E1391" s="13" t="str">
        <f>IFERROR(VLOOKUP(D1391,Sheet1!$B$1:$C$45,2,0),"")</f>
        <v>TE</v>
      </c>
      <c r="F1391" s="12" t="s">
        <v>108</v>
      </c>
      <c r="G1391" s="13" t="str">
        <f t="shared" si="5"/>
        <v>Barito Raya</v>
      </c>
      <c r="H1391" s="15" t="str">
        <f>IFERROR(VLOOKUP(A1391,Sheet1!$E$3:$F$27,2,),"")</f>
        <v>Corrective</v>
      </c>
      <c r="I1391" s="16" t="str">
        <f>IFERROR(VLOOKUP(A1391,Sheet1!$E$3:$G$27,3,0),"")</f>
        <v>Replace Optik,RRU/Soket Power/Replace GPS</v>
      </c>
      <c r="J1391" s="12" t="s">
        <v>112</v>
      </c>
      <c r="K1391" s="17">
        <v>46066.0</v>
      </c>
      <c r="L1391" s="17">
        <v>46066.0</v>
      </c>
      <c r="M1391" s="12" t="s">
        <v>137</v>
      </c>
      <c r="N1391" s="23"/>
      <c r="O1391" s="22"/>
      <c r="P1391" s="22"/>
    </row>
    <row r="1392" ht="22.5" customHeight="1">
      <c r="A1392" s="12" t="s">
        <v>22</v>
      </c>
      <c r="B1392" s="20" t="str">
        <f>IFERROR(VLOOKUP(A1392,Sheet1!$E$3:$H$27,4,0),"")</f>
        <v>P2</v>
      </c>
      <c r="C1392" s="14" t="s">
        <v>286</v>
      </c>
      <c r="D1392" s="12" t="s">
        <v>9</v>
      </c>
      <c r="E1392" s="13" t="str">
        <f>IFERROR(VLOOKUP(D1392,Sheet1!$B$1:$C$45,2,0),"")</f>
        <v>MBP</v>
      </c>
      <c r="F1392" s="12" t="s">
        <v>108</v>
      </c>
      <c r="G1392" s="13" t="str">
        <f t="shared" si="5"/>
        <v>Barito Raya</v>
      </c>
      <c r="H1392" s="15" t="str">
        <f>IFERROR(VLOOKUP(A1392,Sheet1!$E$3:$F$27,2,),"")</f>
        <v>Preventive</v>
      </c>
      <c r="I1392" s="16" t="str">
        <f>IFERROR(VLOOKUP(A1392,Sheet1!$E$3:$G$27,3,0),"")</f>
        <v>Preventive Maintenance</v>
      </c>
      <c r="J1392" s="12" t="s">
        <v>112</v>
      </c>
      <c r="K1392" s="17">
        <v>46066.0</v>
      </c>
      <c r="L1392" s="17">
        <v>46066.0</v>
      </c>
      <c r="M1392" s="13"/>
      <c r="N1392" s="23"/>
      <c r="O1392" s="22"/>
      <c r="P1392" s="22"/>
    </row>
    <row r="1393" ht="22.5" customHeight="1">
      <c r="A1393" s="12" t="s">
        <v>65</v>
      </c>
      <c r="B1393" s="20" t="str">
        <f>IFERROR(VLOOKUP(A1393,Sheet1!$E$3:$H$27,4,0),"")</f>
        <v>P3</v>
      </c>
      <c r="C1393" s="15"/>
      <c r="D1393" s="12" t="s">
        <v>4</v>
      </c>
      <c r="E1393" s="13" t="str">
        <f>IFERROR(VLOOKUP(D1393,Sheet1!$B$1:$C$45,2,0),"")</f>
        <v>CME</v>
      </c>
      <c r="F1393" s="12" t="s">
        <v>108</v>
      </c>
      <c r="G1393" s="13" t="str">
        <f t="shared" si="5"/>
        <v>Barito Raya</v>
      </c>
      <c r="H1393" s="15" t="str">
        <f>IFERROR(VLOOKUP(A1393,Sheet1!$E$3:$F$27,2,),"")</f>
        <v>Standby</v>
      </c>
      <c r="I1393" s="16" t="str">
        <f>IFERROR(VLOOKUP(A1393,Sheet1!$E$3:$G$27,3,0),"")</f>
        <v>Standby On Call</v>
      </c>
      <c r="J1393" s="12" t="s">
        <v>66</v>
      </c>
      <c r="K1393" s="17">
        <v>46066.0</v>
      </c>
      <c r="L1393" s="17">
        <v>46066.0</v>
      </c>
      <c r="M1393" s="13"/>
      <c r="N1393" s="23"/>
      <c r="O1393" s="22"/>
      <c r="P1393" s="22"/>
    </row>
    <row r="1394" ht="22.5" customHeight="1">
      <c r="A1394" s="12" t="s">
        <v>65</v>
      </c>
      <c r="B1394" s="20" t="str">
        <f>IFERROR(VLOOKUP(A1394,Sheet1!$E$3:$H$27,4,0),"")</f>
        <v>P3</v>
      </c>
      <c r="C1394" s="15"/>
      <c r="D1394" s="12" t="s">
        <v>87</v>
      </c>
      <c r="E1394" s="13" t="str">
        <f>IFERROR(VLOOKUP(D1394,Sheet1!$B$1:$C$45,2,0),"")</f>
        <v>MBP</v>
      </c>
      <c r="F1394" s="12" t="s">
        <v>108</v>
      </c>
      <c r="G1394" s="13" t="str">
        <f t="shared" si="5"/>
        <v>Barito Raya</v>
      </c>
      <c r="H1394" s="15" t="str">
        <f>IFERROR(VLOOKUP(A1394,Sheet1!$E$3:$F$27,2,),"")</f>
        <v>Standby</v>
      </c>
      <c r="I1394" s="16" t="str">
        <f>IFERROR(VLOOKUP(A1394,Sheet1!$E$3:$G$27,3,0),"")</f>
        <v>Standby On Call</v>
      </c>
      <c r="J1394" s="12" t="s">
        <v>66</v>
      </c>
      <c r="K1394" s="17">
        <v>46066.0</v>
      </c>
      <c r="L1394" s="17">
        <v>46066.0</v>
      </c>
      <c r="M1394" s="13"/>
      <c r="N1394" s="23"/>
      <c r="O1394" s="22"/>
      <c r="P1394" s="22"/>
    </row>
    <row r="1395" ht="22.5" customHeight="1">
      <c r="A1395" s="12" t="s">
        <v>65</v>
      </c>
      <c r="B1395" s="20" t="str">
        <f>IFERROR(VLOOKUP(A1395,Sheet1!$E$3:$H$27,4,0),"")</f>
        <v>P3</v>
      </c>
      <c r="C1395" s="15"/>
      <c r="D1395" s="12" t="s">
        <v>29</v>
      </c>
      <c r="E1395" s="13" t="str">
        <f>IFERROR(VLOOKUP(D1395,Sheet1!$B$1:$C$45,2,0),"")</f>
        <v>MBP</v>
      </c>
      <c r="F1395" s="12" t="s">
        <v>108</v>
      </c>
      <c r="G1395" s="13" t="str">
        <f t="shared" si="5"/>
        <v>Barito Raya</v>
      </c>
      <c r="H1395" s="15" t="str">
        <f>IFERROR(VLOOKUP(A1395,Sheet1!$E$3:$F$27,2,),"")</f>
        <v>Standby</v>
      </c>
      <c r="I1395" s="16" t="str">
        <f>IFERROR(VLOOKUP(A1395,Sheet1!$E$3:$G$27,3,0),"")</f>
        <v>Standby On Call</v>
      </c>
      <c r="J1395" s="12" t="s">
        <v>66</v>
      </c>
      <c r="K1395" s="17">
        <v>46066.0</v>
      </c>
      <c r="L1395" s="17">
        <v>46066.0</v>
      </c>
      <c r="M1395" s="13"/>
      <c r="N1395" s="23"/>
      <c r="O1395" s="22"/>
      <c r="P1395" s="22"/>
    </row>
    <row r="1396" ht="22.5" customHeight="1">
      <c r="A1396" s="12" t="s">
        <v>65</v>
      </c>
      <c r="B1396" s="20" t="str">
        <f>IFERROR(VLOOKUP(A1396,Sheet1!$E$3:$H$27,4,0),"")</f>
        <v>P3</v>
      </c>
      <c r="C1396" s="15"/>
      <c r="D1396" s="12" t="s">
        <v>2</v>
      </c>
      <c r="E1396" s="13" t="str">
        <f>IFERROR(VLOOKUP(D1396,Sheet1!$B$1:$C$45,2,0),"")</f>
        <v>CME</v>
      </c>
      <c r="F1396" s="12" t="s">
        <v>108</v>
      </c>
      <c r="G1396" s="13" t="str">
        <f t="shared" si="5"/>
        <v>Barito Raya</v>
      </c>
      <c r="H1396" s="15" t="str">
        <f>IFERROR(VLOOKUP(A1396,Sheet1!$E$3:$F$27,2,),"")</f>
        <v>Standby</v>
      </c>
      <c r="I1396" s="16" t="str">
        <f>IFERROR(VLOOKUP(A1396,Sheet1!$E$3:$G$27,3,0),"")</f>
        <v>Standby On Call</v>
      </c>
      <c r="J1396" s="12" t="s">
        <v>66</v>
      </c>
      <c r="K1396" s="17">
        <v>46066.0</v>
      </c>
      <c r="L1396" s="17">
        <v>46066.0</v>
      </c>
      <c r="M1396" s="13"/>
      <c r="N1396" s="23"/>
      <c r="O1396" s="22"/>
      <c r="P1396" s="22"/>
    </row>
    <row r="1397" ht="22.5" customHeight="1">
      <c r="A1397" s="12" t="s">
        <v>65</v>
      </c>
      <c r="B1397" s="20" t="str">
        <f>IFERROR(VLOOKUP(A1397,Sheet1!$E$3:$H$27,4,0),"")</f>
        <v>P3</v>
      </c>
      <c r="C1397" s="15"/>
      <c r="D1397" s="12" t="s">
        <v>0</v>
      </c>
      <c r="E1397" s="13" t="str">
        <f>IFERROR(VLOOKUP(D1397,Sheet1!$B$1:$C$45,2,0),"")</f>
        <v>MBP</v>
      </c>
      <c r="F1397" s="12" t="s">
        <v>108</v>
      </c>
      <c r="G1397" s="13" t="str">
        <f t="shared" si="5"/>
        <v>Barito Raya</v>
      </c>
      <c r="H1397" s="15" t="str">
        <f>IFERROR(VLOOKUP(A1397,Sheet1!$E$3:$F$27,2,),"")</f>
        <v>Standby</v>
      </c>
      <c r="I1397" s="16" t="str">
        <f>IFERROR(VLOOKUP(A1397,Sheet1!$E$3:$G$27,3,0),"")</f>
        <v>Standby On Call</v>
      </c>
      <c r="J1397" s="12" t="s">
        <v>66</v>
      </c>
      <c r="K1397" s="17">
        <v>46066.0</v>
      </c>
      <c r="L1397" s="17">
        <v>46066.0</v>
      </c>
      <c r="M1397" s="13"/>
      <c r="N1397" s="23"/>
      <c r="O1397" s="22"/>
      <c r="P1397" s="22"/>
    </row>
    <row r="1398" ht="22.5" customHeight="1">
      <c r="A1398" s="12" t="s">
        <v>22</v>
      </c>
      <c r="B1398" s="20" t="str">
        <f>IFERROR(VLOOKUP(A1398,Sheet1!$E$3:$H$27,4,0),"")</f>
        <v>P2</v>
      </c>
      <c r="C1398" s="14" t="s">
        <v>134</v>
      </c>
      <c r="D1398" s="12" t="s">
        <v>85</v>
      </c>
      <c r="E1398" s="13" t="str">
        <f>IFERROR(VLOOKUP(D1398,Sheet1!$B$1:$C$45,2,0),"")</f>
        <v>PM</v>
      </c>
      <c r="F1398" s="12" t="s">
        <v>108</v>
      </c>
      <c r="G1398" s="13" t="str">
        <f t="shared" si="5"/>
        <v>Barito Raya</v>
      </c>
      <c r="H1398" s="15" t="str">
        <f>IFERROR(VLOOKUP(A1398,Sheet1!$E$3:$F$27,2,),"")</f>
        <v>Preventive</v>
      </c>
      <c r="I1398" s="16" t="str">
        <f>IFERROR(VLOOKUP(A1398,Sheet1!$E$3:$G$27,3,0),"")</f>
        <v>Preventive Maintenance</v>
      </c>
      <c r="J1398" s="12" t="s">
        <v>112</v>
      </c>
      <c r="K1398" s="17">
        <v>46066.0</v>
      </c>
      <c r="L1398" s="17">
        <v>46066.0</v>
      </c>
      <c r="M1398" s="12" t="s">
        <v>137</v>
      </c>
      <c r="N1398" s="23"/>
      <c r="O1398" s="22"/>
      <c r="P1398" s="22"/>
    </row>
    <row r="1399" ht="22.5" customHeight="1">
      <c r="A1399" s="12" t="s">
        <v>22</v>
      </c>
      <c r="B1399" s="20" t="str">
        <f>IFERROR(VLOOKUP(A1399,Sheet1!$E$3:$H$27,4,0),"")</f>
        <v>P2</v>
      </c>
      <c r="C1399" s="14" t="s">
        <v>134</v>
      </c>
      <c r="D1399" s="12" t="s">
        <v>84</v>
      </c>
      <c r="E1399" s="13" t="str">
        <f>IFERROR(VLOOKUP(D1399,Sheet1!$B$1:$C$45,2,0),"")</f>
        <v>MBP</v>
      </c>
      <c r="F1399" s="12" t="s">
        <v>108</v>
      </c>
      <c r="G1399" s="13" t="str">
        <f t="shared" si="5"/>
        <v>Barito Raya</v>
      </c>
      <c r="H1399" s="15" t="str">
        <f>IFERROR(VLOOKUP(A1399,Sheet1!$E$3:$F$27,2,),"")</f>
        <v>Preventive</v>
      </c>
      <c r="I1399" s="16" t="str">
        <f>IFERROR(VLOOKUP(A1399,Sheet1!$E$3:$G$27,3,0),"")</f>
        <v>Preventive Maintenance</v>
      </c>
      <c r="J1399" s="12" t="s">
        <v>112</v>
      </c>
      <c r="K1399" s="17">
        <v>46066.0</v>
      </c>
      <c r="L1399" s="17">
        <v>46066.0</v>
      </c>
      <c r="M1399" s="12" t="s">
        <v>137</v>
      </c>
      <c r="N1399" s="23"/>
      <c r="O1399" s="22"/>
      <c r="P1399" s="22"/>
    </row>
    <row r="1400" ht="22.5" customHeight="1">
      <c r="A1400" s="12" t="s">
        <v>22</v>
      </c>
      <c r="B1400" s="20" t="str">
        <f>IFERROR(VLOOKUP(A1400,Sheet1!$E$3:$H$27,4,0),"")</f>
        <v>P2</v>
      </c>
      <c r="C1400" s="14" t="s">
        <v>284</v>
      </c>
      <c r="D1400" s="12" t="s">
        <v>86</v>
      </c>
      <c r="E1400" s="13" t="str">
        <f>IFERROR(VLOOKUP(D1400,Sheet1!$B$1:$C$45,2,0),"")</f>
        <v>PM</v>
      </c>
      <c r="F1400" s="12" t="s">
        <v>108</v>
      </c>
      <c r="G1400" s="13" t="str">
        <f t="shared" si="5"/>
        <v>Barito Raya</v>
      </c>
      <c r="H1400" s="15" t="str">
        <f>IFERROR(VLOOKUP(A1400,Sheet1!$E$3:$F$27,2,),"")</f>
        <v>Preventive</v>
      </c>
      <c r="I1400" s="16" t="str">
        <f>IFERROR(VLOOKUP(A1400,Sheet1!$E$3:$G$27,3,0),"")</f>
        <v>Preventive Maintenance</v>
      </c>
      <c r="J1400" s="12" t="s">
        <v>112</v>
      </c>
      <c r="K1400" s="17">
        <v>46066.0</v>
      </c>
      <c r="L1400" s="17">
        <v>46066.0</v>
      </c>
      <c r="M1400" s="12" t="s">
        <v>137</v>
      </c>
      <c r="N1400" s="23"/>
      <c r="O1400" s="22"/>
      <c r="P1400" s="22"/>
    </row>
    <row r="1401" ht="22.5" customHeight="1">
      <c r="A1401" s="20"/>
      <c r="B1401" s="20" t="str">
        <f>IFERROR(VLOOKUP(A1401,Sheet1!$E$3:$H$27,4,0),"")</f>
        <v/>
      </c>
      <c r="C1401" s="15"/>
      <c r="D1401" s="12" t="s">
        <v>12</v>
      </c>
      <c r="E1401" s="13" t="str">
        <f>IFERROR(VLOOKUP(D1401,Sheet1!$B$1:$C$45,2,0),"")</f>
        <v>TE</v>
      </c>
      <c r="F1401" s="12" t="s">
        <v>108</v>
      </c>
      <c r="G1401" s="13" t="str">
        <f t="shared" si="5"/>
        <v>Barito Raya</v>
      </c>
      <c r="H1401" s="15" t="str">
        <f>IFERROR(VLOOKUP(A1401,Sheet1!$E$3:$F$27,2,),"")</f>
        <v/>
      </c>
      <c r="I1401" s="16" t="str">
        <f>IFERROR(VLOOKUP(A1401,Sheet1!$E$3:$G$27,3,0),"")</f>
        <v/>
      </c>
      <c r="J1401" s="20"/>
      <c r="K1401" s="17">
        <v>46067.0</v>
      </c>
      <c r="L1401" s="17">
        <v>46067.0</v>
      </c>
      <c r="M1401" s="13"/>
      <c r="N1401" s="23"/>
      <c r="O1401" s="22"/>
      <c r="P1401" s="22"/>
    </row>
    <row r="1402" ht="22.5" customHeight="1">
      <c r="A1402" s="20"/>
      <c r="B1402" s="20" t="str">
        <f>IFERROR(VLOOKUP(A1402,Sheet1!$E$3:$H$27,4,0),"")</f>
        <v/>
      </c>
      <c r="C1402" s="15"/>
      <c r="D1402" s="12" t="s">
        <v>16</v>
      </c>
      <c r="E1402" s="13" t="str">
        <f>IFERROR(VLOOKUP(D1402,Sheet1!$B$1:$C$45,2,0),"")</f>
        <v>TE</v>
      </c>
      <c r="F1402" s="12" t="s">
        <v>108</v>
      </c>
      <c r="G1402" s="13" t="str">
        <f t="shared" si="5"/>
        <v>Barito Raya</v>
      </c>
      <c r="H1402" s="15" t="str">
        <f>IFERROR(VLOOKUP(A1402,Sheet1!$E$3:$F$27,2,),"")</f>
        <v/>
      </c>
      <c r="I1402" s="16" t="str">
        <f>IFERROR(VLOOKUP(A1402,Sheet1!$E$3:$G$27,3,0),"")</f>
        <v/>
      </c>
      <c r="J1402" s="20"/>
      <c r="K1402" s="17">
        <v>46067.0</v>
      </c>
      <c r="L1402" s="17">
        <v>46067.0</v>
      </c>
      <c r="M1402" s="13"/>
      <c r="N1402" s="23"/>
      <c r="O1402" s="22"/>
      <c r="P1402" s="22"/>
    </row>
    <row r="1403" ht="22.5" customHeight="1">
      <c r="A1403" s="20"/>
      <c r="B1403" s="20" t="str">
        <f>IFERROR(VLOOKUP(A1403,Sheet1!$E$3:$H$27,4,0),"")</f>
        <v/>
      </c>
      <c r="C1403" s="15"/>
      <c r="D1403" s="12" t="s">
        <v>21</v>
      </c>
      <c r="E1403" s="13" t="str">
        <f>IFERROR(VLOOKUP(D1403,Sheet1!$B$1:$C$45,2,0),"")</f>
        <v>TE</v>
      </c>
      <c r="F1403" s="12" t="s">
        <v>108</v>
      </c>
      <c r="G1403" s="13" t="str">
        <f t="shared" si="5"/>
        <v>Barito Raya</v>
      </c>
      <c r="H1403" s="15" t="str">
        <f>IFERROR(VLOOKUP(A1403,Sheet1!$E$3:$F$27,2,),"")</f>
        <v/>
      </c>
      <c r="I1403" s="16" t="str">
        <f>IFERROR(VLOOKUP(A1403,Sheet1!$E$3:$G$27,3,0),"")</f>
        <v/>
      </c>
      <c r="J1403" s="20"/>
      <c r="K1403" s="17">
        <v>46067.0</v>
      </c>
      <c r="L1403" s="17">
        <v>46067.0</v>
      </c>
      <c r="M1403" s="13"/>
      <c r="N1403" s="23"/>
      <c r="O1403" s="22"/>
      <c r="P1403" s="22"/>
    </row>
    <row r="1404" ht="22.5" customHeight="1">
      <c r="A1404" s="12" t="s">
        <v>14</v>
      </c>
      <c r="B1404" s="20" t="str">
        <f>IFERROR(VLOOKUP(A1404,Sheet1!$E$3:$H$27,4,0),"")</f>
        <v>P1</v>
      </c>
      <c r="C1404" s="14" t="s">
        <v>447</v>
      </c>
      <c r="D1404" s="12" t="s">
        <v>26</v>
      </c>
      <c r="E1404" s="13" t="str">
        <f>IFERROR(VLOOKUP(D1404,Sheet1!$B$1:$C$45,2,0),"")</f>
        <v>TE</v>
      </c>
      <c r="F1404" s="12" t="s">
        <v>108</v>
      </c>
      <c r="G1404" s="13" t="str">
        <f t="shared" si="5"/>
        <v>Barito Raya</v>
      </c>
      <c r="H1404" s="15" t="str">
        <f>IFERROR(VLOOKUP(A1404,Sheet1!$E$3:$F$27,2,),"")</f>
        <v>Corrective</v>
      </c>
      <c r="I1404" s="16" t="str">
        <f>IFERROR(VLOOKUP(A1404,Sheet1!$E$3:$G$27,3,0),"")</f>
        <v>Pemadaman,MCB Trip,Transmisi problem</v>
      </c>
      <c r="J1404" s="12" t="s">
        <v>112</v>
      </c>
      <c r="K1404" s="17">
        <v>46067.0</v>
      </c>
      <c r="L1404" s="17">
        <v>46067.0</v>
      </c>
      <c r="M1404" s="13"/>
      <c r="N1404" s="23"/>
      <c r="O1404" s="22"/>
      <c r="P1404" s="22"/>
    </row>
    <row r="1405" ht="22.5" customHeight="1">
      <c r="A1405" s="20"/>
      <c r="B1405" s="20" t="str">
        <f>IFERROR(VLOOKUP(A1405,Sheet1!$E$3:$H$27,4,0),"")</f>
        <v/>
      </c>
      <c r="C1405" s="15"/>
      <c r="D1405" s="12" t="s">
        <v>88</v>
      </c>
      <c r="E1405" s="13" t="str">
        <f>IFERROR(VLOOKUP(D1405,Sheet1!$B$1:$C$45,2,0),"")</f>
        <v>TE</v>
      </c>
      <c r="F1405" s="12" t="s">
        <v>108</v>
      </c>
      <c r="G1405" s="13" t="str">
        <f t="shared" si="5"/>
        <v>Barito Raya</v>
      </c>
      <c r="H1405" s="15" t="str">
        <f>IFERROR(VLOOKUP(A1405,Sheet1!$E$3:$F$27,2,),"")</f>
        <v/>
      </c>
      <c r="I1405" s="16" t="str">
        <f>IFERROR(VLOOKUP(A1405,Sheet1!$E$3:$G$27,3,0),"")</f>
        <v/>
      </c>
      <c r="J1405" s="20"/>
      <c r="K1405" s="17">
        <v>46067.0</v>
      </c>
      <c r="L1405" s="17">
        <v>46067.0</v>
      </c>
      <c r="M1405" s="13"/>
      <c r="N1405" s="23"/>
      <c r="O1405" s="22"/>
      <c r="P1405" s="22"/>
    </row>
    <row r="1406" ht="22.5" customHeight="1">
      <c r="A1406" s="20"/>
      <c r="B1406" s="20" t="str">
        <f>IFERROR(VLOOKUP(A1406,Sheet1!$E$3:$H$27,4,0),"")</f>
        <v/>
      </c>
      <c r="C1406" s="15"/>
      <c r="D1406" s="12" t="s">
        <v>32</v>
      </c>
      <c r="E1406" s="13" t="str">
        <f>IFERROR(VLOOKUP(D1406,Sheet1!$B$1:$C$45,2,0),"")</f>
        <v>TE</v>
      </c>
      <c r="F1406" s="12" t="s">
        <v>108</v>
      </c>
      <c r="G1406" s="13" t="str">
        <f t="shared" si="5"/>
        <v>Barito Raya</v>
      </c>
      <c r="H1406" s="15" t="str">
        <f>IFERROR(VLOOKUP(A1406,Sheet1!$E$3:$F$27,2,),"")</f>
        <v/>
      </c>
      <c r="I1406" s="16" t="str">
        <f>IFERROR(VLOOKUP(A1406,Sheet1!$E$3:$G$27,3,0),"")</f>
        <v/>
      </c>
      <c r="J1406" s="20"/>
      <c r="K1406" s="17">
        <v>46067.0</v>
      </c>
      <c r="L1406" s="17">
        <v>46067.0</v>
      </c>
      <c r="M1406" s="13"/>
      <c r="N1406" s="23"/>
      <c r="O1406" s="22"/>
      <c r="P1406" s="22"/>
    </row>
    <row r="1407" ht="22.5" customHeight="1">
      <c r="A1407" s="20"/>
      <c r="B1407" s="20" t="str">
        <f>IFERROR(VLOOKUP(A1407,Sheet1!$E$3:$H$27,4,0),"")</f>
        <v/>
      </c>
      <c r="C1407" s="15"/>
      <c r="D1407" s="12" t="s">
        <v>74</v>
      </c>
      <c r="E1407" s="13" t="str">
        <f>IFERROR(VLOOKUP(D1407,Sheet1!$B$1:$C$45,2,0),"")</f>
        <v>TE</v>
      </c>
      <c r="F1407" s="12" t="s">
        <v>108</v>
      </c>
      <c r="G1407" s="13" t="str">
        <f t="shared" si="5"/>
        <v>Barito Raya</v>
      </c>
      <c r="H1407" s="15" t="str">
        <f>IFERROR(VLOOKUP(A1407,Sheet1!$E$3:$F$27,2,),"")</f>
        <v/>
      </c>
      <c r="I1407" s="16" t="str">
        <f>IFERROR(VLOOKUP(A1407,Sheet1!$E$3:$G$27,3,0),"")</f>
        <v/>
      </c>
      <c r="J1407" s="20"/>
      <c r="K1407" s="17">
        <v>46067.0</v>
      </c>
      <c r="L1407" s="17">
        <v>46067.0</v>
      </c>
      <c r="M1407" s="13"/>
      <c r="N1407" s="23"/>
      <c r="O1407" s="22"/>
      <c r="P1407" s="22"/>
    </row>
    <row r="1408" ht="22.5" customHeight="1">
      <c r="A1408" s="12" t="s">
        <v>22</v>
      </c>
      <c r="B1408" s="20" t="str">
        <f>IFERROR(VLOOKUP(A1408,Sheet1!$E$3:$H$27,4,0),"")</f>
        <v>P2</v>
      </c>
      <c r="C1408" s="14" t="s">
        <v>310</v>
      </c>
      <c r="D1408" s="12" t="s">
        <v>60</v>
      </c>
      <c r="E1408" s="13" t="str">
        <f>IFERROR(VLOOKUP(D1408,Sheet1!$B$1:$C$45,2,0),"")</f>
        <v>TE</v>
      </c>
      <c r="F1408" s="12" t="s">
        <v>108</v>
      </c>
      <c r="G1408" s="13" t="str">
        <f t="shared" si="5"/>
        <v>Barito Raya</v>
      </c>
      <c r="H1408" s="15" t="str">
        <f>IFERROR(VLOOKUP(A1408,Sheet1!$E$3:$F$27,2,),"")</f>
        <v>Preventive</v>
      </c>
      <c r="I1408" s="16" t="str">
        <f>IFERROR(VLOOKUP(A1408,Sheet1!$E$3:$G$27,3,0),"")</f>
        <v>Preventive Maintenance</v>
      </c>
      <c r="J1408" s="20"/>
      <c r="K1408" s="17">
        <v>46067.0</v>
      </c>
      <c r="L1408" s="17">
        <v>46067.0</v>
      </c>
      <c r="M1408" s="13"/>
      <c r="N1408" s="23"/>
      <c r="O1408" s="22"/>
      <c r="P1408" s="22"/>
    </row>
    <row r="1409" ht="22.5" customHeight="1">
      <c r="A1409" s="20"/>
      <c r="B1409" s="20" t="str">
        <f>IFERROR(VLOOKUP(A1409,Sheet1!$E$3:$H$27,4,0),"")</f>
        <v/>
      </c>
      <c r="C1409" s="15"/>
      <c r="D1409" s="12" t="s">
        <v>62</v>
      </c>
      <c r="E1409" s="13" t="str">
        <f>IFERROR(VLOOKUP(D1409,Sheet1!$B$1:$C$45,2,0),"")</f>
        <v>TE</v>
      </c>
      <c r="F1409" s="12" t="s">
        <v>108</v>
      </c>
      <c r="G1409" s="13" t="str">
        <f t="shared" si="5"/>
        <v>Barito Raya</v>
      </c>
      <c r="H1409" s="15" t="str">
        <f>IFERROR(VLOOKUP(A1409,Sheet1!$E$3:$F$27,2,),"")</f>
        <v/>
      </c>
      <c r="I1409" s="16" t="str">
        <f>IFERROR(VLOOKUP(A1409,Sheet1!$E$3:$G$27,3,0),"")</f>
        <v/>
      </c>
      <c r="J1409" s="20"/>
      <c r="K1409" s="17">
        <v>46067.0</v>
      </c>
      <c r="L1409" s="17">
        <v>46067.0</v>
      </c>
      <c r="M1409" s="13"/>
      <c r="N1409" s="23"/>
      <c r="O1409" s="22"/>
      <c r="P1409" s="22"/>
    </row>
    <row r="1410" ht="22.5" customHeight="1">
      <c r="A1410" s="12" t="s">
        <v>65</v>
      </c>
      <c r="B1410" s="20" t="str">
        <f>IFERROR(VLOOKUP(A1410,Sheet1!$E$3:$H$27,4,0),"")</f>
        <v>P3</v>
      </c>
      <c r="C1410" s="15"/>
      <c r="D1410" s="12" t="s">
        <v>9</v>
      </c>
      <c r="E1410" s="13" t="str">
        <f>IFERROR(VLOOKUP(D1410,Sheet1!$B$1:$C$45,2,0),"")</f>
        <v>MBP</v>
      </c>
      <c r="F1410" s="12" t="s">
        <v>108</v>
      </c>
      <c r="G1410" s="13" t="str">
        <f t="shared" si="5"/>
        <v>Barito Raya</v>
      </c>
      <c r="H1410" s="15" t="str">
        <f>IFERROR(VLOOKUP(A1410,Sheet1!$E$3:$F$27,2,),"")</f>
        <v>Standby</v>
      </c>
      <c r="I1410" s="16" t="str">
        <f>IFERROR(VLOOKUP(A1410,Sheet1!$E$3:$G$27,3,0),"")</f>
        <v>Standby On Call</v>
      </c>
      <c r="J1410" s="20"/>
      <c r="K1410" s="17">
        <v>46067.0</v>
      </c>
      <c r="L1410" s="17">
        <v>46067.0</v>
      </c>
      <c r="M1410" s="13"/>
      <c r="N1410" s="23"/>
      <c r="O1410" s="22"/>
      <c r="P1410" s="22"/>
    </row>
    <row r="1411" ht="22.5" customHeight="1">
      <c r="A1411" s="12" t="s">
        <v>65</v>
      </c>
      <c r="B1411" s="20" t="str">
        <f>IFERROR(VLOOKUP(A1411,Sheet1!$E$3:$H$27,4,0),"")</f>
        <v>P3</v>
      </c>
      <c r="C1411" s="15"/>
      <c r="D1411" s="12" t="s">
        <v>4</v>
      </c>
      <c r="E1411" s="13" t="str">
        <f>IFERROR(VLOOKUP(D1411,Sheet1!$B$1:$C$45,2,0),"")</f>
        <v>CME</v>
      </c>
      <c r="F1411" s="12" t="s">
        <v>108</v>
      </c>
      <c r="G1411" s="13" t="str">
        <f t="shared" si="5"/>
        <v>Barito Raya</v>
      </c>
      <c r="H1411" s="15" t="str">
        <f>IFERROR(VLOOKUP(A1411,Sheet1!$E$3:$F$27,2,),"")</f>
        <v>Standby</v>
      </c>
      <c r="I1411" s="16" t="str">
        <f>IFERROR(VLOOKUP(A1411,Sheet1!$E$3:$G$27,3,0),"")</f>
        <v>Standby On Call</v>
      </c>
      <c r="J1411" s="20"/>
      <c r="K1411" s="17">
        <v>46067.0</v>
      </c>
      <c r="L1411" s="17">
        <v>46067.0</v>
      </c>
      <c r="M1411" s="13"/>
      <c r="N1411" s="23"/>
      <c r="O1411" s="22"/>
      <c r="P1411" s="22"/>
    </row>
    <row r="1412" ht="22.5" customHeight="1">
      <c r="A1412" s="12" t="s">
        <v>65</v>
      </c>
      <c r="B1412" s="20" t="str">
        <f>IFERROR(VLOOKUP(A1412,Sheet1!$E$3:$H$27,4,0),"")</f>
        <v>P3</v>
      </c>
      <c r="C1412" s="15"/>
      <c r="D1412" s="12" t="s">
        <v>87</v>
      </c>
      <c r="E1412" s="13" t="str">
        <f>IFERROR(VLOOKUP(D1412,Sheet1!$B$1:$C$45,2,0),"")</f>
        <v>MBP</v>
      </c>
      <c r="F1412" s="12" t="s">
        <v>108</v>
      </c>
      <c r="G1412" s="13" t="str">
        <f t="shared" si="5"/>
        <v>Barito Raya</v>
      </c>
      <c r="H1412" s="15" t="str">
        <f>IFERROR(VLOOKUP(A1412,Sheet1!$E$3:$F$27,2,),"")</f>
        <v>Standby</v>
      </c>
      <c r="I1412" s="16" t="str">
        <f>IFERROR(VLOOKUP(A1412,Sheet1!$E$3:$G$27,3,0),"")</f>
        <v>Standby On Call</v>
      </c>
      <c r="J1412" s="20"/>
      <c r="K1412" s="17">
        <v>46067.0</v>
      </c>
      <c r="L1412" s="17">
        <v>46067.0</v>
      </c>
      <c r="M1412" s="13"/>
      <c r="N1412" s="23"/>
      <c r="O1412" s="22"/>
      <c r="P1412" s="22"/>
    </row>
    <row r="1413" ht="22.5" customHeight="1">
      <c r="A1413" s="12" t="s">
        <v>65</v>
      </c>
      <c r="B1413" s="20" t="str">
        <f>IFERROR(VLOOKUP(A1413,Sheet1!$E$3:$H$27,4,0),"")</f>
        <v>P3</v>
      </c>
      <c r="C1413" s="15"/>
      <c r="D1413" s="12" t="s">
        <v>29</v>
      </c>
      <c r="E1413" s="13" t="str">
        <f>IFERROR(VLOOKUP(D1413,Sheet1!$B$1:$C$45,2,0),"")</f>
        <v>MBP</v>
      </c>
      <c r="F1413" s="12" t="s">
        <v>108</v>
      </c>
      <c r="G1413" s="13" t="str">
        <f t="shared" si="5"/>
        <v>Barito Raya</v>
      </c>
      <c r="H1413" s="15" t="str">
        <f>IFERROR(VLOOKUP(A1413,Sheet1!$E$3:$F$27,2,),"")</f>
        <v>Standby</v>
      </c>
      <c r="I1413" s="16" t="str">
        <f>IFERROR(VLOOKUP(A1413,Sheet1!$E$3:$G$27,3,0),"")</f>
        <v>Standby On Call</v>
      </c>
      <c r="J1413" s="20"/>
      <c r="K1413" s="17">
        <v>46067.0</v>
      </c>
      <c r="L1413" s="17">
        <v>46067.0</v>
      </c>
      <c r="M1413" s="13"/>
      <c r="N1413" s="23"/>
      <c r="O1413" s="22"/>
      <c r="P1413" s="22"/>
    </row>
    <row r="1414" ht="22.5" customHeight="1">
      <c r="A1414" s="12" t="s">
        <v>65</v>
      </c>
      <c r="B1414" s="20" t="str">
        <f>IFERROR(VLOOKUP(A1414,Sheet1!$E$3:$H$27,4,0),"")</f>
        <v>P3</v>
      </c>
      <c r="C1414" s="15"/>
      <c r="D1414" s="12" t="s">
        <v>2</v>
      </c>
      <c r="E1414" s="13" t="str">
        <f>IFERROR(VLOOKUP(D1414,Sheet1!$B$1:$C$45,2,0),"")</f>
        <v>CME</v>
      </c>
      <c r="F1414" s="12" t="s">
        <v>108</v>
      </c>
      <c r="G1414" s="13" t="str">
        <f t="shared" si="5"/>
        <v>Barito Raya</v>
      </c>
      <c r="H1414" s="15" t="str">
        <f>IFERROR(VLOOKUP(A1414,Sheet1!$E$3:$F$27,2,),"")</f>
        <v>Standby</v>
      </c>
      <c r="I1414" s="16" t="str">
        <f>IFERROR(VLOOKUP(A1414,Sheet1!$E$3:$G$27,3,0),"")</f>
        <v>Standby On Call</v>
      </c>
      <c r="J1414" s="20"/>
      <c r="K1414" s="17">
        <v>46067.0</v>
      </c>
      <c r="L1414" s="17">
        <v>46067.0</v>
      </c>
      <c r="M1414" s="13"/>
      <c r="N1414" s="23"/>
      <c r="O1414" s="22"/>
      <c r="P1414" s="22"/>
    </row>
    <row r="1415" ht="22.5" customHeight="1">
      <c r="A1415" s="12" t="s">
        <v>65</v>
      </c>
      <c r="B1415" s="20" t="str">
        <f>IFERROR(VLOOKUP(A1415,Sheet1!$E$3:$H$27,4,0),"")</f>
        <v>P3</v>
      </c>
      <c r="C1415" s="15"/>
      <c r="D1415" s="12" t="s">
        <v>0</v>
      </c>
      <c r="E1415" s="13" t="str">
        <f>IFERROR(VLOOKUP(D1415,Sheet1!$B$1:$C$45,2,0),"")</f>
        <v>MBP</v>
      </c>
      <c r="F1415" s="12" t="s">
        <v>108</v>
      </c>
      <c r="G1415" s="13" t="str">
        <f t="shared" si="5"/>
        <v>Barito Raya</v>
      </c>
      <c r="H1415" s="15" t="str">
        <f>IFERROR(VLOOKUP(A1415,Sheet1!$E$3:$F$27,2,),"")</f>
        <v>Standby</v>
      </c>
      <c r="I1415" s="16" t="str">
        <f>IFERROR(VLOOKUP(A1415,Sheet1!$E$3:$G$27,3,0),"")</f>
        <v>Standby On Call</v>
      </c>
      <c r="J1415" s="20"/>
      <c r="K1415" s="17">
        <v>46067.0</v>
      </c>
      <c r="L1415" s="17">
        <v>46067.0</v>
      </c>
      <c r="M1415" s="13"/>
      <c r="N1415" s="23"/>
      <c r="O1415" s="22"/>
      <c r="P1415" s="22"/>
    </row>
    <row r="1416" ht="22.5" customHeight="1">
      <c r="A1416" s="12" t="s">
        <v>22</v>
      </c>
      <c r="B1416" s="20" t="str">
        <f>IFERROR(VLOOKUP(A1416,Sheet1!$E$3:$H$27,4,0),"")</f>
        <v>P2</v>
      </c>
      <c r="C1416" s="14" t="s">
        <v>298</v>
      </c>
      <c r="D1416" s="12" t="s">
        <v>85</v>
      </c>
      <c r="E1416" s="13" t="str">
        <f>IFERROR(VLOOKUP(D1416,Sheet1!$B$1:$C$45,2,0),"")</f>
        <v>PM</v>
      </c>
      <c r="F1416" s="12" t="s">
        <v>108</v>
      </c>
      <c r="G1416" s="13" t="str">
        <f t="shared" si="5"/>
        <v>Barito Raya</v>
      </c>
      <c r="H1416" s="15" t="str">
        <f>IFERROR(VLOOKUP(A1416,Sheet1!$E$3:$F$27,2,),"")</f>
        <v>Preventive</v>
      </c>
      <c r="I1416" s="16" t="str">
        <f>IFERROR(VLOOKUP(A1416,Sheet1!$E$3:$G$27,3,0),"")</f>
        <v>Preventive Maintenance</v>
      </c>
      <c r="J1416" s="12" t="s">
        <v>112</v>
      </c>
      <c r="K1416" s="17">
        <v>46067.0</v>
      </c>
      <c r="L1416" s="17">
        <v>46067.0</v>
      </c>
      <c r="M1416" s="13"/>
      <c r="N1416" s="23"/>
      <c r="O1416" s="22"/>
      <c r="P1416" s="22"/>
    </row>
    <row r="1417" ht="22.5" customHeight="1">
      <c r="A1417" s="12" t="s">
        <v>22</v>
      </c>
      <c r="B1417" s="20" t="str">
        <f>IFERROR(VLOOKUP(A1417,Sheet1!$E$3:$H$27,4,0),"")</f>
        <v>P2</v>
      </c>
      <c r="C1417" s="14" t="s">
        <v>298</v>
      </c>
      <c r="D1417" s="12" t="s">
        <v>84</v>
      </c>
      <c r="E1417" s="13" t="str">
        <f>IFERROR(VLOOKUP(D1417,Sheet1!$B$1:$C$45,2,0),"")</f>
        <v>MBP</v>
      </c>
      <c r="F1417" s="12" t="s">
        <v>108</v>
      </c>
      <c r="G1417" s="13" t="str">
        <f t="shared" si="5"/>
        <v>Barito Raya</v>
      </c>
      <c r="H1417" s="15" t="str">
        <f>IFERROR(VLOOKUP(A1417,Sheet1!$E$3:$F$27,2,),"")</f>
        <v>Preventive</v>
      </c>
      <c r="I1417" s="16" t="str">
        <f>IFERROR(VLOOKUP(A1417,Sheet1!$E$3:$G$27,3,0),"")</f>
        <v>Preventive Maintenance</v>
      </c>
      <c r="J1417" s="12" t="s">
        <v>112</v>
      </c>
      <c r="K1417" s="17">
        <v>46067.0</v>
      </c>
      <c r="L1417" s="17">
        <v>46067.0</v>
      </c>
      <c r="M1417" s="13"/>
      <c r="N1417" s="23"/>
      <c r="O1417" s="22"/>
      <c r="P1417" s="22"/>
    </row>
    <row r="1418" ht="22.5" customHeight="1">
      <c r="A1418" s="12" t="s">
        <v>22</v>
      </c>
      <c r="B1418" s="20" t="str">
        <f>IFERROR(VLOOKUP(A1418,Sheet1!$E$3:$H$27,4,0),"")</f>
        <v>P2</v>
      </c>
      <c r="C1418" s="14" t="s">
        <v>136</v>
      </c>
      <c r="D1418" s="12" t="s">
        <v>86</v>
      </c>
      <c r="E1418" s="13" t="str">
        <f>IFERROR(VLOOKUP(D1418,Sheet1!$B$1:$C$45,2,0),"")</f>
        <v>PM</v>
      </c>
      <c r="F1418" s="12" t="s">
        <v>108</v>
      </c>
      <c r="G1418" s="13" t="str">
        <f t="shared" si="5"/>
        <v>Barito Raya</v>
      </c>
      <c r="H1418" s="15" t="str">
        <f>IFERROR(VLOOKUP(A1418,Sheet1!$E$3:$F$27,2,),"")</f>
        <v>Preventive</v>
      </c>
      <c r="I1418" s="16" t="str">
        <f>IFERROR(VLOOKUP(A1418,Sheet1!$E$3:$G$27,3,0),"")</f>
        <v>Preventive Maintenance</v>
      </c>
      <c r="J1418" s="12" t="s">
        <v>112</v>
      </c>
      <c r="K1418" s="17">
        <v>46067.0</v>
      </c>
      <c r="L1418" s="17">
        <v>46067.0</v>
      </c>
      <c r="M1418" s="13"/>
      <c r="N1418" s="23"/>
      <c r="O1418" s="22"/>
      <c r="P1418" s="22"/>
    </row>
    <row r="1419" ht="22.5" customHeight="1">
      <c r="A1419" s="12" t="s">
        <v>65</v>
      </c>
      <c r="B1419" s="20" t="str">
        <f>IFERROR(VLOOKUP(A1419,Sheet1!$E$3:$H$27,4,0),"")</f>
        <v>P3</v>
      </c>
      <c r="C1419" s="15"/>
      <c r="D1419" s="12" t="s">
        <v>12</v>
      </c>
      <c r="E1419" s="13" t="str">
        <f>IFERROR(VLOOKUP(D1419,Sheet1!$B$1:$C$45,2,0),"")</f>
        <v>TE</v>
      </c>
      <c r="F1419" s="12" t="s">
        <v>108</v>
      </c>
      <c r="G1419" s="13" t="str">
        <f t="shared" si="5"/>
        <v>Barito Raya</v>
      </c>
      <c r="H1419" s="15" t="str">
        <f>IFERROR(VLOOKUP(A1419,Sheet1!$E$3:$F$27,2,),"")</f>
        <v>Standby</v>
      </c>
      <c r="I1419" s="16" t="str">
        <f>IFERROR(VLOOKUP(A1419,Sheet1!$E$3:$G$27,3,0),"")</f>
        <v>Standby On Call</v>
      </c>
      <c r="J1419" s="12" t="s">
        <v>66</v>
      </c>
      <c r="K1419" s="17">
        <v>46069.0</v>
      </c>
      <c r="L1419" s="17">
        <v>46069.0</v>
      </c>
      <c r="M1419" s="13"/>
      <c r="N1419" s="23"/>
      <c r="O1419" s="22"/>
      <c r="P1419" s="22"/>
    </row>
    <row r="1420" ht="22.5" customHeight="1">
      <c r="A1420" s="12" t="s">
        <v>14</v>
      </c>
      <c r="B1420" s="20" t="str">
        <f>IFERROR(VLOOKUP(A1420,Sheet1!$E$3:$H$27,4,0),"")</f>
        <v>P1</v>
      </c>
      <c r="C1420" s="14" t="s">
        <v>287</v>
      </c>
      <c r="D1420" s="12" t="s">
        <v>16</v>
      </c>
      <c r="E1420" s="13" t="str">
        <f>IFERROR(VLOOKUP(D1420,Sheet1!$B$1:$C$45,2,0),"")</f>
        <v>TE</v>
      </c>
      <c r="F1420" s="12" t="s">
        <v>108</v>
      </c>
      <c r="G1420" s="13" t="str">
        <f t="shared" si="5"/>
        <v>Barito Raya</v>
      </c>
      <c r="H1420" s="15" t="str">
        <f>IFERROR(VLOOKUP(A1420,Sheet1!$E$3:$F$27,2,),"")</f>
        <v>Corrective</v>
      </c>
      <c r="I1420" s="16" t="str">
        <f>IFERROR(VLOOKUP(A1420,Sheet1!$E$3:$G$27,3,0),"")</f>
        <v>Pemadaman,MCB Trip,Transmisi problem</v>
      </c>
      <c r="J1420" s="12" t="s">
        <v>112</v>
      </c>
      <c r="K1420" s="17">
        <v>46069.0</v>
      </c>
      <c r="L1420" s="17">
        <v>46069.0</v>
      </c>
      <c r="M1420" s="13"/>
      <c r="N1420" s="23"/>
      <c r="O1420" s="22"/>
      <c r="P1420" s="22"/>
    </row>
    <row r="1421" ht="22.5" customHeight="1">
      <c r="A1421" s="12" t="s">
        <v>14</v>
      </c>
      <c r="B1421" s="20" t="str">
        <f>IFERROR(VLOOKUP(A1421,Sheet1!$E$3:$H$27,4,0),"")</f>
        <v>P1</v>
      </c>
      <c r="C1421" s="14" t="s">
        <v>287</v>
      </c>
      <c r="D1421" s="12" t="s">
        <v>21</v>
      </c>
      <c r="E1421" s="13" t="str">
        <f>IFERROR(VLOOKUP(D1421,Sheet1!$B$1:$C$45,2,0),"")</f>
        <v>TE</v>
      </c>
      <c r="F1421" s="12" t="s">
        <v>108</v>
      </c>
      <c r="G1421" s="13" t="str">
        <f t="shared" si="5"/>
        <v>Barito Raya</v>
      </c>
      <c r="H1421" s="15" t="str">
        <f>IFERROR(VLOOKUP(A1421,Sheet1!$E$3:$F$27,2,),"")</f>
        <v>Corrective</v>
      </c>
      <c r="I1421" s="16" t="str">
        <f>IFERROR(VLOOKUP(A1421,Sheet1!$E$3:$G$27,3,0),"")</f>
        <v>Pemadaman,MCB Trip,Transmisi problem</v>
      </c>
      <c r="J1421" s="12" t="s">
        <v>112</v>
      </c>
      <c r="K1421" s="17">
        <v>46069.0</v>
      </c>
      <c r="L1421" s="17">
        <v>46069.0</v>
      </c>
      <c r="M1421" s="13"/>
      <c r="N1421" s="23"/>
      <c r="O1421" s="22"/>
      <c r="P1421" s="22"/>
    </row>
    <row r="1422" ht="22.5" customHeight="1">
      <c r="A1422" s="12" t="s">
        <v>65</v>
      </c>
      <c r="B1422" s="20" t="str">
        <f>IFERROR(VLOOKUP(A1422,Sheet1!$E$3:$H$27,4,0),"")</f>
        <v>P3</v>
      </c>
      <c r="C1422" s="15"/>
      <c r="D1422" s="12" t="s">
        <v>26</v>
      </c>
      <c r="E1422" s="13" t="str">
        <f>IFERROR(VLOOKUP(D1422,Sheet1!$B$1:$C$45,2,0),"")</f>
        <v>TE</v>
      </c>
      <c r="F1422" s="12" t="s">
        <v>108</v>
      </c>
      <c r="G1422" s="13" t="str">
        <f t="shared" si="5"/>
        <v>Barito Raya</v>
      </c>
      <c r="H1422" s="15" t="str">
        <f>IFERROR(VLOOKUP(A1422,Sheet1!$E$3:$F$27,2,),"")</f>
        <v>Standby</v>
      </c>
      <c r="I1422" s="16" t="str">
        <f>IFERROR(VLOOKUP(A1422,Sheet1!$E$3:$G$27,3,0),"")</f>
        <v>Standby On Call</v>
      </c>
      <c r="J1422" s="12" t="s">
        <v>66</v>
      </c>
      <c r="K1422" s="17">
        <v>46069.0</v>
      </c>
      <c r="L1422" s="17">
        <v>46069.0</v>
      </c>
      <c r="M1422" s="13"/>
      <c r="N1422" s="23"/>
      <c r="O1422" s="22"/>
      <c r="P1422" s="22"/>
    </row>
    <row r="1423" ht="22.5" customHeight="1">
      <c r="A1423" s="12" t="s">
        <v>65</v>
      </c>
      <c r="B1423" s="20" t="str">
        <f>IFERROR(VLOOKUP(A1423,Sheet1!$E$3:$H$27,4,0),"")</f>
        <v>P3</v>
      </c>
      <c r="C1423" s="15"/>
      <c r="D1423" s="12" t="s">
        <v>88</v>
      </c>
      <c r="E1423" s="13" t="str">
        <f>IFERROR(VLOOKUP(D1423,Sheet1!$B$1:$C$45,2,0),"")</f>
        <v>TE</v>
      </c>
      <c r="F1423" s="12" t="s">
        <v>108</v>
      </c>
      <c r="G1423" s="13" t="str">
        <f t="shared" si="5"/>
        <v>Barito Raya</v>
      </c>
      <c r="H1423" s="15" t="str">
        <f>IFERROR(VLOOKUP(A1423,Sheet1!$E$3:$F$27,2,),"")</f>
        <v>Standby</v>
      </c>
      <c r="I1423" s="16" t="str">
        <f>IFERROR(VLOOKUP(A1423,Sheet1!$E$3:$G$27,3,0),"")</f>
        <v>Standby On Call</v>
      </c>
      <c r="J1423" s="12" t="s">
        <v>66</v>
      </c>
      <c r="K1423" s="17">
        <v>46069.0</v>
      </c>
      <c r="L1423" s="17">
        <v>46069.0</v>
      </c>
      <c r="M1423" s="13"/>
      <c r="N1423" s="23"/>
      <c r="O1423" s="22"/>
      <c r="P1423" s="22"/>
    </row>
    <row r="1424" ht="22.5" customHeight="1">
      <c r="A1424" s="12" t="s">
        <v>14</v>
      </c>
      <c r="B1424" s="20" t="str">
        <f>IFERROR(VLOOKUP(A1424,Sheet1!$E$3:$H$27,4,0),"")</f>
        <v>P1</v>
      </c>
      <c r="C1424" s="14" t="s">
        <v>576</v>
      </c>
      <c r="D1424" s="12" t="s">
        <v>32</v>
      </c>
      <c r="E1424" s="13" t="str">
        <f>IFERROR(VLOOKUP(D1424,Sheet1!$B$1:$C$45,2,0),"")</f>
        <v>TE</v>
      </c>
      <c r="F1424" s="12" t="s">
        <v>108</v>
      </c>
      <c r="G1424" s="13" t="str">
        <f t="shared" si="5"/>
        <v>Barito Raya</v>
      </c>
      <c r="H1424" s="15" t="str">
        <f>IFERROR(VLOOKUP(A1424,Sheet1!$E$3:$F$27,2,),"")</f>
        <v>Corrective</v>
      </c>
      <c r="I1424" s="16" t="str">
        <f>IFERROR(VLOOKUP(A1424,Sheet1!$E$3:$G$27,3,0),"")</f>
        <v>Pemadaman,MCB Trip,Transmisi problem</v>
      </c>
      <c r="J1424" s="12" t="s">
        <v>112</v>
      </c>
      <c r="K1424" s="17">
        <v>46069.0</v>
      </c>
      <c r="L1424" s="17">
        <v>46069.0</v>
      </c>
      <c r="M1424" s="12" t="s">
        <v>137</v>
      </c>
      <c r="N1424" s="23"/>
      <c r="O1424" s="22"/>
      <c r="P1424" s="22"/>
    </row>
    <row r="1425" ht="22.5" customHeight="1">
      <c r="A1425" s="12" t="s">
        <v>65</v>
      </c>
      <c r="B1425" s="20" t="str">
        <f>IFERROR(VLOOKUP(A1425,Sheet1!$E$3:$H$27,4,0),"")</f>
        <v>P3</v>
      </c>
      <c r="C1425" s="15"/>
      <c r="D1425" s="12" t="s">
        <v>74</v>
      </c>
      <c r="E1425" s="13" t="str">
        <f>IFERROR(VLOOKUP(D1425,Sheet1!$B$1:$C$45,2,0),"")</f>
        <v>TE</v>
      </c>
      <c r="F1425" s="12" t="s">
        <v>108</v>
      </c>
      <c r="G1425" s="13" t="str">
        <f t="shared" si="5"/>
        <v>Barito Raya</v>
      </c>
      <c r="H1425" s="15" t="str">
        <f>IFERROR(VLOOKUP(A1425,Sheet1!$E$3:$F$27,2,),"")</f>
        <v>Standby</v>
      </c>
      <c r="I1425" s="16" t="str">
        <f>IFERROR(VLOOKUP(A1425,Sheet1!$E$3:$G$27,3,0),"")</f>
        <v>Standby On Call</v>
      </c>
      <c r="J1425" s="12" t="s">
        <v>66</v>
      </c>
      <c r="K1425" s="17">
        <v>46069.0</v>
      </c>
      <c r="L1425" s="17">
        <v>46069.0</v>
      </c>
      <c r="M1425" s="13"/>
      <c r="N1425" s="23"/>
      <c r="O1425" s="22"/>
      <c r="P1425" s="22"/>
    </row>
    <row r="1426" ht="22.5" customHeight="1">
      <c r="A1426" s="12" t="s">
        <v>5</v>
      </c>
      <c r="B1426" s="20" t="str">
        <f>IFERROR(VLOOKUP(A1426,Sheet1!$E$3:$H$27,4,0),"")</f>
        <v>P1</v>
      </c>
      <c r="C1426" s="14" t="s">
        <v>383</v>
      </c>
      <c r="D1426" s="12" t="s">
        <v>60</v>
      </c>
      <c r="E1426" s="13" t="str">
        <f>IFERROR(VLOOKUP(D1426,Sheet1!$B$1:$C$45,2,0),"")</f>
        <v>TE</v>
      </c>
      <c r="F1426" s="12" t="s">
        <v>108</v>
      </c>
      <c r="G1426" s="13" t="str">
        <f t="shared" si="5"/>
        <v>Barito Raya</v>
      </c>
      <c r="H1426" s="15" t="str">
        <f>IFERROR(VLOOKUP(A1426,Sheet1!$E$3:$F$27,2,),"")</f>
        <v>Corrective</v>
      </c>
      <c r="I1426" s="16" t="str">
        <f>IFERROR(VLOOKUP(A1426,Sheet1!$E$3:$G$27,3,0),"")</f>
        <v>Replace Optik,RRU/Soket Power/Replace GPS</v>
      </c>
      <c r="J1426" s="12" t="s">
        <v>112</v>
      </c>
      <c r="K1426" s="17">
        <v>46069.0</v>
      </c>
      <c r="L1426" s="17">
        <v>46069.0</v>
      </c>
      <c r="M1426" s="12" t="s">
        <v>137</v>
      </c>
      <c r="N1426" s="23"/>
      <c r="O1426" s="22"/>
      <c r="P1426" s="22"/>
    </row>
    <row r="1427" ht="22.5" customHeight="1">
      <c r="A1427" s="12" t="s">
        <v>14</v>
      </c>
      <c r="B1427" s="20" t="str">
        <f>IFERROR(VLOOKUP(A1427,Sheet1!$E$3:$H$27,4,0),"")</f>
        <v>P1</v>
      </c>
      <c r="C1427" s="14" t="s">
        <v>543</v>
      </c>
      <c r="D1427" s="12" t="s">
        <v>62</v>
      </c>
      <c r="E1427" s="13" t="str">
        <f>IFERROR(VLOOKUP(D1427,Sheet1!$B$1:$C$45,2,0),"")</f>
        <v>TE</v>
      </c>
      <c r="F1427" s="12" t="s">
        <v>108</v>
      </c>
      <c r="G1427" s="13" t="str">
        <f t="shared" si="5"/>
        <v>Barito Raya</v>
      </c>
      <c r="H1427" s="15" t="str">
        <f>IFERROR(VLOOKUP(A1427,Sheet1!$E$3:$F$27,2,),"")</f>
        <v>Corrective</v>
      </c>
      <c r="I1427" s="16" t="str">
        <f>IFERROR(VLOOKUP(A1427,Sheet1!$E$3:$G$27,3,0),"")</f>
        <v>Pemadaman,MCB Trip,Transmisi problem</v>
      </c>
      <c r="J1427" s="12" t="s">
        <v>112</v>
      </c>
      <c r="K1427" s="17">
        <v>46069.0</v>
      </c>
      <c r="L1427" s="17">
        <v>46069.0</v>
      </c>
      <c r="M1427" s="12" t="s">
        <v>137</v>
      </c>
      <c r="N1427" s="23"/>
      <c r="O1427" s="22"/>
      <c r="P1427" s="22"/>
    </row>
    <row r="1428" ht="22.5" customHeight="1">
      <c r="A1428" s="12" t="s">
        <v>22</v>
      </c>
      <c r="B1428" s="20" t="str">
        <f>IFERROR(VLOOKUP(A1428,Sheet1!$E$3:$H$27,4,0),"")</f>
        <v>P2</v>
      </c>
      <c r="C1428" s="14" t="s">
        <v>323</v>
      </c>
      <c r="D1428" s="12" t="s">
        <v>9</v>
      </c>
      <c r="E1428" s="13" t="str">
        <f>IFERROR(VLOOKUP(D1428,Sheet1!$B$1:$C$45,2,0),"")</f>
        <v>MBP</v>
      </c>
      <c r="F1428" s="12" t="s">
        <v>108</v>
      </c>
      <c r="G1428" s="13" t="str">
        <f t="shared" si="5"/>
        <v>Barito Raya</v>
      </c>
      <c r="H1428" s="15" t="str">
        <f>IFERROR(VLOOKUP(A1428,Sheet1!$E$3:$F$27,2,),"")</f>
        <v>Preventive</v>
      </c>
      <c r="I1428" s="16" t="str">
        <f>IFERROR(VLOOKUP(A1428,Sheet1!$E$3:$G$27,3,0),"")</f>
        <v>Preventive Maintenance</v>
      </c>
      <c r="J1428" s="12" t="s">
        <v>112</v>
      </c>
      <c r="K1428" s="17">
        <v>46069.0</v>
      </c>
      <c r="L1428" s="17">
        <v>46069.0</v>
      </c>
      <c r="M1428" s="12" t="s">
        <v>137</v>
      </c>
      <c r="N1428" s="23"/>
      <c r="O1428" s="22"/>
      <c r="P1428" s="22"/>
    </row>
    <row r="1429" ht="22.5" customHeight="1">
      <c r="A1429" s="12" t="s">
        <v>65</v>
      </c>
      <c r="B1429" s="20" t="str">
        <f>IFERROR(VLOOKUP(A1429,Sheet1!$E$3:$H$27,4,0),"")</f>
        <v>P3</v>
      </c>
      <c r="C1429" s="15"/>
      <c r="D1429" s="12" t="s">
        <v>4</v>
      </c>
      <c r="E1429" s="13" t="str">
        <f>IFERROR(VLOOKUP(D1429,Sheet1!$B$1:$C$45,2,0),"")</f>
        <v>CME</v>
      </c>
      <c r="F1429" s="12" t="s">
        <v>108</v>
      </c>
      <c r="G1429" s="13" t="str">
        <f t="shared" si="5"/>
        <v>Barito Raya</v>
      </c>
      <c r="H1429" s="15" t="str">
        <f>IFERROR(VLOOKUP(A1429,Sheet1!$E$3:$F$27,2,),"")</f>
        <v>Standby</v>
      </c>
      <c r="I1429" s="16" t="str">
        <f>IFERROR(VLOOKUP(A1429,Sheet1!$E$3:$G$27,3,0),"")</f>
        <v>Standby On Call</v>
      </c>
      <c r="J1429" s="12" t="s">
        <v>66</v>
      </c>
      <c r="K1429" s="17">
        <v>46069.0</v>
      </c>
      <c r="L1429" s="17">
        <v>46069.0</v>
      </c>
      <c r="M1429" s="13"/>
      <c r="N1429" s="23"/>
      <c r="O1429" s="22"/>
      <c r="P1429" s="22"/>
    </row>
    <row r="1430" ht="22.5" customHeight="1">
      <c r="A1430" s="12" t="s">
        <v>65</v>
      </c>
      <c r="B1430" s="20" t="str">
        <f>IFERROR(VLOOKUP(A1430,Sheet1!$E$3:$H$27,4,0),"")</f>
        <v>P3</v>
      </c>
      <c r="C1430" s="15"/>
      <c r="D1430" s="12" t="s">
        <v>87</v>
      </c>
      <c r="E1430" s="13" t="str">
        <f>IFERROR(VLOOKUP(D1430,Sheet1!$B$1:$C$45,2,0),"")</f>
        <v>MBP</v>
      </c>
      <c r="F1430" s="12" t="s">
        <v>108</v>
      </c>
      <c r="G1430" s="13" t="str">
        <f t="shared" si="5"/>
        <v>Barito Raya</v>
      </c>
      <c r="H1430" s="15" t="str">
        <f>IFERROR(VLOOKUP(A1430,Sheet1!$E$3:$F$27,2,),"")</f>
        <v>Standby</v>
      </c>
      <c r="I1430" s="16" t="str">
        <f>IFERROR(VLOOKUP(A1430,Sheet1!$E$3:$G$27,3,0),"")</f>
        <v>Standby On Call</v>
      </c>
      <c r="J1430" s="12" t="s">
        <v>66</v>
      </c>
      <c r="K1430" s="17">
        <v>46069.0</v>
      </c>
      <c r="L1430" s="17">
        <v>46069.0</v>
      </c>
      <c r="M1430" s="13"/>
      <c r="N1430" s="23"/>
      <c r="O1430" s="22"/>
      <c r="P1430" s="22"/>
    </row>
    <row r="1431" ht="22.5" customHeight="1">
      <c r="A1431" s="12" t="s">
        <v>14</v>
      </c>
      <c r="B1431" s="20" t="str">
        <f>IFERROR(VLOOKUP(A1431,Sheet1!$E$3:$H$27,4,0),"")</f>
        <v>P1</v>
      </c>
      <c r="C1431" s="14" t="s">
        <v>313</v>
      </c>
      <c r="D1431" s="12" t="s">
        <v>29</v>
      </c>
      <c r="E1431" s="13" t="str">
        <f>IFERROR(VLOOKUP(D1431,Sheet1!$B$1:$C$45,2,0),"")</f>
        <v>MBP</v>
      </c>
      <c r="F1431" s="12" t="s">
        <v>108</v>
      </c>
      <c r="G1431" s="13" t="str">
        <f t="shared" si="5"/>
        <v>Barito Raya</v>
      </c>
      <c r="H1431" s="15" t="str">
        <f>IFERROR(VLOOKUP(A1431,Sheet1!$E$3:$F$27,2,),"")</f>
        <v>Corrective</v>
      </c>
      <c r="I1431" s="16" t="str">
        <f>IFERROR(VLOOKUP(A1431,Sheet1!$E$3:$G$27,3,0),"")</f>
        <v>Pemadaman,MCB Trip,Transmisi problem</v>
      </c>
      <c r="J1431" s="12" t="s">
        <v>112</v>
      </c>
      <c r="K1431" s="17">
        <v>46069.0</v>
      </c>
      <c r="L1431" s="17">
        <v>46069.0</v>
      </c>
      <c r="M1431" s="12" t="s">
        <v>137</v>
      </c>
      <c r="N1431" s="23"/>
      <c r="O1431" s="22"/>
      <c r="P1431" s="22"/>
    </row>
    <row r="1432" ht="22.5" customHeight="1">
      <c r="A1432" s="12" t="s">
        <v>65</v>
      </c>
      <c r="B1432" s="20" t="str">
        <f>IFERROR(VLOOKUP(A1432,Sheet1!$E$3:$H$27,4,0),"")</f>
        <v>P3</v>
      </c>
      <c r="C1432" s="15"/>
      <c r="D1432" s="12" t="s">
        <v>2</v>
      </c>
      <c r="E1432" s="13" t="str">
        <f>IFERROR(VLOOKUP(D1432,Sheet1!$B$1:$C$45,2,0),"")</f>
        <v>CME</v>
      </c>
      <c r="F1432" s="12" t="s">
        <v>108</v>
      </c>
      <c r="G1432" s="13" t="str">
        <f t="shared" si="5"/>
        <v>Barito Raya</v>
      </c>
      <c r="H1432" s="15" t="str">
        <f>IFERROR(VLOOKUP(A1432,Sheet1!$E$3:$F$27,2,),"")</f>
        <v>Standby</v>
      </c>
      <c r="I1432" s="16" t="str">
        <f>IFERROR(VLOOKUP(A1432,Sheet1!$E$3:$G$27,3,0),"")</f>
        <v>Standby On Call</v>
      </c>
      <c r="J1432" s="12" t="s">
        <v>66</v>
      </c>
      <c r="K1432" s="17">
        <v>46069.0</v>
      </c>
      <c r="L1432" s="17">
        <v>46069.0</v>
      </c>
      <c r="M1432" s="13"/>
      <c r="N1432" s="23"/>
      <c r="O1432" s="22"/>
      <c r="P1432" s="22"/>
    </row>
    <row r="1433" ht="22.5" customHeight="1">
      <c r="A1433" s="12" t="s">
        <v>65</v>
      </c>
      <c r="B1433" s="20" t="str">
        <f>IFERROR(VLOOKUP(A1433,Sheet1!$E$3:$H$27,4,0),"")</f>
        <v>P3</v>
      </c>
      <c r="C1433" s="15"/>
      <c r="D1433" s="12" t="s">
        <v>0</v>
      </c>
      <c r="E1433" s="13" t="str">
        <f>IFERROR(VLOOKUP(D1433,Sheet1!$B$1:$C$45,2,0),"")</f>
        <v>MBP</v>
      </c>
      <c r="F1433" s="12" t="s">
        <v>108</v>
      </c>
      <c r="G1433" s="13" t="str">
        <f t="shared" si="5"/>
        <v>Barito Raya</v>
      </c>
      <c r="H1433" s="15" t="str">
        <f>IFERROR(VLOOKUP(A1433,Sheet1!$E$3:$F$27,2,),"")</f>
        <v>Standby</v>
      </c>
      <c r="I1433" s="16" t="str">
        <f>IFERROR(VLOOKUP(A1433,Sheet1!$E$3:$G$27,3,0),"")</f>
        <v>Standby On Call</v>
      </c>
      <c r="J1433" s="12" t="s">
        <v>66</v>
      </c>
      <c r="K1433" s="17">
        <v>46069.0</v>
      </c>
      <c r="L1433" s="17">
        <v>46069.0</v>
      </c>
      <c r="M1433" s="13"/>
      <c r="N1433" s="23"/>
      <c r="O1433" s="22"/>
      <c r="P1433" s="22"/>
    </row>
    <row r="1434" ht="22.5" customHeight="1">
      <c r="A1434" s="12" t="s">
        <v>22</v>
      </c>
      <c r="B1434" s="20" t="str">
        <f>IFERROR(VLOOKUP(A1434,Sheet1!$E$3:$H$27,4,0),"")</f>
        <v>P2</v>
      </c>
      <c r="C1434" s="14" t="s">
        <v>208</v>
      </c>
      <c r="D1434" s="12" t="s">
        <v>85</v>
      </c>
      <c r="E1434" s="13" t="str">
        <f>IFERROR(VLOOKUP(D1434,Sheet1!$B$1:$C$45,2,0),"")</f>
        <v>PM</v>
      </c>
      <c r="F1434" s="12" t="s">
        <v>108</v>
      </c>
      <c r="G1434" s="13" t="str">
        <f t="shared" si="5"/>
        <v>Barito Raya</v>
      </c>
      <c r="H1434" s="15" t="str">
        <f>IFERROR(VLOOKUP(A1434,Sheet1!$E$3:$F$27,2,),"")</f>
        <v>Preventive</v>
      </c>
      <c r="I1434" s="16" t="str">
        <f>IFERROR(VLOOKUP(A1434,Sheet1!$E$3:$G$27,3,0),"")</f>
        <v>Preventive Maintenance</v>
      </c>
      <c r="J1434" s="12" t="s">
        <v>112</v>
      </c>
      <c r="K1434" s="17">
        <v>46069.0</v>
      </c>
      <c r="L1434" s="17">
        <v>46069.0</v>
      </c>
      <c r="M1434" s="12" t="s">
        <v>137</v>
      </c>
      <c r="N1434" s="23"/>
      <c r="O1434" s="22"/>
      <c r="P1434" s="22"/>
    </row>
    <row r="1435" ht="22.5" customHeight="1">
      <c r="A1435" s="12" t="s">
        <v>22</v>
      </c>
      <c r="B1435" s="20" t="str">
        <f>IFERROR(VLOOKUP(A1435,Sheet1!$E$3:$H$27,4,0),"")</f>
        <v>P2</v>
      </c>
      <c r="C1435" s="14" t="s">
        <v>208</v>
      </c>
      <c r="D1435" s="12" t="s">
        <v>84</v>
      </c>
      <c r="E1435" s="13" t="str">
        <f>IFERROR(VLOOKUP(D1435,Sheet1!$B$1:$C$45,2,0),"")</f>
        <v>MBP</v>
      </c>
      <c r="F1435" s="12" t="s">
        <v>108</v>
      </c>
      <c r="G1435" s="13" t="str">
        <f t="shared" si="5"/>
        <v>Barito Raya</v>
      </c>
      <c r="H1435" s="15" t="str">
        <f>IFERROR(VLOOKUP(A1435,Sheet1!$E$3:$F$27,2,),"")</f>
        <v>Preventive</v>
      </c>
      <c r="I1435" s="16" t="str">
        <f>IFERROR(VLOOKUP(A1435,Sheet1!$E$3:$G$27,3,0),"")</f>
        <v>Preventive Maintenance</v>
      </c>
      <c r="J1435" s="12" t="s">
        <v>112</v>
      </c>
      <c r="K1435" s="17">
        <v>46069.0</v>
      </c>
      <c r="L1435" s="17">
        <v>46069.0</v>
      </c>
      <c r="M1435" s="12" t="s">
        <v>137</v>
      </c>
      <c r="N1435" s="23"/>
      <c r="O1435" s="22"/>
      <c r="P1435" s="22"/>
    </row>
    <row r="1436" ht="22.5" customHeight="1">
      <c r="A1436" s="12" t="s">
        <v>22</v>
      </c>
      <c r="B1436" s="20" t="str">
        <f>IFERROR(VLOOKUP(A1436,Sheet1!$E$3:$H$27,4,0),"")</f>
        <v>P2</v>
      </c>
      <c r="C1436" s="14" t="s">
        <v>450</v>
      </c>
      <c r="D1436" s="12" t="s">
        <v>86</v>
      </c>
      <c r="E1436" s="13" t="str">
        <f>IFERROR(VLOOKUP(D1436,Sheet1!$B$1:$C$45,2,0),"")</f>
        <v>PM</v>
      </c>
      <c r="F1436" s="12" t="s">
        <v>108</v>
      </c>
      <c r="G1436" s="13" t="str">
        <f t="shared" si="5"/>
        <v>Barito Raya</v>
      </c>
      <c r="H1436" s="15" t="str">
        <f>IFERROR(VLOOKUP(A1436,Sheet1!$E$3:$F$27,2,),"")</f>
        <v>Preventive</v>
      </c>
      <c r="I1436" s="16" t="str">
        <f>IFERROR(VLOOKUP(A1436,Sheet1!$E$3:$G$27,3,0),"")</f>
        <v>Preventive Maintenance</v>
      </c>
      <c r="J1436" s="12" t="s">
        <v>112</v>
      </c>
      <c r="K1436" s="17">
        <v>46069.0</v>
      </c>
      <c r="L1436" s="17">
        <v>46069.0</v>
      </c>
      <c r="M1436" s="12" t="s">
        <v>137</v>
      </c>
      <c r="N1436" s="23"/>
      <c r="O1436" s="22"/>
      <c r="P1436" s="22"/>
    </row>
    <row r="1437" ht="22.5" customHeight="1">
      <c r="A1437" s="12" t="s">
        <v>33</v>
      </c>
      <c r="B1437" s="20" t="str">
        <f>IFERROR(VLOOKUP(A1437,Sheet1!$E$3:$H$27,4,0),"")</f>
        <v>P2</v>
      </c>
      <c r="C1437" s="14" t="s">
        <v>452</v>
      </c>
      <c r="D1437" s="12" t="s">
        <v>80</v>
      </c>
      <c r="E1437" s="13" t="str">
        <f>IFERROR(VLOOKUP(D1437,Sheet1!$B$1:$C$45,2,0),"")</f>
        <v>TE</v>
      </c>
      <c r="F1437" s="12" t="s">
        <v>179</v>
      </c>
      <c r="G1437" s="13" t="str">
        <f t="shared" si="5"/>
        <v>Palangkaraya</v>
      </c>
      <c r="H1437" s="15" t="str">
        <f>IFERROR(VLOOKUP(A1437,Sheet1!$E$3:$F$27,2,),"")</f>
        <v>Preventive</v>
      </c>
      <c r="I1437" s="16" t="str">
        <f>IFERROR(VLOOKUP(A1437,Sheet1!$E$3:$G$27,3,0),"")</f>
        <v>Pengukuran dan pengambilan data log serta input Gdoc BBT</v>
      </c>
      <c r="J1437" s="12" t="s">
        <v>112</v>
      </c>
      <c r="K1437" s="17">
        <v>46071.0</v>
      </c>
      <c r="L1437" s="17"/>
      <c r="M1437" s="12" t="s">
        <v>137</v>
      </c>
      <c r="N1437" s="23"/>
      <c r="O1437" s="22"/>
      <c r="P1437" s="22"/>
    </row>
    <row r="1438" ht="22.5" customHeight="1">
      <c r="A1438" s="12" t="s">
        <v>52</v>
      </c>
      <c r="B1438" s="20" t="str">
        <f>IFERROR(VLOOKUP(A1438,Sheet1!$E$3:$H$27,4,0),"")</f>
        <v>P1</v>
      </c>
      <c r="C1438" s="14" t="s">
        <v>577</v>
      </c>
      <c r="D1438" s="12" t="s">
        <v>77</v>
      </c>
      <c r="E1438" s="13" t="str">
        <f>IFERROR(VLOOKUP(D1438,Sheet1!$B$1:$C$45,2,0),"")</f>
        <v>TE</v>
      </c>
      <c r="F1438" s="12" t="s">
        <v>179</v>
      </c>
      <c r="G1438" s="13" t="str">
        <f t="shared" si="5"/>
        <v>Palangkaraya</v>
      </c>
      <c r="H1438" s="15" t="str">
        <f>IFERROR(VLOOKUP(A1438,Sheet1!$E$3:$F$27,2,),"")</f>
        <v>Preventive</v>
      </c>
      <c r="I1438" s="16" t="str">
        <f>IFERROR(VLOOKUP(A1438,Sheet1!$E$3:$G$27,3,0),"")</f>
        <v>MCB trip/Power upnormal</v>
      </c>
      <c r="J1438" s="12" t="s">
        <v>112</v>
      </c>
      <c r="K1438" s="17">
        <v>46071.0</v>
      </c>
      <c r="L1438" s="17"/>
      <c r="M1438" s="12" t="s">
        <v>137</v>
      </c>
      <c r="N1438" s="23"/>
      <c r="O1438" s="22"/>
      <c r="P1438" s="22"/>
    </row>
    <row r="1439" ht="22.5" customHeight="1">
      <c r="A1439" s="12" t="s">
        <v>5</v>
      </c>
      <c r="B1439" s="20" t="str">
        <f>IFERROR(VLOOKUP(A1439,Sheet1!$E$3:$H$27,4,0),"")</f>
        <v>P1</v>
      </c>
      <c r="C1439" s="14" t="s">
        <v>564</v>
      </c>
      <c r="D1439" s="12" t="s">
        <v>78</v>
      </c>
      <c r="E1439" s="13" t="str">
        <f>IFERROR(VLOOKUP(D1439,Sheet1!$B$1:$C$45,2,0),"")</f>
        <v>TE</v>
      </c>
      <c r="F1439" s="12" t="s">
        <v>179</v>
      </c>
      <c r="G1439" s="13" t="str">
        <f t="shared" si="5"/>
        <v>Palangkaraya</v>
      </c>
      <c r="H1439" s="15" t="str">
        <f>IFERROR(VLOOKUP(A1439,Sheet1!$E$3:$F$27,2,),"")</f>
        <v>Corrective</v>
      </c>
      <c r="I1439" s="16" t="str">
        <f>IFERROR(VLOOKUP(A1439,Sheet1!$E$3:$G$27,3,0),"")</f>
        <v>Replace Optik,RRU/Soket Power/Replace GPS</v>
      </c>
      <c r="J1439" s="12" t="s">
        <v>112</v>
      </c>
      <c r="K1439" s="17">
        <v>46071.0</v>
      </c>
      <c r="L1439" s="17"/>
      <c r="M1439" s="12" t="s">
        <v>137</v>
      </c>
      <c r="N1439" s="23"/>
      <c r="O1439" s="22"/>
      <c r="P1439" s="22"/>
    </row>
    <row r="1440" ht="22.5" customHeight="1">
      <c r="A1440" s="12" t="s">
        <v>5</v>
      </c>
      <c r="B1440" s="20" t="str">
        <f>IFERROR(VLOOKUP(A1440,Sheet1!$E$3:$H$27,4,0),"")</f>
        <v>P1</v>
      </c>
      <c r="C1440" s="14" t="s">
        <v>564</v>
      </c>
      <c r="D1440" s="12" t="s">
        <v>39</v>
      </c>
      <c r="E1440" s="13" t="str">
        <f>IFERROR(VLOOKUP(D1440,Sheet1!$B$1:$C$45,2,0),"")</f>
        <v>TE</v>
      </c>
      <c r="F1440" s="12" t="s">
        <v>179</v>
      </c>
      <c r="G1440" s="13" t="str">
        <f t="shared" si="5"/>
        <v>Palangkaraya</v>
      </c>
      <c r="H1440" s="15" t="str">
        <f>IFERROR(VLOOKUP(A1440,Sheet1!$E$3:$F$27,2,),"")</f>
        <v>Corrective</v>
      </c>
      <c r="I1440" s="16" t="str">
        <f>IFERROR(VLOOKUP(A1440,Sheet1!$E$3:$G$27,3,0),"")</f>
        <v>Replace Optik,RRU/Soket Power/Replace GPS</v>
      </c>
      <c r="J1440" s="12" t="s">
        <v>112</v>
      </c>
      <c r="K1440" s="17">
        <v>46071.0</v>
      </c>
      <c r="L1440" s="17"/>
      <c r="M1440" s="12" t="s">
        <v>137</v>
      </c>
      <c r="N1440" s="23"/>
      <c r="O1440" s="22"/>
      <c r="P1440" s="22"/>
    </row>
    <row r="1441" ht="22.5" customHeight="1">
      <c r="A1441" s="12" t="s">
        <v>14</v>
      </c>
      <c r="B1441" s="20" t="str">
        <f>IFERROR(VLOOKUP(A1441,Sheet1!$E$3:$H$27,4,0),"")</f>
        <v>P1</v>
      </c>
      <c r="C1441" s="14" t="s">
        <v>469</v>
      </c>
      <c r="D1441" s="12" t="s">
        <v>51</v>
      </c>
      <c r="E1441" s="13" t="str">
        <f>IFERROR(VLOOKUP(D1441,Sheet1!$B$1:$C$45,2,0),"")</f>
        <v>TE</v>
      </c>
      <c r="F1441" s="12" t="s">
        <v>179</v>
      </c>
      <c r="G1441" s="13" t="str">
        <f t="shared" si="5"/>
        <v>Palangkaraya</v>
      </c>
      <c r="H1441" s="15" t="str">
        <f>IFERROR(VLOOKUP(A1441,Sheet1!$E$3:$F$27,2,),"")</f>
        <v>Corrective</v>
      </c>
      <c r="I1441" s="16" t="str">
        <f>IFERROR(VLOOKUP(A1441,Sheet1!$E$3:$G$27,3,0),"")</f>
        <v>Pemadaman,MCB Trip,Transmisi problem</v>
      </c>
      <c r="J1441" s="12" t="s">
        <v>112</v>
      </c>
      <c r="K1441" s="17">
        <v>46071.0</v>
      </c>
      <c r="L1441" s="17"/>
      <c r="M1441" s="12" t="s">
        <v>137</v>
      </c>
      <c r="N1441" s="23"/>
      <c r="O1441" s="22"/>
      <c r="P1441" s="22"/>
    </row>
    <row r="1442" ht="22.5" customHeight="1">
      <c r="A1442" s="12" t="s">
        <v>10</v>
      </c>
      <c r="B1442" s="20" t="str">
        <f>IFERROR(VLOOKUP(A1442,Sheet1!$E$3:$H$27,4,0),"")</f>
        <v>P1</v>
      </c>
      <c r="C1442" s="14" t="s">
        <v>444</v>
      </c>
      <c r="D1442" s="12" t="s">
        <v>79</v>
      </c>
      <c r="E1442" s="13" t="str">
        <f>IFERROR(VLOOKUP(D1442,Sheet1!$B$1:$C$45,2,0),"")</f>
        <v>TE</v>
      </c>
      <c r="F1442" s="12" t="s">
        <v>179</v>
      </c>
      <c r="G1442" s="13" t="str">
        <f t="shared" si="5"/>
        <v>Palangkaraya</v>
      </c>
      <c r="H1442" s="15" t="str">
        <f>IFERROR(VLOOKUP(A1442,Sheet1!$E$3:$F$27,2,),"")</f>
        <v>Corrective</v>
      </c>
      <c r="I1442" s="16" t="str">
        <f>IFERROR(VLOOKUP(A1442,Sheet1!$E$3:$G$27,3,0),"")</f>
        <v>Replace Jumper,antena/RRU</v>
      </c>
      <c r="J1442" s="12" t="s">
        <v>112</v>
      </c>
      <c r="K1442" s="17">
        <v>46071.0</v>
      </c>
      <c r="L1442" s="17"/>
      <c r="M1442" s="12" t="s">
        <v>137</v>
      </c>
      <c r="N1442" s="23"/>
      <c r="O1442" s="22"/>
      <c r="P1442" s="22"/>
    </row>
    <row r="1443" ht="22.5" customHeight="1">
      <c r="A1443" s="12" t="s">
        <v>17</v>
      </c>
      <c r="B1443" s="20" t="str">
        <f>IFERROR(VLOOKUP(A1443,Sheet1!$E$3:$H$27,4,0),"")</f>
        <v>P2</v>
      </c>
      <c r="C1443" s="14" t="s">
        <v>578</v>
      </c>
      <c r="D1443" s="12" t="s">
        <v>91</v>
      </c>
      <c r="E1443" s="13" t="str">
        <f>IFERROR(VLOOKUP(D1443,Sheet1!$B$1:$C$45,2,0),"")</f>
        <v>TE</v>
      </c>
      <c r="F1443" s="12" t="s">
        <v>179</v>
      </c>
      <c r="G1443" s="13" t="str">
        <f t="shared" si="5"/>
        <v>Palangkaraya</v>
      </c>
      <c r="H1443" s="15" t="str">
        <f>IFERROR(VLOOKUP(A1443,Sheet1!$E$3:$F$27,2,),"")</f>
        <v>Preventive</v>
      </c>
      <c r="I1443" s="16" t="str">
        <f>IFERROR(VLOOKUP(A1443,Sheet1!$E$3:$G$27,3,0),"")</f>
        <v>integrasi LAN dan validasi alarm</v>
      </c>
      <c r="J1443" s="12" t="s">
        <v>112</v>
      </c>
      <c r="K1443" s="17">
        <v>46071.0</v>
      </c>
      <c r="L1443" s="17"/>
      <c r="M1443" s="12" t="s">
        <v>137</v>
      </c>
      <c r="N1443" s="23"/>
      <c r="O1443" s="22"/>
      <c r="P1443" s="22"/>
    </row>
    <row r="1444" ht="22.5" customHeight="1">
      <c r="A1444" s="12" t="s">
        <v>10</v>
      </c>
      <c r="B1444" s="20" t="str">
        <f>IFERROR(VLOOKUP(A1444,Sheet1!$E$3:$H$27,4,0),"")</f>
        <v>P1</v>
      </c>
      <c r="C1444" s="14" t="s">
        <v>579</v>
      </c>
      <c r="D1444" s="12" t="s">
        <v>58</v>
      </c>
      <c r="E1444" s="13" t="str">
        <f>IFERROR(VLOOKUP(D1444,Sheet1!$B$1:$C$45,2,0),"")</f>
        <v>TE</v>
      </c>
      <c r="F1444" s="12" t="s">
        <v>179</v>
      </c>
      <c r="G1444" s="13" t="str">
        <f t="shared" si="5"/>
        <v>Palangkaraya</v>
      </c>
      <c r="H1444" s="15" t="str">
        <f>IFERROR(VLOOKUP(A1444,Sheet1!$E$3:$F$27,2,),"")</f>
        <v>Corrective</v>
      </c>
      <c r="I1444" s="16" t="str">
        <f>IFERROR(VLOOKUP(A1444,Sheet1!$E$3:$G$27,3,0),"")</f>
        <v>Replace Jumper,antena/RRU</v>
      </c>
      <c r="J1444" s="12" t="s">
        <v>112</v>
      </c>
      <c r="K1444" s="17">
        <v>46071.0</v>
      </c>
      <c r="L1444" s="17"/>
      <c r="M1444" s="12" t="s">
        <v>137</v>
      </c>
      <c r="N1444" s="23"/>
      <c r="O1444" s="22"/>
      <c r="P1444" s="22"/>
    </row>
    <row r="1445" ht="22.5" customHeight="1">
      <c r="A1445" s="12" t="s">
        <v>5</v>
      </c>
      <c r="B1445" s="20" t="str">
        <f>IFERROR(VLOOKUP(A1445,Sheet1!$E$3:$H$27,4,0),"")</f>
        <v>P1</v>
      </c>
      <c r="C1445" s="14" t="s">
        <v>567</v>
      </c>
      <c r="D1445" s="12" t="s">
        <v>71</v>
      </c>
      <c r="E1445" s="13" t="str">
        <f>IFERROR(VLOOKUP(D1445,Sheet1!$B$1:$C$45,2,0),"")</f>
        <v>TE</v>
      </c>
      <c r="F1445" s="12" t="s">
        <v>179</v>
      </c>
      <c r="G1445" s="13" t="str">
        <f t="shared" si="5"/>
        <v>Palangkaraya</v>
      </c>
      <c r="H1445" s="15" t="str">
        <f>IFERROR(VLOOKUP(A1445,Sheet1!$E$3:$F$27,2,),"")</f>
        <v>Corrective</v>
      </c>
      <c r="I1445" s="16" t="str">
        <f>IFERROR(VLOOKUP(A1445,Sheet1!$E$3:$G$27,3,0),"")</f>
        <v>Replace Optik,RRU/Soket Power/Replace GPS</v>
      </c>
      <c r="J1445" s="12" t="s">
        <v>112</v>
      </c>
      <c r="K1445" s="17">
        <v>46071.0</v>
      </c>
      <c r="L1445" s="17"/>
      <c r="M1445" s="12" t="s">
        <v>137</v>
      </c>
      <c r="N1445" s="23"/>
      <c r="O1445" s="22"/>
      <c r="P1445" s="22"/>
    </row>
    <row r="1446" ht="22.5" customHeight="1">
      <c r="A1446" s="12" t="s">
        <v>5</v>
      </c>
      <c r="B1446" s="20" t="str">
        <f>IFERROR(VLOOKUP(A1446,Sheet1!$E$3:$H$27,4,0),"")</f>
        <v>P1</v>
      </c>
      <c r="C1446" s="14" t="s">
        <v>235</v>
      </c>
      <c r="D1446" s="12" t="s">
        <v>69</v>
      </c>
      <c r="E1446" s="13" t="str">
        <f>IFERROR(VLOOKUP(D1446,Sheet1!$B$1:$C$45,2,0),"")</f>
        <v>TE</v>
      </c>
      <c r="F1446" s="12" t="s">
        <v>179</v>
      </c>
      <c r="G1446" s="13" t="str">
        <f t="shared" si="5"/>
        <v>Palangkaraya</v>
      </c>
      <c r="H1446" s="15" t="str">
        <f>IFERROR(VLOOKUP(A1446,Sheet1!$E$3:$F$27,2,),"")</f>
        <v>Corrective</v>
      </c>
      <c r="I1446" s="16" t="str">
        <f>IFERROR(VLOOKUP(A1446,Sheet1!$E$3:$G$27,3,0),"")</f>
        <v>Replace Optik,RRU/Soket Power/Replace GPS</v>
      </c>
      <c r="J1446" s="12" t="s">
        <v>112</v>
      </c>
      <c r="K1446" s="17">
        <v>46071.0</v>
      </c>
      <c r="L1446" s="17"/>
      <c r="M1446" s="12" t="s">
        <v>137</v>
      </c>
      <c r="N1446" s="23"/>
      <c r="O1446" s="22"/>
      <c r="P1446" s="22"/>
    </row>
    <row r="1447" ht="22.5" customHeight="1">
      <c r="A1447" s="12" t="s">
        <v>52</v>
      </c>
      <c r="B1447" s="20" t="str">
        <f>IFERROR(VLOOKUP(A1447,Sheet1!$E$3:$H$27,4,0),"")</f>
        <v>P1</v>
      </c>
      <c r="C1447" s="14" t="s">
        <v>346</v>
      </c>
      <c r="D1447" s="12" t="s">
        <v>56</v>
      </c>
      <c r="E1447" s="13" t="str">
        <f>IFERROR(VLOOKUP(D1447,Sheet1!$B$1:$C$45,2,0),"")</f>
        <v>TE</v>
      </c>
      <c r="F1447" s="12" t="s">
        <v>179</v>
      </c>
      <c r="G1447" s="13" t="str">
        <f t="shared" si="5"/>
        <v>Palangkaraya</v>
      </c>
      <c r="H1447" s="15" t="str">
        <f>IFERROR(VLOOKUP(A1447,Sheet1!$E$3:$F$27,2,),"")</f>
        <v>Preventive</v>
      </c>
      <c r="I1447" s="16" t="str">
        <f>IFERROR(VLOOKUP(A1447,Sheet1!$E$3:$G$27,3,0),"")</f>
        <v>MCB trip/Power upnormal</v>
      </c>
      <c r="J1447" s="12" t="s">
        <v>112</v>
      </c>
      <c r="K1447" s="17">
        <v>46071.0</v>
      </c>
      <c r="L1447" s="17"/>
      <c r="M1447" s="12" t="s">
        <v>137</v>
      </c>
      <c r="N1447" s="23"/>
      <c r="O1447" s="22"/>
      <c r="P1447" s="22"/>
    </row>
    <row r="1448" ht="22.5" customHeight="1">
      <c r="A1448" s="12" t="s">
        <v>22</v>
      </c>
      <c r="B1448" s="20" t="str">
        <f>IFERROR(VLOOKUP(A1448,Sheet1!$E$3:$H$27,4,0),"")</f>
        <v>P2</v>
      </c>
      <c r="C1448" s="14"/>
      <c r="D1448" s="12" t="s">
        <v>83</v>
      </c>
      <c r="E1448" s="13" t="str">
        <f>IFERROR(VLOOKUP(D1448,Sheet1!$B$1:$C$45,2,0),"")</f>
        <v>PM</v>
      </c>
      <c r="F1448" s="12" t="s">
        <v>179</v>
      </c>
      <c r="G1448" s="13" t="str">
        <f t="shared" si="5"/>
        <v>Palangkaraya</v>
      </c>
      <c r="H1448" s="15" t="str">
        <f>IFERROR(VLOOKUP(A1448,Sheet1!$E$3:$F$27,2,),"")</f>
        <v>Preventive</v>
      </c>
      <c r="I1448" s="16" t="str">
        <f>IFERROR(VLOOKUP(A1448,Sheet1!$E$3:$G$27,3,0),"")</f>
        <v>Preventive Maintenance</v>
      </c>
      <c r="J1448" s="12" t="s">
        <v>112</v>
      </c>
      <c r="K1448" s="17">
        <v>46071.0</v>
      </c>
      <c r="L1448" s="17"/>
      <c r="M1448" s="12" t="s">
        <v>137</v>
      </c>
      <c r="N1448" s="23"/>
      <c r="O1448" s="22"/>
      <c r="P1448" s="22"/>
    </row>
    <row r="1449" ht="22.5" customHeight="1">
      <c r="A1449" s="12" t="s">
        <v>22</v>
      </c>
      <c r="B1449" s="20" t="str">
        <f>IFERROR(VLOOKUP(A1449,Sheet1!$E$3:$H$27,4,0),"")</f>
        <v>P2</v>
      </c>
      <c r="C1449" s="14"/>
      <c r="D1449" s="12" t="s">
        <v>82</v>
      </c>
      <c r="E1449" s="13" t="str">
        <f>IFERROR(VLOOKUP(D1449,Sheet1!$B$1:$C$45,2,0),"")</f>
        <v>PM</v>
      </c>
      <c r="F1449" s="12" t="s">
        <v>179</v>
      </c>
      <c r="G1449" s="13" t="str">
        <f t="shared" si="5"/>
        <v>Palangkaraya</v>
      </c>
      <c r="H1449" s="15" t="str">
        <f>IFERROR(VLOOKUP(A1449,Sheet1!$E$3:$F$27,2,),"")</f>
        <v>Preventive</v>
      </c>
      <c r="I1449" s="16" t="str">
        <f>IFERROR(VLOOKUP(A1449,Sheet1!$E$3:$G$27,3,0),"")</f>
        <v>Preventive Maintenance</v>
      </c>
      <c r="J1449" s="12" t="s">
        <v>112</v>
      </c>
      <c r="K1449" s="17">
        <v>46071.0</v>
      </c>
      <c r="L1449" s="17"/>
      <c r="M1449" s="12" t="s">
        <v>137</v>
      </c>
      <c r="N1449" s="23"/>
      <c r="O1449" s="22"/>
      <c r="P1449" s="22"/>
    </row>
    <row r="1450" ht="22.5" customHeight="1">
      <c r="A1450" s="12" t="s">
        <v>22</v>
      </c>
      <c r="B1450" s="20" t="str">
        <f>IFERROR(VLOOKUP(A1450,Sheet1!$E$3:$H$27,4,0),"")</f>
        <v>P2</v>
      </c>
      <c r="C1450" s="14"/>
      <c r="D1450" s="12" t="s">
        <v>75</v>
      </c>
      <c r="E1450" s="13" t="str">
        <f>IFERROR(VLOOKUP(D1450,Sheet1!$B$1:$C$45,2,0),"")</f>
        <v>CME</v>
      </c>
      <c r="F1450" s="12" t="s">
        <v>179</v>
      </c>
      <c r="G1450" s="13" t="str">
        <f t="shared" si="5"/>
        <v>Palangkaraya</v>
      </c>
      <c r="H1450" s="15" t="str">
        <f>IFERROR(VLOOKUP(A1450,Sheet1!$E$3:$F$27,2,),"")</f>
        <v>Preventive</v>
      </c>
      <c r="I1450" s="16" t="str">
        <f>IFERROR(VLOOKUP(A1450,Sheet1!$E$3:$G$27,3,0),"")</f>
        <v>Preventive Maintenance</v>
      </c>
      <c r="J1450" s="12" t="s">
        <v>112</v>
      </c>
      <c r="K1450" s="17">
        <v>46071.0</v>
      </c>
      <c r="L1450" s="17"/>
      <c r="M1450" s="12" t="s">
        <v>137</v>
      </c>
      <c r="N1450" s="23"/>
      <c r="O1450" s="22"/>
      <c r="P1450" s="22"/>
    </row>
    <row r="1451" ht="22.5" customHeight="1">
      <c r="A1451" s="12" t="s">
        <v>65</v>
      </c>
      <c r="B1451" s="20" t="str">
        <f>IFERROR(VLOOKUP(A1451,Sheet1!$E$3:$H$27,4,0),"")</f>
        <v>P3</v>
      </c>
      <c r="C1451" s="14"/>
      <c r="D1451" s="12" t="s">
        <v>54</v>
      </c>
      <c r="E1451" s="13" t="str">
        <f>IFERROR(VLOOKUP(D1451,Sheet1!$B$1:$C$45,2,0),"")</f>
        <v>MBP</v>
      </c>
      <c r="F1451" s="12" t="s">
        <v>179</v>
      </c>
      <c r="G1451" s="13" t="str">
        <f t="shared" si="5"/>
        <v>Palangkaraya</v>
      </c>
      <c r="H1451" s="15" t="str">
        <f>IFERROR(VLOOKUP(A1451,Sheet1!$E$3:$F$27,2,),"")</f>
        <v>Standby</v>
      </c>
      <c r="I1451" s="16" t="str">
        <f>IFERROR(VLOOKUP(A1451,Sheet1!$E$3:$G$27,3,0),"")</f>
        <v>Standby On Call</v>
      </c>
      <c r="J1451" s="12" t="s">
        <v>66</v>
      </c>
      <c r="K1451" s="17">
        <v>46071.0</v>
      </c>
      <c r="L1451" s="17"/>
      <c r="M1451" s="12" t="s">
        <v>137</v>
      </c>
      <c r="N1451" s="23"/>
      <c r="O1451" s="22"/>
      <c r="P1451" s="22"/>
    </row>
    <row r="1452" ht="22.5" customHeight="1">
      <c r="A1452" s="12" t="s">
        <v>22</v>
      </c>
      <c r="B1452" s="20" t="str">
        <f>IFERROR(VLOOKUP(A1452,Sheet1!$E$3:$H$27,4,0),"")</f>
        <v>P2</v>
      </c>
      <c r="C1452" s="14" t="s">
        <v>182</v>
      </c>
      <c r="D1452" s="12" t="s">
        <v>45</v>
      </c>
      <c r="E1452" s="13" t="str">
        <f>IFERROR(VLOOKUP(D1452,Sheet1!$B$1:$C$45,2,0),"")</f>
        <v>MBP</v>
      </c>
      <c r="F1452" s="12" t="s">
        <v>179</v>
      </c>
      <c r="G1452" s="13" t="str">
        <f t="shared" si="5"/>
        <v>Palangkaraya</v>
      </c>
      <c r="H1452" s="15" t="str">
        <f>IFERROR(VLOOKUP(A1452,Sheet1!$E$3:$F$27,2,),"")</f>
        <v>Preventive</v>
      </c>
      <c r="I1452" s="16" t="str">
        <f>IFERROR(VLOOKUP(A1452,Sheet1!$E$3:$G$27,3,0),"")</f>
        <v>Preventive Maintenance</v>
      </c>
      <c r="J1452" s="12" t="s">
        <v>112</v>
      </c>
      <c r="K1452" s="17">
        <v>46071.0</v>
      </c>
      <c r="L1452" s="17"/>
      <c r="M1452" s="12" t="s">
        <v>137</v>
      </c>
      <c r="N1452" s="23"/>
      <c r="O1452" s="22"/>
      <c r="P1452" s="22"/>
    </row>
    <row r="1453" ht="22.5" customHeight="1">
      <c r="A1453" s="12" t="s">
        <v>65</v>
      </c>
      <c r="B1453" s="20" t="str">
        <f>IFERROR(VLOOKUP(A1453,Sheet1!$E$3:$H$27,4,0),"")</f>
        <v>P3</v>
      </c>
      <c r="C1453" s="15"/>
      <c r="D1453" s="12" t="s">
        <v>64</v>
      </c>
      <c r="E1453" s="12" t="s">
        <v>1</v>
      </c>
      <c r="F1453" s="12" t="s">
        <v>179</v>
      </c>
      <c r="G1453" s="13" t="str">
        <f t="shared" si="5"/>
        <v>Palangkaraya</v>
      </c>
      <c r="H1453" s="15" t="str">
        <f>IFERROR(VLOOKUP(A1453,Sheet1!$E$3:$F$27,2,),"")</f>
        <v>Standby</v>
      </c>
      <c r="I1453" s="16" t="str">
        <f>IFERROR(VLOOKUP(A1453,Sheet1!$E$3:$G$27,3,0),"")</f>
        <v>Standby On Call</v>
      </c>
      <c r="J1453" s="12" t="s">
        <v>66</v>
      </c>
      <c r="K1453" s="17">
        <v>46071.0</v>
      </c>
      <c r="L1453" s="17"/>
      <c r="M1453" s="12" t="s">
        <v>137</v>
      </c>
      <c r="N1453" s="23"/>
      <c r="O1453" s="22"/>
      <c r="P1453" s="22"/>
    </row>
    <row r="1454" ht="22.5" customHeight="1">
      <c r="A1454" s="12" t="s">
        <v>14</v>
      </c>
      <c r="B1454" s="20" t="str">
        <f>IFERROR(VLOOKUP(A1454,Sheet1!$E$3:$H$27,4,0),"")</f>
        <v>P1</v>
      </c>
      <c r="C1454" s="14" t="s">
        <v>183</v>
      </c>
      <c r="D1454" s="12" t="s">
        <v>12</v>
      </c>
      <c r="E1454" s="13" t="str">
        <f>IFERROR(VLOOKUP(D1454,Sheet1!$B$1:$C$45,2,0),"")</f>
        <v>TE</v>
      </c>
      <c r="F1454" s="12" t="s">
        <v>108</v>
      </c>
      <c r="G1454" s="13" t="str">
        <f t="shared" si="5"/>
        <v>Barito Raya</v>
      </c>
      <c r="H1454" s="15" t="str">
        <f>IFERROR(VLOOKUP(A1454,Sheet1!$E$3:$F$27,2,),"")</f>
        <v>Corrective</v>
      </c>
      <c r="I1454" s="16" t="str">
        <f>IFERROR(VLOOKUP(A1454,Sheet1!$E$3:$G$27,3,0),"")</f>
        <v>Pemadaman,MCB Trip,Transmisi problem</v>
      </c>
      <c r="J1454" s="12" t="s">
        <v>112</v>
      </c>
      <c r="K1454" s="17">
        <v>46071.0</v>
      </c>
      <c r="L1454" s="17">
        <v>46071.0</v>
      </c>
      <c r="M1454" s="12" t="s">
        <v>109</v>
      </c>
      <c r="N1454" s="18" t="s">
        <v>580</v>
      </c>
      <c r="O1454" s="19"/>
      <c r="P1454" s="19"/>
    </row>
    <row r="1455" ht="22.5" customHeight="1">
      <c r="A1455" s="12" t="s">
        <v>5</v>
      </c>
      <c r="B1455" s="20" t="str">
        <f>IFERROR(VLOOKUP(A1455,Sheet1!$E$3:$H$27,4,0),"")</f>
        <v>P1</v>
      </c>
      <c r="C1455" s="14" t="s">
        <v>573</v>
      </c>
      <c r="D1455" s="12" t="s">
        <v>16</v>
      </c>
      <c r="E1455" s="13" t="str">
        <f>IFERROR(VLOOKUP(D1455,Sheet1!$B$1:$C$45,2,0),"")</f>
        <v>TE</v>
      </c>
      <c r="F1455" s="12" t="s">
        <v>108</v>
      </c>
      <c r="G1455" s="13" t="str">
        <f t="shared" si="5"/>
        <v>Barito Raya</v>
      </c>
      <c r="H1455" s="15" t="str">
        <f>IFERROR(VLOOKUP(A1455,Sheet1!$E$3:$F$27,2,),"")</f>
        <v>Corrective</v>
      </c>
      <c r="I1455" s="16" t="str">
        <f>IFERROR(VLOOKUP(A1455,Sheet1!$E$3:$G$27,3,0),"")</f>
        <v>Replace Optik,RRU/Soket Power/Replace GPS</v>
      </c>
      <c r="J1455" s="12" t="s">
        <v>172</v>
      </c>
      <c r="K1455" s="17">
        <v>46071.0</v>
      </c>
      <c r="L1455" s="17">
        <v>46071.0</v>
      </c>
      <c r="M1455" s="12" t="s">
        <v>122</v>
      </c>
      <c r="N1455" s="18" t="s">
        <v>581</v>
      </c>
      <c r="O1455" s="19"/>
      <c r="P1455" s="19"/>
    </row>
    <row r="1456" ht="22.5" customHeight="1">
      <c r="A1456" s="12" t="s">
        <v>5</v>
      </c>
      <c r="B1456" s="20" t="str">
        <f>IFERROR(VLOOKUP(A1456,Sheet1!$E$3:$H$27,4,0),"")</f>
        <v>P1</v>
      </c>
      <c r="C1456" s="14" t="s">
        <v>573</v>
      </c>
      <c r="D1456" s="12" t="s">
        <v>21</v>
      </c>
      <c r="E1456" s="13" t="str">
        <f>IFERROR(VLOOKUP(D1456,Sheet1!$B$1:$C$45,2,0),"")</f>
        <v>TE</v>
      </c>
      <c r="F1456" s="12" t="s">
        <v>108</v>
      </c>
      <c r="G1456" s="13" t="str">
        <f t="shared" si="5"/>
        <v>Barito Raya</v>
      </c>
      <c r="H1456" s="15" t="str">
        <f>IFERROR(VLOOKUP(A1456,Sheet1!$E$3:$F$27,2,),"")</f>
        <v>Corrective</v>
      </c>
      <c r="I1456" s="16" t="str">
        <f>IFERROR(VLOOKUP(A1456,Sheet1!$E$3:$G$27,3,0),"")</f>
        <v>Replace Optik,RRU/Soket Power/Replace GPS</v>
      </c>
      <c r="J1456" s="12" t="s">
        <v>172</v>
      </c>
      <c r="K1456" s="17">
        <v>46071.0</v>
      </c>
      <c r="L1456" s="17">
        <v>46071.0</v>
      </c>
      <c r="M1456" s="12" t="s">
        <v>122</v>
      </c>
      <c r="N1456" s="18" t="s">
        <v>581</v>
      </c>
      <c r="O1456" s="19"/>
      <c r="P1456" s="19"/>
    </row>
    <row r="1457" ht="22.5" customHeight="1">
      <c r="A1457" s="12" t="s">
        <v>30</v>
      </c>
      <c r="B1457" s="20" t="str">
        <f>IFERROR(VLOOKUP(A1457,Sheet1!$E$3:$H$27,4,0),"")</f>
        <v>P3</v>
      </c>
      <c r="C1457" s="14" t="s">
        <v>274</v>
      </c>
      <c r="D1457" s="12" t="s">
        <v>26</v>
      </c>
      <c r="E1457" s="13" t="str">
        <f>IFERROR(VLOOKUP(D1457,Sheet1!$B$1:$C$45,2,0),"")</f>
        <v>TE</v>
      </c>
      <c r="F1457" s="12" t="s">
        <v>108</v>
      </c>
      <c r="G1457" s="13" t="str">
        <f t="shared" si="5"/>
        <v>Barito Raya</v>
      </c>
      <c r="H1457" s="15" t="str">
        <f>IFERROR(VLOOKUP(A1457,Sheet1!$E$3:$F$27,2,),"")</f>
        <v>Preventive</v>
      </c>
      <c r="I1457" s="16" t="str">
        <f>IFERROR(VLOOKUP(A1457,Sheet1!$E$3:$G$27,3,0),"")</f>
        <v>Pengawalan akses Vendor</v>
      </c>
      <c r="J1457" s="12" t="s">
        <v>112</v>
      </c>
      <c r="K1457" s="17">
        <v>46071.0</v>
      </c>
      <c r="L1457" s="17">
        <v>46071.0</v>
      </c>
      <c r="M1457" s="12" t="s">
        <v>109</v>
      </c>
      <c r="N1457" s="23"/>
      <c r="O1457" s="22"/>
      <c r="P1457" s="22"/>
    </row>
    <row r="1458" ht="22.5" customHeight="1">
      <c r="A1458" s="12" t="s">
        <v>14</v>
      </c>
      <c r="B1458" s="20" t="str">
        <f>IFERROR(VLOOKUP(A1458,Sheet1!$E$3:$H$27,4,0),"")</f>
        <v>P1</v>
      </c>
      <c r="C1458" s="14" t="s">
        <v>582</v>
      </c>
      <c r="D1458" s="12" t="s">
        <v>88</v>
      </c>
      <c r="E1458" s="13" t="str">
        <f>IFERROR(VLOOKUP(D1458,Sheet1!$B$1:$C$45,2,0),"")</f>
        <v>TE</v>
      </c>
      <c r="F1458" s="12" t="s">
        <v>108</v>
      </c>
      <c r="G1458" s="13" t="str">
        <f t="shared" si="5"/>
        <v>Barito Raya</v>
      </c>
      <c r="H1458" s="15" t="str">
        <f>IFERROR(VLOOKUP(A1458,Sheet1!$E$3:$F$27,2,),"")</f>
        <v>Corrective</v>
      </c>
      <c r="I1458" s="16" t="str">
        <f>IFERROR(VLOOKUP(A1458,Sheet1!$E$3:$G$27,3,0),"")</f>
        <v>Pemadaman,MCB Trip,Transmisi problem</v>
      </c>
      <c r="J1458" s="12" t="s">
        <v>112</v>
      </c>
      <c r="K1458" s="17">
        <v>46071.0</v>
      </c>
      <c r="L1458" s="17">
        <v>46071.0</v>
      </c>
      <c r="M1458" s="12" t="s">
        <v>109</v>
      </c>
      <c r="N1458" s="23"/>
      <c r="O1458" s="22"/>
      <c r="P1458" s="22"/>
    </row>
    <row r="1459" ht="22.5" customHeight="1">
      <c r="A1459" s="12" t="s">
        <v>14</v>
      </c>
      <c r="B1459" s="20" t="str">
        <f>IFERROR(VLOOKUP(A1459,Sheet1!$E$3:$H$27,4,0),"")</f>
        <v>P1</v>
      </c>
      <c r="C1459" s="14" t="s">
        <v>570</v>
      </c>
      <c r="D1459" s="12" t="s">
        <v>32</v>
      </c>
      <c r="E1459" s="13" t="str">
        <f>IFERROR(VLOOKUP(D1459,Sheet1!$B$1:$C$45,2,0),"")</f>
        <v>TE</v>
      </c>
      <c r="F1459" s="12" t="s">
        <v>108</v>
      </c>
      <c r="G1459" s="13" t="str">
        <f t="shared" si="5"/>
        <v>Barito Raya</v>
      </c>
      <c r="H1459" s="15" t="str">
        <f>IFERROR(VLOOKUP(A1459,Sheet1!$E$3:$F$27,2,),"")</f>
        <v>Corrective</v>
      </c>
      <c r="I1459" s="16" t="str">
        <f>IFERROR(VLOOKUP(A1459,Sheet1!$E$3:$G$27,3,0),"")</f>
        <v>Pemadaman,MCB Trip,Transmisi problem</v>
      </c>
      <c r="J1459" s="12" t="s">
        <v>112</v>
      </c>
      <c r="K1459" s="17">
        <v>46071.0</v>
      </c>
      <c r="L1459" s="17">
        <v>46071.0</v>
      </c>
      <c r="M1459" s="12" t="s">
        <v>109</v>
      </c>
      <c r="N1459" s="23"/>
      <c r="O1459" s="22"/>
      <c r="P1459" s="22"/>
    </row>
    <row r="1460" ht="22.5" customHeight="1">
      <c r="A1460" s="12" t="s">
        <v>52</v>
      </c>
      <c r="B1460" s="20" t="str">
        <f>IFERROR(VLOOKUP(A1460,Sheet1!$E$3:$H$27,4,0),"")</f>
        <v>P1</v>
      </c>
      <c r="C1460" s="14" t="s">
        <v>212</v>
      </c>
      <c r="D1460" s="12" t="s">
        <v>74</v>
      </c>
      <c r="E1460" s="13" t="str">
        <f>IFERROR(VLOOKUP(D1460,Sheet1!$B$1:$C$45,2,0),"")</f>
        <v>TE</v>
      </c>
      <c r="F1460" s="12" t="s">
        <v>108</v>
      </c>
      <c r="G1460" s="13" t="str">
        <f t="shared" si="5"/>
        <v>Barito Raya</v>
      </c>
      <c r="H1460" s="15" t="str">
        <f>IFERROR(VLOOKUP(A1460,Sheet1!$E$3:$F$27,2,),"")</f>
        <v>Preventive</v>
      </c>
      <c r="I1460" s="16" t="str">
        <f>IFERROR(VLOOKUP(A1460,Sheet1!$E$3:$G$27,3,0),"")</f>
        <v>MCB trip/Power upnormal</v>
      </c>
      <c r="J1460" s="12" t="s">
        <v>112</v>
      </c>
      <c r="K1460" s="17">
        <v>46071.0</v>
      </c>
      <c r="L1460" s="17">
        <v>46071.0</v>
      </c>
      <c r="M1460" s="12" t="s">
        <v>109</v>
      </c>
      <c r="N1460" s="23"/>
      <c r="O1460" s="22"/>
      <c r="P1460" s="22"/>
    </row>
    <row r="1461" ht="22.5" customHeight="1">
      <c r="A1461" s="12" t="s">
        <v>5</v>
      </c>
      <c r="B1461" s="20" t="str">
        <f>IFERROR(VLOOKUP(A1461,Sheet1!$E$3:$H$27,4,0),"")</f>
        <v>P1</v>
      </c>
      <c r="C1461" s="14" t="s">
        <v>383</v>
      </c>
      <c r="D1461" s="12" t="s">
        <v>60</v>
      </c>
      <c r="E1461" s="13" t="str">
        <f>IFERROR(VLOOKUP(D1461,Sheet1!$B$1:$C$45,2,0),"")</f>
        <v>TE</v>
      </c>
      <c r="F1461" s="12" t="s">
        <v>108</v>
      </c>
      <c r="G1461" s="13" t="str">
        <f t="shared" si="5"/>
        <v>Barito Raya</v>
      </c>
      <c r="H1461" s="15" t="str">
        <f>IFERROR(VLOOKUP(A1461,Sheet1!$E$3:$F$27,2,),"")</f>
        <v>Corrective</v>
      </c>
      <c r="I1461" s="16" t="str">
        <f>IFERROR(VLOOKUP(A1461,Sheet1!$E$3:$G$27,3,0),"")</f>
        <v>Replace Optik,RRU/Soket Power/Replace GPS</v>
      </c>
      <c r="J1461" s="12" t="s">
        <v>112</v>
      </c>
      <c r="K1461" s="17">
        <v>46071.0</v>
      </c>
      <c r="L1461" s="17">
        <v>46071.0</v>
      </c>
      <c r="M1461" s="12" t="s">
        <v>109</v>
      </c>
      <c r="N1461" s="23"/>
      <c r="O1461" s="22"/>
      <c r="P1461" s="22"/>
    </row>
    <row r="1462" ht="22.5" customHeight="1">
      <c r="A1462" s="12" t="s">
        <v>14</v>
      </c>
      <c r="B1462" s="20" t="str">
        <f>IFERROR(VLOOKUP(A1462,Sheet1!$E$3:$H$27,4,0),"")</f>
        <v>P1</v>
      </c>
      <c r="C1462" s="14" t="s">
        <v>436</v>
      </c>
      <c r="D1462" s="12" t="s">
        <v>62</v>
      </c>
      <c r="E1462" s="13" t="str">
        <f>IFERROR(VLOOKUP(D1462,Sheet1!$B$1:$C$45,2,0),"")</f>
        <v>TE</v>
      </c>
      <c r="F1462" s="12" t="s">
        <v>108</v>
      </c>
      <c r="G1462" s="13" t="str">
        <f t="shared" si="5"/>
        <v>Barito Raya</v>
      </c>
      <c r="H1462" s="15" t="str">
        <f>IFERROR(VLOOKUP(A1462,Sheet1!$E$3:$F$27,2,),"")</f>
        <v>Corrective</v>
      </c>
      <c r="I1462" s="16" t="str">
        <f>IFERROR(VLOOKUP(A1462,Sheet1!$E$3:$G$27,3,0),"")</f>
        <v>Pemadaman,MCB Trip,Transmisi problem</v>
      </c>
      <c r="J1462" s="12" t="s">
        <v>112</v>
      </c>
      <c r="K1462" s="17">
        <v>46071.0</v>
      </c>
      <c r="L1462" s="17">
        <v>46071.0</v>
      </c>
      <c r="M1462" s="12" t="s">
        <v>109</v>
      </c>
      <c r="N1462" s="23"/>
      <c r="O1462" s="22"/>
      <c r="P1462" s="22"/>
    </row>
    <row r="1463" ht="22.5" customHeight="1">
      <c r="A1463" s="12" t="s">
        <v>22</v>
      </c>
      <c r="B1463" s="20" t="str">
        <f>IFERROR(VLOOKUP(A1463,Sheet1!$E$3:$H$27,4,0),"")</f>
        <v>P2</v>
      </c>
      <c r="C1463" s="15"/>
      <c r="D1463" s="12" t="s">
        <v>9</v>
      </c>
      <c r="E1463" s="13" t="str">
        <f>IFERROR(VLOOKUP(D1463,Sheet1!$B$1:$C$45,2,0),"")</f>
        <v>MBP</v>
      </c>
      <c r="F1463" s="12" t="s">
        <v>108</v>
      </c>
      <c r="G1463" s="13" t="str">
        <f t="shared" si="5"/>
        <v>Barito Raya</v>
      </c>
      <c r="H1463" s="15" t="str">
        <f>IFERROR(VLOOKUP(A1463,Sheet1!$E$3:$F$27,2,),"")</f>
        <v>Preventive</v>
      </c>
      <c r="I1463" s="16" t="str">
        <f>IFERROR(VLOOKUP(A1463,Sheet1!$E$3:$G$27,3,0),"")</f>
        <v>Preventive Maintenance</v>
      </c>
      <c r="J1463" s="12" t="s">
        <v>112</v>
      </c>
      <c r="K1463" s="17">
        <v>46071.0</v>
      </c>
      <c r="L1463" s="17">
        <v>46071.0</v>
      </c>
      <c r="M1463" s="12" t="s">
        <v>109</v>
      </c>
      <c r="N1463" s="23"/>
      <c r="O1463" s="22"/>
      <c r="P1463" s="22"/>
    </row>
    <row r="1464" ht="22.5" customHeight="1">
      <c r="A1464" s="12" t="s">
        <v>65</v>
      </c>
      <c r="B1464" s="20" t="str">
        <f>IFERROR(VLOOKUP(A1464,Sheet1!$E$3:$H$27,4,0),"")</f>
        <v>P3</v>
      </c>
      <c r="C1464" s="15"/>
      <c r="D1464" s="12" t="s">
        <v>4</v>
      </c>
      <c r="E1464" s="13" t="str">
        <f>IFERROR(VLOOKUP(D1464,Sheet1!$B$1:$C$45,2,0),"")</f>
        <v>CME</v>
      </c>
      <c r="F1464" s="12" t="s">
        <v>108</v>
      </c>
      <c r="G1464" s="13" t="str">
        <f t="shared" si="5"/>
        <v>Barito Raya</v>
      </c>
      <c r="H1464" s="15" t="str">
        <f>IFERROR(VLOOKUP(A1464,Sheet1!$E$3:$F$27,2,),"")</f>
        <v>Standby</v>
      </c>
      <c r="I1464" s="16" t="str">
        <f>IFERROR(VLOOKUP(A1464,Sheet1!$E$3:$G$27,3,0),"")</f>
        <v>Standby On Call</v>
      </c>
      <c r="J1464" s="20"/>
      <c r="K1464" s="17">
        <v>46071.0</v>
      </c>
      <c r="L1464" s="17">
        <v>46071.0</v>
      </c>
      <c r="M1464" s="13"/>
      <c r="N1464" s="23"/>
      <c r="O1464" s="22"/>
      <c r="P1464" s="22"/>
    </row>
    <row r="1465" ht="22.5" customHeight="1">
      <c r="A1465" s="12" t="s">
        <v>65</v>
      </c>
      <c r="B1465" s="20" t="str">
        <f>IFERROR(VLOOKUP(A1465,Sheet1!$E$3:$H$27,4,0),"")</f>
        <v>P3</v>
      </c>
      <c r="C1465" s="15"/>
      <c r="D1465" s="12" t="s">
        <v>87</v>
      </c>
      <c r="E1465" s="13" t="str">
        <f>IFERROR(VLOOKUP(D1465,Sheet1!$B$1:$C$45,2,0),"")</f>
        <v>MBP</v>
      </c>
      <c r="F1465" s="12" t="s">
        <v>108</v>
      </c>
      <c r="G1465" s="13" t="str">
        <f t="shared" si="5"/>
        <v>Barito Raya</v>
      </c>
      <c r="H1465" s="15" t="str">
        <f>IFERROR(VLOOKUP(A1465,Sheet1!$E$3:$F$27,2,),"")</f>
        <v>Standby</v>
      </c>
      <c r="I1465" s="16" t="str">
        <f>IFERROR(VLOOKUP(A1465,Sheet1!$E$3:$G$27,3,0),"")</f>
        <v>Standby On Call</v>
      </c>
      <c r="J1465" s="20"/>
      <c r="K1465" s="17">
        <v>46071.0</v>
      </c>
      <c r="L1465" s="17">
        <v>46071.0</v>
      </c>
      <c r="M1465" s="13"/>
      <c r="N1465" s="23"/>
      <c r="O1465" s="22"/>
      <c r="P1465" s="22"/>
    </row>
    <row r="1466" ht="22.5" customHeight="1">
      <c r="A1466" s="12" t="s">
        <v>14</v>
      </c>
      <c r="B1466" s="20" t="str">
        <f>IFERROR(VLOOKUP(A1466,Sheet1!$E$3:$H$27,4,0),"")</f>
        <v>P1</v>
      </c>
      <c r="C1466" s="14" t="s">
        <v>289</v>
      </c>
      <c r="D1466" s="12" t="s">
        <v>29</v>
      </c>
      <c r="E1466" s="13" t="str">
        <f>IFERROR(VLOOKUP(D1466,Sheet1!$B$1:$C$45,2,0),"")</f>
        <v>MBP</v>
      </c>
      <c r="F1466" s="12" t="s">
        <v>108</v>
      </c>
      <c r="G1466" s="13" t="str">
        <f t="shared" si="5"/>
        <v>Barito Raya</v>
      </c>
      <c r="H1466" s="15" t="str">
        <f>IFERROR(VLOOKUP(A1466,Sheet1!$E$3:$F$27,2,),"")</f>
        <v>Corrective</v>
      </c>
      <c r="I1466" s="16" t="str">
        <f>IFERROR(VLOOKUP(A1466,Sheet1!$E$3:$G$27,3,0),"")</f>
        <v>Pemadaman,MCB Trip,Transmisi problem</v>
      </c>
      <c r="J1466" s="12" t="s">
        <v>112</v>
      </c>
      <c r="K1466" s="17">
        <v>46071.0</v>
      </c>
      <c r="L1466" s="17">
        <v>46071.0</v>
      </c>
      <c r="M1466" s="12" t="s">
        <v>109</v>
      </c>
      <c r="N1466" s="23"/>
      <c r="O1466" s="22"/>
      <c r="P1466" s="22"/>
    </row>
    <row r="1467" ht="22.5" customHeight="1">
      <c r="A1467" s="12" t="s">
        <v>65</v>
      </c>
      <c r="B1467" s="20" t="str">
        <f>IFERROR(VLOOKUP(A1467,Sheet1!$E$3:$H$27,4,0),"")</f>
        <v>P3</v>
      </c>
      <c r="C1467" s="15"/>
      <c r="D1467" s="12" t="s">
        <v>2</v>
      </c>
      <c r="E1467" s="13" t="str">
        <f>IFERROR(VLOOKUP(D1467,Sheet1!$B$1:$C$45,2,0),"")</f>
        <v>CME</v>
      </c>
      <c r="F1467" s="12" t="s">
        <v>108</v>
      </c>
      <c r="G1467" s="13" t="str">
        <f t="shared" si="5"/>
        <v>Barito Raya</v>
      </c>
      <c r="H1467" s="15" t="str">
        <f>IFERROR(VLOOKUP(A1467,Sheet1!$E$3:$F$27,2,),"")</f>
        <v>Standby</v>
      </c>
      <c r="I1467" s="16" t="str">
        <f>IFERROR(VLOOKUP(A1467,Sheet1!$E$3:$G$27,3,0),"")</f>
        <v>Standby On Call</v>
      </c>
      <c r="J1467" s="20"/>
      <c r="K1467" s="17">
        <v>46071.0</v>
      </c>
      <c r="L1467" s="17">
        <v>46071.0</v>
      </c>
      <c r="M1467" s="13"/>
      <c r="N1467" s="23"/>
      <c r="O1467" s="22"/>
      <c r="P1467" s="22"/>
    </row>
    <row r="1468" ht="22.5" customHeight="1">
      <c r="A1468" s="12" t="s">
        <v>65</v>
      </c>
      <c r="B1468" s="20" t="str">
        <f>IFERROR(VLOOKUP(A1468,Sheet1!$E$3:$H$27,4,0),"")</f>
        <v>P3</v>
      </c>
      <c r="C1468" s="15"/>
      <c r="D1468" s="12" t="s">
        <v>0</v>
      </c>
      <c r="E1468" s="13" t="str">
        <f>IFERROR(VLOOKUP(D1468,Sheet1!$B$1:$C$45,2,0),"")</f>
        <v>MBP</v>
      </c>
      <c r="F1468" s="12" t="s">
        <v>108</v>
      </c>
      <c r="G1468" s="13" t="str">
        <f t="shared" si="5"/>
        <v>Barito Raya</v>
      </c>
      <c r="H1468" s="15" t="str">
        <f>IFERROR(VLOOKUP(A1468,Sheet1!$E$3:$F$27,2,),"")</f>
        <v>Standby</v>
      </c>
      <c r="I1468" s="16" t="str">
        <f>IFERROR(VLOOKUP(A1468,Sheet1!$E$3:$G$27,3,0),"")</f>
        <v>Standby On Call</v>
      </c>
      <c r="J1468" s="20"/>
      <c r="K1468" s="17">
        <v>46071.0</v>
      </c>
      <c r="L1468" s="17">
        <v>46071.0</v>
      </c>
      <c r="M1468" s="13"/>
      <c r="N1468" s="23"/>
      <c r="O1468" s="22"/>
      <c r="P1468" s="22"/>
    </row>
    <row r="1469" ht="22.5" customHeight="1">
      <c r="A1469" s="12" t="s">
        <v>22</v>
      </c>
      <c r="B1469" s="20" t="str">
        <f>IFERROR(VLOOKUP(A1469,Sheet1!$E$3:$H$27,4,0),"")</f>
        <v>P2</v>
      </c>
      <c r="C1469" s="14" t="s">
        <v>470</v>
      </c>
      <c r="D1469" s="12" t="s">
        <v>85</v>
      </c>
      <c r="E1469" s="13" t="str">
        <f>IFERROR(VLOOKUP(D1469,Sheet1!$B$1:$C$45,2,0),"")</f>
        <v>PM</v>
      </c>
      <c r="F1469" s="12" t="s">
        <v>108</v>
      </c>
      <c r="G1469" s="13" t="str">
        <f t="shared" si="5"/>
        <v>Barito Raya</v>
      </c>
      <c r="H1469" s="15" t="str">
        <f>IFERROR(VLOOKUP(A1469,Sheet1!$E$3:$F$27,2,),"")</f>
        <v>Preventive</v>
      </c>
      <c r="I1469" s="16" t="str">
        <f>IFERROR(VLOOKUP(A1469,Sheet1!$E$3:$G$27,3,0),"")</f>
        <v>Preventive Maintenance</v>
      </c>
      <c r="J1469" s="12" t="s">
        <v>112</v>
      </c>
      <c r="K1469" s="17">
        <v>46071.0</v>
      </c>
      <c r="L1469" s="17">
        <v>46071.0</v>
      </c>
      <c r="M1469" s="12" t="s">
        <v>109</v>
      </c>
      <c r="N1469" s="23"/>
      <c r="O1469" s="22"/>
      <c r="P1469" s="22"/>
    </row>
    <row r="1470" ht="22.5" customHeight="1">
      <c r="A1470" s="12" t="s">
        <v>22</v>
      </c>
      <c r="B1470" s="20" t="str">
        <f>IFERROR(VLOOKUP(A1470,Sheet1!$E$3:$H$27,4,0),"")</f>
        <v>P2</v>
      </c>
      <c r="C1470" s="14" t="s">
        <v>470</v>
      </c>
      <c r="D1470" s="12" t="s">
        <v>84</v>
      </c>
      <c r="E1470" s="13" t="str">
        <f>IFERROR(VLOOKUP(D1470,Sheet1!$B$1:$C$45,2,0),"")</f>
        <v>MBP</v>
      </c>
      <c r="F1470" s="12" t="s">
        <v>108</v>
      </c>
      <c r="G1470" s="13" t="str">
        <f t="shared" si="5"/>
        <v>Barito Raya</v>
      </c>
      <c r="H1470" s="15" t="str">
        <f>IFERROR(VLOOKUP(A1470,Sheet1!$E$3:$F$27,2,),"")</f>
        <v>Preventive</v>
      </c>
      <c r="I1470" s="16" t="str">
        <f>IFERROR(VLOOKUP(A1470,Sheet1!$E$3:$G$27,3,0),"")</f>
        <v>Preventive Maintenance</v>
      </c>
      <c r="J1470" s="12" t="s">
        <v>112</v>
      </c>
      <c r="K1470" s="17">
        <v>46071.0</v>
      </c>
      <c r="L1470" s="17">
        <v>46071.0</v>
      </c>
      <c r="M1470" s="12" t="s">
        <v>109</v>
      </c>
      <c r="N1470" s="23"/>
      <c r="O1470" s="22"/>
      <c r="P1470" s="22"/>
    </row>
    <row r="1471" ht="22.5" customHeight="1">
      <c r="A1471" s="12" t="s">
        <v>22</v>
      </c>
      <c r="B1471" s="20" t="str">
        <f>IFERROR(VLOOKUP(A1471,Sheet1!$E$3:$H$27,4,0),"")</f>
        <v>P2</v>
      </c>
      <c r="C1471" s="14" t="s">
        <v>163</v>
      </c>
      <c r="D1471" s="12" t="s">
        <v>86</v>
      </c>
      <c r="E1471" s="13" t="str">
        <f>IFERROR(VLOOKUP(D1471,Sheet1!$B$1:$C$45,2,0),"")</f>
        <v>PM</v>
      </c>
      <c r="F1471" s="12" t="s">
        <v>108</v>
      </c>
      <c r="G1471" s="13" t="str">
        <f t="shared" si="5"/>
        <v>Barito Raya</v>
      </c>
      <c r="H1471" s="15" t="str">
        <f>IFERROR(VLOOKUP(A1471,Sheet1!$E$3:$F$27,2,),"")</f>
        <v>Preventive</v>
      </c>
      <c r="I1471" s="16" t="str">
        <f>IFERROR(VLOOKUP(A1471,Sheet1!$E$3:$G$27,3,0),"")</f>
        <v>Preventive Maintenance</v>
      </c>
      <c r="J1471" s="12" t="s">
        <v>112</v>
      </c>
      <c r="K1471" s="17">
        <v>46071.0</v>
      </c>
      <c r="L1471" s="17">
        <v>46071.0</v>
      </c>
      <c r="M1471" s="12" t="s">
        <v>109</v>
      </c>
      <c r="N1471" s="23"/>
      <c r="O1471" s="22"/>
      <c r="P1471" s="22"/>
    </row>
    <row r="1472" ht="22.5" customHeight="1">
      <c r="A1472" s="12" t="s">
        <v>33</v>
      </c>
      <c r="B1472" s="20" t="str">
        <f>IFERROR(VLOOKUP(A1472,Sheet1!$E$3:$H$27,4,0),"")</f>
        <v>P2</v>
      </c>
      <c r="C1472" s="14" t="s">
        <v>452</v>
      </c>
      <c r="D1472" s="12" t="s">
        <v>80</v>
      </c>
      <c r="E1472" s="13" t="str">
        <f>IFERROR(VLOOKUP(D1472,Sheet1!$B$1:$C$45,2,0),"")</f>
        <v>TE</v>
      </c>
      <c r="F1472" s="12" t="s">
        <v>179</v>
      </c>
      <c r="G1472" s="13" t="str">
        <f t="shared" si="5"/>
        <v>Palangkaraya</v>
      </c>
      <c r="H1472" s="15" t="str">
        <f>IFERROR(VLOOKUP(A1472,Sheet1!$E$3:$F$27,2,),"")</f>
        <v>Preventive</v>
      </c>
      <c r="I1472" s="16" t="str">
        <f>IFERROR(VLOOKUP(A1472,Sheet1!$E$3:$G$27,3,0),"")</f>
        <v>Pengukuran dan pengambilan data log serta input Gdoc BBT</v>
      </c>
      <c r="J1472" s="12" t="s">
        <v>112</v>
      </c>
      <c r="K1472" s="17">
        <v>46072.0</v>
      </c>
      <c r="L1472" s="17"/>
      <c r="M1472" s="12" t="s">
        <v>137</v>
      </c>
      <c r="N1472" s="23"/>
      <c r="O1472" s="22"/>
      <c r="P1472" s="22"/>
    </row>
    <row r="1473" ht="22.5" customHeight="1">
      <c r="A1473" s="12" t="s">
        <v>14</v>
      </c>
      <c r="B1473" s="20" t="str">
        <f>IFERROR(VLOOKUP(A1473,Sheet1!$E$3:$H$27,4,0),"")</f>
        <v>P1</v>
      </c>
      <c r="C1473" s="14" t="s">
        <v>583</v>
      </c>
      <c r="D1473" s="12" t="s">
        <v>77</v>
      </c>
      <c r="E1473" s="13" t="str">
        <f>IFERROR(VLOOKUP(D1473,Sheet1!$B$1:$C$45,2,0),"")</f>
        <v>TE</v>
      </c>
      <c r="F1473" s="12" t="s">
        <v>179</v>
      </c>
      <c r="G1473" s="13" t="str">
        <f t="shared" si="5"/>
        <v>Palangkaraya</v>
      </c>
      <c r="H1473" s="15" t="str">
        <f>IFERROR(VLOOKUP(A1473,Sheet1!$E$3:$F$27,2,),"")</f>
        <v>Corrective</v>
      </c>
      <c r="I1473" s="16" t="str">
        <f>IFERROR(VLOOKUP(A1473,Sheet1!$E$3:$G$27,3,0),"")</f>
        <v>Pemadaman,MCB Trip,Transmisi problem</v>
      </c>
      <c r="J1473" s="12" t="s">
        <v>112</v>
      </c>
      <c r="K1473" s="17">
        <v>46072.0</v>
      </c>
      <c r="L1473" s="17"/>
      <c r="M1473" s="12" t="s">
        <v>137</v>
      </c>
      <c r="N1473" s="23"/>
      <c r="O1473" s="22"/>
      <c r="P1473" s="22"/>
    </row>
    <row r="1474" ht="22.5" customHeight="1">
      <c r="A1474" s="12" t="s">
        <v>5</v>
      </c>
      <c r="B1474" s="20" t="str">
        <f>IFERROR(VLOOKUP(A1474,Sheet1!$E$3:$H$27,4,0),"")</f>
        <v>P1</v>
      </c>
      <c r="C1474" s="14" t="s">
        <v>442</v>
      </c>
      <c r="D1474" s="12" t="s">
        <v>78</v>
      </c>
      <c r="E1474" s="13" t="str">
        <f>IFERROR(VLOOKUP(D1474,Sheet1!$B$1:$C$45,2,0),"")</f>
        <v>TE</v>
      </c>
      <c r="F1474" s="12" t="s">
        <v>179</v>
      </c>
      <c r="G1474" s="13" t="str">
        <f t="shared" si="5"/>
        <v>Palangkaraya</v>
      </c>
      <c r="H1474" s="15" t="str">
        <f>IFERROR(VLOOKUP(A1474,Sheet1!$E$3:$F$27,2,),"")</f>
        <v>Corrective</v>
      </c>
      <c r="I1474" s="16" t="str">
        <f>IFERROR(VLOOKUP(A1474,Sheet1!$E$3:$G$27,3,0),"")</f>
        <v>Replace Optik,RRU/Soket Power/Replace GPS</v>
      </c>
      <c r="J1474" s="12" t="s">
        <v>112</v>
      </c>
      <c r="K1474" s="17">
        <v>46072.0</v>
      </c>
      <c r="L1474" s="17"/>
      <c r="M1474" s="12" t="s">
        <v>137</v>
      </c>
      <c r="N1474" s="23"/>
      <c r="O1474" s="22"/>
      <c r="P1474" s="22"/>
    </row>
    <row r="1475" ht="22.5" customHeight="1">
      <c r="A1475" s="12" t="s">
        <v>5</v>
      </c>
      <c r="B1475" s="20" t="str">
        <f>IFERROR(VLOOKUP(A1475,Sheet1!$E$3:$H$27,4,0),"")</f>
        <v>P1</v>
      </c>
      <c r="C1475" s="14" t="s">
        <v>442</v>
      </c>
      <c r="D1475" s="12" t="s">
        <v>39</v>
      </c>
      <c r="E1475" s="13" t="str">
        <f>IFERROR(VLOOKUP(D1475,Sheet1!$B$1:$C$45,2,0),"")</f>
        <v>TE</v>
      </c>
      <c r="F1475" s="12" t="s">
        <v>179</v>
      </c>
      <c r="G1475" s="13" t="str">
        <f t="shared" si="5"/>
        <v>Palangkaraya</v>
      </c>
      <c r="H1475" s="15" t="str">
        <f>IFERROR(VLOOKUP(A1475,Sheet1!$E$3:$F$27,2,),"")</f>
        <v>Corrective</v>
      </c>
      <c r="I1475" s="16" t="str">
        <f>IFERROR(VLOOKUP(A1475,Sheet1!$E$3:$G$27,3,0),"")</f>
        <v>Replace Optik,RRU/Soket Power/Replace GPS</v>
      </c>
      <c r="J1475" s="12" t="s">
        <v>112</v>
      </c>
      <c r="K1475" s="17">
        <v>46072.0</v>
      </c>
      <c r="L1475" s="17"/>
      <c r="M1475" s="12" t="s">
        <v>137</v>
      </c>
      <c r="N1475" s="23"/>
      <c r="O1475" s="22"/>
      <c r="P1475" s="22"/>
    </row>
    <row r="1476" ht="22.5" customHeight="1">
      <c r="A1476" s="12" t="s">
        <v>5</v>
      </c>
      <c r="B1476" s="20" t="str">
        <f>IFERROR(VLOOKUP(A1476,Sheet1!$E$3:$H$27,4,0),"")</f>
        <v>P1</v>
      </c>
      <c r="C1476" s="14" t="s">
        <v>584</v>
      </c>
      <c r="D1476" s="12" t="s">
        <v>51</v>
      </c>
      <c r="E1476" s="13" t="str">
        <f>IFERROR(VLOOKUP(D1476,Sheet1!$B$1:$C$45,2,0),"")</f>
        <v>TE</v>
      </c>
      <c r="F1476" s="12" t="s">
        <v>179</v>
      </c>
      <c r="G1476" s="13" t="str">
        <f t="shared" si="5"/>
        <v>Palangkaraya</v>
      </c>
      <c r="H1476" s="15" t="str">
        <f>IFERROR(VLOOKUP(A1476,Sheet1!$E$3:$F$27,2,),"")</f>
        <v>Corrective</v>
      </c>
      <c r="I1476" s="16" t="str">
        <f>IFERROR(VLOOKUP(A1476,Sheet1!$E$3:$G$27,3,0),"")</f>
        <v>Replace Optik,RRU/Soket Power/Replace GPS</v>
      </c>
      <c r="J1476" s="12" t="s">
        <v>112</v>
      </c>
      <c r="K1476" s="17">
        <v>46072.0</v>
      </c>
      <c r="L1476" s="17"/>
      <c r="M1476" s="12" t="s">
        <v>137</v>
      </c>
      <c r="N1476" s="23"/>
      <c r="O1476" s="22"/>
      <c r="P1476" s="22"/>
    </row>
    <row r="1477" ht="22.5" customHeight="1">
      <c r="A1477" s="12" t="s">
        <v>14</v>
      </c>
      <c r="B1477" s="20" t="str">
        <f>IFERROR(VLOOKUP(A1477,Sheet1!$E$3:$H$27,4,0),"")</f>
        <v>P1</v>
      </c>
      <c r="C1477" s="14" t="s">
        <v>402</v>
      </c>
      <c r="D1477" s="12" t="s">
        <v>79</v>
      </c>
      <c r="E1477" s="13" t="str">
        <f>IFERROR(VLOOKUP(D1477,Sheet1!$B$1:$C$45,2,0),"")</f>
        <v>TE</v>
      </c>
      <c r="F1477" s="12" t="s">
        <v>179</v>
      </c>
      <c r="G1477" s="13" t="str">
        <f t="shared" si="5"/>
        <v>Palangkaraya</v>
      </c>
      <c r="H1477" s="15" t="str">
        <f>IFERROR(VLOOKUP(A1477,Sheet1!$E$3:$F$27,2,),"")</f>
        <v>Corrective</v>
      </c>
      <c r="I1477" s="16" t="str">
        <f>IFERROR(VLOOKUP(A1477,Sheet1!$E$3:$G$27,3,0),"")</f>
        <v>Pemadaman,MCB Trip,Transmisi problem</v>
      </c>
      <c r="J1477" s="12" t="s">
        <v>112</v>
      </c>
      <c r="K1477" s="17">
        <v>46072.0</v>
      </c>
      <c r="L1477" s="17"/>
      <c r="M1477" s="12" t="s">
        <v>137</v>
      </c>
      <c r="N1477" s="23"/>
      <c r="O1477" s="22"/>
      <c r="P1477" s="22"/>
    </row>
    <row r="1478" ht="22.5" customHeight="1">
      <c r="A1478" s="12" t="s">
        <v>10</v>
      </c>
      <c r="B1478" s="20" t="str">
        <f>IFERROR(VLOOKUP(A1478,Sheet1!$E$3:$H$27,4,0),"")</f>
        <v>P1</v>
      </c>
      <c r="C1478" s="14" t="s">
        <v>444</v>
      </c>
      <c r="D1478" s="12" t="s">
        <v>79</v>
      </c>
      <c r="E1478" s="13" t="str">
        <f>IFERROR(VLOOKUP(D1478,Sheet1!$B$1:$C$45,2,0),"")</f>
        <v>TE</v>
      </c>
      <c r="F1478" s="12" t="s">
        <v>179</v>
      </c>
      <c r="G1478" s="13" t="str">
        <f t="shared" si="5"/>
        <v>Palangkaraya</v>
      </c>
      <c r="H1478" s="15" t="str">
        <f>IFERROR(VLOOKUP(A1478,Sheet1!$E$3:$F$27,2,),"")</f>
        <v>Corrective</v>
      </c>
      <c r="I1478" s="16" t="str">
        <f>IFERROR(VLOOKUP(A1478,Sheet1!$E$3:$G$27,3,0),"")</f>
        <v>Replace Jumper,antena/RRU</v>
      </c>
      <c r="J1478" s="12" t="s">
        <v>112</v>
      </c>
      <c r="K1478" s="17">
        <v>46072.0</v>
      </c>
      <c r="L1478" s="17"/>
      <c r="M1478" s="12" t="s">
        <v>137</v>
      </c>
      <c r="N1478" s="23"/>
      <c r="O1478" s="22"/>
      <c r="P1478" s="22"/>
    </row>
    <row r="1479" ht="22.5" customHeight="1">
      <c r="A1479" s="12" t="s">
        <v>17</v>
      </c>
      <c r="B1479" s="20" t="str">
        <f>IFERROR(VLOOKUP(A1479,Sheet1!$E$3:$H$27,4,0),"")</f>
        <v>P2</v>
      </c>
      <c r="C1479" s="14" t="s">
        <v>578</v>
      </c>
      <c r="D1479" s="12" t="s">
        <v>91</v>
      </c>
      <c r="E1479" s="13" t="str">
        <f>IFERROR(VLOOKUP(D1479,Sheet1!$B$1:$C$45,2,0),"")</f>
        <v>TE</v>
      </c>
      <c r="F1479" s="12" t="s">
        <v>179</v>
      </c>
      <c r="G1479" s="13" t="str">
        <f t="shared" si="5"/>
        <v>Palangkaraya</v>
      </c>
      <c r="H1479" s="15" t="str">
        <f>IFERROR(VLOOKUP(A1479,Sheet1!$E$3:$F$27,2,),"")</f>
        <v>Preventive</v>
      </c>
      <c r="I1479" s="16" t="str">
        <f>IFERROR(VLOOKUP(A1479,Sheet1!$E$3:$G$27,3,0),"")</f>
        <v>integrasi LAN dan validasi alarm</v>
      </c>
      <c r="J1479" s="12" t="s">
        <v>112</v>
      </c>
      <c r="K1479" s="17">
        <v>46072.0</v>
      </c>
      <c r="L1479" s="17"/>
      <c r="M1479" s="12" t="s">
        <v>137</v>
      </c>
      <c r="N1479" s="23"/>
      <c r="O1479" s="22"/>
      <c r="P1479" s="22"/>
    </row>
    <row r="1480" ht="22.5" customHeight="1">
      <c r="A1480" s="12" t="s">
        <v>10</v>
      </c>
      <c r="B1480" s="20" t="str">
        <f>IFERROR(VLOOKUP(A1480,Sheet1!$E$3:$H$27,4,0),"")</f>
        <v>P1</v>
      </c>
      <c r="C1480" s="14" t="s">
        <v>579</v>
      </c>
      <c r="D1480" s="12" t="s">
        <v>58</v>
      </c>
      <c r="E1480" s="13" t="str">
        <f>IFERROR(VLOOKUP(D1480,Sheet1!$B$1:$C$45,2,0),"")</f>
        <v>TE</v>
      </c>
      <c r="F1480" s="12" t="s">
        <v>179</v>
      </c>
      <c r="G1480" s="13" t="str">
        <f t="shared" si="5"/>
        <v>Palangkaraya</v>
      </c>
      <c r="H1480" s="15" t="str">
        <f>IFERROR(VLOOKUP(A1480,Sheet1!$E$3:$F$27,2,),"")</f>
        <v>Corrective</v>
      </c>
      <c r="I1480" s="16" t="str">
        <f>IFERROR(VLOOKUP(A1480,Sheet1!$E$3:$G$27,3,0),"")</f>
        <v>Replace Jumper,antena/RRU</v>
      </c>
      <c r="J1480" s="12" t="s">
        <v>112</v>
      </c>
      <c r="K1480" s="17">
        <v>46072.0</v>
      </c>
      <c r="L1480" s="17"/>
      <c r="M1480" s="12" t="s">
        <v>137</v>
      </c>
      <c r="N1480" s="23"/>
      <c r="O1480" s="22"/>
      <c r="P1480" s="22"/>
    </row>
    <row r="1481" ht="22.5" customHeight="1">
      <c r="A1481" s="12" t="s">
        <v>5</v>
      </c>
      <c r="B1481" s="20" t="str">
        <f>IFERROR(VLOOKUP(A1481,Sheet1!$E$3:$H$27,4,0),"")</f>
        <v>P1</v>
      </c>
      <c r="C1481" s="14" t="s">
        <v>567</v>
      </c>
      <c r="D1481" s="12" t="s">
        <v>71</v>
      </c>
      <c r="E1481" s="13" t="str">
        <f>IFERROR(VLOOKUP(D1481,Sheet1!$B$1:$C$45,2,0),"")</f>
        <v>TE</v>
      </c>
      <c r="F1481" s="12" t="s">
        <v>179</v>
      </c>
      <c r="G1481" s="13" t="str">
        <f t="shared" si="5"/>
        <v>Palangkaraya</v>
      </c>
      <c r="H1481" s="15" t="str">
        <f>IFERROR(VLOOKUP(A1481,Sheet1!$E$3:$F$27,2,),"")</f>
        <v>Corrective</v>
      </c>
      <c r="I1481" s="16" t="str">
        <f>IFERROR(VLOOKUP(A1481,Sheet1!$E$3:$G$27,3,0),"")</f>
        <v>Replace Optik,RRU/Soket Power/Replace GPS</v>
      </c>
      <c r="J1481" s="12" t="s">
        <v>112</v>
      </c>
      <c r="K1481" s="17">
        <v>46072.0</v>
      </c>
      <c r="L1481" s="17"/>
      <c r="M1481" s="12" t="s">
        <v>137</v>
      </c>
      <c r="N1481" s="23"/>
      <c r="O1481" s="22"/>
      <c r="P1481" s="22"/>
    </row>
    <row r="1482" ht="22.5" customHeight="1">
      <c r="A1482" s="12" t="s">
        <v>5</v>
      </c>
      <c r="B1482" s="20" t="str">
        <f>IFERROR(VLOOKUP(A1482,Sheet1!$E$3:$H$27,4,0),"")</f>
        <v>P1</v>
      </c>
      <c r="C1482" s="14" t="s">
        <v>235</v>
      </c>
      <c r="D1482" s="12" t="s">
        <v>69</v>
      </c>
      <c r="E1482" s="13" t="str">
        <f>IFERROR(VLOOKUP(D1482,Sheet1!$B$1:$C$45,2,0),"")</f>
        <v>TE</v>
      </c>
      <c r="F1482" s="12" t="s">
        <v>179</v>
      </c>
      <c r="G1482" s="13" t="str">
        <f t="shared" si="5"/>
        <v>Palangkaraya</v>
      </c>
      <c r="H1482" s="15" t="str">
        <f>IFERROR(VLOOKUP(A1482,Sheet1!$E$3:$F$27,2,),"")</f>
        <v>Corrective</v>
      </c>
      <c r="I1482" s="16" t="str">
        <f>IFERROR(VLOOKUP(A1482,Sheet1!$E$3:$G$27,3,0),"")</f>
        <v>Replace Optik,RRU/Soket Power/Replace GPS</v>
      </c>
      <c r="J1482" s="12" t="s">
        <v>112</v>
      </c>
      <c r="K1482" s="17">
        <v>46072.0</v>
      </c>
      <c r="L1482" s="17"/>
      <c r="M1482" s="12" t="s">
        <v>137</v>
      </c>
      <c r="N1482" s="23"/>
      <c r="O1482" s="22"/>
      <c r="P1482" s="22"/>
    </row>
    <row r="1483" ht="22.5" customHeight="1">
      <c r="A1483" s="12" t="s">
        <v>52</v>
      </c>
      <c r="B1483" s="20" t="str">
        <f>IFERROR(VLOOKUP(A1483,Sheet1!$E$3:$H$27,4,0),"")</f>
        <v>P1</v>
      </c>
      <c r="C1483" s="14" t="s">
        <v>346</v>
      </c>
      <c r="D1483" s="12" t="s">
        <v>56</v>
      </c>
      <c r="E1483" s="13" t="str">
        <f>IFERROR(VLOOKUP(D1483,Sheet1!$B$1:$C$45,2,0),"")</f>
        <v>TE</v>
      </c>
      <c r="F1483" s="12" t="s">
        <v>179</v>
      </c>
      <c r="G1483" s="13" t="str">
        <f t="shared" si="5"/>
        <v>Palangkaraya</v>
      </c>
      <c r="H1483" s="15" t="str">
        <f>IFERROR(VLOOKUP(A1483,Sheet1!$E$3:$F$27,2,),"")</f>
        <v>Preventive</v>
      </c>
      <c r="I1483" s="16" t="str">
        <f>IFERROR(VLOOKUP(A1483,Sheet1!$E$3:$G$27,3,0),"")</f>
        <v>MCB trip/Power upnormal</v>
      </c>
      <c r="J1483" s="12" t="s">
        <v>112</v>
      </c>
      <c r="K1483" s="17">
        <v>46072.0</v>
      </c>
      <c r="L1483" s="17"/>
      <c r="M1483" s="12" t="s">
        <v>137</v>
      </c>
      <c r="N1483" s="23"/>
      <c r="O1483" s="22"/>
      <c r="P1483" s="22"/>
    </row>
    <row r="1484" ht="22.5" customHeight="1">
      <c r="A1484" s="12" t="s">
        <v>22</v>
      </c>
      <c r="B1484" s="20" t="str">
        <f>IFERROR(VLOOKUP(A1484,Sheet1!$E$3:$H$27,4,0),"")</f>
        <v>P2</v>
      </c>
      <c r="C1484" s="14"/>
      <c r="D1484" s="12" t="s">
        <v>83</v>
      </c>
      <c r="E1484" s="13" t="str">
        <f>IFERROR(VLOOKUP(D1484,Sheet1!$B$1:$C$45,2,0),"")</f>
        <v>PM</v>
      </c>
      <c r="F1484" s="12" t="s">
        <v>179</v>
      </c>
      <c r="G1484" s="13" t="str">
        <f t="shared" si="5"/>
        <v>Palangkaraya</v>
      </c>
      <c r="H1484" s="15" t="str">
        <f>IFERROR(VLOOKUP(A1484,Sheet1!$E$3:$F$27,2,),"")</f>
        <v>Preventive</v>
      </c>
      <c r="I1484" s="16" t="str">
        <f>IFERROR(VLOOKUP(A1484,Sheet1!$E$3:$G$27,3,0),"")</f>
        <v>Preventive Maintenance</v>
      </c>
      <c r="J1484" s="12" t="s">
        <v>112</v>
      </c>
      <c r="K1484" s="17">
        <v>46072.0</v>
      </c>
      <c r="L1484" s="17"/>
      <c r="M1484" s="12" t="s">
        <v>137</v>
      </c>
      <c r="N1484" s="23"/>
      <c r="O1484" s="22"/>
      <c r="P1484" s="22"/>
    </row>
    <row r="1485" ht="22.5" customHeight="1">
      <c r="A1485" s="12" t="s">
        <v>22</v>
      </c>
      <c r="B1485" s="20" t="str">
        <f>IFERROR(VLOOKUP(A1485,Sheet1!$E$3:$H$27,4,0),"")</f>
        <v>P2</v>
      </c>
      <c r="C1485" s="14"/>
      <c r="D1485" s="12" t="s">
        <v>82</v>
      </c>
      <c r="E1485" s="13" t="str">
        <f>IFERROR(VLOOKUP(D1485,Sheet1!$B$1:$C$45,2,0),"")</f>
        <v>PM</v>
      </c>
      <c r="F1485" s="12" t="s">
        <v>179</v>
      </c>
      <c r="G1485" s="13" t="str">
        <f t="shared" si="5"/>
        <v>Palangkaraya</v>
      </c>
      <c r="H1485" s="15" t="str">
        <f>IFERROR(VLOOKUP(A1485,Sheet1!$E$3:$F$27,2,),"")</f>
        <v>Preventive</v>
      </c>
      <c r="I1485" s="16" t="str">
        <f>IFERROR(VLOOKUP(A1485,Sheet1!$E$3:$G$27,3,0),"")</f>
        <v>Preventive Maintenance</v>
      </c>
      <c r="J1485" s="12" t="s">
        <v>112</v>
      </c>
      <c r="K1485" s="17">
        <v>46072.0</v>
      </c>
      <c r="L1485" s="17"/>
      <c r="M1485" s="12" t="s">
        <v>137</v>
      </c>
      <c r="N1485" s="23"/>
      <c r="O1485" s="22"/>
      <c r="P1485" s="22"/>
    </row>
    <row r="1486" ht="22.5" customHeight="1">
      <c r="A1486" s="12" t="s">
        <v>22</v>
      </c>
      <c r="B1486" s="20" t="str">
        <f>IFERROR(VLOOKUP(A1486,Sheet1!$E$3:$H$27,4,0),"")</f>
        <v>P2</v>
      </c>
      <c r="C1486" s="14"/>
      <c r="D1486" s="12" t="s">
        <v>75</v>
      </c>
      <c r="E1486" s="13" t="str">
        <f>IFERROR(VLOOKUP(D1486,Sheet1!$B$1:$C$45,2,0),"")</f>
        <v>CME</v>
      </c>
      <c r="F1486" s="12" t="s">
        <v>179</v>
      </c>
      <c r="G1486" s="13" t="str">
        <f t="shared" si="5"/>
        <v>Palangkaraya</v>
      </c>
      <c r="H1486" s="15" t="str">
        <f>IFERROR(VLOOKUP(A1486,Sheet1!$E$3:$F$27,2,),"")</f>
        <v>Preventive</v>
      </c>
      <c r="I1486" s="16" t="str">
        <f>IFERROR(VLOOKUP(A1486,Sheet1!$E$3:$G$27,3,0),"")</f>
        <v>Preventive Maintenance</v>
      </c>
      <c r="J1486" s="12" t="s">
        <v>112</v>
      </c>
      <c r="K1486" s="17">
        <v>46072.0</v>
      </c>
      <c r="L1486" s="17"/>
      <c r="M1486" s="12" t="s">
        <v>137</v>
      </c>
      <c r="N1486" s="23"/>
      <c r="O1486" s="22"/>
      <c r="P1486" s="22"/>
    </row>
    <row r="1487" ht="22.5" customHeight="1">
      <c r="A1487" s="12" t="s">
        <v>65</v>
      </c>
      <c r="B1487" s="20" t="str">
        <f>IFERROR(VLOOKUP(A1487,Sheet1!$E$3:$H$27,4,0),"")</f>
        <v>P3</v>
      </c>
      <c r="C1487" s="14"/>
      <c r="D1487" s="12" t="s">
        <v>54</v>
      </c>
      <c r="E1487" s="13" t="str">
        <f>IFERROR(VLOOKUP(D1487,Sheet1!$B$1:$C$45,2,0),"")</f>
        <v>MBP</v>
      </c>
      <c r="F1487" s="12" t="s">
        <v>179</v>
      </c>
      <c r="G1487" s="13" t="str">
        <f t="shared" si="5"/>
        <v>Palangkaraya</v>
      </c>
      <c r="H1487" s="15" t="str">
        <f>IFERROR(VLOOKUP(A1487,Sheet1!$E$3:$F$27,2,),"")</f>
        <v>Standby</v>
      </c>
      <c r="I1487" s="16" t="str">
        <f>IFERROR(VLOOKUP(A1487,Sheet1!$E$3:$G$27,3,0),"")</f>
        <v>Standby On Call</v>
      </c>
      <c r="J1487" s="12" t="s">
        <v>66</v>
      </c>
      <c r="K1487" s="17">
        <v>46072.0</v>
      </c>
      <c r="L1487" s="17"/>
      <c r="M1487" s="12" t="s">
        <v>137</v>
      </c>
      <c r="N1487" s="23"/>
      <c r="O1487" s="22"/>
      <c r="P1487" s="22"/>
    </row>
    <row r="1488" ht="22.5" customHeight="1">
      <c r="A1488" s="12" t="s">
        <v>65</v>
      </c>
      <c r="B1488" s="20" t="str">
        <f>IFERROR(VLOOKUP(A1488,Sheet1!$E$3:$H$27,4,0),"")</f>
        <v>P3</v>
      </c>
      <c r="C1488" s="14"/>
      <c r="D1488" s="12" t="s">
        <v>45</v>
      </c>
      <c r="E1488" s="13" t="str">
        <f>IFERROR(VLOOKUP(D1488,Sheet1!$B$1:$C$45,2,0),"")</f>
        <v>MBP</v>
      </c>
      <c r="F1488" s="12" t="s">
        <v>179</v>
      </c>
      <c r="G1488" s="13" t="str">
        <f t="shared" si="5"/>
        <v>Palangkaraya</v>
      </c>
      <c r="H1488" s="15" t="str">
        <f>IFERROR(VLOOKUP(A1488,Sheet1!$E$3:$F$27,2,),"")</f>
        <v>Standby</v>
      </c>
      <c r="I1488" s="16" t="str">
        <f>IFERROR(VLOOKUP(A1488,Sheet1!$E$3:$G$27,3,0),"")</f>
        <v>Standby On Call</v>
      </c>
      <c r="J1488" s="12" t="s">
        <v>66</v>
      </c>
      <c r="K1488" s="17">
        <v>46072.0</v>
      </c>
      <c r="L1488" s="17"/>
      <c r="M1488" s="12" t="s">
        <v>137</v>
      </c>
      <c r="N1488" s="23"/>
      <c r="O1488" s="22"/>
      <c r="P1488" s="22"/>
    </row>
    <row r="1489" ht="22.5" customHeight="1">
      <c r="A1489" s="12" t="s">
        <v>65</v>
      </c>
      <c r="B1489" s="20" t="str">
        <f>IFERROR(VLOOKUP(A1489,Sheet1!$E$3:$H$27,4,0),"")</f>
        <v>P3</v>
      </c>
      <c r="C1489" s="15"/>
      <c r="D1489" s="12" t="s">
        <v>64</v>
      </c>
      <c r="E1489" s="12" t="s">
        <v>1</v>
      </c>
      <c r="F1489" s="12" t="s">
        <v>179</v>
      </c>
      <c r="G1489" s="13" t="str">
        <f t="shared" si="5"/>
        <v>Palangkaraya</v>
      </c>
      <c r="H1489" s="15" t="str">
        <f>IFERROR(VLOOKUP(A1489,Sheet1!$E$3:$F$27,2,),"")</f>
        <v>Standby</v>
      </c>
      <c r="I1489" s="16" t="str">
        <f>IFERROR(VLOOKUP(A1489,Sheet1!$E$3:$G$27,3,0),"")</f>
        <v>Standby On Call</v>
      </c>
      <c r="J1489" s="12" t="s">
        <v>66</v>
      </c>
      <c r="K1489" s="17">
        <v>46072.0</v>
      </c>
      <c r="L1489" s="17"/>
      <c r="M1489" s="12" t="s">
        <v>137</v>
      </c>
      <c r="N1489" s="23"/>
      <c r="O1489" s="22"/>
      <c r="P1489" s="22"/>
    </row>
    <row r="1490" ht="22.5" customHeight="1">
      <c r="A1490" s="12" t="s">
        <v>55</v>
      </c>
      <c r="B1490" s="20" t="str">
        <f>IFERROR(VLOOKUP(A1490,Sheet1!$E$3:$H$27,4,0),"")</f>
        <v>P2</v>
      </c>
      <c r="C1490" s="14" t="s">
        <v>141</v>
      </c>
      <c r="D1490" s="12" t="s">
        <v>12</v>
      </c>
      <c r="E1490" s="13" t="str">
        <f>IFERROR(VLOOKUP(D1490,Sheet1!$B$1:$C$45,2,0),"")</f>
        <v>TE</v>
      </c>
      <c r="F1490" s="12" t="s">
        <v>108</v>
      </c>
      <c r="G1490" s="13" t="str">
        <f t="shared" si="5"/>
        <v>Barito Raya</v>
      </c>
      <c r="H1490" s="15" t="str">
        <f>IFERROR(VLOOKUP(A1490,Sheet1!$E$3:$F$27,2,),"")</f>
        <v>Corrective</v>
      </c>
      <c r="I1490" s="16" t="str">
        <f>IFERROR(VLOOKUP(A1490,Sheet1!$E$3:$G$27,3,0),"")</f>
        <v>Penambahan Modul Recti</v>
      </c>
      <c r="J1490" s="12" t="s">
        <v>112</v>
      </c>
      <c r="K1490" s="17">
        <v>46072.0</v>
      </c>
      <c r="L1490" s="17">
        <v>46072.0</v>
      </c>
      <c r="M1490" s="12" t="s">
        <v>109</v>
      </c>
      <c r="N1490" s="23"/>
      <c r="O1490" s="22"/>
      <c r="P1490" s="22"/>
    </row>
    <row r="1491" ht="22.5" customHeight="1">
      <c r="A1491" s="12" t="s">
        <v>5</v>
      </c>
      <c r="B1491" s="20" t="str">
        <f>IFERROR(VLOOKUP(A1491,Sheet1!$E$3:$H$27,4,0),"")</f>
        <v>P1</v>
      </c>
      <c r="C1491" s="14" t="s">
        <v>573</v>
      </c>
      <c r="D1491" s="12" t="s">
        <v>16</v>
      </c>
      <c r="E1491" s="13" t="str">
        <f>IFERROR(VLOOKUP(D1491,Sheet1!$B$1:$C$45,2,0),"")</f>
        <v>TE</v>
      </c>
      <c r="F1491" s="12" t="s">
        <v>108</v>
      </c>
      <c r="G1491" s="13" t="str">
        <f t="shared" si="5"/>
        <v>Barito Raya</v>
      </c>
      <c r="H1491" s="15" t="str">
        <f>IFERROR(VLOOKUP(A1491,Sheet1!$E$3:$F$27,2,),"")</f>
        <v>Corrective</v>
      </c>
      <c r="I1491" s="16" t="str">
        <f>IFERROR(VLOOKUP(A1491,Sheet1!$E$3:$G$27,3,0),"")</f>
        <v>Replace Optik,RRU/Soket Power/Replace GPS</v>
      </c>
      <c r="J1491" s="12" t="s">
        <v>172</v>
      </c>
      <c r="K1491" s="17">
        <v>46072.0</v>
      </c>
      <c r="L1491" s="17">
        <v>46072.0</v>
      </c>
      <c r="M1491" s="12" t="s">
        <v>122</v>
      </c>
      <c r="N1491" s="18" t="s">
        <v>585</v>
      </c>
      <c r="O1491" s="19"/>
      <c r="P1491" s="19"/>
    </row>
    <row r="1492" ht="22.5" customHeight="1">
      <c r="A1492" s="12" t="s">
        <v>5</v>
      </c>
      <c r="B1492" s="20" t="str">
        <f>IFERROR(VLOOKUP(A1492,Sheet1!$E$3:$H$27,4,0),"")</f>
        <v>P1</v>
      </c>
      <c r="C1492" s="14" t="s">
        <v>573</v>
      </c>
      <c r="D1492" s="12" t="s">
        <v>21</v>
      </c>
      <c r="E1492" s="13" t="str">
        <f>IFERROR(VLOOKUP(D1492,Sheet1!$B$1:$C$45,2,0),"")</f>
        <v>TE</v>
      </c>
      <c r="F1492" s="12" t="s">
        <v>108</v>
      </c>
      <c r="G1492" s="13" t="str">
        <f t="shared" si="5"/>
        <v>Barito Raya</v>
      </c>
      <c r="H1492" s="15" t="str">
        <f>IFERROR(VLOOKUP(A1492,Sheet1!$E$3:$F$27,2,),"")</f>
        <v>Corrective</v>
      </c>
      <c r="I1492" s="16" t="str">
        <f>IFERROR(VLOOKUP(A1492,Sheet1!$E$3:$G$27,3,0),"")</f>
        <v>Replace Optik,RRU/Soket Power/Replace GPS</v>
      </c>
      <c r="J1492" s="12" t="s">
        <v>172</v>
      </c>
      <c r="K1492" s="17">
        <v>46072.0</v>
      </c>
      <c r="L1492" s="17">
        <v>46072.0</v>
      </c>
      <c r="M1492" s="12" t="s">
        <v>122</v>
      </c>
      <c r="N1492" s="18" t="s">
        <v>585</v>
      </c>
      <c r="O1492" s="19"/>
      <c r="P1492" s="19"/>
    </row>
    <row r="1493" ht="22.5" customHeight="1">
      <c r="A1493" s="12" t="s">
        <v>25</v>
      </c>
      <c r="B1493" s="20" t="str">
        <f>IFERROR(VLOOKUP(A1493,Sheet1!$E$3:$H$27,4,0),"")</f>
        <v>P2</v>
      </c>
      <c r="C1493" s="14" t="s">
        <v>115</v>
      </c>
      <c r="D1493" s="12" t="s">
        <v>26</v>
      </c>
      <c r="E1493" s="13" t="str">
        <f>IFERROR(VLOOKUP(D1493,Sheet1!$B$1:$C$45,2,0),"")</f>
        <v>TE</v>
      </c>
      <c r="F1493" s="12" t="s">
        <v>108</v>
      </c>
      <c r="G1493" s="13" t="str">
        <f t="shared" si="5"/>
        <v>Barito Raya</v>
      </c>
      <c r="H1493" s="15" t="str">
        <f>IFERROR(VLOOKUP(A1493,Sheet1!$E$3:$F$27,2,),"")</f>
        <v>Corrective</v>
      </c>
      <c r="I1493" s="16" t="str">
        <f>IFERROR(VLOOKUP(A1493,Sheet1!$E$3:$G$27,3,0),"")</f>
        <v>Support Event</v>
      </c>
      <c r="J1493" s="12" t="s">
        <v>112</v>
      </c>
      <c r="K1493" s="17">
        <v>46072.0</v>
      </c>
      <c r="L1493" s="17">
        <v>46072.0</v>
      </c>
      <c r="M1493" s="12" t="s">
        <v>109</v>
      </c>
      <c r="N1493" s="23"/>
      <c r="O1493" s="22"/>
      <c r="P1493" s="22"/>
    </row>
    <row r="1494" ht="22.5" customHeight="1">
      <c r="A1494" s="12" t="s">
        <v>65</v>
      </c>
      <c r="B1494" s="20" t="str">
        <f>IFERROR(VLOOKUP(A1494,Sheet1!$E$3:$H$27,4,0),"")</f>
        <v>P3</v>
      </c>
      <c r="C1494" s="15"/>
      <c r="D1494" s="12" t="s">
        <v>88</v>
      </c>
      <c r="E1494" s="13" t="str">
        <f>IFERROR(VLOOKUP(D1494,Sheet1!$B$1:$C$45,2,0),"")</f>
        <v>TE</v>
      </c>
      <c r="F1494" s="12" t="s">
        <v>108</v>
      </c>
      <c r="G1494" s="13" t="str">
        <f t="shared" si="5"/>
        <v>Barito Raya</v>
      </c>
      <c r="H1494" s="15" t="str">
        <f>IFERROR(VLOOKUP(A1494,Sheet1!$E$3:$F$27,2,),"")</f>
        <v>Standby</v>
      </c>
      <c r="I1494" s="16" t="str">
        <f>IFERROR(VLOOKUP(A1494,Sheet1!$E$3:$G$27,3,0),"")</f>
        <v>Standby On Call</v>
      </c>
      <c r="J1494" s="12" t="s">
        <v>66</v>
      </c>
      <c r="K1494" s="17">
        <v>46072.0</v>
      </c>
      <c r="L1494" s="17">
        <v>46072.0</v>
      </c>
      <c r="M1494" s="13"/>
      <c r="N1494" s="23"/>
      <c r="O1494" s="22"/>
      <c r="P1494" s="22"/>
    </row>
    <row r="1495" ht="22.5" customHeight="1">
      <c r="A1495" s="12" t="s">
        <v>5</v>
      </c>
      <c r="B1495" s="20" t="str">
        <f>IFERROR(VLOOKUP(A1495,Sheet1!$E$3:$H$27,4,0),"")</f>
        <v>P1</v>
      </c>
      <c r="C1495" s="14" t="s">
        <v>289</v>
      </c>
      <c r="D1495" s="12" t="s">
        <v>32</v>
      </c>
      <c r="E1495" s="13" t="str">
        <f>IFERROR(VLOOKUP(D1495,Sheet1!$B$1:$C$45,2,0),"")</f>
        <v>TE</v>
      </c>
      <c r="F1495" s="12" t="s">
        <v>108</v>
      </c>
      <c r="G1495" s="13" t="str">
        <f t="shared" si="5"/>
        <v>Barito Raya</v>
      </c>
      <c r="H1495" s="15" t="str">
        <f>IFERROR(VLOOKUP(A1495,Sheet1!$E$3:$F$27,2,),"")</f>
        <v>Corrective</v>
      </c>
      <c r="I1495" s="16" t="str">
        <f>IFERROR(VLOOKUP(A1495,Sheet1!$E$3:$G$27,3,0),"")</f>
        <v>Replace Optik,RRU/Soket Power/Replace GPS</v>
      </c>
      <c r="J1495" s="12" t="s">
        <v>112</v>
      </c>
      <c r="K1495" s="17">
        <v>46072.0</v>
      </c>
      <c r="L1495" s="17">
        <v>46072.0</v>
      </c>
      <c r="M1495" s="12" t="s">
        <v>109</v>
      </c>
      <c r="N1495" s="23"/>
      <c r="O1495" s="22"/>
      <c r="P1495" s="22"/>
    </row>
    <row r="1496" ht="22.5" customHeight="1">
      <c r="A1496" s="12" t="s">
        <v>65</v>
      </c>
      <c r="B1496" s="20" t="str">
        <f>IFERROR(VLOOKUP(A1496,Sheet1!$E$3:$H$27,4,0),"")</f>
        <v>P3</v>
      </c>
      <c r="C1496" s="15"/>
      <c r="D1496" s="12" t="s">
        <v>74</v>
      </c>
      <c r="E1496" s="13" t="str">
        <f>IFERROR(VLOOKUP(D1496,Sheet1!$B$1:$C$45,2,0),"")</f>
        <v>TE</v>
      </c>
      <c r="F1496" s="12" t="s">
        <v>108</v>
      </c>
      <c r="G1496" s="13" t="str">
        <f t="shared" si="5"/>
        <v>Barito Raya</v>
      </c>
      <c r="H1496" s="15" t="str">
        <f>IFERROR(VLOOKUP(A1496,Sheet1!$E$3:$F$27,2,),"")</f>
        <v>Standby</v>
      </c>
      <c r="I1496" s="16" t="str">
        <f>IFERROR(VLOOKUP(A1496,Sheet1!$E$3:$G$27,3,0),"")</f>
        <v>Standby On Call</v>
      </c>
      <c r="J1496" s="12" t="s">
        <v>66</v>
      </c>
      <c r="K1496" s="17">
        <v>46072.0</v>
      </c>
      <c r="L1496" s="17">
        <v>46072.0</v>
      </c>
      <c r="M1496" s="13"/>
      <c r="N1496" s="23"/>
      <c r="O1496" s="22"/>
      <c r="P1496" s="22"/>
    </row>
    <row r="1497" ht="22.5" customHeight="1">
      <c r="A1497" s="12" t="s">
        <v>5</v>
      </c>
      <c r="B1497" s="20" t="str">
        <f>IFERROR(VLOOKUP(A1497,Sheet1!$E$3:$H$27,4,0),"")</f>
        <v>P1</v>
      </c>
      <c r="C1497" s="14" t="s">
        <v>383</v>
      </c>
      <c r="D1497" s="12" t="s">
        <v>60</v>
      </c>
      <c r="E1497" s="13" t="str">
        <f>IFERROR(VLOOKUP(D1497,Sheet1!$B$1:$C$45,2,0),"")</f>
        <v>TE</v>
      </c>
      <c r="F1497" s="12" t="s">
        <v>108</v>
      </c>
      <c r="G1497" s="13" t="str">
        <f t="shared" si="5"/>
        <v>Barito Raya</v>
      </c>
      <c r="H1497" s="15" t="str">
        <f>IFERROR(VLOOKUP(A1497,Sheet1!$E$3:$F$27,2,),"")</f>
        <v>Corrective</v>
      </c>
      <c r="I1497" s="16" t="str">
        <f>IFERROR(VLOOKUP(A1497,Sheet1!$E$3:$G$27,3,0),"")</f>
        <v>Replace Optik,RRU/Soket Power/Replace GPS</v>
      </c>
      <c r="J1497" s="12" t="s">
        <v>112</v>
      </c>
      <c r="K1497" s="17">
        <v>46072.0</v>
      </c>
      <c r="L1497" s="17">
        <v>46072.0</v>
      </c>
      <c r="M1497" s="12" t="s">
        <v>109</v>
      </c>
      <c r="N1497" s="23"/>
      <c r="O1497" s="22"/>
      <c r="P1497" s="22"/>
    </row>
    <row r="1498" ht="22.5" customHeight="1">
      <c r="A1498" s="12" t="s">
        <v>65</v>
      </c>
      <c r="B1498" s="20" t="str">
        <f>IFERROR(VLOOKUP(A1498,Sheet1!$E$3:$H$27,4,0),"")</f>
        <v>P3</v>
      </c>
      <c r="C1498" s="15"/>
      <c r="D1498" s="12" t="s">
        <v>62</v>
      </c>
      <c r="E1498" s="13" t="str">
        <f>IFERROR(VLOOKUP(D1498,Sheet1!$B$1:$C$45,2,0),"")</f>
        <v>TE</v>
      </c>
      <c r="F1498" s="12" t="s">
        <v>108</v>
      </c>
      <c r="G1498" s="13" t="str">
        <f t="shared" si="5"/>
        <v>Barito Raya</v>
      </c>
      <c r="H1498" s="15" t="str">
        <f>IFERROR(VLOOKUP(A1498,Sheet1!$E$3:$F$27,2,),"")</f>
        <v>Standby</v>
      </c>
      <c r="I1498" s="16" t="str">
        <f>IFERROR(VLOOKUP(A1498,Sheet1!$E$3:$G$27,3,0),"")</f>
        <v>Standby On Call</v>
      </c>
      <c r="J1498" s="12" t="s">
        <v>66</v>
      </c>
      <c r="K1498" s="17">
        <v>46072.0</v>
      </c>
      <c r="L1498" s="17">
        <v>46072.0</v>
      </c>
      <c r="M1498" s="13"/>
      <c r="N1498" s="23"/>
      <c r="O1498" s="22"/>
      <c r="P1498" s="22"/>
    </row>
    <row r="1499" ht="22.5" customHeight="1">
      <c r="A1499" s="12" t="s">
        <v>65</v>
      </c>
      <c r="B1499" s="20" t="str">
        <f>IFERROR(VLOOKUP(A1499,Sheet1!$E$3:$H$27,4,0),"")</f>
        <v>P3</v>
      </c>
      <c r="C1499" s="15"/>
      <c r="D1499" s="12" t="s">
        <v>9</v>
      </c>
      <c r="E1499" s="13" t="str">
        <f>IFERROR(VLOOKUP(D1499,Sheet1!$B$1:$C$45,2,0),"")</f>
        <v>MBP</v>
      </c>
      <c r="F1499" s="12" t="s">
        <v>108</v>
      </c>
      <c r="G1499" s="13" t="str">
        <f t="shared" si="5"/>
        <v>Barito Raya</v>
      </c>
      <c r="H1499" s="15" t="str">
        <f>IFERROR(VLOOKUP(A1499,Sheet1!$E$3:$F$27,2,),"")</f>
        <v>Standby</v>
      </c>
      <c r="I1499" s="16" t="str">
        <f>IFERROR(VLOOKUP(A1499,Sheet1!$E$3:$G$27,3,0),"")</f>
        <v>Standby On Call</v>
      </c>
      <c r="J1499" s="12" t="s">
        <v>66</v>
      </c>
      <c r="K1499" s="17">
        <v>46072.0</v>
      </c>
      <c r="L1499" s="17">
        <v>46072.0</v>
      </c>
      <c r="M1499" s="13"/>
      <c r="N1499" s="23"/>
      <c r="O1499" s="22"/>
      <c r="P1499" s="22"/>
    </row>
    <row r="1500" ht="22.5" customHeight="1">
      <c r="A1500" s="12" t="s">
        <v>14</v>
      </c>
      <c r="B1500" s="20" t="str">
        <f>IFERROR(VLOOKUP(A1500,Sheet1!$E$3:$H$27,4,0),"")</f>
        <v>P1</v>
      </c>
      <c r="C1500" s="14" t="s">
        <v>183</v>
      </c>
      <c r="D1500" s="12" t="s">
        <v>4</v>
      </c>
      <c r="E1500" s="13" t="str">
        <f>IFERROR(VLOOKUP(D1500,Sheet1!$B$1:$C$45,2,0),"")</f>
        <v>CME</v>
      </c>
      <c r="F1500" s="12" t="s">
        <v>108</v>
      </c>
      <c r="G1500" s="13" t="str">
        <f t="shared" si="5"/>
        <v>Barito Raya</v>
      </c>
      <c r="H1500" s="15" t="str">
        <f>IFERROR(VLOOKUP(A1500,Sheet1!$E$3:$F$27,2,),"")</f>
        <v>Corrective</v>
      </c>
      <c r="I1500" s="16" t="str">
        <f>IFERROR(VLOOKUP(A1500,Sheet1!$E$3:$G$27,3,0),"")</f>
        <v>Pemadaman,MCB Trip,Transmisi problem</v>
      </c>
      <c r="J1500" s="12" t="s">
        <v>112</v>
      </c>
      <c r="K1500" s="17">
        <v>46072.0</v>
      </c>
      <c r="L1500" s="17">
        <v>46072.0</v>
      </c>
      <c r="M1500" s="12" t="s">
        <v>109</v>
      </c>
      <c r="N1500" s="23"/>
      <c r="O1500" s="22"/>
      <c r="P1500" s="22"/>
    </row>
    <row r="1501" ht="22.5" customHeight="1">
      <c r="A1501" s="12" t="s">
        <v>65</v>
      </c>
      <c r="B1501" s="20" t="str">
        <f>IFERROR(VLOOKUP(A1501,Sheet1!$E$3:$H$27,4,0),"")</f>
        <v>P3</v>
      </c>
      <c r="C1501" s="15"/>
      <c r="D1501" s="12" t="s">
        <v>87</v>
      </c>
      <c r="E1501" s="13" t="str">
        <f>IFERROR(VLOOKUP(D1501,Sheet1!$B$1:$C$45,2,0),"")</f>
        <v>MBP</v>
      </c>
      <c r="F1501" s="12" t="s">
        <v>108</v>
      </c>
      <c r="G1501" s="13" t="str">
        <f t="shared" si="5"/>
        <v>Barito Raya</v>
      </c>
      <c r="H1501" s="15" t="str">
        <f>IFERROR(VLOOKUP(A1501,Sheet1!$E$3:$F$27,2,),"")</f>
        <v>Standby</v>
      </c>
      <c r="I1501" s="16" t="str">
        <f>IFERROR(VLOOKUP(A1501,Sheet1!$E$3:$G$27,3,0),"")</f>
        <v>Standby On Call</v>
      </c>
      <c r="J1501" s="12" t="s">
        <v>66</v>
      </c>
      <c r="K1501" s="17">
        <v>46072.0</v>
      </c>
      <c r="L1501" s="17">
        <v>46072.0</v>
      </c>
      <c r="M1501" s="13"/>
      <c r="N1501" s="23"/>
      <c r="O1501" s="22"/>
      <c r="P1501" s="22"/>
    </row>
    <row r="1502" ht="22.5" customHeight="1">
      <c r="A1502" s="12" t="s">
        <v>5</v>
      </c>
      <c r="B1502" s="20" t="str">
        <f>IFERROR(VLOOKUP(A1502,Sheet1!$E$3:$H$27,4,0),"")</f>
        <v>P1</v>
      </c>
      <c r="C1502" s="14" t="s">
        <v>289</v>
      </c>
      <c r="D1502" s="12" t="s">
        <v>29</v>
      </c>
      <c r="E1502" s="13" t="str">
        <f>IFERROR(VLOOKUP(D1502,Sheet1!$B$1:$C$45,2,0),"")</f>
        <v>MBP</v>
      </c>
      <c r="F1502" s="12" t="s">
        <v>108</v>
      </c>
      <c r="G1502" s="13" t="str">
        <f t="shared" si="5"/>
        <v>Barito Raya</v>
      </c>
      <c r="H1502" s="15" t="str">
        <f>IFERROR(VLOOKUP(A1502,Sheet1!$E$3:$F$27,2,),"")</f>
        <v>Corrective</v>
      </c>
      <c r="I1502" s="16" t="str">
        <f>IFERROR(VLOOKUP(A1502,Sheet1!$E$3:$G$27,3,0),"")</f>
        <v>Replace Optik,RRU/Soket Power/Replace GPS</v>
      </c>
      <c r="J1502" s="12" t="s">
        <v>112</v>
      </c>
      <c r="K1502" s="17">
        <v>46072.0</v>
      </c>
      <c r="L1502" s="17">
        <v>46072.0</v>
      </c>
      <c r="M1502" s="12" t="s">
        <v>109</v>
      </c>
      <c r="N1502" s="23"/>
      <c r="O1502" s="22"/>
      <c r="P1502" s="22"/>
    </row>
    <row r="1503" ht="22.5" customHeight="1">
      <c r="A1503" s="12" t="s">
        <v>65</v>
      </c>
      <c r="B1503" s="20" t="str">
        <f>IFERROR(VLOOKUP(A1503,Sheet1!$E$3:$H$27,4,0),"")</f>
        <v>P3</v>
      </c>
      <c r="C1503" s="15"/>
      <c r="D1503" s="12" t="s">
        <v>2</v>
      </c>
      <c r="E1503" s="13" t="str">
        <f>IFERROR(VLOOKUP(D1503,Sheet1!$B$1:$C$45,2,0),"")</f>
        <v>CME</v>
      </c>
      <c r="F1503" s="12" t="s">
        <v>108</v>
      </c>
      <c r="G1503" s="13" t="str">
        <f t="shared" si="5"/>
        <v>Barito Raya</v>
      </c>
      <c r="H1503" s="15" t="str">
        <f>IFERROR(VLOOKUP(A1503,Sheet1!$E$3:$F$27,2,),"")</f>
        <v>Standby</v>
      </c>
      <c r="I1503" s="16" t="str">
        <f>IFERROR(VLOOKUP(A1503,Sheet1!$E$3:$G$27,3,0),"")</f>
        <v>Standby On Call</v>
      </c>
      <c r="J1503" s="12" t="s">
        <v>66</v>
      </c>
      <c r="K1503" s="17">
        <v>46072.0</v>
      </c>
      <c r="L1503" s="17">
        <v>46072.0</v>
      </c>
      <c r="M1503" s="13"/>
      <c r="N1503" s="23"/>
      <c r="O1503" s="22"/>
      <c r="P1503" s="22"/>
    </row>
    <row r="1504" ht="22.5" customHeight="1">
      <c r="A1504" s="12" t="s">
        <v>65</v>
      </c>
      <c r="B1504" s="20" t="str">
        <f>IFERROR(VLOOKUP(A1504,Sheet1!$E$3:$H$27,4,0),"")</f>
        <v>P3</v>
      </c>
      <c r="C1504" s="15"/>
      <c r="D1504" s="12" t="s">
        <v>0</v>
      </c>
      <c r="E1504" s="13" t="str">
        <f>IFERROR(VLOOKUP(D1504,Sheet1!$B$1:$C$45,2,0),"")</f>
        <v>MBP</v>
      </c>
      <c r="F1504" s="12" t="s">
        <v>108</v>
      </c>
      <c r="G1504" s="13" t="str">
        <f t="shared" si="5"/>
        <v>Barito Raya</v>
      </c>
      <c r="H1504" s="15" t="str">
        <f>IFERROR(VLOOKUP(A1504,Sheet1!$E$3:$F$27,2,),"")</f>
        <v>Standby</v>
      </c>
      <c r="I1504" s="16" t="str">
        <f>IFERROR(VLOOKUP(A1504,Sheet1!$E$3:$G$27,3,0),"")</f>
        <v>Standby On Call</v>
      </c>
      <c r="J1504" s="12" t="s">
        <v>66</v>
      </c>
      <c r="K1504" s="17">
        <v>46072.0</v>
      </c>
      <c r="L1504" s="17">
        <v>46072.0</v>
      </c>
      <c r="M1504" s="13"/>
      <c r="N1504" s="23"/>
      <c r="O1504" s="22"/>
      <c r="P1504" s="22"/>
    </row>
    <row r="1505" ht="22.5" customHeight="1">
      <c r="A1505" s="12" t="s">
        <v>22</v>
      </c>
      <c r="B1505" s="20" t="str">
        <f>IFERROR(VLOOKUP(A1505,Sheet1!$E$3:$H$27,4,0),"")</f>
        <v>P2</v>
      </c>
      <c r="C1505" s="14" t="s">
        <v>141</v>
      </c>
      <c r="D1505" s="12" t="s">
        <v>85</v>
      </c>
      <c r="E1505" s="13" t="str">
        <f>IFERROR(VLOOKUP(D1505,Sheet1!$B$1:$C$45,2,0),"")</f>
        <v>PM</v>
      </c>
      <c r="F1505" s="12" t="s">
        <v>108</v>
      </c>
      <c r="G1505" s="13" t="str">
        <f t="shared" si="5"/>
        <v>Barito Raya</v>
      </c>
      <c r="H1505" s="15" t="str">
        <f>IFERROR(VLOOKUP(A1505,Sheet1!$E$3:$F$27,2,),"")</f>
        <v>Preventive</v>
      </c>
      <c r="I1505" s="16" t="str">
        <f>IFERROR(VLOOKUP(A1505,Sheet1!$E$3:$G$27,3,0),"")</f>
        <v>Preventive Maintenance</v>
      </c>
      <c r="J1505" s="12" t="s">
        <v>112</v>
      </c>
      <c r="K1505" s="17">
        <v>46072.0</v>
      </c>
      <c r="L1505" s="17">
        <v>46072.0</v>
      </c>
      <c r="M1505" s="12" t="s">
        <v>109</v>
      </c>
      <c r="N1505" s="23"/>
      <c r="O1505" s="22"/>
      <c r="P1505" s="22"/>
    </row>
    <row r="1506" ht="22.5" customHeight="1">
      <c r="A1506" s="12" t="s">
        <v>22</v>
      </c>
      <c r="B1506" s="20" t="str">
        <f>IFERROR(VLOOKUP(A1506,Sheet1!$E$3:$H$27,4,0),"")</f>
        <v>P2</v>
      </c>
      <c r="C1506" s="14" t="s">
        <v>141</v>
      </c>
      <c r="D1506" s="12" t="s">
        <v>84</v>
      </c>
      <c r="E1506" s="13" t="str">
        <f>IFERROR(VLOOKUP(D1506,Sheet1!$B$1:$C$45,2,0),"")</f>
        <v>MBP</v>
      </c>
      <c r="F1506" s="12" t="s">
        <v>108</v>
      </c>
      <c r="G1506" s="13" t="str">
        <f t="shared" si="5"/>
        <v>Barito Raya</v>
      </c>
      <c r="H1506" s="15" t="str">
        <f>IFERROR(VLOOKUP(A1506,Sheet1!$E$3:$F$27,2,),"")</f>
        <v>Preventive</v>
      </c>
      <c r="I1506" s="16" t="str">
        <f>IFERROR(VLOOKUP(A1506,Sheet1!$E$3:$G$27,3,0),"")</f>
        <v>Preventive Maintenance</v>
      </c>
      <c r="J1506" s="12" t="s">
        <v>112</v>
      </c>
      <c r="K1506" s="17">
        <v>46072.0</v>
      </c>
      <c r="L1506" s="17">
        <v>46072.0</v>
      </c>
      <c r="M1506" s="12" t="s">
        <v>109</v>
      </c>
      <c r="N1506" s="23"/>
      <c r="O1506" s="22"/>
      <c r="P1506" s="22"/>
    </row>
    <row r="1507" ht="22.5" customHeight="1">
      <c r="A1507" s="12" t="s">
        <v>22</v>
      </c>
      <c r="B1507" s="20" t="str">
        <f>IFERROR(VLOOKUP(A1507,Sheet1!$E$3:$H$27,4,0),"")</f>
        <v>P2</v>
      </c>
      <c r="C1507" s="14" t="s">
        <v>326</v>
      </c>
      <c r="D1507" s="12" t="s">
        <v>86</v>
      </c>
      <c r="E1507" s="13" t="str">
        <f>IFERROR(VLOOKUP(D1507,Sheet1!$B$1:$C$45,2,0),"")</f>
        <v>PM</v>
      </c>
      <c r="F1507" s="12" t="s">
        <v>108</v>
      </c>
      <c r="G1507" s="13" t="str">
        <f t="shared" si="5"/>
        <v>Barito Raya</v>
      </c>
      <c r="H1507" s="15" t="str">
        <f>IFERROR(VLOOKUP(A1507,Sheet1!$E$3:$F$27,2,),"")</f>
        <v>Preventive</v>
      </c>
      <c r="I1507" s="16" t="str">
        <f>IFERROR(VLOOKUP(A1507,Sheet1!$E$3:$G$27,3,0),"")</f>
        <v>Preventive Maintenance</v>
      </c>
      <c r="J1507" s="12" t="s">
        <v>112</v>
      </c>
      <c r="K1507" s="17">
        <v>46072.0</v>
      </c>
      <c r="L1507" s="17">
        <v>46072.0</v>
      </c>
      <c r="M1507" s="12" t="s">
        <v>109</v>
      </c>
      <c r="N1507" s="23"/>
      <c r="O1507" s="22"/>
      <c r="P1507" s="22"/>
    </row>
    <row r="1508" ht="22.5" customHeight="1">
      <c r="A1508" s="20"/>
      <c r="B1508" s="20" t="str">
        <f>IFERROR(VLOOKUP(A1508,Sheet1!$E$3:$H$27,4,0),"")</f>
        <v/>
      </c>
      <c r="C1508" s="15"/>
      <c r="D1508" s="12" t="s">
        <v>12</v>
      </c>
      <c r="E1508" s="13" t="str">
        <f>IFERROR(VLOOKUP(D1508,Sheet1!$B$1:$C$45,2,0),"")</f>
        <v>TE</v>
      </c>
      <c r="F1508" s="12" t="s">
        <v>108</v>
      </c>
      <c r="G1508" s="13" t="str">
        <f t="shared" si="5"/>
        <v>Barito Raya</v>
      </c>
      <c r="H1508" s="15" t="str">
        <f>IFERROR(VLOOKUP(A1508,Sheet1!$E$3:$F$27,2,),"")</f>
        <v/>
      </c>
      <c r="I1508" s="16" t="str">
        <f>IFERROR(VLOOKUP(A1508,Sheet1!$E$3:$G$27,3,0),"")</f>
        <v/>
      </c>
      <c r="J1508" s="20"/>
      <c r="K1508" s="17">
        <v>46073.0</v>
      </c>
      <c r="L1508" s="17">
        <v>46073.0</v>
      </c>
      <c r="M1508" s="13"/>
      <c r="N1508" s="23"/>
      <c r="O1508" s="22"/>
      <c r="P1508" s="22"/>
    </row>
    <row r="1509" ht="22.5" customHeight="1">
      <c r="A1509" s="12" t="s">
        <v>22</v>
      </c>
      <c r="B1509" s="20" t="str">
        <f>IFERROR(VLOOKUP(A1509,Sheet1!$E$3:$H$27,4,0),"")</f>
        <v>P2</v>
      </c>
      <c r="C1509" s="14" t="s">
        <v>323</v>
      </c>
      <c r="D1509" s="12" t="s">
        <v>16</v>
      </c>
      <c r="E1509" s="13" t="str">
        <f>IFERROR(VLOOKUP(D1509,Sheet1!$B$1:$C$45,2,0),"")</f>
        <v>TE</v>
      </c>
      <c r="F1509" s="12" t="s">
        <v>108</v>
      </c>
      <c r="G1509" s="13" t="str">
        <f t="shared" si="5"/>
        <v>Barito Raya</v>
      </c>
      <c r="H1509" s="15" t="str">
        <f>IFERROR(VLOOKUP(A1509,Sheet1!$E$3:$F$27,2,),"")</f>
        <v>Preventive</v>
      </c>
      <c r="I1509" s="16" t="str">
        <f>IFERROR(VLOOKUP(A1509,Sheet1!$E$3:$G$27,3,0),"")</f>
        <v>Preventive Maintenance</v>
      </c>
      <c r="J1509" s="20"/>
      <c r="K1509" s="17">
        <v>46073.0</v>
      </c>
      <c r="L1509" s="17">
        <v>46073.0</v>
      </c>
      <c r="M1509" s="13"/>
      <c r="N1509" s="23"/>
      <c r="O1509" s="22"/>
      <c r="P1509" s="22"/>
    </row>
    <row r="1510" ht="22.5" customHeight="1">
      <c r="A1510" s="20"/>
      <c r="B1510" s="20" t="str">
        <f>IFERROR(VLOOKUP(A1510,Sheet1!$E$3:$H$27,4,0),"")</f>
        <v/>
      </c>
      <c r="C1510" s="15"/>
      <c r="D1510" s="12" t="s">
        <v>21</v>
      </c>
      <c r="E1510" s="13" t="str">
        <f>IFERROR(VLOOKUP(D1510,Sheet1!$B$1:$C$45,2,0),"")</f>
        <v>TE</v>
      </c>
      <c r="F1510" s="12" t="s">
        <v>108</v>
      </c>
      <c r="G1510" s="13" t="str">
        <f t="shared" si="5"/>
        <v>Barito Raya</v>
      </c>
      <c r="H1510" s="15" t="str">
        <f>IFERROR(VLOOKUP(A1510,Sheet1!$E$3:$F$27,2,),"")</f>
        <v/>
      </c>
      <c r="I1510" s="16" t="str">
        <f>IFERROR(VLOOKUP(A1510,Sheet1!$E$3:$G$27,3,0),"")</f>
        <v/>
      </c>
      <c r="J1510" s="20"/>
      <c r="K1510" s="17">
        <v>46073.0</v>
      </c>
      <c r="L1510" s="17">
        <v>46073.0</v>
      </c>
      <c r="M1510" s="13"/>
      <c r="N1510" s="23"/>
      <c r="O1510" s="22"/>
      <c r="P1510" s="22"/>
    </row>
    <row r="1511" ht="22.5" customHeight="1">
      <c r="A1511" s="12" t="s">
        <v>25</v>
      </c>
      <c r="B1511" s="20" t="str">
        <f>IFERROR(VLOOKUP(A1511,Sheet1!$E$3:$H$27,4,0),"")</f>
        <v>P2</v>
      </c>
      <c r="C1511" s="14" t="s">
        <v>586</v>
      </c>
      <c r="D1511" s="12" t="s">
        <v>26</v>
      </c>
      <c r="E1511" s="13" t="str">
        <f>IFERROR(VLOOKUP(D1511,Sheet1!$B$1:$C$45,2,0),"")</f>
        <v>TE</v>
      </c>
      <c r="F1511" s="12" t="s">
        <v>108</v>
      </c>
      <c r="G1511" s="13" t="str">
        <f t="shared" si="5"/>
        <v>Barito Raya</v>
      </c>
      <c r="H1511" s="15" t="str">
        <f>IFERROR(VLOOKUP(A1511,Sheet1!$E$3:$F$27,2,),"")</f>
        <v>Corrective</v>
      </c>
      <c r="I1511" s="16" t="str">
        <f>IFERROR(VLOOKUP(A1511,Sheet1!$E$3:$G$27,3,0),"")</f>
        <v>Support Event</v>
      </c>
      <c r="J1511" s="12" t="s">
        <v>112</v>
      </c>
      <c r="K1511" s="17">
        <v>46073.0</v>
      </c>
      <c r="L1511" s="17">
        <v>46073.0</v>
      </c>
      <c r="M1511" s="13"/>
      <c r="N1511" s="23"/>
      <c r="O1511" s="22"/>
      <c r="P1511" s="22"/>
    </row>
    <row r="1512" ht="22.5" customHeight="1">
      <c r="A1512" s="20"/>
      <c r="B1512" s="20" t="str">
        <f>IFERROR(VLOOKUP(A1512,Sheet1!$E$3:$H$27,4,0),"")</f>
        <v/>
      </c>
      <c r="C1512" s="15"/>
      <c r="D1512" s="12" t="s">
        <v>88</v>
      </c>
      <c r="E1512" s="13" t="str">
        <f>IFERROR(VLOOKUP(D1512,Sheet1!$B$1:$C$45,2,0),"")</f>
        <v>TE</v>
      </c>
      <c r="F1512" s="12" t="s">
        <v>108</v>
      </c>
      <c r="G1512" s="13" t="str">
        <f t="shared" si="5"/>
        <v>Barito Raya</v>
      </c>
      <c r="H1512" s="15" t="str">
        <f>IFERROR(VLOOKUP(A1512,Sheet1!$E$3:$F$27,2,),"")</f>
        <v/>
      </c>
      <c r="I1512" s="16" t="str">
        <f>IFERROR(VLOOKUP(A1512,Sheet1!$E$3:$G$27,3,0),"")</f>
        <v/>
      </c>
      <c r="J1512" s="20"/>
      <c r="K1512" s="17">
        <v>46073.0</v>
      </c>
      <c r="L1512" s="17">
        <v>46073.0</v>
      </c>
      <c r="M1512" s="13"/>
      <c r="N1512" s="23"/>
      <c r="O1512" s="22"/>
      <c r="P1512" s="22"/>
    </row>
    <row r="1513" ht="22.5" customHeight="1">
      <c r="A1513" s="12" t="s">
        <v>25</v>
      </c>
      <c r="B1513" s="20" t="str">
        <f>IFERROR(VLOOKUP(A1513,Sheet1!$E$3:$H$27,4,0),"")</f>
        <v>P2</v>
      </c>
      <c r="C1513" s="14" t="s">
        <v>587</v>
      </c>
      <c r="D1513" s="12" t="s">
        <v>32</v>
      </c>
      <c r="E1513" s="13" t="str">
        <f>IFERROR(VLOOKUP(D1513,Sheet1!$B$1:$C$45,2,0),"")</f>
        <v>TE</v>
      </c>
      <c r="F1513" s="12" t="s">
        <v>108</v>
      </c>
      <c r="G1513" s="13" t="str">
        <f t="shared" si="5"/>
        <v>Barito Raya</v>
      </c>
      <c r="H1513" s="15" t="str">
        <f>IFERROR(VLOOKUP(A1513,Sheet1!$E$3:$F$27,2,),"")</f>
        <v>Corrective</v>
      </c>
      <c r="I1513" s="16" t="str">
        <f>IFERROR(VLOOKUP(A1513,Sheet1!$E$3:$G$27,3,0),"")</f>
        <v>Support Event</v>
      </c>
      <c r="J1513" s="12" t="s">
        <v>112</v>
      </c>
      <c r="K1513" s="17">
        <v>46073.0</v>
      </c>
      <c r="L1513" s="17">
        <v>46073.0</v>
      </c>
      <c r="M1513" s="13"/>
      <c r="N1513" s="23"/>
      <c r="O1513" s="22"/>
      <c r="P1513" s="22"/>
    </row>
    <row r="1514" ht="22.5" customHeight="1">
      <c r="A1514" s="20"/>
      <c r="B1514" s="20" t="str">
        <f>IFERROR(VLOOKUP(A1514,Sheet1!$E$3:$H$27,4,0),"")</f>
        <v/>
      </c>
      <c r="C1514" s="15"/>
      <c r="D1514" s="12" t="s">
        <v>74</v>
      </c>
      <c r="E1514" s="13" t="str">
        <f>IFERROR(VLOOKUP(D1514,Sheet1!$B$1:$C$45,2,0),"")</f>
        <v>TE</v>
      </c>
      <c r="F1514" s="12" t="s">
        <v>108</v>
      </c>
      <c r="G1514" s="13" t="str">
        <f t="shared" si="5"/>
        <v>Barito Raya</v>
      </c>
      <c r="H1514" s="15" t="str">
        <f>IFERROR(VLOOKUP(A1514,Sheet1!$E$3:$F$27,2,),"")</f>
        <v/>
      </c>
      <c r="I1514" s="16" t="str">
        <f>IFERROR(VLOOKUP(A1514,Sheet1!$E$3:$G$27,3,0),"")</f>
        <v/>
      </c>
      <c r="J1514" s="20"/>
      <c r="K1514" s="17">
        <v>46073.0</v>
      </c>
      <c r="L1514" s="17">
        <v>46073.0</v>
      </c>
      <c r="M1514" s="13"/>
      <c r="N1514" s="23"/>
      <c r="O1514" s="22"/>
      <c r="P1514" s="22"/>
    </row>
    <row r="1515" ht="22.5" customHeight="1">
      <c r="A1515" s="12" t="s">
        <v>49</v>
      </c>
      <c r="B1515" s="20" t="str">
        <f>IFERROR(VLOOKUP(A1515,Sheet1!$E$3:$H$27,4,0),"")</f>
        <v>P2</v>
      </c>
      <c r="C1515" s="14" t="s">
        <v>588</v>
      </c>
      <c r="D1515" s="12" t="s">
        <v>60</v>
      </c>
      <c r="E1515" s="13" t="str">
        <f>IFERROR(VLOOKUP(D1515,Sheet1!$B$1:$C$45,2,0),"")</f>
        <v>TE</v>
      </c>
      <c r="F1515" s="12" t="s">
        <v>108</v>
      </c>
      <c r="G1515" s="13" t="str">
        <f t="shared" si="5"/>
        <v>Barito Raya</v>
      </c>
      <c r="H1515" s="15" t="str">
        <f>IFERROR(VLOOKUP(A1515,Sheet1!$E$3:$F$27,2,),"")</f>
        <v>Preventive</v>
      </c>
      <c r="I1515" s="16" t="str">
        <f>IFERROR(VLOOKUP(A1515,Sheet1!$E$3:$G$27,3,0),"")</f>
        <v>Bts High temp impact fliker</v>
      </c>
      <c r="J1515" s="12" t="s">
        <v>112</v>
      </c>
      <c r="K1515" s="17">
        <v>46073.0</v>
      </c>
      <c r="L1515" s="17">
        <v>46073.0</v>
      </c>
      <c r="M1515" s="13"/>
      <c r="N1515" s="23"/>
      <c r="O1515" s="22"/>
      <c r="P1515" s="22"/>
    </row>
    <row r="1516" ht="22.5" customHeight="1">
      <c r="A1516" s="12" t="s">
        <v>49</v>
      </c>
      <c r="B1516" s="20" t="str">
        <f>IFERROR(VLOOKUP(A1516,Sheet1!$E$3:$H$27,4,0),"")</f>
        <v>P2</v>
      </c>
      <c r="C1516" s="14" t="s">
        <v>589</v>
      </c>
      <c r="D1516" s="12" t="s">
        <v>62</v>
      </c>
      <c r="E1516" s="13" t="str">
        <f>IFERROR(VLOOKUP(D1516,Sheet1!$B$1:$C$45,2,0),"")</f>
        <v>TE</v>
      </c>
      <c r="F1516" s="12" t="s">
        <v>108</v>
      </c>
      <c r="G1516" s="13" t="str">
        <f t="shared" si="5"/>
        <v>Barito Raya</v>
      </c>
      <c r="H1516" s="15" t="str">
        <f>IFERROR(VLOOKUP(A1516,Sheet1!$E$3:$F$27,2,),"")</f>
        <v>Preventive</v>
      </c>
      <c r="I1516" s="16" t="str">
        <f>IFERROR(VLOOKUP(A1516,Sheet1!$E$3:$G$27,3,0),"")</f>
        <v>Bts High temp impact fliker</v>
      </c>
      <c r="J1516" s="12" t="s">
        <v>112</v>
      </c>
      <c r="K1516" s="17">
        <v>46073.0</v>
      </c>
      <c r="L1516" s="17">
        <v>46073.0</v>
      </c>
      <c r="M1516" s="13"/>
      <c r="N1516" s="23"/>
      <c r="O1516" s="22"/>
      <c r="P1516" s="22"/>
    </row>
    <row r="1517" ht="22.5" customHeight="1">
      <c r="A1517" s="12" t="s">
        <v>22</v>
      </c>
      <c r="B1517" s="20" t="str">
        <f>IFERROR(VLOOKUP(A1517,Sheet1!$E$3:$H$27,4,0),"")</f>
        <v>P2</v>
      </c>
      <c r="C1517" s="14" t="s">
        <v>323</v>
      </c>
      <c r="D1517" s="12" t="s">
        <v>9</v>
      </c>
      <c r="E1517" s="13" t="str">
        <f>IFERROR(VLOOKUP(D1517,Sheet1!$B$1:$C$45,2,0),"")</f>
        <v>MBP</v>
      </c>
      <c r="F1517" s="12" t="s">
        <v>108</v>
      </c>
      <c r="G1517" s="13" t="str">
        <f t="shared" si="5"/>
        <v>Barito Raya</v>
      </c>
      <c r="H1517" s="15" t="str">
        <f>IFERROR(VLOOKUP(A1517,Sheet1!$E$3:$F$27,2,),"")</f>
        <v>Preventive</v>
      </c>
      <c r="I1517" s="16" t="str">
        <f>IFERROR(VLOOKUP(A1517,Sheet1!$E$3:$G$27,3,0),"")</f>
        <v>Preventive Maintenance</v>
      </c>
      <c r="J1517" s="20"/>
      <c r="K1517" s="17">
        <v>46073.0</v>
      </c>
      <c r="L1517" s="17">
        <v>46073.0</v>
      </c>
      <c r="M1517" s="13"/>
      <c r="N1517" s="23"/>
      <c r="O1517" s="22"/>
      <c r="P1517" s="22"/>
    </row>
    <row r="1518" ht="22.5" customHeight="1">
      <c r="A1518" s="20"/>
      <c r="B1518" s="20" t="str">
        <f>IFERROR(VLOOKUP(A1518,Sheet1!$E$3:$H$27,4,0),"")</f>
        <v/>
      </c>
      <c r="C1518" s="15"/>
      <c r="D1518" s="12" t="s">
        <v>4</v>
      </c>
      <c r="E1518" s="13" t="str">
        <f>IFERROR(VLOOKUP(D1518,Sheet1!$B$1:$C$45,2,0),"")</f>
        <v>CME</v>
      </c>
      <c r="F1518" s="12" t="s">
        <v>108</v>
      </c>
      <c r="G1518" s="13" t="str">
        <f t="shared" si="5"/>
        <v>Barito Raya</v>
      </c>
      <c r="H1518" s="15" t="str">
        <f>IFERROR(VLOOKUP(A1518,Sheet1!$E$3:$F$27,2,),"")</f>
        <v/>
      </c>
      <c r="I1518" s="16" t="str">
        <f>IFERROR(VLOOKUP(A1518,Sheet1!$E$3:$G$27,3,0),"")</f>
        <v/>
      </c>
      <c r="J1518" s="20"/>
      <c r="K1518" s="17">
        <v>46073.0</v>
      </c>
      <c r="L1518" s="17">
        <v>46073.0</v>
      </c>
      <c r="M1518" s="13"/>
      <c r="N1518" s="23"/>
      <c r="O1518" s="22"/>
      <c r="P1518" s="22"/>
    </row>
    <row r="1519" ht="22.5" customHeight="1">
      <c r="A1519" s="20"/>
      <c r="B1519" s="20" t="str">
        <f>IFERROR(VLOOKUP(A1519,Sheet1!$E$3:$H$27,4,0),"")</f>
        <v/>
      </c>
      <c r="C1519" s="15"/>
      <c r="D1519" s="12" t="s">
        <v>87</v>
      </c>
      <c r="E1519" s="13" t="str">
        <f>IFERROR(VLOOKUP(D1519,Sheet1!$B$1:$C$45,2,0),"")</f>
        <v>MBP</v>
      </c>
      <c r="F1519" s="12" t="s">
        <v>108</v>
      </c>
      <c r="G1519" s="13" t="str">
        <f t="shared" si="5"/>
        <v>Barito Raya</v>
      </c>
      <c r="H1519" s="15" t="str">
        <f>IFERROR(VLOOKUP(A1519,Sheet1!$E$3:$F$27,2,),"")</f>
        <v/>
      </c>
      <c r="I1519" s="16" t="str">
        <f>IFERROR(VLOOKUP(A1519,Sheet1!$E$3:$G$27,3,0),"")</f>
        <v/>
      </c>
      <c r="J1519" s="20"/>
      <c r="K1519" s="17">
        <v>46073.0</v>
      </c>
      <c r="L1519" s="17">
        <v>46073.0</v>
      </c>
      <c r="M1519" s="13"/>
      <c r="N1519" s="23"/>
      <c r="O1519" s="22"/>
      <c r="P1519" s="22"/>
    </row>
    <row r="1520" ht="22.5" customHeight="1">
      <c r="A1520" s="20"/>
      <c r="B1520" s="20" t="str">
        <f>IFERROR(VLOOKUP(A1520,Sheet1!$E$3:$H$27,4,0),"")</f>
        <v/>
      </c>
      <c r="C1520" s="15"/>
      <c r="D1520" s="12" t="s">
        <v>29</v>
      </c>
      <c r="E1520" s="13" t="str">
        <f>IFERROR(VLOOKUP(D1520,Sheet1!$B$1:$C$45,2,0),"")</f>
        <v>MBP</v>
      </c>
      <c r="F1520" s="12" t="s">
        <v>108</v>
      </c>
      <c r="G1520" s="13" t="str">
        <f t="shared" si="5"/>
        <v>Barito Raya</v>
      </c>
      <c r="H1520" s="15" t="str">
        <f>IFERROR(VLOOKUP(A1520,Sheet1!$E$3:$F$27,2,),"")</f>
        <v/>
      </c>
      <c r="I1520" s="16" t="str">
        <f>IFERROR(VLOOKUP(A1520,Sheet1!$E$3:$G$27,3,0),"")</f>
        <v/>
      </c>
      <c r="J1520" s="20"/>
      <c r="K1520" s="17">
        <v>46073.0</v>
      </c>
      <c r="L1520" s="17">
        <v>46073.0</v>
      </c>
      <c r="M1520" s="13"/>
      <c r="N1520" s="23"/>
      <c r="O1520" s="22"/>
      <c r="P1520" s="22"/>
    </row>
    <row r="1521" ht="22.5" customHeight="1">
      <c r="A1521" s="20"/>
      <c r="B1521" s="20" t="str">
        <f>IFERROR(VLOOKUP(A1521,Sheet1!$E$3:$H$27,4,0),"")</f>
        <v/>
      </c>
      <c r="C1521" s="15"/>
      <c r="D1521" s="12" t="s">
        <v>2</v>
      </c>
      <c r="E1521" s="13" t="str">
        <f>IFERROR(VLOOKUP(D1521,Sheet1!$B$1:$C$45,2,0),"")</f>
        <v>CME</v>
      </c>
      <c r="F1521" s="12" t="s">
        <v>108</v>
      </c>
      <c r="G1521" s="13" t="str">
        <f t="shared" si="5"/>
        <v>Barito Raya</v>
      </c>
      <c r="H1521" s="15" t="str">
        <f>IFERROR(VLOOKUP(A1521,Sheet1!$E$3:$F$27,2,),"")</f>
        <v/>
      </c>
      <c r="I1521" s="16" t="str">
        <f>IFERROR(VLOOKUP(A1521,Sheet1!$E$3:$G$27,3,0),"")</f>
        <v/>
      </c>
      <c r="J1521" s="20"/>
      <c r="K1521" s="17">
        <v>46073.0</v>
      </c>
      <c r="L1521" s="17">
        <v>46073.0</v>
      </c>
      <c r="M1521" s="13"/>
      <c r="N1521" s="23"/>
      <c r="O1521" s="22"/>
      <c r="P1521" s="22"/>
    </row>
    <row r="1522" ht="22.5" customHeight="1">
      <c r="A1522" s="20"/>
      <c r="B1522" s="20" t="str">
        <f>IFERROR(VLOOKUP(A1522,Sheet1!$E$3:$H$27,4,0),"")</f>
        <v/>
      </c>
      <c r="C1522" s="15"/>
      <c r="D1522" s="12" t="s">
        <v>0</v>
      </c>
      <c r="E1522" s="13" t="str">
        <f>IFERROR(VLOOKUP(D1522,Sheet1!$B$1:$C$45,2,0),"")</f>
        <v>MBP</v>
      </c>
      <c r="F1522" s="12" t="s">
        <v>108</v>
      </c>
      <c r="G1522" s="13" t="str">
        <f t="shared" si="5"/>
        <v>Barito Raya</v>
      </c>
      <c r="H1522" s="15" t="str">
        <f>IFERROR(VLOOKUP(A1522,Sheet1!$E$3:$F$27,2,),"")</f>
        <v/>
      </c>
      <c r="I1522" s="16" t="str">
        <f>IFERROR(VLOOKUP(A1522,Sheet1!$E$3:$G$27,3,0),"")</f>
        <v/>
      </c>
      <c r="J1522" s="20"/>
      <c r="K1522" s="17">
        <v>46073.0</v>
      </c>
      <c r="L1522" s="17">
        <v>46073.0</v>
      </c>
      <c r="M1522" s="13"/>
      <c r="N1522" s="23"/>
      <c r="O1522" s="22"/>
      <c r="P1522" s="22"/>
    </row>
    <row r="1523" ht="22.5" customHeight="1">
      <c r="A1523" s="20"/>
      <c r="B1523" s="20" t="str">
        <f>IFERROR(VLOOKUP(A1523,Sheet1!$E$3:$H$27,4,0),"")</f>
        <v/>
      </c>
      <c r="C1523" s="15"/>
      <c r="D1523" s="12" t="s">
        <v>85</v>
      </c>
      <c r="E1523" s="13" t="str">
        <f>IFERROR(VLOOKUP(D1523,Sheet1!$B$1:$C$45,2,0),"")</f>
        <v>PM</v>
      </c>
      <c r="F1523" s="12" t="s">
        <v>108</v>
      </c>
      <c r="G1523" s="13" t="str">
        <f t="shared" si="5"/>
        <v>Barito Raya</v>
      </c>
      <c r="H1523" s="15" t="str">
        <f>IFERROR(VLOOKUP(A1523,Sheet1!$E$3:$F$27,2,),"")</f>
        <v/>
      </c>
      <c r="I1523" s="16" t="str">
        <f>IFERROR(VLOOKUP(A1523,Sheet1!$E$3:$G$27,3,0),"")</f>
        <v/>
      </c>
      <c r="J1523" s="20"/>
      <c r="K1523" s="17">
        <v>46073.0</v>
      </c>
      <c r="L1523" s="17">
        <v>46073.0</v>
      </c>
      <c r="M1523" s="13"/>
      <c r="N1523" s="23"/>
      <c r="O1523" s="22"/>
      <c r="P1523" s="22"/>
    </row>
    <row r="1524" ht="22.5" customHeight="1">
      <c r="A1524" s="20"/>
      <c r="B1524" s="20" t="str">
        <f>IFERROR(VLOOKUP(A1524,Sheet1!$E$3:$H$27,4,0),"")</f>
        <v/>
      </c>
      <c r="C1524" s="15"/>
      <c r="D1524" s="12" t="s">
        <v>84</v>
      </c>
      <c r="E1524" s="13" t="str">
        <f>IFERROR(VLOOKUP(D1524,Sheet1!$B$1:$C$45,2,0),"")</f>
        <v>MBP</v>
      </c>
      <c r="F1524" s="12" t="s">
        <v>108</v>
      </c>
      <c r="G1524" s="13" t="str">
        <f t="shared" si="5"/>
        <v>Barito Raya</v>
      </c>
      <c r="H1524" s="15" t="str">
        <f>IFERROR(VLOOKUP(A1524,Sheet1!$E$3:$F$27,2,),"")</f>
        <v/>
      </c>
      <c r="I1524" s="16" t="str">
        <f>IFERROR(VLOOKUP(A1524,Sheet1!$E$3:$G$27,3,0),"")</f>
        <v/>
      </c>
      <c r="J1524" s="20"/>
      <c r="K1524" s="17">
        <v>46073.0</v>
      </c>
      <c r="L1524" s="17">
        <v>46073.0</v>
      </c>
      <c r="M1524" s="13"/>
      <c r="N1524" s="23"/>
      <c r="O1524" s="22"/>
      <c r="P1524" s="22"/>
    </row>
    <row r="1525" ht="22.5" hidden="1" customHeight="1">
      <c r="A1525" s="20"/>
      <c r="B1525" s="20" t="str">
        <f>IFERROR(VLOOKUP(A1525,Sheet1!$E$3:$H$27,4,0),"")</f>
        <v/>
      </c>
      <c r="C1525" s="15"/>
      <c r="D1525" s="12" t="s">
        <v>86</v>
      </c>
      <c r="E1525" s="13" t="str">
        <f>IFERROR(VLOOKUP(D1525,Sheet1!$B$1:$C$45,2,0),"")</f>
        <v>PM</v>
      </c>
      <c r="F1525" s="12" t="s">
        <v>108</v>
      </c>
      <c r="G1525" s="13" t="str">
        <f t="shared" si="5"/>
        <v>Barito Raya</v>
      </c>
      <c r="H1525" s="15" t="str">
        <f>IFERROR(VLOOKUP(A1525,Sheet1!$E$3:$F$27,2,),"")</f>
        <v/>
      </c>
      <c r="I1525" s="16" t="str">
        <f>IFERROR(VLOOKUP(A1525,Sheet1!$E$3:$G$27,3,0),"")</f>
        <v/>
      </c>
      <c r="J1525" s="20"/>
      <c r="K1525" s="17">
        <v>46073.0</v>
      </c>
      <c r="L1525" s="17">
        <v>46073.0</v>
      </c>
      <c r="M1525" s="13"/>
      <c r="N1525" s="23"/>
      <c r="O1525" s="22"/>
      <c r="P1525" s="22"/>
    </row>
    <row r="1526" ht="22.5" customHeight="1">
      <c r="A1526" s="12" t="s">
        <v>25</v>
      </c>
      <c r="B1526" s="20" t="str">
        <f>IFERROR(VLOOKUP(A1526,Sheet1!$E$3:$H$27,4,0),"")</f>
        <v>P2</v>
      </c>
      <c r="C1526" s="14" t="s">
        <v>410</v>
      </c>
      <c r="D1526" s="12" t="s">
        <v>12</v>
      </c>
      <c r="E1526" s="13" t="str">
        <f>IFERROR(VLOOKUP(D1526,Sheet1!$B$1:$C$45,2,0),"")</f>
        <v>TE</v>
      </c>
      <c r="F1526" s="12" t="s">
        <v>108</v>
      </c>
      <c r="G1526" s="13" t="str">
        <f t="shared" si="5"/>
        <v>Barito Raya</v>
      </c>
      <c r="H1526" s="15" t="str">
        <f>IFERROR(VLOOKUP(A1526,Sheet1!$E$3:$F$27,2,),"")</f>
        <v>Corrective</v>
      </c>
      <c r="I1526" s="16" t="str">
        <f>IFERROR(VLOOKUP(A1526,Sheet1!$E$3:$G$27,3,0),"")</f>
        <v>Support Event</v>
      </c>
      <c r="J1526" s="12" t="s">
        <v>112</v>
      </c>
      <c r="K1526" s="17">
        <v>46076.0</v>
      </c>
      <c r="L1526" s="17">
        <v>46076.0</v>
      </c>
      <c r="M1526" s="12" t="s">
        <v>137</v>
      </c>
      <c r="N1526" s="23"/>
      <c r="O1526" s="22"/>
      <c r="P1526" s="22"/>
    </row>
    <row r="1527" ht="22.5" customHeight="1">
      <c r="A1527" s="12" t="s">
        <v>22</v>
      </c>
      <c r="B1527" s="20" t="str">
        <f>IFERROR(VLOOKUP(A1527,Sheet1!$E$3:$H$27,4,0),"")</f>
        <v>P2</v>
      </c>
      <c r="C1527" s="15"/>
      <c r="D1527" s="12" t="s">
        <v>16</v>
      </c>
      <c r="E1527" s="13" t="str">
        <f>IFERROR(VLOOKUP(D1527,Sheet1!$B$1:$C$45,2,0),"")</f>
        <v>TE</v>
      </c>
      <c r="F1527" s="12" t="s">
        <v>108</v>
      </c>
      <c r="G1527" s="13" t="str">
        <f t="shared" si="5"/>
        <v>Barito Raya</v>
      </c>
      <c r="H1527" s="15" t="str">
        <f>IFERROR(VLOOKUP(A1527,Sheet1!$E$3:$F$27,2,),"")</f>
        <v>Preventive</v>
      </c>
      <c r="I1527" s="16" t="str">
        <f>IFERROR(VLOOKUP(A1527,Sheet1!$E$3:$G$27,3,0),"")</f>
        <v>Preventive Maintenance</v>
      </c>
      <c r="J1527" s="12" t="s">
        <v>112</v>
      </c>
      <c r="K1527" s="17">
        <v>46076.0</v>
      </c>
      <c r="L1527" s="17">
        <v>46076.0</v>
      </c>
      <c r="M1527" s="12" t="s">
        <v>137</v>
      </c>
      <c r="N1527" s="23"/>
      <c r="O1527" s="22"/>
      <c r="P1527" s="22"/>
    </row>
    <row r="1528" ht="22.5" customHeight="1">
      <c r="A1528" s="12" t="s">
        <v>52</v>
      </c>
      <c r="B1528" s="20" t="str">
        <f>IFERROR(VLOOKUP(A1528,Sheet1!$E$3:$H$27,4,0),"")</f>
        <v>P1</v>
      </c>
      <c r="C1528" s="14" t="s">
        <v>161</v>
      </c>
      <c r="D1528" s="12" t="s">
        <v>21</v>
      </c>
      <c r="E1528" s="13" t="str">
        <f>IFERROR(VLOOKUP(D1528,Sheet1!$B$1:$C$45,2,0),"")</f>
        <v>TE</v>
      </c>
      <c r="F1528" s="12" t="s">
        <v>108</v>
      </c>
      <c r="G1528" s="13" t="str">
        <f t="shared" si="5"/>
        <v>Barito Raya</v>
      </c>
      <c r="H1528" s="15" t="str">
        <f>IFERROR(VLOOKUP(A1528,Sheet1!$E$3:$F$27,2,),"")</f>
        <v>Preventive</v>
      </c>
      <c r="I1528" s="16" t="str">
        <f>IFERROR(VLOOKUP(A1528,Sheet1!$E$3:$G$27,3,0),"")</f>
        <v>MCB trip/Power upnormal</v>
      </c>
      <c r="J1528" s="12" t="s">
        <v>112</v>
      </c>
      <c r="K1528" s="17">
        <v>46076.0</v>
      </c>
      <c r="L1528" s="17">
        <v>46076.0</v>
      </c>
      <c r="M1528" s="12" t="s">
        <v>137</v>
      </c>
      <c r="N1528" s="23"/>
      <c r="O1528" s="22"/>
      <c r="P1528" s="22"/>
    </row>
    <row r="1529" ht="22.5" customHeight="1">
      <c r="A1529" s="12" t="s">
        <v>14</v>
      </c>
      <c r="B1529" s="20" t="str">
        <f>IFERROR(VLOOKUP(A1529,Sheet1!$E$3:$H$27,4,0),"")</f>
        <v>P1</v>
      </c>
      <c r="C1529" s="14" t="s">
        <v>552</v>
      </c>
      <c r="D1529" s="12" t="s">
        <v>26</v>
      </c>
      <c r="E1529" s="13" t="str">
        <f>IFERROR(VLOOKUP(D1529,Sheet1!$B$1:$C$45,2,0),"")</f>
        <v>TE</v>
      </c>
      <c r="F1529" s="12" t="s">
        <v>108</v>
      </c>
      <c r="G1529" s="13" t="str">
        <f t="shared" si="5"/>
        <v>Barito Raya</v>
      </c>
      <c r="H1529" s="15" t="str">
        <f>IFERROR(VLOOKUP(A1529,Sheet1!$E$3:$F$27,2,),"")</f>
        <v>Corrective</v>
      </c>
      <c r="I1529" s="16" t="str">
        <f>IFERROR(VLOOKUP(A1529,Sheet1!$E$3:$G$27,3,0),"")</f>
        <v>Pemadaman,MCB Trip,Transmisi problem</v>
      </c>
      <c r="J1529" s="12" t="s">
        <v>112</v>
      </c>
      <c r="K1529" s="17">
        <v>46076.0</v>
      </c>
      <c r="L1529" s="17">
        <v>46076.0</v>
      </c>
      <c r="M1529" s="12" t="s">
        <v>137</v>
      </c>
      <c r="N1529" s="23"/>
      <c r="O1529" s="22"/>
      <c r="P1529" s="22"/>
    </row>
    <row r="1530" ht="22.5" customHeight="1">
      <c r="A1530" s="12" t="s">
        <v>14</v>
      </c>
      <c r="B1530" s="20" t="str">
        <f>IFERROR(VLOOKUP(A1530,Sheet1!$E$3:$H$27,4,0),"")</f>
        <v>P1</v>
      </c>
      <c r="C1530" s="14" t="s">
        <v>552</v>
      </c>
      <c r="D1530" s="12" t="s">
        <v>88</v>
      </c>
      <c r="E1530" s="13" t="str">
        <f>IFERROR(VLOOKUP(D1530,Sheet1!$B$1:$C$45,2,0),"")</f>
        <v>TE</v>
      </c>
      <c r="F1530" s="12" t="s">
        <v>108</v>
      </c>
      <c r="G1530" s="13" t="str">
        <f t="shared" si="5"/>
        <v>Barito Raya</v>
      </c>
      <c r="H1530" s="15" t="str">
        <f>IFERROR(VLOOKUP(A1530,Sheet1!$E$3:$F$27,2,),"")</f>
        <v>Corrective</v>
      </c>
      <c r="I1530" s="16" t="str">
        <f>IFERROR(VLOOKUP(A1530,Sheet1!$E$3:$G$27,3,0),"")</f>
        <v>Pemadaman,MCB Trip,Transmisi problem</v>
      </c>
      <c r="J1530" s="12" t="s">
        <v>112</v>
      </c>
      <c r="K1530" s="17">
        <v>46076.0</v>
      </c>
      <c r="L1530" s="17">
        <v>46076.0</v>
      </c>
      <c r="M1530" s="12" t="s">
        <v>137</v>
      </c>
      <c r="N1530" s="23"/>
      <c r="O1530" s="22"/>
      <c r="P1530" s="22"/>
    </row>
    <row r="1531" ht="22.5" customHeight="1">
      <c r="A1531" s="12" t="s">
        <v>72</v>
      </c>
      <c r="B1531" s="20" t="str">
        <f>IFERROR(VLOOKUP(A1531,Sheet1!$E$3:$H$27,4,0),"")</f>
        <v>P1</v>
      </c>
      <c r="C1531" s="14" t="s">
        <v>421</v>
      </c>
      <c r="D1531" s="12" t="s">
        <v>32</v>
      </c>
      <c r="E1531" s="13" t="str">
        <f>IFERROR(VLOOKUP(D1531,Sheet1!$B$1:$C$45,2,0),"")</f>
        <v>TE</v>
      </c>
      <c r="F1531" s="12" t="s">
        <v>108</v>
      </c>
      <c r="G1531" s="13" t="str">
        <f t="shared" si="5"/>
        <v>Barito Raya</v>
      </c>
      <c r="H1531" s="15" t="str">
        <f>IFERROR(VLOOKUP(A1531,Sheet1!$E$3:$F$27,2,),"")</f>
        <v>Corrective</v>
      </c>
      <c r="I1531" s="16" t="str">
        <f>IFERROR(VLOOKUP(A1531,Sheet1!$E$3:$G$27,3,0),"")</f>
        <v>Perbaikan Auto,pergantian relay,timer, yang berhubungan genset</v>
      </c>
      <c r="J1531" s="12" t="s">
        <v>112</v>
      </c>
      <c r="K1531" s="17">
        <v>46076.0</v>
      </c>
      <c r="L1531" s="17">
        <v>46076.0</v>
      </c>
      <c r="M1531" s="12" t="s">
        <v>137</v>
      </c>
      <c r="N1531" s="23"/>
      <c r="O1531" s="22"/>
      <c r="P1531" s="22"/>
    </row>
    <row r="1532" ht="22.5" customHeight="1">
      <c r="A1532" s="12" t="s">
        <v>52</v>
      </c>
      <c r="B1532" s="20" t="str">
        <f>IFERROR(VLOOKUP(A1532,Sheet1!$E$3:$H$27,4,0),"")</f>
        <v>P1</v>
      </c>
      <c r="C1532" s="14" t="s">
        <v>263</v>
      </c>
      <c r="D1532" s="12" t="s">
        <v>74</v>
      </c>
      <c r="E1532" s="13" t="str">
        <f>IFERROR(VLOOKUP(D1532,Sheet1!$B$1:$C$45,2,0),"")</f>
        <v>TE</v>
      </c>
      <c r="F1532" s="12" t="s">
        <v>108</v>
      </c>
      <c r="G1532" s="13" t="str">
        <f t="shared" si="5"/>
        <v>Barito Raya</v>
      </c>
      <c r="H1532" s="15" t="str">
        <f>IFERROR(VLOOKUP(A1532,Sheet1!$E$3:$F$27,2,),"")</f>
        <v>Preventive</v>
      </c>
      <c r="I1532" s="16" t="str">
        <f>IFERROR(VLOOKUP(A1532,Sheet1!$E$3:$G$27,3,0),"")</f>
        <v>MCB trip/Power upnormal</v>
      </c>
      <c r="J1532" s="12" t="s">
        <v>112</v>
      </c>
      <c r="K1532" s="17">
        <v>46076.0</v>
      </c>
      <c r="L1532" s="17">
        <v>46076.0</v>
      </c>
      <c r="M1532" s="12" t="s">
        <v>137</v>
      </c>
      <c r="N1532" s="23"/>
      <c r="O1532" s="22"/>
      <c r="P1532" s="22"/>
    </row>
    <row r="1533" ht="22.5" customHeight="1">
      <c r="A1533" s="12" t="s">
        <v>22</v>
      </c>
      <c r="B1533" s="20" t="str">
        <f>IFERROR(VLOOKUP(A1533,Sheet1!$E$3:$H$27,4,0),"")</f>
        <v>P2</v>
      </c>
      <c r="C1533" s="14" t="s">
        <v>588</v>
      </c>
      <c r="D1533" s="12" t="s">
        <v>60</v>
      </c>
      <c r="E1533" s="13" t="str">
        <f>IFERROR(VLOOKUP(D1533,Sheet1!$B$1:$C$45,2,0),"")</f>
        <v>TE</v>
      </c>
      <c r="F1533" s="12" t="s">
        <v>108</v>
      </c>
      <c r="G1533" s="13" t="str">
        <f t="shared" si="5"/>
        <v>Barito Raya</v>
      </c>
      <c r="H1533" s="15" t="str">
        <f>IFERROR(VLOOKUP(A1533,Sheet1!$E$3:$F$27,2,),"")</f>
        <v>Preventive</v>
      </c>
      <c r="I1533" s="16" t="str">
        <f>IFERROR(VLOOKUP(A1533,Sheet1!$E$3:$G$27,3,0),"")</f>
        <v>Preventive Maintenance</v>
      </c>
      <c r="J1533" s="12" t="s">
        <v>112</v>
      </c>
      <c r="K1533" s="17">
        <v>46076.0</v>
      </c>
      <c r="L1533" s="17">
        <v>46076.0</v>
      </c>
      <c r="M1533" s="12" t="s">
        <v>137</v>
      </c>
      <c r="N1533" s="23"/>
      <c r="O1533" s="22"/>
      <c r="P1533" s="22"/>
    </row>
    <row r="1534" ht="22.5" customHeight="1">
      <c r="A1534" s="12" t="s">
        <v>5</v>
      </c>
      <c r="B1534" s="20" t="str">
        <f>IFERROR(VLOOKUP(A1534,Sheet1!$E$3:$H$27,4,0),"")</f>
        <v>P1</v>
      </c>
      <c r="C1534" s="14" t="s">
        <v>590</v>
      </c>
      <c r="D1534" s="12" t="s">
        <v>62</v>
      </c>
      <c r="E1534" s="13" t="str">
        <f>IFERROR(VLOOKUP(D1534,Sheet1!$B$1:$C$45,2,0),"")</f>
        <v>TE</v>
      </c>
      <c r="F1534" s="12" t="s">
        <v>108</v>
      </c>
      <c r="G1534" s="13" t="str">
        <f t="shared" si="5"/>
        <v>Barito Raya</v>
      </c>
      <c r="H1534" s="15" t="str">
        <f>IFERROR(VLOOKUP(A1534,Sheet1!$E$3:$F$27,2,),"")</f>
        <v>Corrective</v>
      </c>
      <c r="I1534" s="16" t="str">
        <f>IFERROR(VLOOKUP(A1534,Sheet1!$E$3:$G$27,3,0),"")</f>
        <v>Replace Optik,RRU/Soket Power/Replace GPS</v>
      </c>
      <c r="J1534" s="12" t="s">
        <v>112</v>
      </c>
      <c r="K1534" s="17">
        <v>46076.0</v>
      </c>
      <c r="L1534" s="17">
        <v>46076.0</v>
      </c>
      <c r="M1534" s="12" t="s">
        <v>137</v>
      </c>
      <c r="N1534" s="23"/>
      <c r="O1534" s="22"/>
      <c r="P1534" s="22"/>
    </row>
    <row r="1535" ht="22.5" customHeight="1">
      <c r="A1535" s="12" t="s">
        <v>65</v>
      </c>
      <c r="B1535" s="20" t="str">
        <f>IFERROR(VLOOKUP(A1535,Sheet1!$E$3:$H$27,4,0),"")</f>
        <v>P3</v>
      </c>
      <c r="C1535" s="15"/>
      <c r="D1535" s="12" t="s">
        <v>9</v>
      </c>
      <c r="E1535" s="13" t="str">
        <f>IFERROR(VLOOKUP(D1535,Sheet1!$B$1:$C$45,2,0),"")</f>
        <v>MBP</v>
      </c>
      <c r="F1535" s="12" t="s">
        <v>108</v>
      </c>
      <c r="G1535" s="13" t="str">
        <f t="shared" si="5"/>
        <v>Barito Raya</v>
      </c>
      <c r="H1535" s="15" t="str">
        <f>IFERROR(VLOOKUP(A1535,Sheet1!$E$3:$F$27,2,),"")</f>
        <v>Standby</v>
      </c>
      <c r="I1535" s="16" t="str">
        <f>IFERROR(VLOOKUP(A1535,Sheet1!$E$3:$G$27,3,0),"")</f>
        <v>Standby On Call</v>
      </c>
      <c r="J1535" s="12" t="s">
        <v>66</v>
      </c>
      <c r="K1535" s="17">
        <v>46076.0</v>
      </c>
      <c r="L1535" s="17">
        <v>46076.0</v>
      </c>
      <c r="M1535" s="12" t="s">
        <v>137</v>
      </c>
      <c r="N1535" s="23"/>
      <c r="O1535" s="22"/>
      <c r="P1535" s="22"/>
    </row>
    <row r="1536" ht="22.5" customHeight="1">
      <c r="A1536" s="12" t="s">
        <v>52</v>
      </c>
      <c r="B1536" s="20" t="str">
        <f>IFERROR(VLOOKUP(A1536,Sheet1!$E$3:$H$27,4,0),"")</f>
        <v>P1</v>
      </c>
      <c r="C1536" s="14" t="s">
        <v>161</v>
      </c>
      <c r="D1536" s="12" t="s">
        <v>4</v>
      </c>
      <c r="E1536" s="13" t="str">
        <f>IFERROR(VLOOKUP(D1536,Sheet1!$B$1:$C$45,2,0),"")</f>
        <v>CME</v>
      </c>
      <c r="F1536" s="12" t="s">
        <v>108</v>
      </c>
      <c r="G1536" s="13" t="str">
        <f t="shared" si="5"/>
        <v>Barito Raya</v>
      </c>
      <c r="H1536" s="15" t="str">
        <f>IFERROR(VLOOKUP(A1536,Sheet1!$E$3:$F$27,2,),"")</f>
        <v>Preventive</v>
      </c>
      <c r="I1536" s="16" t="str">
        <f>IFERROR(VLOOKUP(A1536,Sheet1!$E$3:$G$27,3,0),"")</f>
        <v>MCB trip/Power upnormal</v>
      </c>
      <c r="J1536" s="12" t="s">
        <v>112</v>
      </c>
      <c r="K1536" s="17">
        <v>46076.0</v>
      </c>
      <c r="L1536" s="17">
        <v>46076.0</v>
      </c>
      <c r="M1536" s="12" t="s">
        <v>137</v>
      </c>
      <c r="N1536" s="23"/>
      <c r="O1536" s="22"/>
      <c r="P1536" s="22"/>
    </row>
    <row r="1537" ht="22.5" customHeight="1">
      <c r="A1537" s="12" t="s">
        <v>65</v>
      </c>
      <c r="B1537" s="20" t="str">
        <f>IFERROR(VLOOKUP(A1537,Sheet1!$E$3:$H$27,4,0),"")</f>
        <v>P3</v>
      </c>
      <c r="C1537" s="14"/>
      <c r="D1537" s="12" t="s">
        <v>87</v>
      </c>
      <c r="E1537" s="13" t="str">
        <f>IFERROR(VLOOKUP(D1537,Sheet1!$B$1:$C$45,2,0),"")</f>
        <v>MBP</v>
      </c>
      <c r="F1537" s="12" t="s">
        <v>108</v>
      </c>
      <c r="G1537" s="13" t="str">
        <f t="shared" si="5"/>
        <v>Barito Raya</v>
      </c>
      <c r="H1537" s="15" t="str">
        <f>IFERROR(VLOOKUP(A1537,Sheet1!$E$3:$F$27,2,),"")</f>
        <v>Standby</v>
      </c>
      <c r="I1537" s="16" t="str">
        <f>IFERROR(VLOOKUP(A1537,Sheet1!$E$3:$G$27,3,0),"")</f>
        <v>Standby On Call</v>
      </c>
      <c r="J1537" s="12" t="s">
        <v>66</v>
      </c>
      <c r="K1537" s="17">
        <v>46076.0</v>
      </c>
      <c r="L1537" s="17">
        <v>46076.0</v>
      </c>
      <c r="M1537" s="12" t="s">
        <v>137</v>
      </c>
      <c r="N1537" s="23"/>
      <c r="O1537" s="22"/>
      <c r="P1537" s="22"/>
    </row>
    <row r="1538" ht="22.5" customHeight="1">
      <c r="A1538" s="12" t="s">
        <v>65</v>
      </c>
      <c r="B1538" s="20" t="str">
        <f>IFERROR(VLOOKUP(A1538,Sheet1!$E$3:$H$27,4,0),"")</f>
        <v>P3</v>
      </c>
      <c r="C1538" s="15"/>
      <c r="D1538" s="12" t="s">
        <v>29</v>
      </c>
      <c r="E1538" s="13" t="str">
        <f>IFERROR(VLOOKUP(D1538,Sheet1!$B$1:$C$45,2,0),"")</f>
        <v>MBP</v>
      </c>
      <c r="F1538" s="12" t="s">
        <v>108</v>
      </c>
      <c r="G1538" s="13" t="str">
        <f t="shared" si="5"/>
        <v>Barito Raya</v>
      </c>
      <c r="H1538" s="15" t="str">
        <f>IFERROR(VLOOKUP(A1538,Sheet1!$E$3:$F$27,2,),"")</f>
        <v>Standby</v>
      </c>
      <c r="I1538" s="16" t="str">
        <f>IFERROR(VLOOKUP(A1538,Sheet1!$E$3:$G$27,3,0),"")</f>
        <v>Standby On Call</v>
      </c>
      <c r="J1538" s="12" t="s">
        <v>66</v>
      </c>
      <c r="K1538" s="17">
        <v>46076.0</v>
      </c>
      <c r="L1538" s="17">
        <v>46076.0</v>
      </c>
      <c r="M1538" s="12" t="s">
        <v>137</v>
      </c>
      <c r="N1538" s="23"/>
      <c r="O1538" s="22"/>
      <c r="P1538" s="22"/>
    </row>
    <row r="1539" ht="22.5" customHeight="1">
      <c r="A1539" s="12" t="s">
        <v>30</v>
      </c>
      <c r="B1539" s="20" t="str">
        <f>IFERROR(VLOOKUP(A1539,Sheet1!$E$3:$H$27,4,0),"")</f>
        <v>P3</v>
      </c>
      <c r="C1539" s="14" t="s">
        <v>134</v>
      </c>
      <c r="D1539" s="12" t="s">
        <v>2</v>
      </c>
      <c r="E1539" s="13" t="str">
        <f>IFERROR(VLOOKUP(D1539,Sheet1!$B$1:$C$45,2,0),"")</f>
        <v>CME</v>
      </c>
      <c r="F1539" s="12" t="s">
        <v>108</v>
      </c>
      <c r="G1539" s="13" t="str">
        <f t="shared" si="5"/>
        <v>Barito Raya</v>
      </c>
      <c r="H1539" s="15" t="str">
        <f>IFERROR(VLOOKUP(A1539,Sheet1!$E$3:$F$27,2,),"")</f>
        <v>Preventive</v>
      </c>
      <c r="I1539" s="16" t="str">
        <f>IFERROR(VLOOKUP(A1539,Sheet1!$E$3:$G$27,3,0),"")</f>
        <v>Pengawalan akses Vendor</v>
      </c>
      <c r="J1539" s="12" t="s">
        <v>112</v>
      </c>
      <c r="K1539" s="17">
        <v>46076.0</v>
      </c>
      <c r="L1539" s="17">
        <v>46076.0</v>
      </c>
      <c r="M1539" s="12" t="s">
        <v>137</v>
      </c>
      <c r="N1539" s="23"/>
      <c r="O1539" s="22"/>
      <c r="P1539" s="22"/>
    </row>
    <row r="1540" ht="22.5" customHeight="1">
      <c r="A1540" s="12" t="s">
        <v>65</v>
      </c>
      <c r="B1540" s="20" t="str">
        <f>IFERROR(VLOOKUP(A1540,Sheet1!$E$3:$H$27,4,0),"")</f>
        <v>P3</v>
      </c>
      <c r="C1540" s="15"/>
      <c r="D1540" s="12" t="s">
        <v>0</v>
      </c>
      <c r="E1540" s="13" t="str">
        <f>IFERROR(VLOOKUP(D1540,Sheet1!$B$1:$C$45,2,0),"")</f>
        <v>MBP</v>
      </c>
      <c r="F1540" s="12" t="s">
        <v>108</v>
      </c>
      <c r="G1540" s="13" t="str">
        <f t="shared" si="5"/>
        <v>Barito Raya</v>
      </c>
      <c r="H1540" s="15" t="str">
        <f>IFERROR(VLOOKUP(A1540,Sheet1!$E$3:$F$27,2,),"")</f>
        <v>Standby</v>
      </c>
      <c r="I1540" s="16" t="str">
        <f>IFERROR(VLOOKUP(A1540,Sheet1!$E$3:$G$27,3,0),"")</f>
        <v>Standby On Call</v>
      </c>
      <c r="J1540" s="20"/>
      <c r="K1540" s="17">
        <v>46076.0</v>
      </c>
      <c r="L1540" s="17">
        <v>46076.0</v>
      </c>
      <c r="M1540" s="12" t="s">
        <v>137</v>
      </c>
      <c r="N1540" s="23"/>
      <c r="O1540" s="22"/>
      <c r="P1540" s="22"/>
    </row>
    <row r="1541" ht="22.5" customHeight="1">
      <c r="A1541" s="12" t="s">
        <v>22</v>
      </c>
      <c r="B1541" s="20" t="str">
        <f>IFERROR(VLOOKUP(A1541,Sheet1!$E$3:$H$27,4,0),"")</f>
        <v>P2</v>
      </c>
      <c r="C1541" s="14" t="s">
        <v>282</v>
      </c>
      <c r="D1541" s="12" t="s">
        <v>85</v>
      </c>
      <c r="E1541" s="13" t="str">
        <f>IFERROR(VLOOKUP(D1541,Sheet1!$B$1:$C$45,2,0),"")</f>
        <v>PM</v>
      </c>
      <c r="F1541" s="12" t="s">
        <v>108</v>
      </c>
      <c r="G1541" s="13" t="str">
        <f t="shared" si="5"/>
        <v>Barito Raya</v>
      </c>
      <c r="H1541" s="15" t="str">
        <f>IFERROR(VLOOKUP(A1541,Sheet1!$E$3:$F$27,2,),"")</f>
        <v>Preventive</v>
      </c>
      <c r="I1541" s="16" t="str">
        <f>IFERROR(VLOOKUP(A1541,Sheet1!$E$3:$G$27,3,0),"")</f>
        <v>Preventive Maintenance</v>
      </c>
      <c r="J1541" s="12" t="s">
        <v>112</v>
      </c>
      <c r="K1541" s="17">
        <v>46076.0</v>
      </c>
      <c r="L1541" s="17">
        <v>46076.0</v>
      </c>
      <c r="M1541" s="12" t="s">
        <v>137</v>
      </c>
      <c r="N1541" s="23"/>
      <c r="O1541" s="22"/>
      <c r="P1541" s="22"/>
    </row>
    <row r="1542" ht="22.5" customHeight="1">
      <c r="A1542" s="12" t="s">
        <v>22</v>
      </c>
      <c r="B1542" s="20" t="str">
        <f>IFERROR(VLOOKUP(A1542,Sheet1!$E$3:$H$27,4,0),"")</f>
        <v>P2</v>
      </c>
      <c r="C1542" s="14" t="s">
        <v>283</v>
      </c>
      <c r="D1542" s="12" t="s">
        <v>84</v>
      </c>
      <c r="E1542" s="13" t="str">
        <f>IFERROR(VLOOKUP(D1542,Sheet1!$B$1:$C$45,2,0),"")</f>
        <v>MBP</v>
      </c>
      <c r="F1542" s="12" t="s">
        <v>108</v>
      </c>
      <c r="G1542" s="13" t="str">
        <f t="shared" si="5"/>
        <v>Barito Raya</v>
      </c>
      <c r="H1542" s="15" t="str">
        <f>IFERROR(VLOOKUP(A1542,Sheet1!$E$3:$F$27,2,),"")</f>
        <v>Preventive</v>
      </c>
      <c r="I1542" s="16" t="str">
        <f>IFERROR(VLOOKUP(A1542,Sheet1!$E$3:$G$27,3,0),"")</f>
        <v>Preventive Maintenance</v>
      </c>
      <c r="J1542" s="12" t="s">
        <v>112</v>
      </c>
      <c r="K1542" s="17">
        <v>46076.0</v>
      </c>
      <c r="L1542" s="17">
        <v>46076.0</v>
      </c>
      <c r="M1542" s="12" t="s">
        <v>137</v>
      </c>
      <c r="N1542" s="23"/>
      <c r="O1542" s="22"/>
      <c r="P1542" s="22"/>
    </row>
    <row r="1543" ht="22.5" customHeight="1">
      <c r="A1543" s="12" t="s">
        <v>22</v>
      </c>
      <c r="B1543" s="20" t="str">
        <f>IFERROR(VLOOKUP(A1543,Sheet1!$E$3:$H$27,4,0),"")</f>
        <v>P2</v>
      </c>
      <c r="C1543" s="15"/>
      <c r="D1543" s="12" t="s">
        <v>86</v>
      </c>
      <c r="E1543" s="13" t="str">
        <f>IFERROR(VLOOKUP(D1543,Sheet1!$B$1:$C$45,2,0),"")</f>
        <v>PM</v>
      </c>
      <c r="F1543" s="12" t="s">
        <v>108</v>
      </c>
      <c r="G1543" s="13" t="str">
        <f t="shared" si="5"/>
        <v>Barito Raya</v>
      </c>
      <c r="H1543" s="15" t="str">
        <f>IFERROR(VLOOKUP(A1543,Sheet1!$E$3:$F$27,2,),"")</f>
        <v>Preventive</v>
      </c>
      <c r="I1543" s="16" t="str">
        <f>IFERROR(VLOOKUP(A1543,Sheet1!$E$3:$G$27,3,0),"")</f>
        <v>Preventive Maintenance</v>
      </c>
      <c r="J1543" s="12" t="s">
        <v>112</v>
      </c>
      <c r="K1543" s="17">
        <v>46076.0</v>
      </c>
      <c r="L1543" s="17">
        <v>46076.0</v>
      </c>
      <c r="M1543" s="12" t="s">
        <v>137</v>
      </c>
      <c r="N1543" s="23"/>
      <c r="O1543" s="22"/>
      <c r="P1543" s="22"/>
    </row>
    <row r="1544" ht="22.5" customHeight="1">
      <c r="A1544" s="12" t="s">
        <v>33</v>
      </c>
      <c r="B1544" s="20" t="str">
        <f>IFERROR(VLOOKUP(A1544,Sheet1!$E$3:$H$27,4,0),"")</f>
        <v>P2</v>
      </c>
      <c r="C1544" s="14" t="s">
        <v>452</v>
      </c>
      <c r="D1544" s="12" t="s">
        <v>80</v>
      </c>
      <c r="E1544" s="13" t="str">
        <f>IFERROR(VLOOKUP(D1544,Sheet1!$B$1:$C$45,2,0),"")</f>
        <v>TE</v>
      </c>
      <c r="F1544" s="12" t="s">
        <v>179</v>
      </c>
      <c r="G1544" s="13" t="str">
        <f t="shared" si="5"/>
        <v>Palangkaraya</v>
      </c>
      <c r="H1544" s="15" t="str">
        <f>IFERROR(VLOOKUP(A1544,Sheet1!$E$3:$F$27,2,),"")</f>
        <v>Preventive</v>
      </c>
      <c r="I1544" s="16" t="str">
        <f>IFERROR(VLOOKUP(A1544,Sheet1!$E$3:$G$27,3,0),"")</f>
        <v>Pengukuran dan pengambilan data log serta input Gdoc BBT</v>
      </c>
      <c r="J1544" s="12" t="s">
        <v>112</v>
      </c>
      <c r="K1544" s="17">
        <v>46076.0</v>
      </c>
      <c r="L1544" s="17"/>
      <c r="M1544" s="12" t="s">
        <v>137</v>
      </c>
      <c r="N1544" s="23"/>
      <c r="O1544" s="22"/>
      <c r="P1544" s="22"/>
    </row>
    <row r="1545" ht="22.5" customHeight="1">
      <c r="A1545" s="12" t="s">
        <v>22</v>
      </c>
      <c r="B1545" s="20" t="str">
        <f>IFERROR(VLOOKUP(A1545,Sheet1!$E$3:$H$27,4,0),"")</f>
        <v>P2</v>
      </c>
      <c r="C1545" s="14" t="s">
        <v>591</v>
      </c>
      <c r="D1545" s="12" t="s">
        <v>37</v>
      </c>
      <c r="E1545" s="13" t="str">
        <f>IFERROR(VLOOKUP(D1545,Sheet1!$B$1:$C$45,2,0),"")</f>
        <v>TE</v>
      </c>
      <c r="F1545" s="12" t="s">
        <v>179</v>
      </c>
      <c r="G1545" s="13" t="str">
        <f t="shared" si="5"/>
        <v>Palangkaraya</v>
      </c>
      <c r="H1545" s="15" t="str">
        <f>IFERROR(VLOOKUP(A1545,Sheet1!$E$3:$F$27,2,),"")</f>
        <v>Preventive</v>
      </c>
      <c r="I1545" s="16" t="str">
        <f>IFERROR(VLOOKUP(A1545,Sheet1!$E$3:$G$27,3,0),"")</f>
        <v>Preventive Maintenance</v>
      </c>
      <c r="J1545" s="12" t="s">
        <v>112</v>
      </c>
      <c r="K1545" s="17">
        <v>46076.0</v>
      </c>
      <c r="L1545" s="17"/>
      <c r="M1545" s="12" t="s">
        <v>137</v>
      </c>
      <c r="N1545" s="23"/>
      <c r="O1545" s="22"/>
      <c r="P1545" s="22"/>
    </row>
    <row r="1546" ht="22.5" customHeight="1">
      <c r="A1546" s="12" t="s">
        <v>22</v>
      </c>
      <c r="B1546" s="20" t="str">
        <f>IFERROR(VLOOKUP(A1546,Sheet1!$E$3:$H$27,4,0),"")</f>
        <v>P2</v>
      </c>
      <c r="C1546" s="14" t="s">
        <v>592</v>
      </c>
      <c r="D1546" s="12" t="s">
        <v>76</v>
      </c>
      <c r="E1546" s="13" t="str">
        <f>IFERROR(VLOOKUP(D1546,Sheet1!$B$1:$C$45,2,0),"")</f>
        <v>TE</v>
      </c>
      <c r="F1546" s="12" t="s">
        <v>179</v>
      </c>
      <c r="G1546" s="13" t="str">
        <f t="shared" si="5"/>
        <v>Palangkaraya</v>
      </c>
      <c r="H1546" s="15" t="str">
        <f>IFERROR(VLOOKUP(A1546,Sheet1!$E$3:$F$27,2,),"")</f>
        <v>Preventive</v>
      </c>
      <c r="I1546" s="16" t="str">
        <f>IFERROR(VLOOKUP(A1546,Sheet1!$E$3:$G$27,3,0),"")</f>
        <v>Preventive Maintenance</v>
      </c>
      <c r="J1546" s="12" t="s">
        <v>112</v>
      </c>
      <c r="K1546" s="17">
        <v>46076.0</v>
      </c>
      <c r="L1546" s="17"/>
      <c r="M1546" s="12" t="s">
        <v>137</v>
      </c>
      <c r="N1546" s="23"/>
      <c r="O1546" s="22"/>
      <c r="P1546" s="22"/>
    </row>
    <row r="1547" ht="22.5" customHeight="1">
      <c r="A1547" s="12" t="s">
        <v>52</v>
      </c>
      <c r="B1547" s="20" t="str">
        <f>IFERROR(VLOOKUP(A1547,Sheet1!$E$3:$H$27,4,0),"")</f>
        <v>P1</v>
      </c>
      <c r="C1547" s="14" t="s">
        <v>577</v>
      </c>
      <c r="D1547" s="12" t="s">
        <v>39</v>
      </c>
      <c r="E1547" s="13" t="str">
        <f>IFERROR(VLOOKUP(D1547,Sheet1!$B$1:$C$45,2,0),"")</f>
        <v>TE</v>
      </c>
      <c r="F1547" s="12" t="s">
        <v>179</v>
      </c>
      <c r="G1547" s="13" t="str">
        <f t="shared" si="5"/>
        <v>Palangkaraya</v>
      </c>
      <c r="H1547" s="15" t="str">
        <f>IFERROR(VLOOKUP(A1547,Sheet1!$E$3:$F$27,2,),"")</f>
        <v>Preventive</v>
      </c>
      <c r="I1547" s="16" t="str">
        <f>IFERROR(VLOOKUP(A1547,Sheet1!$E$3:$G$27,3,0),"")</f>
        <v>MCB trip/Power upnormal</v>
      </c>
      <c r="J1547" s="12" t="s">
        <v>112</v>
      </c>
      <c r="K1547" s="17">
        <v>46076.0</v>
      </c>
      <c r="L1547" s="17"/>
      <c r="M1547" s="12" t="s">
        <v>137</v>
      </c>
      <c r="N1547" s="23"/>
      <c r="O1547" s="22"/>
      <c r="P1547" s="22"/>
    </row>
    <row r="1548" ht="22.5" customHeight="1">
      <c r="A1548" s="12" t="s">
        <v>33</v>
      </c>
      <c r="B1548" s="20" t="str">
        <f>IFERROR(VLOOKUP(A1548,Sheet1!$E$3:$H$27,4,0),"")</f>
        <v>P2</v>
      </c>
      <c r="C1548" s="14" t="s">
        <v>584</v>
      </c>
      <c r="D1548" s="12" t="s">
        <v>51</v>
      </c>
      <c r="E1548" s="13" t="str">
        <f>IFERROR(VLOOKUP(D1548,Sheet1!$B$1:$C$45,2,0),"")</f>
        <v>TE</v>
      </c>
      <c r="F1548" s="12" t="s">
        <v>179</v>
      </c>
      <c r="G1548" s="13" t="str">
        <f t="shared" si="5"/>
        <v>Palangkaraya</v>
      </c>
      <c r="H1548" s="15" t="str">
        <f>IFERROR(VLOOKUP(A1548,Sheet1!$E$3:$F$27,2,),"")</f>
        <v>Preventive</v>
      </c>
      <c r="I1548" s="16" t="str">
        <f>IFERROR(VLOOKUP(A1548,Sheet1!$E$3:$G$27,3,0),"")</f>
        <v>Pengukuran dan pengambilan data log serta input Gdoc BBT</v>
      </c>
      <c r="J1548" s="12" t="s">
        <v>112</v>
      </c>
      <c r="K1548" s="17">
        <v>46076.0</v>
      </c>
      <c r="L1548" s="17"/>
      <c r="M1548" s="12" t="s">
        <v>137</v>
      </c>
      <c r="N1548" s="23"/>
      <c r="O1548" s="22"/>
      <c r="P1548" s="22"/>
    </row>
    <row r="1549" ht="22.5" customHeight="1">
      <c r="A1549" s="12" t="s">
        <v>14</v>
      </c>
      <c r="B1549" s="20" t="str">
        <f>IFERROR(VLOOKUP(A1549,Sheet1!$E$3:$H$27,4,0),"")</f>
        <v>P1</v>
      </c>
      <c r="C1549" s="14" t="s">
        <v>402</v>
      </c>
      <c r="D1549" s="12" t="s">
        <v>51</v>
      </c>
      <c r="E1549" s="13" t="str">
        <f>IFERROR(VLOOKUP(D1549,Sheet1!$B$1:$C$45,2,0),"")</f>
        <v>TE</v>
      </c>
      <c r="F1549" s="12" t="s">
        <v>179</v>
      </c>
      <c r="G1549" s="13" t="str">
        <f t="shared" si="5"/>
        <v>Palangkaraya</v>
      </c>
      <c r="H1549" s="15" t="str">
        <f>IFERROR(VLOOKUP(A1549,Sheet1!$E$3:$F$27,2,),"")</f>
        <v>Corrective</v>
      </c>
      <c r="I1549" s="16" t="str">
        <f>IFERROR(VLOOKUP(A1549,Sheet1!$E$3:$G$27,3,0),"")</f>
        <v>Pemadaman,MCB Trip,Transmisi problem</v>
      </c>
      <c r="J1549" s="12" t="s">
        <v>112</v>
      </c>
      <c r="K1549" s="17">
        <v>46076.0</v>
      </c>
      <c r="L1549" s="17"/>
      <c r="M1549" s="12" t="s">
        <v>137</v>
      </c>
      <c r="N1549" s="23"/>
      <c r="O1549" s="22"/>
      <c r="P1549" s="22"/>
    </row>
    <row r="1550" ht="22.5" customHeight="1">
      <c r="A1550" s="12" t="s">
        <v>10</v>
      </c>
      <c r="B1550" s="20" t="str">
        <f>IFERROR(VLOOKUP(A1550,Sheet1!$E$3:$H$27,4,0),"")</f>
        <v>P1</v>
      </c>
      <c r="C1550" s="14" t="s">
        <v>444</v>
      </c>
      <c r="D1550" s="12" t="s">
        <v>79</v>
      </c>
      <c r="E1550" s="13" t="str">
        <f>IFERROR(VLOOKUP(D1550,Sheet1!$B$1:$C$45,2,0),"")</f>
        <v>TE</v>
      </c>
      <c r="F1550" s="12" t="s">
        <v>179</v>
      </c>
      <c r="G1550" s="13" t="str">
        <f t="shared" si="5"/>
        <v>Palangkaraya</v>
      </c>
      <c r="H1550" s="15" t="str">
        <f>IFERROR(VLOOKUP(A1550,Sheet1!$E$3:$F$27,2,),"")</f>
        <v>Corrective</v>
      </c>
      <c r="I1550" s="16" t="str">
        <f>IFERROR(VLOOKUP(A1550,Sheet1!$E$3:$G$27,3,0),"")</f>
        <v>Replace Jumper,antena/RRU</v>
      </c>
      <c r="J1550" s="12" t="s">
        <v>112</v>
      </c>
      <c r="K1550" s="17">
        <v>46076.0</v>
      </c>
      <c r="L1550" s="17"/>
      <c r="M1550" s="12" t="s">
        <v>137</v>
      </c>
      <c r="N1550" s="23"/>
      <c r="O1550" s="22"/>
      <c r="P1550" s="22"/>
    </row>
    <row r="1551" ht="22.5" customHeight="1">
      <c r="A1551" s="12" t="s">
        <v>17</v>
      </c>
      <c r="B1551" s="20" t="str">
        <f>IFERROR(VLOOKUP(A1551,Sheet1!$E$3:$H$27,4,0),"")</f>
        <v>P2</v>
      </c>
      <c r="C1551" s="14" t="s">
        <v>578</v>
      </c>
      <c r="D1551" s="12" t="s">
        <v>91</v>
      </c>
      <c r="E1551" s="13" t="str">
        <f>IFERROR(VLOOKUP(D1551,Sheet1!$B$1:$C$45,2,0),"")</f>
        <v>TE</v>
      </c>
      <c r="F1551" s="12" t="s">
        <v>179</v>
      </c>
      <c r="G1551" s="13" t="str">
        <f t="shared" si="5"/>
        <v>Palangkaraya</v>
      </c>
      <c r="H1551" s="15" t="str">
        <f>IFERROR(VLOOKUP(A1551,Sheet1!$E$3:$F$27,2,),"")</f>
        <v>Preventive</v>
      </c>
      <c r="I1551" s="16" t="str">
        <f>IFERROR(VLOOKUP(A1551,Sheet1!$E$3:$G$27,3,0),"")</f>
        <v>integrasi LAN dan validasi alarm</v>
      </c>
      <c r="J1551" s="12" t="s">
        <v>112</v>
      </c>
      <c r="K1551" s="17">
        <v>46076.0</v>
      </c>
      <c r="L1551" s="17"/>
      <c r="M1551" s="12" t="s">
        <v>137</v>
      </c>
      <c r="N1551" s="23"/>
      <c r="O1551" s="22"/>
      <c r="P1551" s="22"/>
    </row>
    <row r="1552" ht="22.5" customHeight="1">
      <c r="A1552" s="12" t="s">
        <v>10</v>
      </c>
      <c r="B1552" s="20" t="str">
        <f>IFERROR(VLOOKUP(A1552,Sheet1!$E$3:$H$27,4,0),"")</f>
        <v>P1</v>
      </c>
      <c r="C1552" s="14" t="s">
        <v>579</v>
      </c>
      <c r="D1552" s="12" t="s">
        <v>58</v>
      </c>
      <c r="E1552" s="13" t="str">
        <f>IFERROR(VLOOKUP(D1552,Sheet1!$B$1:$C$45,2,0),"")</f>
        <v>TE</v>
      </c>
      <c r="F1552" s="12" t="s">
        <v>179</v>
      </c>
      <c r="G1552" s="13" t="str">
        <f t="shared" si="5"/>
        <v>Palangkaraya</v>
      </c>
      <c r="H1552" s="15" t="str">
        <f>IFERROR(VLOOKUP(A1552,Sheet1!$E$3:$F$27,2,),"")</f>
        <v>Corrective</v>
      </c>
      <c r="I1552" s="16" t="str">
        <f>IFERROR(VLOOKUP(A1552,Sheet1!$E$3:$G$27,3,0),"")</f>
        <v>Replace Jumper,antena/RRU</v>
      </c>
      <c r="J1552" s="12" t="s">
        <v>112</v>
      </c>
      <c r="K1552" s="17">
        <v>46076.0</v>
      </c>
      <c r="L1552" s="17"/>
      <c r="M1552" s="12" t="s">
        <v>137</v>
      </c>
      <c r="N1552" s="23"/>
      <c r="O1552" s="22"/>
      <c r="P1552" s="22"/>
    </row>
    <row r="1553" ht="22.5" customHeight="1">
      <c r="A1553" s="12" t="s">
        <v>5</v>
      </c>
      <c r="B1553" s="20" t="str">
        <f>IFERROR(VLOOKUP(A1553,Sheet1!$E$3:$H$27,4,0),"")</f>
        <v>P1</v>
      </c>
      <c r="C1553" s="14" t="s">
        <v>567</v>
      </c>
      <c r="D1553" s="12" t="s">
        <v>71</v>
      </c>
      <c r="E1553" s="13" t="str">
        <f>IFERROR(VLOOKUP(D1553,Sheet1!$B$1:$C$45,2,0),"")</f>
        <v>TE</v>
      </c>
      <c r="F1553" s="12" t="s">
        <v>179</v>
      </c>
      <c r="G1553" s="13" t="str">
        <f t="shared" si="5"/>
        <v>Palangkaraya</v>
      </c>
      <c r="H1553" s="15" t="str">
        <f>IFERROR(VLOOKUP(A1553,Sheet1!$E$3:$F$27,2,),"")</f>
        <v>Corrective</v>
      </c>
      <c r="I1553" s="16" t="str">
        <f>IFERROR(VLOOKUP(A1553,Sheet1!$E$3:$G$27,3,0),"")</f>
        <v>Replace Optik,RRU/Soket Power/Replace GPS</v>
      </c>
      <c r="J1553" s="12" t="s">
        <v>112</v>
      </c>
      <c r="K1553" s="17">
        <v>46076.0</v>
      </c>
      <c r="L1553" s="17"/>
      <c r="M1553" s="12" t="s">
        <v>137</v>
      </c>
      <c r="N1553" s="23"/>
      <c r="O1553" s="22"/>
      <c r="P1553" s="22"/>
    </row>
    <row r="1554" ht="22.5" customHeight="1">
      <c r="A1554" s="12" t="s">
        <v>5</v>
      </c>
      <c r="B1554" s="20" t="str">
        <f>IFERROR(VLOOKUP(A1554,Sheet1!$E$3:$H$27,4,0),"")</f>
        <v>P1</v>
      </c>
      <c r="C1554" s="14" t="s">
        <v>567</v>
      </c>
      <c r="D1554" s="12" t="s">
        <v>69</v>
      </c>
      <c r="E1554" s="13" t="str">
        <f>IFERROR(VLOOKUP(D1554,Sheet1!$B$1:$C$45,2,0),"")</f>
        <v>TE</v>
      </c>
      <c r="F1554" s="12" t="s">
        <v>179</v>
      </c>
      <c r="G1554" s="13" t="str">
        <f t="shared" si="5"/>
        <v>Palangkaraya</v>
      </c>
      <c r="H1554" s="15" t="str">
        <f>IFERROR(VLOOKUP(A1554,Sheet1!$E$3:$F$27,2,),"")</f>
        <v>Corrective</v>
      </c>
      <c r="I1554" s="16" t="str">
        <f>IFERROR(VLOOKUP(A1554,Sheet1!$E$3:$G$27,3,0),"")</f>
        <v>Replace Optik,RRU/Soket Power/Replace GPS</v>
      </c>
      <c r="J1554" s="12" t="s">
        <v>112</v>
      </c>
      <c r="K1554" s="17">
        <v>46076.0</v>
      </c>
      <c r="L1554" s="17"/>
      <c r="M1554" s="12" t="s">
        <v>137</v>
      </c>
      <c r="N1554" s="23"/>
      <c r="O1554" s="22"/>
      <c r="P1554" s="22"/>
    </row>
    <row r="1555" ht="22.5" customHeight="1">
      <c r="A1555" s="12" t="s">
        <v>52</v>
      </c>
      <c r="B1555" s="20" t="str">
        <f>IFERROR(VLOOKUP(A1555,Sheet1!$E$3:$H$27,4,0),"")</f>
        <v>P1</v>
      </c>
      <c r="C1555" s="14" t="s">
        <v>346</v>
      </c>
      <c r="D1555" s="12" t="s">
        <v>56</v>
      </c>
      <c r="E1555" s="13" t="str">
        <f>IFERROR(VLOOKUP(D1555,Sheet1!$B$1:$C$45,2,0),"")</f>
        <v>TE</v>
      </c>
      <c r="F1555" s="12" t="s">
        <v>179</v>
      </c>
      <c r="G1555" s="13" t="str">
        <f t="shared" si="5"/>
        <v>Palangkaraya</v>
      </c>
      <c r="H1555" s="15" t="str">
        <f>IFERROR(VLOOKUP(A1555,Sheet1!$E$3:$F$27,2,),"")</f>
        <v>Preventive</v>
      </c>
      <c r="I1555" s="16" t="str">
        <f>IFERROR(VLOOKUP(A1555,Sheet1!$E$3:$G$27,3,0),"")</f>
        <v>MCB trip/Power upnormal</v>
      </c>
      <c r="J1555" s="12" t="s">
        <v>112</v>
      </c>
      <c r="K1555" s="17">
        <v>46076.0</v>
      </c>
      <c r="L1555" s="17"/>
      <c r="M1555" s="12" t="s">
        <v>137</v>
      </c>
      <c r="N1555" s="23"/>
      <c r="O1555" s="22"/>
      <c r="P1555" s="22"/>
    </row>
    <row r="1556" ht="22.5" customHeight="1">
      <c r="A1556" s="12" t="s">
        <v>22</v>
      </c>
      <c r="B1556" s="20" t="str">
        <f>IFERROR(VLOOKUP(A1556,Sheet1!$E$3:$H$27,4,0),"")</f>
        <v>P2</v>
      </c>
      <c r="C1556" s="14"/>
      <c r="D1556" s="12" t="s">
        <v>83</v>
      </c>
      <c r="E1556" s="13" t="str">
        <f>IFERROR(VLOOKUP(D1556,Sheet1!$B$1:$C$45,2,0),"")</f>
        <v>PM</v>
      </c>
      <c r="F1556" s="12" t="s">
        <v>179</v>
      </c>
      <c r="G1556" s="13" t="str">
        <f t="shared" si="5"/>
        <v>Palangkaraya</v>
      </c>
      <c r="H1556" s="15" t="str">
        <f>IFERROR(VLOOKUP(A1556,Sheet1!$E$3:$F$27,2,),"")</f>
        <v>Preventive</v>
      </c>
      <c r="I1556" s="16" t="str">
        <f>IFERROR(VLOOKUP(A1556,Sheet1!$E$3:$G$27,3,0),"")</f>
        <v>Preventive Maintenance</v>
      </c>
      <c r="J1556" s="12" t="s">
        <v>112</v>
      </c>
      <c r="K1556" s="17">
        <v>46076.0</v>
      </c>
      <c r="L1556" s="17"/>
      <c r="M1556" s="12" t="s">
        <v>137</v>
      </c>
      <c r="N1556" s="23"/>
      <c r="O1556" s="22"/>
      <c r="P1556" s="22"/>
    </row>
    <row r="1557" ht="22.5" customHeight="1">
      <c r="A1557" s="12" t="s">
        <v>22</v>
      </c>
      <c r="B1557" s="20" t="str">
        <f>IFERROR(VLOOKUP(A1557,Sheet1!$E$3:$H$27,4,0),"")</f>
        <v>P2</v>
      </c>
      <c r="C1557" s="14"/>
      <c r="D1557" s="12" t="s">
        <v>82</v>
      </c>
      <c r="E1557" s="13" t="str">
        <f>IFERROR(VLOOKUP(D1557,Sheet1!$B$1:$C$45,2,0),"")</f>
        <v>PM</v>
      </c>
      <c r="F1557" s="12" t="s">
        <v>179</v>
      </c>
      <c r="G1557" s="13" t="str">
        <f t="shared" si="5"/>
        <v>Palangkaraya</v>
      </c>
      <c r="H1557" s="15" t="str">
        <f>IFERROR(VLOOKUP(A1557,Sheet1!$E$3:$F$27,2,),"")</f>
        <v>Preventive</v>
      </c>
      <c r="I1557" s="16" t="str">
        <f>IFERROR(VLOOKUP(A1557,Sheet1!$E$3:$G$27,3,0),"")</f>
        <v>Preventive Maintenance</v>
      </c>
      <c r="J1557" s="12" t="s">
        <v>112</v>
      </c>
      <c r="K1557" s="17">
        <v>46076.0</v>
      </c>
      <c r="L1557" s="17"/>
      <c r="M1557" s="12" t="s">
        <v>137</v>
      </c>
      <c r="N1557" s="23"/>
      <c r="O1557" s="22"/>
      <c r="P1557" s="22"/>
    </row>
    <row r="1558" ht="22.5" customHeight="1">
      <c r="A1558" s="12" t="s">
        <v>22</v>
      </c>
      <c r="B1558" s="20" t="str">
        <f>IFERROR(VLOOKUP(A1558,Sheet1!$E$3:$H$27,4,0),"")</f>
        <v>P2</v>
      </c>
      <c r="C1558" s="14"/>
      <c r="D1558" s="12" t="s">
        <v>75</v>
      </c>
      <c r="E1558" s="13" t="str">
        <f>IFERROR(VLOOKUP(D1558,Sheet1!$B$1:$C$45,2,0),"")</f>
        <v>CME</v>
      </c>
      <c r="F1558" s="12" t="s">
        <v>179</v>
      </c>
      <c r="G1558" s="13" t="str">
        <f t="shared" si="5"/>
        <v>Palangkaraya</v>
      </c>
      <c r="H1558" s="15" t="str">
        <f>IFERROR(VLOOKUP(A1558,Sheet1!$E$3:$F$27,2,),"")</f>
        <v>Preventive</v>
      </c>
      <c r="I1558" s="16" t="str">
        <f>IFERROR(VLOOKUP(A1558,Sheet1!$E$3:$G$27,3,0),"")</f>
        <v>Preventive Maintenance</v>
      </c>
      <c r="J1558" s="12" t="s">
        <v>112</v>
      </c>
      <c r="K1558" s="17">
        <v>46076.0</v>
      </c>
      <c r="L1558" s="17"/>
      <c r="M1558" s="12" t="s">
        <v>137</v>
      </c>
      <c r="N1558" s="23"/>
      <c r="O1558" s="22"/>
      <c r="P1558" s="22"/>
    </row>
    <row r="1559" ht="22.5" customHeight="1">
      <c r="A1559" s="12" t="s">
        <v>65</v>
      </c>
      <c r="B1559" s="20" t="str">
        <f>IFERROR(VLOOKUP(A1559,Sheet1!$E$3:$H$27,4,0),"")</f>
        <v>P3</v>
      </c>
      <c r="C1559" s="14"/>
      <c r="D1559" s="12" t="s">
        <v>54</v>
      </c>
      <c r="E1559" s="13" t="str">
        <f>IFERROR(VLOOKUP(D1559,Sheet1!$B$1:$C$45,2,0),"")</f>
        <v>MBP</v>
      </c>
      <c r="F1559" s="12" t="s">
        <v>179</v>
      </c>
      <c r="G1559" s="13" t="str">
        <f t="shared" si="5"/>
        <v>Palangkaraya</v>
      </c>
      <c r="H1559" s="15" t="str">
        <f>IFERROR(VLOOKUP(A1559,Sheet1!$E$3:$F$27,2,),"")</f>
        <v>Standby</v>
      </c>
      <c r="I1559" s="16" t="str">
        <f>IFERROR(VLOOKUP(A1559,Sheet1!$E$3:$G$27,3,0),"")</f>
        <v>Standby On Call</v>
      </c>
      <c r="J1559" s="12" t="s">
        <v>66</v>
      </c>
      <c r="K1559" s="17">
        <v>46076.0</v>
      </c>
      <c r="L1559" s="17"/>
      <c r="M1559" s="12" t="s">
        <v>137</v>
      </c>
      <c r="N1559" s="23"/>
      <c r="O1559" s="22"/>
      <c r="P1559" s="22"/>
    </row>
    <row r="1560" ht="22.5" customHeight="1">
      <c r="A1560" s="12" t="s">
        <v>65</v>
      </c>
      <c r="B1560" s="20" t="str">
        <f>IFERROR(VLOOKUP(A1560,Sheet1!$E$3:$H$27,4,0),"")</f>
        <v>P3</v>
      </c>
      <c r="C1560" s="14"/>
      <c r="D1560" s="12" t="s">
        <v>45</v>
      </c>
      <c r="E1560" s="13" t="str">
        <f>IFERROR(VLOOKUP(D1560,Sheet1!$B$1:$C$45,2,0),"")</f>
        <v>MBP</v>
      </c>
      <c r="F1560" s="12" t="s">
        <v>179</v>
      </c>
      <c r="G1560" s="13" t="str">
        <f t="shared" si="5"/>
        <v>Palangkaraya</v>
      </c>
      <c r="H1560" s="15" t="str">
        <f>IFERROR(VLOOKUP(A1560,Sheet1!$E$3:$F$27,2,),"")</f>
        <v>Standby</v>
      </c>
      <c r="I1560" s="16" t="str">
        <f>IFERROR(VLOOKUP(A1560,Sheet1!$E$3:$G$27,3,0),"")</f>
        <v>Standby On Call</v>
      </c>
      <c r="J1560" s="12" t="s">
        <v>66</v>
      </c>
      <c r="K1560" s="17">
        <v>46076.0</v>
      </c>
      <c r="L1560" s="17"/>
      <c r="M1560" s="12" t="s">
        <v>137</v>
      </c>
      <c r="N1560" s="23"/>
      <c r="O1560" s="22"/>
      <c r="P1560" s="22"/>
    </row>
    <row r="1561" ht="22.5" customHeight="1">
      <c r="A1561" s="12" t="s">
        <v>65</v>
      </c>
      <c r="B1561" s="20" t="str">
        <f>IFERROR(VLOOKUP(A1561,Sheet1!$E$3:$H$27,4,0),"")</f>
        <v>P3</v>
      </c>
      <c r="C1561" s="15"/>
      <c r="D1561" s="12" t="s">
        <v>64</v>
      </c>
      <c r="E1561" s="12" t="s">
        <v>1</v>
      </c>
      <c r="F1561" s="12" t="s">
        <v>179</v>
      </c>
      <c r="G1561" s="13" t="str">
        <f t="shared" si="5"/>
        <v>Palangkaraya</v>
      </c>
      <c r="H1561" s="15" t="str">
        <f>IFERROR(VLOOKUP(A1561,Sheet1!$E$3:$F$27,2,),"")</f>
        <v>Standby</v>
      </c>
      <c r="I1561" s="16" t="str">
        <f>IFERROR(VLOOKUP(A1561,Sheet1!$E$3:$G$27,3,0),"")</f>
        <v>Standby On Call</v>
      </c>
      <c r="J1561" s="12" t="s">
        <v>66</v>
      </c>
      <c r="K1561" s="17">
        <v>46076.0</v>
      </c>
      <c r="L1561" s="17"/>
      <c r="M1561" s="12" t="s">
        <v>137</v>
      </c>
      <c r="N1561" s="23"/>
      <c r="O1561" s="22"/>
      <c r="P1561" s="22"/>
    </row>
    <row r="1562" ht="22.5" customHeight="1">
      <c r="A1562" s="12" t="s">
        <v>33</v>
      </c>
      <c r="B1562" s="20" t="str">
        <f>IFERROR(VLOOKUP(A1562,Sheet1!$E$3:$H$27,4,0),"")</f>
        <v>P2</v>
      </c>
      <c r="C1562" s="14" t="s">
        <v>452</v>
      </c>
      <c r="D1562" s="12" t="s">
        <v>80</v>
      </c>
      <c r="E1562" s="13" t="str">
        <f>IFERROR(VLOOKUP(D1562,Sheet1!$B$1:$C$45,2,0),"")</f>
        <v>TE</v>
      </c>
      <c r="F1562" s="12" t="s">
        <v>179</v>
      </c>
      <c r="G1562" s="13" t="str">
        <f t="shared" si="5"/>
        <v>Palangkaraya</v>
      </c>
      <c r="H1562" s="15" t="str">
        <f>IFERROR(VLOOKUP(A1562,Sheet1!$E$3:$F$27,2,),"")</f>
        <v>Preventive</v>
      </c>
      <c r="I1562" s="16" t="str">
        <f>IFERROR(VLOOKUP(A1562,Sheet1!$E$3:$G$27,3,0),"")</f>
        <v>Pengukuran dan pengambilan data log serta input Gdoc BBT</v>
      </c>
      <c r="J1562" s="12" t="s">
        <v>112</v>
      </c>
      <c r="K1562" s="17">
        <v>46083.0</v>
      </c>
      <c r="L1562" s="17"/>
      <c r="M1562" s="12" t="s">
        <v>137</v>
      </c>
      <c r="N1562" s="23"/>
      <c r="O1562" s="22"/>
      <c r="P1562" s="22"/>
    </row>
    <row r="1563" ht="22.5" customHeight="1">
      <c r="A1563" s="12" t="s">
        <v>22</v>
      </c>
      <c r="B1563" s="20" t="str">
        <f>IFERROR(VLOOKUP(A1563,Sheet1!$E$3:$H$27,4,0),"")</f>
        <v>P2</v>
      </c>
      <c r="C1563" s="14" t="s">
        <v>591</v>
      </c>
      <c r="D1563" s="12" t="s">
        <v>37</v>
      </c>
      <c r="E1563" s="13" t="str">
        <f>IFERROR(VLOOKUP(D1563,Sheet1!$B$1:$C$45,2,0),"")</f>
        <v>TE</v>
      </c>
      <c r="F1563" s="12" t="s">
        <v>179</v>
      </c>
      <c r="G1563" s="13" t="str">
        <f t="shared" si="5"/>
        <v>Palangkaraya</v>
      </c>
      <c r="H1563" s="15" t="str">
        <f>IFERROR(VLOOKUP(A1563,Sheet1!$E$3:$F$27,2,),"")</f>
        <v>Preventive</v>
      </c>
      <c r="I1563" s="16" t="str">
        <f>IFERROR(VLOOKUP(A1563,Sheet1!$E$3:$G$27,3,0),"")</f>
        <v>Preventive Maintenance</v>
      </c>
      <c r="J1563" s="12" t="s">
        <v>112</v>
      </c>
      <c r="K1563" s="17">
        <v>46083.0</v>
      </c>
      <c r="L1563" s="17"/>
      <c r="M1563" s="12" t="s">
        <v>137</v>
      </c>
      <c r="N1563" s="23"/>
      <c r="O1563" s="22"/>
      <c r="P1563" s="22"/>
    </row>
    <row r="1564" ht="22.5" customHeight="1">
      <c r="A1564" s="12" t="s">
        <v>22</v>
      </c>
      <c r="B1564" s="20" t="str">
        <f>IFERROR(VLOOKUP(A1564,Sheet1!$E$3:$H$27,4,0),"")</f>
        <v>P2</v>
      </c>
      <c r="C1564" s="14" t="s">
        <v>592</v>
      </c>
      <c r="D1564" s="12" t="s">
        <v>76</v>
      </c>
      <c r="E1564" s="13" t="str">
        <f>IFERROR(VLOOKUP(D1564,Sheet1!$B$1:$C$45,2,0),"")</f>
        <v>TE</v>
      </c>
      <c r="F1564" s="12" t="s">
        <v>179</v>
      </c>
      <c r="G1564" s="13" t="str">
        <f t="shared" si="5"/>
        <v>Palangkaraya</v>
      </c>
      <c r="H1564" s="15" t="str">
        <f>IFERROR(VLOOKUP(A1564,Sheet1!$E$3:$F$27,2,),"")</f>
        <v>Preventive</v>
      </c>
      <c r="I1564" s="16" t="str">
        <f>IFERROR(VLOOKUP(A1564,Sheet1!$E$3:$G$27,3,0),"")</f>
        <v>Preventive Maintenance</v>
      </c>
      <c r="J1564" s="12" t="s">
        <v>112</v>
      </c>
      <c r="K1564" s="17">
        <v>46083.0</v>
      </c>
      <c r="L1564" s="17"/>
      <c r="M1564" s="12" t="s">
        <v>137</v>
      </c>
      <c r="N1564" s="23"/>
      <c r="O1564" s="22"/>
      <c r="P1564" s="22"/>
    </row>
    <row r="1565" ht="22.5" customHeight="1">
      <c r="A1565" s="12" t="s">
        <v>52</v>
      </c>
      <c r="B1565" s="20" t="str">
        <f>IFERROR(VLOOKUP(A1565,Sheet1!$E$3:$H$27,4,0),"")</f>
        <v>P1</v>
      </c>
      <c r="C1565" s="14" t="s">
        <v>577</v>
      </c>
      <c r="D1565" s="12" t="s">
        <v>39</v>
      </c>
      <c r="E1565" s="13" t="str">
        <f>IFERROR(VLOOKUP(D1565,Sheet1!$B$1:$C$45,2,0),"")</f>
        <v>TE</v>
      </c>
      <c r="F1565" s="12" t="s">
        <v>179</v>
      </c>
      <c r="G1565" s="13" t="str">
        <f t="shared" si="5"/>
        <v>Palangkaraya</v>
      </c>
      <c r="H1565" s="15" t="str">
        <f>IFERROR(VLOOKUP(A1565,Sheet1!$E$3:$F$27,2,),"")</f>
        <v>Preventive</v>
      </c>
      <c r="I1565" s="16" t="str">
        <f>IFERROR(VLOOKUP(A1565,Sheet1!$E$3:$G$27,3,0),"")</f>
        <v>MCB trip/Power upnormal</v>
      </c>
      <c r="J1565" s="12" t="s">
        <v>112</v>
      </c>
      <c r="K1565" s="17">
        <v>46083.0</v>
      </c>
      <c r="L1565" s="17"/>
      <c r="M1565" s="12" t="s">
        <v>137</v>
      </c>
      <c r="N1565" s="23"/>
      <c r="O1565" s="22"/>
      <c r="P1565" s="22"/>
    </row>
    <row r="1566" ht="22.5" customHeight="1">
      <c r="A1566" s="12" t="s">
        <v>33</v>
      </c>
      <c r="B1566" s="20" t="str">
        <f>IFERROR(VLOOKUP(A1566,Sheet1!$E$3:$H$27,4,0),"")</f>
        <v>P2</v>
      </c>
      <c r="C1566" s="14" t="s">
        <v>584</v>
      </c>
      <c r="D1566" s="12" t="s">
        <v>51</v>
      </c>
      <c r="E1566" s="13" t="str">
        <f>IFERROR(VLOOKUP(D1566,Sheet1!$B$1:$C$45,2,0),"")</f>
        <v>TE</v>
      </c>
      <c r="F1566" s="12" t="s">
        <v>179</v>
      </c>
      <c r="G1566" s="13" t="str">
        <f t="shared" si="5"/>
        <v>Palangkaraya</v>
      </c>
      <c r="H1566" s="15" t="str">
        <f>IFERROR(VLOOKUP(A1566,Sheet1!$E$3:$F$27,2,),"")</f>
        <v>Preventive</v>
      </c>
      <c r="I1566" s="16" t="str">
        <f>IFERROR(VLOOKUP(A1566,Sheet1!$E$3:$G$27,3,0),"")</f>
        <v>Pengukuran dan pengambilan data log serta input Gdoc BBT</v>
      </c>
      <c r="J1566" s="12" t="s">
        <v>112</v>
      </c>
      <c r="K1566" s="17">
        <v>46083.0</v>
      </c>
      <c r="L1566" s="17"/>
      <c r="M1566" s="12" t="s">
        <v>137</v>
      </c>
      <c r="N1566" s="23"/>
      <c r="O1566" s="22"/>
      <c r="P1566" s="22"/>
    </row>
    <row r="1567" ht="22.5" customHeight="1">
      <c r="A1567" s="12" t="s">
        <v>14</v>
      </c>
      <c r="B1567" s="20" t="str">
        <f>IFERROR(VLOOKUP(A1567,Sheet1!$E$3:$H$27,4,0),"")</f>
        <v>P1</v>
      </c>
      <c r="C1567" s="14" t="s">
        <v>402</v>
      </c>
      <c r="D1567" s="12" t="s">
        <v>51</v>
      </c>
      <c r="E1567" s="13" t="str">
        <f>IFERROR(VLOOKUP(D1567,Sheet1!$B$1:$C$45,2,0),"")</f>
        <v>TE</v>
      </c>
      <c r="F1567" s="12" t="s">
        <v>179</v>
      </c>
      <c r="G1567" s="13" t="str">
        <f t="shared" si="5"/>
        <v>Palangkaraya</v>
      </c>
      <c r="H1567" s="15" t="str">
        <f>IFERROR(VLOOKUP(A1567,Sheet1!$E$3:$F$27,2,),"")</f>
        <v>Corrective</v>
      </c>
      <c r="I1567" s="16" t="str">
        <f>IFERROR(VLOOKUP(A1567,Sheet1!$E$3:$G$27,3,0),"")</f>
        <v>Pemadaman,MCB Trip,Transmisi problem</v>
      </c>
      <c r="J1567" s="12" t="s">
        <v>112</v>
      </c>
      <c r="K1567" s="17">
        <v>46083.0</v>
      </c>
      <c r="L1567" s="17"/>
      <c r="M1567" s="12" t="s">
        <v>137</v>
      </c>
      <c r="N1567" s="23"/>
      <c r="O1567" s="22"/>
      <c r="P1567" s="22"/>
    </row>
    <row r="1568" ht="22.5" customHeight="1">
      <c r="A1568" s="12" t="s">
        <v>10</v>
      </c>
      <c r="B1568" s="20" t="str">
        <f>IFERROR(VLOOKUP(A1568,Sheet1!$E$3:$H$27,4,0),"")</f>
        <v>P1</v>
      </c>
      <c r="C1568" s="14" t="s">
        <v>444</v>
      </c>
      <c r="D1568" s="12" t="s">
        <v>79</v>
      </c>
      <c r="E1568" s="13" t="str">
        <f>IFERROR(VLOOKUP(D1568,Sheet1!$B$1:$C$45,2,0),"")</f>
        <v>TE</v>
      </c>
      <c r="F1568" s="12" t="s">
        <v>179</v>
      </c>
      <c r="G1568" s="13" t="str">
        <f t="shared" si="5"/>
        <v>Palangkaraya</v>
      </c>
      <c r="H1568" s="15" t="str">
        <f>IFERROR(VLOOKUP(A1568,Sheet1!$E$3:$F$27,2,),"")</f>
        <v>Corrective</v>
      </c>
      <c r="I1568" s="16" t="str">
        <f>IFERROR(VLOOKUP(A1568,Sheet1!$E$3:$G$27,3,0),"")</f>
        <v>Replace Jumper,antena/RRU</v>
      </c>
      <c r="J1568" s="12" t="s">
        <v>112</v>
      </c>
      <c r="K1568" s="17">
        <v>46083.0</v>
      </c>
      <c r="L1568" s="17"/>
      <c r="M1568" s="12" t="s">
        <v>137</v>
      </c>
      <c r="N1568" s="23"/>
      <c r="O1568" s="22"/>
      <c r="P1568" s="22"/>
    </row>
    <row r="1569" ht="22.5" customHeight="1">
      <c r="A1569" s="12" t="s">
        <v>17</v>
      </c>
      <c r="B1569" s="20" t="str">
        <f>IFERROR(VLOOKUP(A1569,Sheet1!$E$3:$H$27,4,0),"")</f>
        <v>P2</v>
      </c>
      <c r="C1569" s="14" t="s">
        <v>578</v>
      </c>
      <c r="D1569" s="12" t="s">
        <v>91</v>
      </c>
      <c r="E1569" s="13" t="str">
        <f>IFERROR(VLOOKUP(D1569,Sheet1!$B$1:$C$45,2,0),"")</f>
        <v>TE</v>
      </c>
      <c r="F1569" s="12" t="s">
        <v>179</v>
      </c>
      <c r="G1569" s="13" t="str">
        <f t="shared" si="5"/>
        <v>Palangkaraya</v>
      </c>
      <c r="H1569" s="15" t="str">
        <f>IFERROR(VLOOKUP(A1569,Sheet1!$E$3:$F$27,2,),"")</f>
        <v>Preventive</v>
      </c>
      <c r="I1569" s="16" t="str">
        <f>IFERROR(VLOOKUP(A1569,Sheet1!$E$3:$G$27,3,0),"")</f>
        <v>integrasi LAN dan validasi alarm</v>
      </c>
      <c r="J1569" s="12" t="s">
        <v>112</v>
      </c>
      <c r="K1569" s="17">
        <v>46083.0</v>
      </c>
      <c r="L1569" s="17"/>
      <c r="M1569" s="12" t="s">
        <v>137</v>
      </c>
      <c r="N1569" s="23"/>
      <c r="O1569" s="22"/>
      <c r="P1569" s="22"/>
    </row>
    <row r="1570" ht="22.5" customHeight="1">
      <c r="A1570" s="12" t="s">
        <v>10</v>
      </c>
      <c r="B1570" s="20" t="str">
        <f>IFERROR(VLOOKUP(A1570,Sheet1!$E$3:$H$27,4,0),"")</f>
        <v>P1</v>
      </c>
      <c r="C1570" s="14" t="s">
        <v>579</v>
      </c>
      <c r="D1570" s="12" t="s">
        <v>58</v>
      </c>
      <c r="E1570" s="13" t="str">
        <f>IFERROR(VLOOKUP(D1570,Sheet1!$B$1:$C$45,2,0),"")</f>
        <v>TE</v>
      </c>
      <c r="F1570" s="12" t="s">
        <v>179</v>
      </c>
      <c r="G1570" s="13" t="str">
        <f t="shared" si="5"/>
        <v>Palangkaraya</v>
      </c>
      <c r="H1570" s="15" t="str">
        <f>IFERROR(VLOOKUP(A1570,Sheet1!$E$3:$F$27,2,),"")</f>
        <v>Corrective</v>
      </c>
      <c r="I1570" s="16" t="str">
        <f>IFERROR(VLOOKUP(A1570,Sheet1!$E$3:$G$27,3,0),"")</f>
        <v>Replace Jumper,antena/RRU</v>
      </c>
      <c r="J1570" s="12" t="s">
        <v>112</v>
      </c>
      <c r="K1570" s="17">
        <v>46083.0</v>
      </c>
      <c r="L1570" s="17"/>
      <c r="M1570" s="12" t="s">
        <v>137</v>
      </c>
      <c r="N1570" s="23"/>
      <c r="O1570" s="22"/>
      <c r="P1570" s="22"/>
    </row>
    <row r="1571" ht="22.5" customHeight="1">
      <c r="A1571" s="12" t="s">
        <v>5</v>
      </c>
      <c r="B1571" s="20" t="str">
        <f>IFERROR(VLOOKUP(A1571,Sheet1!$E$3:$H$27,4,0),"")</f>
        <v>P1</v>
      </c>
      <c r="C1571" s="14" t="s">
        <v>567</v>
      </c>
      <c r="D1571" s="12" t="s">
        <v>71</v>
      </c>
      <c r="E1571" s="13" t="str">
        <f>IFERROR(VLOOKUP(D1571,Sheet1!$B$1:$C$45,2,0),"")</f>
        <v>TE</v>
      </c>
      <c r="F1571" s="12" t="s">
        <v>179</v>
      </c>
      <c r="G1571" s="13" t="str">
        <f t="shared" si="5"/>
        <v>Palangkaraya</v>
      </c>
      <c r="H1571" s="15" t="str">
        <f>IFERROR(VLOOKUP(A1571,Sheet1!$E$3:$F$27,2,),"")</f>
        <v>Corrective</v>
      </c>
      <c r="I1571" s="16" t="str">
        <f>IFERROR(VLOOKUP(A1571,Sheet1!$E$3:$G$27,3,0),"")</f>
        <v>Replace Optik,RRU/Soket Power/Replace GPS</v>
      </c>
      <c r="J1571" s="12" t="s">
        <v>112</v>
      </c>
      <c r="K1571" s="17">
        <v>46083.0</v>
      </c>
      <c r="L1571" s="17"/>
      <c r="M1571" s="12" t="s">
        <v>137</v>
      </c>
      <c r="N1571" s="23"/>
      <c r="O1571" s="22"/>
      <c r="P1571" s="22"/>
    </row>
    <row r="1572" ht="22.5" customHeight="1">
      <c r="A1572" s="12" t="s">
        <v>5</v>
      </c>
      <c r="B1572" s="20" t="str">
        <f>IFERROR(VLOOKUP(A1572,Sheet1!$E$3:$H$27,4,0),"")</f>
        <v>P1</v>
      </c>
      <c r="C1572" s="14" t="s">
        <v>567</v>
      </c>
      <c r="D1572" s="12" t="s">
        <v>69</v>
      </c>
      <c r="E1572" s="13" t="str">
        <f>IFERROR(VLOOKUP(D1572,Sheet1!$B$1:$C$45,2,0),"")</f>
        <v>TE</v>
      </c>
      <c r="F1572" s="12" t="s">
        <v>179</v>
      </c>
      <c r="G1572" s="13" t="str">
        <f t="shared" si="5"/>
        <v>Palangkaraya</v>
      </c>
      <c r="H1572" s="15" t="str">
        <f>IFERROR(VLOOKUP(A1572,Sheet1!$E$3:$F$27,2,),"")</f>
        <v>Corrective</v>
      </c>
      <c r="I1572" s="16" t="str">
        <f>IFERROR(VLOOKUP(A1572,Sheet1!$E$3:$G$27,3,0),"")</f>
        <v>Replace Optik,RRU/Soket Power/Replace GPS</v>
      </c>
      <c r="J1572" s="12" t="s">
        <v>112</v>
      </c>
      <c r="K1572" s="17">
        <v>46083.0</v>
      </c>
      <c r="L1572" s="17"/>
      <c r="M1572" s="12" t="s">
        <v>137</v>
      </c>
      <c r="N1572" s="23"/>
      <c r="O1572" s="22"/>
      <c r="P1572" s="22"/>
    </row>
    <row r="1573" ht="22.5" customHeight="1">
      <c r="A1573" s="12" t="s">
        <v>52</v>
      </c>
      <c r="B1573" s="20" t="str">
        <f>IFERROR(VLOOKUP(A1573,Sheet1!$E$3:$H$27,4,0),"")</f>
        <v>P1</v>
      </c>
      <c r="C1573" s="14" t="s">
        <v>346</v>
      </c>
      <c r="D1573" s="12" t="s">
        <v>56</v>
      </c>
      <c r="E1573" s="13" t="str">
        <f>IFERROR(VLOOKUP(D1573,Sheet1!$B$1:$C$45,2,0),"")</f>
        <v>TE</v>
      </c>
      <c r="F1573" s="12" t="s">
        <v>179</v>
      </c>
      <c r="G1573" s="13" t="str">
        <f t="shared" si="5"/>
        <v>Palangkaraya</v>
      </c>
      <c r="H1573" s="15" t="str">
        <f>IFERROR(VLOOKUP(A1573,Sheet1!$E$3:$F$27,2,),"")</f>
        <v>Preventive</v>
      </c>
      <c r="I1573" s="16" t="str">
        <f>IFERROR(VLOOKUP(A1573,Sheet1!$E$3:$G$27,3,0),"")</f>
        <v>MCB trip/Power upnormal</v>
      </c>
      <c r="J1573" s="12" t="s">
        <v>112</v>
      </c>
      <c r="K1573" s="17">
        <v>46083.0</v>
      </c>
      <c r="L1573" s="17"/>
      <c r="M1573" s="12" t="s">
        <v>137</v>
      </c>
      <c r="N1573" s="23"/>
      <c r="O1573" s="22"/>
      <c r="P1573" s="22"/>
    </row>
    <row r="1574" ht="22.5" customHeight="1">
      <c r="A1574" s="12" t="s">
        <v>22</v>
      </c>
      <c r="B1574" s="20" t="str">
        <f>IFERROR(VLOOKUP(A1574,Sheet1!$E$3:$H$27,4,0),"")</f>
        <v>P2</v>
      </c>
      <c r="C1574" s="14"/>
      <c r="D1574" s="12" t="s">
        <v>83</v>
      </c>
      <c r="E1574" s="13" t="str">
        <f>IFERROR(VLOOKUP(D1574,Sheet1!$B$1:$C$45,2,0),"")</f>
        <v>PM</v>
      </c>
      <c r="F1574" s="12" t="s">
        <v>179</v>
      </c>
      <c r="G1574" s="13" t="str">
        <f t="shared" si="5"/>
        <v>Palangkaraya</v>
      </c>
      <c r="H1574" s="15" t="str">
        <f>IFERROR(VLOOKUP(A1574,Sheet1!$E$3:$F$27,2,),"")</f>
        <v>Preventive</v>
      </c>
      <c r="I1574" s="16" t="str">
        <f>IFERROR(VLOOKUP(A1574,Sheet1!$E$3:$G$27,3,0),"")</f>
        <v>Preventive Maintenance</v>
      </c>
      <c r="J1574" s="12" t="s">
        <v>112</v>
      </c>
      <c r="K1574" s="17">
        <v>46083.0</v>
      </c>
      <c r="L1574" s="17"/>
      <c r="M1574" s="12" t="s">
        <v>137</v>
      </c>
      <c r="N1574" s="23"/>
      <c r="O1574" s="22"/>
      <c r="P1574" s="22"/>
    </row>
    <row r="1575" ht="22.5" customHeight="1">
      <c r="A1575" s="12" t="s">
        <v>22</v>
      </c>
      <c r="B1575" s="20" t="str">
        <f>IFERROR(VLOOKUP(A1575,Sheet1!$E$3:$H$27,4,0),"")</f>
        <v>P2</v>
      </c>
      <c r="C1575" s="14"/>
      <c r="D1575" s="12" t="s">
        <v>82</v>
      </c>
      <c r="E1575" s="13" t="str">
        <f>IFERROR(VLOOKUP(D1575,Sheet1!$B$1:$C$45,2,0),"")</f>
        <v>PM</v>
      </c>
      <c r="F1575" s="12" t="s">
        <v>179</v>
      </c>
      <c r="G1575" s="13" t="str">
        <f t="shared" si="5"/>
        <v>Palangkaraya</v>
      </c>
      <c r="H1575" s="15" t="str">
        <f>IFERROR(VLOOKUP(A1575,Sheet1!$E$3:$F$27,2,),"")</f>
        <v>Preventive</v>
      </c>
      <c r="I1575" s="16" t="str">
        <f>IFERROR(VLOOKUP(A1575,Sheet1!$E$3:$G$27,3,0),"")</f>
        <v>Preventive Maintenance</v>
      </c>
      <c r="J1575" s="12" t="s">
        <v>112</v>
      </c>
      <c r="K1575" s="17">
        <v>46083.0</v>
      </c>
      <c r="L1575" s="17"/>
      <c r="M1575" s="12" t="s">
        <v>137</v>
      </c>
      <c r="N1575" s="23"/>
      <c r="O1575" s="22"/>
      <c r="P1575" s="22"/>
    </row>
    <row r="1576" ht="22.5" customHeight="1">
      <c r="A1576" s="12" t="s">
        <v>22</v>
      </c>
      <c r="B1576" s="20" t="str">
        <f>IFERROR(VLOOKUP(A1576,Sheet1!$E$3:$H$27,4,0),"")</f>
        <v>P2</v>
      </c>
      <c r="C1576" s="14"/>
      <c r="D1576" s="12" t="s">
        <v>75</v>
      </c>
      <c r="E1576" s="13" t="str">
        <f>IFERROR(VLOOKUP(D1576,Sheet1!$B$1:$C$45,2,0),"")</f>
        <v>CME</v>
      </c>
      <c r="F1576" s="12" t="s">
        <v>179</v>
      </c>
      <c r="G1576" s="13" t="str">
        <f t="shared" si="5"/>
        <v>Palangkaraya</v>
      </c>
      <c r="H1576" s="15" t="str">
        <f>IFERROR(VLOOKUP(A1576,Sheet1!$E$3:$F$27,2,),"")</f>
        <v>Preventive</v>
      </c>
      <c r="I1576" s="16" t="str">
        <f>IFERROR(VLOOKUP(A1576,Sheet1!$E$3:$G$27,3,0),"")</f>
        <v>Preventive Maintenance</v>
      </c>
      <c r="J1576" s="12" t="s">
        <v>112</v>
      </c>
      <c r="K1576" s="17">
        <v>46083.0</v>
      </c>
      <c r="L1576" s="17"/>
      <c r="M1576" s="12" t="s">
        <v>137</v>
      </c>
      <c r="N1576" s="23"/>
      <c r="O1576" s="22"/>
      <c r="P1576" s="22"/>
    </row>
    <row r="1577" ht="22.5" customHeight="1">
      <c r="A1577" s="12" t="s">
        <v>65</v>
      </c>
      <c r="B1577" s="20" t="str">
        <f>IFERROR(VLOOKUP(A1577,Sheet1!$E$3:$H$27,4,0),"")</f>
        <v>P3</v>
      </c>
      <c r="C1577" s="14"/>
      <c r="D1577" s="12" t="s">
        <v>54</v>
      </c>
      <c r="E1577" s="13" t="str">
        <f>IFERROR(VLOOKUP(D1577,Sheet1!$B$1:$C$45,2,0),"")</f>
        <v>MBP</v>
      </c>
      <c r="F1577" s="12" t="s">
        <v>179</v>
      </c>
      <c r="G1577" s="13" t="str">
        <f t="shared" si="5"/>
        <v>Palangkaraya</v>
      </c>
      <c r="H1577" s="15" t="str">
        <f>IFERROR(VLOOKUP(A1577,Sheet1!$E$3:$F$27,2,),"")</f>
        <v>Standby</v>
      </c>
      <c r="I1577" s="16" t="str">
        <f>IFERROR(VLOOKUP(A1577,Sheet1!$E$3:$G$27,3,0),"")</f>
        <v>Standby On Call</v>
      </c>
      <c r="J1577" s="12" t="s">
        <v>66</v>
      </c>
      <c r="K1577" s="17">
        <v>46083.0</v>
      </c>
      <c r="L1577" s="17"/>
      <c r="M1577" s="12" t="s">
        <v>137</v>
      </c>
      <c r="N1577" s="23"/>
      <c r="O1577" s="22"/>
      <c r="P1577" s="22"/>
    </row>
    <row r="1578" ht="22.5" customHeight="1">
      <c r="A1578" s="12" t="s">
        <v>65</v>
      </c>
      <c r="B1578" s="20" t="str">
        <f>IFERROR(VLOOKUP(A1578,Sheet1!$E$3:$H$27,4,0),"")</f>
        <v>P3</v>
      </c>
      <c r="C1578" s="14"/>
      <c r="D1578" s="12" t="s">
        <v>45</v>
      </c>
      <c r="E1578" s="13" t="str">
        <f>IFERROR(VLOOKUP(D1578,Sheet1!$B$1:$C$45,2,0),"")</f>
        <v>MBP</v>
      </c>
      <c r="F1578" s="12" t="s">
        <v>179</v>
      </c>
      <c r="G1578" s="13" t="str">
        <f t="shared" si="5"/>
        <v>Palangkaraya</v>
      </c>
      <c r="H1578" s="15" t="str">
        <f>IFERROR(VLOOKUP(A1578,Sheet1!$E$3:$F$27,2,),"")</f>
        <v>Standby</v>
      </c>
      <c r="I1578" s="16" t="str">
        <f>IFERROR(VLOOKUP(A1578,Sheet1!$E$3:$G$27,3,0),"")</f>
        <v>Standby On Call</v>
      </c>
      <c r="J1578" s="12" t="s">
        <v>66</v>
      </c>
      <c r="K1578" s="17">
        <v>46083.0</v>
      </c>
      <c r="L1578" s="17"/>
      <c r="M1578" s="12" t="s">
        <v>137</v>
      </c>
      <c r="N1578" s="23"/>
      <c r="O1578" s="22"/>
      <c r="P1578" s="22"/>
    </row>
    <row r="1579" ht="22.5" customHeight="1">
      <c r="A1579" s="12" t="s">
        <v>65</v>
      </c>
      <c r="B1579" s="20" t="str">
        <f>IFERROR(VLOOKUP(A1579,Sheet1!$E$3:$H$27,4,0),"")</f>
        <v>P3</v>
      </c>
      <c r="C1579" s="15"/>
      <c r="D1579" s="12" t="s">
        <v>64</v>
      </c>
      <c r="E1579" s="12" t="s">
        <v>1</v>
      </c>
      <c r="F1579" s="12" t="s">
        <v>179</v>
      </c>
      <c r="G1579" s="13" t="str">
        <f t="shared" si="5"/>
        <v>Palangkaraya</v>
      </c>
      <c r="H1579" s="15" t="str">
        <f>IFERROR(VLOOKUP(A1579,Sheet1!$E$3:$F$27,2,),"")</f>
        <v>Standby</v>
      </c>
      <c r="I1579" s="16" t="str">
        <f>IFERROR(VLOOKUP(A1579,Sheet1!$E$3:$G$27,3,0),"")</f>
        <v>Standby On Call</v>
      </c>
      <c r="J1579" s="12" t="s">
        <v>66</v>
      </c>
      <c r="K1579" s="17">
        <v>46083.0</v>
      </c>
      <c r="L1579" s="17"/>
      <c r="M1579" s="12" t="s">
        <v>137</v>
      </c>
      <c r="N1579" s="23"/>
      <c r="O1579" s="22"/>
      <c r="P1579" s="22"/>
    </row>
    <row r="1580" ht="22.5" customHeight="1">
      <c r="A1580" s="12" t="s">
        <v>40</v>
      </c>
      <c r="B1580" s="20" t="str">
        <f>IFERROR(VLOOKUP(A1580,Sheet1!$E$3:$H$27,4,0),"")</f>
        <v>P2</v>
      </c>
      <c r="C1580" s="14" t="s">
        <v>468</v>
      </c>
      <c r="D1580" s="12" t="s">
        <v>76</v>
      </c>
      <c r="E1580" s="13" t="str">
        <f>IFERROR(VLOOKUP(D1580,Sheet1!$B$1:$C$45,2,0),"")</f>
        <v>TE</v>
      </c>
      <c r="F1580" s="12" t="s">
        <v>179</v>
      </c>
      <c r="G1580" s="13" t="str">
        <f t="shared" si="5"/>
        <v>Palangkaraya</v>
      </c>
      <c r="H1580" s="15" t="str">
        <f>IFERROR(VLOOKUP(A1580,Sheet1!$E$3:$F$27,2,),"")</f>
        <v>Corrective</v>
      </c>
      <c r="I1580" s="16" t="str">
        <f>IFERROR(VLOOKUP(A1580,Sheet1!$E$3:$G$27,3,0),"")</f>
        <v>Add New Sector antena/rru</v>
      </c>
      <c r="J1580" s="12" t="s">
        <v>112</v>
      </c>
      <c r="K1580" s="17">
        <v>46085.0</v>
      </c>
      <c r="L1580" s="17"/>
      <c r="M1580" s="12" t="s">
        <v>137</v>
      </c>
      <c r="N1580" s="23"/>
      <c r="O1580" s="22"/>
      <c r="P1580" s="22"/>
    </row>
    <row r="1581" ht="22.5" customHeight="1">
      <c r="A1581" s="12" t="s">
        <v>40</v>
      </c>
      <c r="B1581" s="20" t="str">
        <f>IFERROR(VLOOKUP(A1581,Sheet1!$E$3:$H$27,4,0),"")</f>
        <v>P2</v>
      </c>
      <c r="C1581" s="14" t="s">
        <v>468</v>
      </c>
      <c r="D1581" s="12" t="s">
        <v>77</v>
      </c>
      <c r="E1581" s="13" t="str">
        <f>IFERROR(VLOOKUP(D1581,Sheet1!$B$1:$C$45,2,0),"")</f>
        <v>TE</v>
      </c>
      <c r="F1581" s="12" t="s">
        <v>179</v>
      </c>
      <c r="G1581" s="13" t="str">
        <f t="shared" si="5"/>
        <v>Palangkaraya</v>
      </c>
      <c r="H1581" s="15" t="str">
        <f>IFERROR(VLOOKUP(A1581,Sheet1!$E$3:$F$27,2,),"")</f>
        <v>Corrective</v>
      </c>
      <c r="I1581" s="16" t="str">
        <f>IFERROR(VLOOKUP(A1581,Sheet1!$E$3:$G$27,3,0),"")</f>
        <v>Add New Sector antena/rru</v>
      </c>
      <c r="J1581" s="12" t="s">
        <v>112</v>
      </c>
      <c r="K1581" s="17">
        <v>46085.0</v>
      </c>
      <c r="L1581" s="17"/>
      <c r="M1581" s="12" t="s">
        <v>137</v>
      </c>
      <c r="N1581" s="23"/>
      <c r="O1581" s="22"/>
      <c r="P1581" s="22"/>
    </row>
    <row r="1582" ht="22.5" customHeight="1">
      <c r="A1582" s="12" t="s">
        <v>40</v>
      </c>
      <c r="B1582" s="20" t="str">
        <f>IFERROR(VLOOKUP(A1582,Sheet1!$E$3:$H$27,4,0),"")</f>
        <v>P2</v>
      </c>
      <c r="C1582" s="14" t="s">
        <v>299</v>
      </c>
      <c r="D1582" s="12" t="s">
        <v>39</v>
      </c>
      <c r="E1582" s="13" t="str">
        <f>IFERROR(VLOOKUP(D1582,Sheet1!$B$1:$C$45,2,0),"")</f>
        <v>TE</v>
      </c>
      <c r="F1582" s="12" t="s">
        <v>179</v>
      </c>
      <c r="G1582" s="13" t="str">
        <f t="shared" si="5"/>
        <v>Palangkaraya</v>
      </c>
      <c r="H1582" s="15" t="str">
        <f>IFERROR(VLOOKUP(A1582,Sheet1!$E$3:$F$27,2,),"")</f>
        <v>Corrective</v>
      </c>
      <c r="I1582" s="16" t="str">
        <f>IFERROR(VLOOKUP(A1582,Sheet1!$E$3:$G$27,3,0),"")</f>
        <v>Add New Sector antena/rru</v>
      </c>
      <c r="J1582" s="12" t="s">
        <v>112</v>
      </c>
      <c r="K1582" s="17">
        <v>46085.0</v>
      </c>
      <c r="L1582" s="17"/>
      <c r="M1582" s="12" t="s">
        <v>137</v>
      </c>
      <c r="N1582" s="23"/>
      <c r="O1582" s="22"/>
      <c r="P1582" s="22"/>
    </row>
    <row r="1583" ht="22.5" customHeight="1">
      <c r="A1583" s="12" t="s">
        <v>52</v>
      </c>
      <c r="B1583" s="20" t="str">
        <f>IFERROR(VLOOKUP(A1583,Sheet1!$E$3:$H$27,4,0),"")</f>
        <v>P1</v>
      </c>
      <c r="C1583" s="14" t="s">
        <v>577</v>
      </c>
      <c r="D1583" s="12" t="s">
        <v>80</v>
      </c>
      <c r="E1583" s="13" t="str">
        <f>IFERROR(VLOOKUP(D1583,Sheet1!$B$1:$C$45,2,0),"")</f>
        <v>TE</v>
      </c>
      <c r="F1583" s="12" t="s">
        <v>179</v>
      </c>
      <c r="G1583" s="13" t="str">
        <f t="shared" si="5"/>
        <v>Palangkaraya</v>
      </c>
      <c r="H1583" s="15" t="str">
        <f>IFERROR(VLOOKUP(A1583,Sheet1!$E$3:$F$27,2,),"")</f>
        <v>Preventive</v>
      </c>
      <c r="I1583" s="16" t="str">
        <f>IFERROR(VLOOKUP(A1583,Sheet1!$E$3:$G$27,3,0),"")</f>
        <v>MCB trip/Power upnormal</v>
      </c>
      <c r="J1583" s="12" t="s">
        <v>112</v>
      </c>
      <c r="K1583" s="17">
        <v>46085.0</v>
      </c>
      <c r="L1583" s="17"/>
      <c r="M1583" s="12" t="s">
        <v>137</v>
      </c>
      <c r="N1583" s="23"/>
      <c r="O1583" s="22"/>
      <c r="P1583" s="22"/>
    </row>
    <row r="1584" ht="22.5" customHeight="1">
      <c r="A1584" s="12" t="s">
        <v>5</v>
      </c>
      <c r="B1584" s="20" t="str">
        <f>IFERROR(VLOOKUP(A1584,Sheet1!$E$3:$H$27,4,0),"")</f>
        <v>P1</v>
      </c>
      <c r="C1584" s="14" t="s">
        <v>205</v>
      </c>
      <c r="D1584" s="12" t="s">
        <v>51</v>
      </c>
      <c r="E1584" s="13" t="str">
        <f>IFERROR(VLOOKUP(D1584,Sheet1!$B$1:$C$45,2,0),"")</f>
        <v>TE</v>
      </c>
      <c r="F1584" s="12" t="s">
        <v>179</v>
      </c>
      <c r="G1584" s="13" t="str">
        <f t="shared" si="5"/>
        <v>Palangkaraya</v>
      </c>
      <c r="H1584" s="15" t="str">
        <f>IFERROR(VLOOKUP(A1584,Sheet1!$E$3:$F$27,2,),"")</f>
        <v>Corrective</v>
      </c>
      <c r="I1584" s="16" t="str">
        <f>IFERROR(VLOOKUP(A1584,Sheet1!$E$3:$G$27,3,0),"")</f>
        <v>Replace Optik,RRU/Soket Power/Replace GPS</v>
      </c>
      <c r="J1584" s="12" t="s">
        <v>112</v>
      </c>
      <c r="K1584" s="17">
        <v>46085.0</v>
      </c>
      <c r="L1584" s="17"/>
      <c r="M1584" s="12" t="s">
        <v>137</v>
      </c>
      <c r="N1584" s="23"/>
      <c r="O1584" s="22"/>
      <c r="P1584" s="22"/>
    </row>
    <row r="1585" ht="22.5" customHeight="1">
      <c r="A1585" s="12" t="s">
        <v>5</v>
      </c>
      <c r="B1585" s="20" t="str">
        <f>IFERROR(VLOOKUP(A1585,Sheet1!$E$3:$H$27,4,0),"")</f>
        <v>P1</v>
      </c>
      <c r="C1585" s="14" t="s">
        <v>402</v>
      </c>
      <c r="D1585" s="12" t="s">
        <v>51</v>
      </c>
      <c r="E1585" s="13" t="str">
        <f>IFERROR(VLOOKUP(D1585,Sheet1!$B$1:$C$45,2,0),"")</f>
        <v>TE</v>
      </c>
      <c r="F1585" s="12" t="s">
        <v>179</v>
      </c>
      <c r="G1585" s="13" t="str">
        <f t="shared" si="5"/>
        <v>Palangkaraya</v>
      </c>
      <c r="H1585" s="15" t="str">
        <f>IFERROR(VLOOKUP(A1585,Sheet1!$E$3:$F$27,2,),"")</f>
        <v>Corrective</v>
      </c>
      <c r="I1585" s="16" t="str">
        <f>IFERROR(VLOOKUP(A1585,Sheet1!$E$3:$G$27,3,0),"")</f>
        <v>Replace Optik,RRU/Soket Power/Replace GPS</v>
      </c>
      <c r="J1585" s="12" t="s">
        <v>112</v>
      </c>
      <c r="K1585" s="17">
        <v>46085.0</v>
      </c>
      <c r="L1585" s="17"/>
      <c r="M1585" s="12" t="s">
        <v>137</v>
      </c>
      <c r="N1585" s="23"/>
      <c r="O1585" s="22"/>
      <c r="P1585" s="22"/>
    </row>
    <row r="1586" ht="22.5" customHeight="1">
      <c r="A1586" s="12" t="s">
        <v>10</v>
      </c>
      <c r="B1586" s="20" t="str">
        <f>IFERROR(VLOOKUP(A1586,Sheet1!$E$3:$H$27,4,0),"")</f>
        <v>P1</v>
      </c>
      <c r="C1586" s="14" t="s">
        <v>444</v>
      </c>
      <c r="D1586" s="12" t="s">
        <v>79</v>
      </c>
      <c r="E1586" s="13" t="str">
        <f>IFERROR(VLOOKUP(D1586,Sheet1!$B$1:$C$45,2,0),"")</f>
        <v>TE</v>
      </c>
      <c r="F1586" s="12" t="s">
        <v>179</v>
      </c>
      <c r="G1586" s="13" t="str">
        <f t="shared" si="5"/>
        <v>Palangkaraya</v>
      </c>
      <c r="H1586" s="15" t="str">
        <f>IFERROR(VLOOKUP(A1586,Sheet1!$E$3:$F$27,2,),"")</f>
        <v>Corrective</v>
      </c>
      <c r="I1586" s="16" t="str">
        <f>IFERROR(VLOOKUP(A1586,Sheet1!$E$3:$G$27,3,0),"")</f>
        <v>Replace Jumper,antena/RRU</v>
      </c>
      <c r="J1586" s="12" t="s">
        <v>112</v>
      </c>
      <c r="K1586" s="17">
        <v>46085.0</v>
      </c>
      <c r="L1586" s="17"/>
      <c r="M1586" s="12" t="s">
        <v>137</v>
      </c>
      <c r="N1586" s="23"/>
      <c r="O1586" s="22"/>
      <c r="P1586" s="22"/>
    </row>
    <row r="1587" ht="22.5" customHeight="1">
      <c r="A1587" s="12" t="s">
        <v>10</v>
      </c>
      <c r="B1587" s="20" t="str">
        <f>IFERROR(VLOOKUP(A1587,Sheet1!$E$3:$H$27,4,0),"")</f>
        <v>P1</v>
      </c>
      <c r="C1587" s="14" t="s">
        <v>463</v>
      </c>
      <c r="D1587" s="12" t="s">
        <v>91</v>
      </c>
      <c r="E1587" s="13" t="str">
        <f>IFERROR(VLOOKUP(D1587,Sheet1!$B$1:$C$45,2,0),"")</f>
        <v>TE</v>
      </c>
      <c r="F1587" s="12" t="s">
        <v>179</v>
      </c>
      <c r="G1587" s="13" t="str">
        <f t="shared" si="5"/>
        <v>Palangkaraya</v>
      </c>
      <c r="H1587" s="15" t="str">
        <f>IFERROR(VLOOKUP(A1587,Sheet1!$E$3:$F$27,2,),"")</f>
        <v>Corrective</v>
      </c>
      <c r="I1587" s="16" t="str">
        <f>IFERROR(VLOOKUP(A1587,Sheet1!$E$3:$G$27,3,0),"")</f>
        <v>Replace Jumper,antena/RRU</v>
      </c>
      <c r="J1587" s="12" t="s">
        <v>112</v>
      </c>
      <c r="K1587" s="17">
        <v>46085.0</v>
      </c>
      <c r="L1587" s="17"/>
      <c r="M1587" s="12" t="s">
        <v>137</v>
      </c>
      <c r="N1587" s="23"/>
      <c r="O1587" s="22"/>
      <c r="P1587" s="22"/>
    </row>
    <row r="1588" ht="22.5" customHeight="1">
      <c r="A1588" s="12" t="s">
        <v>10</v>
      </c>
      <c r="B1588" s="20" t="str">
        <f>IFERROR(VLOOKUP(A1588,Sheet1!$E$3:$H$27,4,0),"")</f>
        <v>P1</v>
      </c>
      <c r="C1588" s="14" t="s">
        <v>579</v>
      </c>
      <c r="D1588" s="12" t="s">
        <v>58</v>
      </c>
      <c r="E1588" s="13" t="str">
        <f>IFERROR(VLOOKUP(D1588,Sheet1!$B$1:$C$45,2,0),"")</f>
        <v>TE</v>
      </c>
      <c r="F1588" s="12" t="s">
        <v>179</v>
      </c>
      <c r="G1588" s="13" t="str">
        <f t="shared" si="5"/>
        <v>Palangkaraya</v>
      </c>
      <c r="H1588" s="15" t="str">
        <f>IFERROR(VLOOKUP(A1588,Sheet1!$E$3:$F$27,2,),"")</f>
        <v>Corrective</v>
      </c>
      <c r="I1588" s="16" t="str">
        <f>IFERROR(VLOOKUP(A1588,Sheet1!$E$3:$G$27,3,0),"")</f>
        <v>Replace Jumper,antena/RRU</v>
      </c>
      <c r="J1588" s="12" t="s">
        <v>112</v>
      </c>
      <c r="K1588" s="17">
        <v>46085.0</v>
      </c>
      <c r="L1588" s="17"/>
      <c r="M1588" s="12" t="s">
        <v>137</v>
      </c>
      <c r="N1588" s="23"/>
      <c r="O1588" s="22"/>
      <c r="P1588" s="22"/>
    </row>
    <row r="1589" ht="22.5" customHeight="1">
      <c r="A1589" s="12" t="s">
        <v>5</v>
      </c>
      <c r="B1589" s="20" t="str">
        <f>IFERROR(VLOOKUP(A1589,Sheet1!$E$3:$H$27,4,0),"")</f>
        <v>P1</v>
      </c>
      <c r="C1589" s="14" t="s">
        <v>593</v>
      </c>
      <c r="D1589" s="12" t="s">
        <v>71</v>
      </c>
      <c r="E1589" s="13" t="str">
        <f>IFERROR(VLOOKUP(D1589,Sheet1!$B$1:$C$45,2,0),"")</f>
        <v>TE</v>
      </c>
      <c r="F1589" s="12" t="s">
        <v>179</v>
      </c>
      <c r="G1589" s="13" t="str">
        <f t="shared" si="5"/>
        <v>Palangkaraya</v>
      </c>
      <c r="H1589" s="15" t="str">
        <f>IFERROR(VLOOKUP(A1589,Sheet1!$E$3:$F$27,2,),"")</f>
        <v>Corrective</v>
      </c>
      <c r="I1589" s="16" t="str">
        <f>IFERROR(VLOOKUP(A1589,Sheet1!$E$3:$G$27,3,0),"")</f>
        <v>Replace Optik,RRU/Soket Power/Replace GPS</v>
      </c>
      <c r="J1589" s="12" t="s">
        <v>112</v>
      </c>
      <c r="K1589" s="17">
        <v>46085.0</v>
      </c>
      <c r="L1589" s="17"/>
      <c r="M1589" s="12" t="s">
        <v>137</v>
      </c>
      <c r="N1589" s="23"/>
      <c r="O1589" s="22"/>
      <c r="P1589" s="22"/>
    </row>
    <row r="1590" ht="22.5" customHeight="1">
      <c r="A1590" s="12" t="s">
        <v>5</v>
      </c>
      <c r="B1590" s="20" t="str">
        <f>IFERROR(VLOOKUP(A1590,Sheet1!$E$3:$H$27,4,0),"")</f>
        <v>P1</v>
      </c>
      <c r="C1590" s="14" t="s">
        <v>593</v>
      </c>
      <c r="D1590" s="12" t="s">
        <v>69</v>
      </c>
      <c r="E1590" s="13" t="str">
        <f>IFERROR(VLOOKUP(D1590,Sheet1!$B$1:$C$45,2,0),"")</f>
        <v>TE</v>
      </c>
      <c r="F1590" s="12" t="s">
        <v>179</v>
      </c>
      <c r="G1590" s="13" t="str">
        <f t="shared" si="5"/>
        <v>Palangkaraya</v>
      </c>
      <c r="H1590" s="15" t="str">
        <f>IFERROR(VLOOKUP(A1590,Sheet1!$E$3:$F$27,2,),"")</f>
        <v>Corrective</v>
      </c>
      <c r="I1590" s="16" t="str">
        <f>IFERROR(VLOOKUP(A1590,Sheet1!$E$3:$G$27,3,0),"")</f>
        <v>Replace Optik,RRU/Soket Power/Replace GPS</v>
      </c>
      <c r="J1590" s="12" t="s">
        <v>112</v>
      </c>
      <c r="K1590" s="17">
        <v>46085.0</v>
      </c>
      <c r="L1590" s="17"/>
      <c r="M1590" s="12" t="s">
        <v>137</v>
      </c>
      <c r="N1590" s="23"/>
      <c r="O1590" s="22"/>
      <c r="P1590" s="22"/>
    </row>
    <row r="1591" ht="22.5" customHeight="1">
      <c r="A1591" s="12" t="s">
        <v>52</v>
      </c>
      <c r="B1591" s="20" t="str">
        <f>IFERROR(VLOOKUP(A1591,Sheet1!$E$3:$H$27,4,0),"")</f>
        <v>P1</v>
      </c>
      <c r="C1591" s="14" t="s">
        <v>594</v>
      </c>
      <c r="D1591" s="12" t="s">
        <v>56</v>
      </c>
      <c r="E1591" s="13" t="str">
        <f>IFERROR(VLOOKUP(D1591,Sheet1!$B$1:$C$45,2,0),"")</f>
        <v>TE</v>
      </c>
      <c r="F1591" s="12" t="s">
        <v>179</v>
      </c>
      <c r="G1591" s="13" t="str">
        <f t="shared" si="5"/>
        <v>Palangkaraya</v>
      </c>
      <c r="H1591" s="15" t="str">
        <f>IFERROR(VLOOKUP(A1591,Sheet1!$E$3:$F$27,2,),"")</f>
        <v>Preventive</v>
      </c>
      <c r="I1591" s="16" t="str">
        <f>IFERROR(VLOOKUP(A1591,Sheet1!$E$3:$G$27,3,0),"")</f>
        <v>MCB trip/Power upnormal</v>
      </c>
      <c r="J1591" s="12" t="s">
        <v>112</v>
      </c>
      <c r="K1591" s="17">
        <v>46085.0</v>
      </c>
      <c r="L1591" s="17"/>
      <c r="M1591" s="12" t="s">
        <v>137</v>
      </c>
      <c r="N1591" s="23"/>
      <c r="O1591" s="22"/>
      <c r="P1591" s="22"/>
    </row>
    <row r="1592" ht="22.5" customHeight="1">
      <c r="A1592" s="12" t="s">
        <v>22</v>
      </c>
      <c r="B1592" s="20" t="str">
        <f>IFERROR(VLOOKUP(A1592,Sheet1!$E$3:$H$27,4,0),"")</f>
        <v>P2</v>
      </c>
      <c r="C1592" s="14"/>
      <c r="D1592" s="12" t="s">
        <v>83</v>
      </c>
      <c r="E1592" s="13" t="str">
        <f>IFERROR(VLOOKUP(D1592,Sheet1!$B$1:$C$45,2,0),"")</f>
        <v>PM</v>
      </c>
      <c r="F1592" s="12" t="s">
        <v>179</v>
      </c>
      <c r="G1592" s="13" t="str">
        <f t="shared" si="5"/>
        <v>Palangkaraya</v>
      </c>
      <c r="H1592" s="15" t="str">
        <f>IFERROR(VLOOKUP(A1592,Sheet1!$E$3:$F$27,2,),"")</f>
        <v>Preventive</v>
      </c>
      <c r="I1592" s="16" t="str">
        <f>IFERROR(VLOOKUP(A1592,Sheet1!$E$3:$G$27,3,0),"")</f>
        <v>Preventive Maintenance</v>
      </c>
      <c r="J1592" s="12" t="s">
        <v>112</v>
      </c>
      <c r="K1592" s="17">
        <v>46085.0</v>
      </c>
      <c r="L1592" s="17"/>
      <c r="M1592" s="12" t="s">
        <v>137</v>
      </c>
      <c r="N1592" s="23"/>
      <c r="O1592" s="22"/>
      <c r="P1592" s="22"/>
    </row>
    <row r="1593" ht="22.5" customHeight="1">
      <c r="A1593" s="12" t="s">
        <v>22</v>
      </c>
      <c r="B1593" s="20" t="str">
        <f>IFERROR(VLOOKUP(A1593,Sheet1!$E$3:$H$27,4,0),"")</f>
        <v>P2</v>
      </c>
      <c r="C1593" s="14"/>
      <c r="D1593" s="12" t="s">
        <v>82</v>
      </c>
      <c r="E1593" s="13" t="str">
        <f>IFERROR(VLOOKUP(D1593,Sheet1!$B$1:$C$45,2,0),"")</f>
        <v>PM</v>
      </c>
      <c r="F1593" s="12" t="s">
        <v>179</v>
      </c>
      <c r="G1593" s="13" t="str">
        <f t="shared" si="5"/>
        <v>Palangkaraya</v>
      </c>
      <c r="H1593" s="15" t="str">
        <f>IFERROR(VLOOKUP(A1593,Sheet1!$E$3:$F$27,2,),"")</f>
        <v>Preventive</v>
      </c>
      <c r="I1593" s="16" t="str">
        <f>IFERROR(VLOOKUP(A1593,Sheet1!$E$3:$G$27,3,0),"")</f>
        <v>Preventive Maintenance</v>
      </c>
      <c r="J1593" s="12" t="s">
        <v>112</v>
      </c>
      <c r="K1593" s="17">
        <v>46085.0</v>
      </c>
      <c r="L1593" s="17"/>
      <c r="M1593" s="12" t="s">
        <v>137</v>
      </c>
      <c r="N1593" s="23"/>
      <c r="O1593" s="22"/>
      <c r="P1593" s="22"/>
    </row>
    <row r="1594" ht="22.5" customHeight="1">
      <c r="A1594" s="12" t="s">
        <v>22</v>
      </c>
      <c r="B1594" s="20" t="str">
        <f>IFERROR(VLOOKUP(A1594,Sheet1!$E$3:$H$27,4,0),"")</f>
        <v>P2</v>
      </c>
      <c r="C1594" s="14"/>
      <c r="D1594" s="12" t="s">
        <v>75</v>
      </c>
      <c r="E1594" s="13" t="str">
        <f>IFERROR(VLOOKUP(D1594,Sheet1!$B$1:$C$45,2,0),"")</f>
        <v>CME</v>
      </c>
      <c r="F1594" s="12" t="s">
        <v>179</v>
      </c>
      <c r="G1594" s="13" t="str">
        <f t="shared" si="5"/>
        <v>Palangkaraya</v>
      </c>
      <c r="H1594" s="15" t="str">
        <f>IFERROR(VLOOKUP(A1594,Sheet1!$E$3:$F$27,2,),"")</f>
        <v>Preventive</v>
      </c>
      <c r="I1594" s="16" t="str">
        <f>IFERROR(VLOOKUP(A1594,Sheet1!$E$3:$G$27,3,0),"")</f>
        <v>Preventive Maintenance</v>
      </c>
      <c r="J1594" s="12" t="s">
        <v>112</v>
      </c>
      <c r="K1594" s="17">
        <v>46085.0</v>
      </c>
      <c r="L1594" s="17"/>
      <c r="M1594" s="12" t="s">
        <v>137</v>
      </c>
      <c r="N1594" s="23"/>
      <c r="O1594" s="22"/>
      <c r="P1594" s="22"/>
    </row>
    <row r="1595" ht="22.5" customHeight="1">
      <c r="A1595" s="12" t="s">
        <v>65</v>
      </c>
      <c r="B1595" s="20" t="str">
        <f>IFERROR(VLOOKUP(A1595,Sheet1!$E$3:$H$27,4,0),"")</f>
        <v>P3</v>
      </c>
      <c r="C1595" s="14"/>
      <c r="D1595" s="12" t="s">
        <v>54</v>
      </c>
      <c r="E1595" s="13" t="str">
        <f>IFERROR(VLOOKUP(D1595,Sheet1!$B$1:$C$45,2,0),"")</f>
        <v>MBP</v>
      </c>
      <c r="F1595" s="12" t="s">
        <v>179</v>
      </c>
      <c r="G1595" s="13" t="str">
        <f t="shared" si="5"/>
        <v>Palangkaraya</v>
      </c>
      <c r="H1595" s="15" t="str">
        <f>IFERROR(VLOOKUP(A1595,Sheet1!$E$3:$F$27,2,),"")</f>
        <v>Standby</v>
      </c>
      <c r="I1595" s="16" t="str">
        <f>IFERROR(VLOOKUP(A1595,Sheet1!$E$3:$G$27,3,0),"")</f>
        <v>Standby On Call</v>
      </c>
      <c r="J1595" s="12" t="s">
        <v>66</v>
      </c>
      <c r="K1595" s="17">
        <v>46085.0</v>
      </c>
      <c r="L1595" s="17"/>
      <c r="M1595" s="12" t="s">
        <v>137</v>
      </c>
      <c r="N1595" s="23"/>
      <c r="O1595" s="22"/>
      <c r="P1595" s="22"/>
    </row>
    <row r="1596" ht="22.5" customHeight="1">
      <c r="A1596" s="12" t="s">
        <v>65</v>
      </c>
      <c r="B1596" s="20" t="str">
        <f>IFERROR(VLOOKUP(A1596,Sheet1!$E$3:$H$27,4,0),"")</f>
        <v>P3</v>
      </c>
      <c r="C1596" s="14"/>
      <c r="D1596" s="12" t="s">
        <v>45</v>
      </c>
      <c r="E1596" s="13" t="str">
        <f>IFERROR(VLOOKUP(D1596,Sheet1!$B$1:$C$45,2,0),"")</f>
        <v>MBP</v>
      </c>
      <c r="F1596" s="12" t="s">
        <v>179</v>
      </c>
      <c r="G1596" s="13" t="str">
        <f t="shared" si="5"/>
        <v>Palangkaraya</v>
      </c>
      <c r="H1596" s="15" t="str">
        <f>IFERROR(VLOOKUP(A1596,Sheet1!$E$3:$F$27,2,),"")</f>
        <v>Standby</v>
      </c>
      <c r="I1596" s="16" t="str">
        <f>IFERROR(VLOOKUP(A1596,Sheet1!$E$3:$G$27,3,0),"")</f>
        <v>Standby On Call</v>
      </c>
      <c r="J1596" s="12" t="s">
        <v>66</v>
      </c>
      <c r="K1596" s="17">
        <v>46085.0</v>
      </c>
      <c r="L1596" s="17"/>
      <c r="M1596" s="12" t="s">
        <v>137</v>
      </c>
      <c r="N1596" s="23"/>
      <c r="O1596" s="22"/>
      <c r="P1596" s="22"/>
    </row>
    <row r="1597" ht="22.5" customHeight="1">
      <c r="A1597" s="12" t="s">
        <v>65</v>
      </c>
      <c r="B1597" s="20" t="str">
        <f>IFERROR(VLOOKUP(A1597,Sheet1!$E$3:$H$27,4,0),"")</f>
        <v>P3</v>
      </c>
      <c r="C1597" s="15"/>
      <c r="D1597" s="12" t="s">
        <v>64</v>
      </c>
      <c r="E1597" s="12" t="s">
        <v>1</v>
      </c>
      <c r="F1597" s="12" t="s">
        <v>179</v>
      </c>
      <c r="G1597" s="13" t="str">
        <f t="shared" si="5"/>
        <v>Palangkaraya</v>
      </c>
      <c r="H1597" s="15" t="str">
        <f>IFERROR(VLOOKUP(A1597,Sheet1!$E$3:$F$27,2,),"")</f>
        <v>Standby</v>
      </c>
      <c r="I1597" s="16" t="str">
        <f>IFERROR(VLOOKUP(A1597,Sheet1!$E$3:$G$27,3,0),"")</f>
        <v>Standby On Call</v>
      </c>
      <c r="J1597" s="12" t="s">
        <v>66</v>
      </c>
      <c r="K1597" s="17">
        <v>46085.0</v>
      </c>
      <c r="L1597" s="17"/>
      <c r="M1597" s="12" t="s">
        <v>137</v>
      </c>
      <c r="N1597" s="23"/>
      <c r="O1597" s="22"/>
      <c r="P1597" s="22"/>
    </row>
    <row r="1598" ht="22.5" customHeight="1">
      <c r="A1598" s="12" t="s">
        <v>17</v>
      </c>
      <c r="B1598" s="20" t="str">
        <f>IFERROR(VLOOKUP(A1598,Sheet1!$E$3:$H$27,4,0),"")</f>
        <v>P2</v>
      </c>
      <c r="C1598" s="14" t="s">
        <v>237</v>
      </c>
      <c r="D1598" s="12" t="s">
        <v>12</v>
      </c>
      <c r="E1598" s="13" t="str">
        <f>IFERROR(VLOOKUP(D1598,Sheet1!$B$1:$C$45,2,0),"")</f>
        <v>TE</v>
      </c>
      <c r="F1598" s="12" t="s">
        <v>108</v>
      </c>
      <c r="G1598" s="13" t="str">
        <f t="shared" si="5"/>
        <v>Barito Raya</v>
      </c>
      <c r="H1598" s="15" t="str">
        <f>IFERROR(VLOOKUP(A1598,Sheet1!$E$3:$F$27,2,),"")</f>
        <v>Preventive</v>
      </c>
      <c r="I1598" s="16" t="str">
        <f>IFERROR(VLOOKUP(A1598,Sheet1!$E$3:$G$27,3,0),"")</f>
        <v>integrasi LAN dan validasi alarm</v>
      </c>
      <c r="J1598" s="12" t="s">
        <v>112</v>
      </c>
      <c r="K1598" s="17">
        <v>46085.0</v>
      </c>
      <c r="L1598" s="17">
        <v>46085.0</v>
      </c>
      <c r="M1598" s="12" t="s">
        <v>137</v>
      </c>
      <c r="N1598" s="23"/>
      <c r="O1598" s="22"/>
      <c r="P1598" s="22"/>
    </row>
    <row r="1599" ht="22.5" customHeight="1">
      <c r="A1599" s="12" t="s">
        <v>17</v>
      </c>
      <c r="B1599" s="20" t="str">
        <f>IFERROR(VLOOKUP(A1599,Sheet1!$E$3:$H$27,4,0),"")</f>
        <v>P2</v>
      </c>
      <c r="C1599" s="14" t="s">
        <v>595</v>
      </c>
      <c r="D1599" s="12" t="s">
        <v>16</v>
      </c>
      <c r="E1599" s="13" t="str">
        <f>IFERROR(VLOOKUP(D1599,Sheet1!$B$1:$C$45,2,0),"")</f>
        <v>TE</v>
      </c>
      <c r="F1599" s="12" t="s">
        <v>108</v>
      </c>
      <c r="G1599" s="13" t="str">
        <f t="shared" si="5"/>
        <v>Barito Raya</v>
      </c>
      <c r="H1599" s="15" t="str">
        <f>IFERROR(VLOOKUP(A1599,Sheet1!$E$3:$F$27,2,),"")</f>
        <v>Preventive</v>
      </c>
      <c r="I1599" s="16" t="str">
        <f>IFERROR(VLOOKUP(A1599,Sheet1!$E$3:$G$27,3,0),"")</f>
        <v>integrasi LAN dan validasi alarm</v>
      </c>
      <c r="J1599" s="12" t="s">
        <v>112</v>
      </c>
      <c r="K1599" s="17">
        <v>46085.0</v>
      </c>
      <c r="L1599" s="17">
        <v>46085.0</v>
      </c>
      <c r="M1599" s="12" t="s">
        <v>137</v>
      </c>
      <c r="N1599" s="23"/>
      <c r="O1599" s="22"/>
      <c r="P1599" s="22"/>
    </row>
    <row r="1600" ht="22.5" customHeight="1">
      <c r="A1600" s="12" t="s">
        <v>5</v>
      </c>
      <c r="B1600" s="20" t="str">
        <f>IFERROR(VLOOKUP(A1600,Sheet1!$E$3:$H$27,4,0),"")</f>
        <v>P1</v>
      </c>
      <c r="C1600" s="14" t="s">
        <v>407</v>
      </c>
      <c r="D1600" s="12" t="s">
        <v>21</v>
      </c>
      <c r="E1600" s="13" t="str">
        <f>IFERROR(VLOOKUP(D1600,Sheet1!$B$1:$C$45,2,0),"")</f>
        <v>TE</v>
      </c>
      <c r="F1600" s="12" t="s">
        <v>108</v>
      </c>
      <c r="G1600" s="13" t="str">
        <f t="shared" si="5"/>
        <v>Barito Raya</v>
      </c>
      <c r="H1600" s="15" t="str">
        <f>IFERROR(VLOOKUP(A1600,Sheet1!$E$3:$F$27,2,),"")</f>
        <v>Corrective</v>
      </c>
      <c r="I1600" s="16" t="str">
        <f>IFERROR(VLOOKUP(A1600,Sheet1!$E$3:$G$27,3,0),"")</f>
        <v>Replace Optik,RRU/Soket Power/Replace GPS</v>
      </c>
      <c r="J1600" s="12" t="s">
        <v>112</v>
      </c>
      <c r="K1600" s="17">
        <v>46085.0</v>
      </c>
      <c r="L1600" s="17">
        <v>46085.0</v>
      </c>
      <c r="M1600" s="12" t="s">
        <v>137</v>
      </c>
      <c r="N1600" s="23"/>
      <c r="O1600" s="22"/>
      <c r="P1600" s="22"/>
    </row>
    <row r="1601" ht="22.5" customHeight="1">
      <c r="A1601" s="12" t="s">
        <v>17</v>
      </c>
      <c r="B1601" s="20" t="str">
        <f>IFERROR(VLOOKUP(A1601,Sheet1!$E$3:$H$27,4,0),"")</f>
        <v>P2</v>
      </c>
      <c r="C1601" s="14" t="s">
        <v>457</v>
      </c>
      <c r="D1601" s="12" t="s">
        <v>26</v>
      </c>
      <c r="E1601" s="13" t="str">
        <f>IFERROR(VLOOKUP(D1601,Sheet1!$B$1:$C$45,2,0),"")</f>
        <v>TE</v>
      </c>
      <c r="F1601" s="12" t="s">
        <v>108</v>
      </c>
      <c r="G1601" s="13" t="str">
        <f t="shared" si="5"/>
        <v>Barito Raya</v>
      </c>
      <c r="H1601" s="15" t="str">
        <f>IFERROR(VLOOKUP(A1601,Sheet1!$E$3:$F$27,2,),"")</f>
        <v>Preventive</v>
      </c>
      <c r="I1601" s="16" t="str">
        <f>IFERROR(VLOOKUP(A1601,Sheet1!$E$3:$G$27,3,0),"")</f>
        <v>integrasi LAN dan validasi alarm</v>
      </c>
      <c r="J1601" s="12" t="s">
        <v>112</v>
      </c>
      <c r="K1601" s="17">
        <v>46085.0</v>
      </c>
      <c r="L1601" s="17">
        <v>46085.0</v>
      </c>
      <c r="M1601" s="13"/>
      <c r="N1601" s="23"/>
      <c r="O1601" s="22"/>
      <c r="P1601" s="22"/>
    </row>
    <row r="1602" ht="22.5" customHeight="1">
      <c r="A1602" s="12" t="s">
        <v>17</v>
      </c>
      <c r="B1602" s="20" t="str">
        <f>IFERROR(VLOOKUP(A1602,Sheet1!$E$3:$H$27,4,0),"")</f>
        <v>P2</v>
      </c>
      <c r="C1602" s="14" t="s">
        <v>596</v>
      </c>
      <c r="D1602" s="12" t="s">
        <v>88</v>
      </c>
      <c r="E1602" s="13" t="str">
        <f>IFERROR(VLOOKUP(D1602,Sheet1!$B$1:$C$45,2,0),"")</f>
        <v>TE</v>
      </c>
      <c r="F1602" s="12" t="s">
        <v>108</v>
      </c>
      <c r="G1602" s="13" t="str">
        <f t="shared" si="5"/>
        <v>Barito Raya</v>
      </c>
      <c r="H1602" s="15" t="str">
        <f>IFERROR(VLOOKUP(A1602,Sheet1!$E$3:$F$27,2,),"")</f>
        <v>Preventive</v>
      </c>
      <c r="I1602" s="16" t="str">
        <f>IFERROR(VLOOKUP(A1602,Sheet1!$E$3:$G$27,3,0),"")</f>
        <v>integrasi LAN dan validasi alarm</v>
      </c>
      <c r="J1602" s="12" t="s">
        <v>112</v>
      </c>
      <c r="K1602" s="17">
        <v>46085.0</v>
      </c>
      <c r="L1602" s="17">
        <v>46085.0</v>
      </c>
      <c r="M1602" s="13"/>
      <c r="N1602" s="23"/>
      <c r="O1602" s="22"/>
      <c r="P1602" s="22"/>
    </row>
    <row r="1603" ht="22.5" customHeight="1">
      <c r="A1603" s="12" t="s">
        <v>5</v>
      </c>
      <c r="B1603" s="20" t="str">
        <f>IFERROR(VLOOKUP(A1603,Sheet1!$E$3:$H$27,4,0),"")</f>
        <v>P1</v>
      </c>
      <c r="C1603" s="14" t="s">
        <v>259</v>
      </c>
      <c r="D1603" s="12" t="s">
        <v>32</v>
      </c>
      <c r="E1603" s="13" t="str">
        <f>IFERROR(VLOOKUP(D1603,Sheet1!$B$1:$C$45,2,0),"")</f>
        <v>TE</v>
      </c>
      <c r="F1603" s="12" t="s">
        <v>108</v>
      </c>
      <c r="G1603" s="13" t="str">
        <f t="shared" si="5"/>
        <v>Barito Raya</v>
      </c>
      <c r="H1603" s="15" t="str">
        <f>IFERROR(VLOOKUP(A1603,Sheet1!$E$3:$F$27,2,),"")</f>
        <v>Corrective</v>
      </c>
      <c r="I1603" s="16" t="str">
        <f>IFERROR(VLOOKUP(A1603,Sheet1!$E$3:$G$27,3,0),"")</f>
        <v>Replace Optik,RRU/Soket Power/Replace GPS</v>
      </c>
      <c r="J1603" s="12" t="s">
        <v>112</v>
      </c>
      <c r="K1603" s="17">
        <v>46085.0</v>
      </c>
      <c r="L1603" s="17">
        <v>46085.0</v>
      </c>
      <c r="M1603" s="12" t="s">
        <v>137</v>
      </c>
      <c r="N1603" s="23"/>
      <c r="O1603" s="22"/>
      <c r="P1603" s="22"/>
    </row>
    <row r="1604" ht="22.5" customHeight="1">
      <c r="A1604" s="12" t="s">
        <v>72</v>
      </c>
      <c r="B1604" s="20" t="str">
        <f>IFERROR(VLOOKUP(A1604,Sheet1!$E$3:$H$27,4,0),"")</f>
        <v>P1</v>
      </c>
      <c r="C1604" s="14" t="s">
        <v>208</v>
      </c>
      <c r="D1604" s="12" t="s">
        <v>74</v>
      </c>
      <c r="E1604" s="13" t="str">
        <f>IFERROR(VLOOKUP(D1604,Sheet1!$B$1:$C$45,2,0),"")</f>
        <v>TE</v>
      </c>
      <c r="F1604" s="12" t="s">
        <v>108</v>
      </c>
      <c r="G1604" s="13" t="str">
        <f t="shared" si="5"/>
        <v>Barito Raya</v>
      </c>
      <c r="H1604" s="15" t="str">
        <f>IFERROR(VLOOKUP(A1604,Sheet1!$E$3:$F$27,2,),"")</f>
        <v>Corrective</v>
      </c>
      <c r="I1604" s="16" t="str">
        <f>IFERROR(VLOOKUP(A1604,Sheet1!$E$3:$G$27,3,0),"")</f>
        <v>Perbaikan Auto,pergantian relay,timer, yang berhubungan genset</v>
      </c>
      <c r="J1604" s="12" t="s">
        <v>112</v>
      </c>
      <c r="K1604" s="17">
        <v>46085.0</v>
      </c>
      <c r="L1604" s="17">
        <v>46085.0</v>
      </c>
      <c r="M1604" s="13"/>
      <c r="N1604" s="23"/>
      <c r="O1604" s="22"/>
      <c r="P1604" s="22"/>
    </row>
    <row r="1605" ht="22.5" customHeight="1">
      <c r="A1605" s="12" t="s">
        <v>52</v>
      </c>
      <c r="B1605" s="20" t="str">
        <f>IFERROR(VLOOKUP(A1605,Sheet1!$E$3:$H$27,4,0),"")</f>
        <v>P1</v>
      </c>
      <c r="C1605" s="14" t="s">
        <v>503</v>
      </c>
      <c r="D1605" s="12" t="s">
        <v>60</v>
      </c>
      <c r="E1605" s="13" t="str">
        <f>IFERROR(VLOOKUP(D1605,Sheet1!$B$1:$C$45,2,0),"")</f>
        <v>TE</v>
      </c>
      <c r="F1605" s="12" t="s">
        <v>108</v>
      </c>
      <c r="G1605" s="13" t="str">
        <f t="shared" si="5"/>
        <v>Barito Raya</v>
      </c>
      <c r="H1605" s="15" t="str">
        <f>IFERROR(VLOOKUP(A1605,Sheet1!$E$3:$F$27,2,),"")</f>
        <v>Preventive</v>
      </c>
      <c r="I1605" s="16" t="str">
        <f>IFERROR(VLOOKUP(A1605,Sheet1!$E$3:$G$27,3,0),"")</f>
        <v>MCB trip/Power upnormal</v>
      </c>
      <c r="J1605" s="12" t="s">
        <v>112</v>
      </c>
      <c r="K1605" s="17">
        <v>46085.0</v>
      </c>
      <c r="L1605" s="17">
        <v>46085.0</v>
      </c>
      <c r="M1605" s="12" t="s">
        <v>137</v>
      </c>
      <c r="N1605" s="23"/>
      <c r="O1605" s="22"/>
      <c r="P1605" s="22"/>
    </row>
    <row r="1606" ht="22.5" customHeight="1">
      <c r="A1606" s="12" t="s">
        <v>5</v>
      </c>
      <c r="B1606" s="20" t="str">
        <f>IFERROR(VLOOKUP(A1606,Sheet1!$E$3:$H$27,4,0),"")</f>
        <v>P1</v>
      </c>
      <c r="C1606" s="14" t="s">
        <v>597</v>
      </c>
      <c r="D1606" s="12" t="s">
        <v>62</v>
      </c>
      <c r="E1606" s="13" t="str">
        <f>IFERROR(VLOOKUP(D1606,Sheet1!$B$1:$C$45,2,0),"")</f>
        <v>TE</v>
      </c>
      <c r="F1606" s="12" t="s">
        <v>108</v>
      </c>
      <c r="G1606" s="13" t="str">
        <f t="shared" si="5"/>
        <v>Barito Raya</v>
      </c>
      <c r="H1606" s="15" t="str">
        <f>IFERROR(VLOOKUP(A1606,Sheet1!$E$3:$F$27,2,),"")</f>
        <v>Corrective</v>
      </c>
      <c r="I1606" s="16" t="str">
        <f>IFERROR(VLOOKUP(A1606,Sheet1!$E$3:$G$27,3,0),"")</f>
        <v>Replace Optik,RRU/Soket Power/Replace GPS</v>
      </c>
      <c r="J1606" s="12" t="s">
        <v>112</v>
      </c>
      <c r="K1606" s="17">
        <v>46085.0</v>
      </c>
      <c r="L1606" s="17">
        <v>46085.0</v>
      </c>
      <c r="M1606" s="12" t="s">
        <v>137</v>
      </c>
      <c r="N1606" s="23"/>
      <c r="O1606" s="22"/>
      <c r="P1606" s="22"/>
    </row>
    <row r="1607" ht="22.5" customHeight="1">
      <c r="A1607" s="12" t="s">
        <v>22</v>
      </c>
      <c r="B1607" s="20" t="str">
        <f>IFERROR(VLOOKUP(A1607,Sheet1!$E$3:$H$27,4,0),"")</f>
        <v>P2</v>
      </c>
      <c r="C1607" s="14" t="s">
        <v>598</v>
      </c>
      <c r="D1607" s="12" t="s">
        <v>9</v>
      </c>
      <c r="E1607" s="13" t="str">
        <f>IFERROR(VLOOKUP(D1607,Sheet1!$B$1:$C$45,2,0),"")</f>
        <v>MBP</v>
      </c>
      <c r="F1607" s="12" t="s">
        <v>108</v>
      </c>
      <c r="G1607" s="13" t="str">
        <f t="shared" si="5"/>
        <v>Barito Raya</v>
      </c>
      <c r="H1607" s="15" t="str">
        <f>IFERROR(VLOOKUP(A1607,Sheet1!$E$3:$F$27,2,),"")</f>
        <v>Preventive</v>
      </c>
      <c r="I1607" s="16" t="str">
        <f>IFERROR(VLOOKUP(A1607,Sheet1!$E$3:$G$27,3,0),"")</f>
        <v>Preventive Maintenance</v>
      </c>
      <c r="J1607" s="12" t="s">
        <v>112</v>
      </c>
      <c r="K1607" s="17">
        <v>46085.0</v>
      </c>
      <c r="L1607" s="17">
        <v>46085.0</v>
      </c>
      <c r="M1607" s="12" t="s">
        <v>137</v>
      </c>
      <c r="N1607" s="23"/>
      <c r="O1607" s="22"/>
      <c r="P1607" s="22"/>
    </row>
    <row r="1608" ht="22.5" customHeight="1">
      <c r="A1608" s="12" t="s">
        <v>65</v>
      </c>
      <c r="B1608" s="20" t="str">
        <f>IFERROR(VLOOKUP(A1608,Sheet1!$E$3:$H$27,4,0),"")</f>
        <v>P3</v>
      </c>
      <c r="C1608" s="15"/>
      <c r="D1608" s="12" t="s">
        <v>4</v>
      </c>
      <c r="E1608" s="13" t="str">
        <f>IFERROR(VLOOKUP(D1608,Sheet1!$B$1:$C$45,2,0),"")</f>
        <v>CME</v>
      </c>
      <c r="F1608" s="12" t="s">
        <v>108</v>
      </c>
      <c r="G1608" s="13" t="str">
        <f t="shared" si="5"/>
        <v>Barito Raya</v>
      </c>
      <c r="H1608" s="15" t="str">
        <f>IFERROR(VLOOKUP(A1608,Sheet1!$E$3:$F$27,2,),"")</f>
        <v>Standby</v>
      </c>
      <c r="I1608" s="16" t="str">
        <f>IFERROR(VLOOKUP(A1608,Sheet1!$E$3:$G$27,3,0),"")</f>
        <v>Standby On Call</v>
      </c>
      <c r="J1608" s="20"/>
      <c r="K1608" s="17">
        <v>46085.0</v>
      </c>
      <c r="L1608" s="17">
        <v>46085.0</v>
      </c>
      <c r="M1608" s="13"/>
      <c r="N1608" s="23"/>
      <c r="O1608" s="22"/>
      <c r="P1608" s="22"/>
    </row>
    <row r="1609" ht="22.5" customHeight="1">
      <c r="A1609" s="12" t="s">
        <v>65</v>
      </c>
      <c r="B1609" s="20" t="str">
        <f>IFERROR(VLOOKUP(A1609,Sheet1!$E$3:$H$27,4,0),"")</f>
        <v>P3</v>
      </c>
      <c r="C1609" s="15"/>
      <c r="D1609" s="12" t="s">
        <v>87</v>
      </c>
      <c r="E1609" s="13" t="str">
        <f>IFERROR(VLOOKUP(D1609,Sheet1!$B$1:$C$45,2,0),"")</f>
        <v>MBP</v>
      </c>
      <c r="F1609" s="12" t="s">
        <v>108</v>
      </c>
      <c r="G1609" s="13" t="str">
        <f t="shared" si="5"/>
        <v>Barito Raya</v>
      </c>
      <c r="H1609" s="15" t="str">
        <f>IFERROR(VLOOKUP(A1609,Sheet1!$E$3:$F$27,2,),"")</f>
        <v>Standby</v>
      </c>
      <c r="I1609" s="16" t="str">
        <f>IFERROR(VLOOKUP(A1609,Sheet1!$E$3:$G$27,3,0),"")</f>
        <v>Standby On Call</v>
      </c>
      <c r="J1609" s="20"/>
      <c r="K1609" s="17">
        <v>46085.0</v>
      </c>
      <c r="L1609" s="17">
        <v>46085.0</v>
      </c>
      <c r="M1609" s="13"/>
      <c r="N1609" s="23"/>
      <c r="O1609" s="22"/>
      <c r="P1609" s="22"/>
    </row>
    <row r="1610" ht="22.5" customHeight="1">
      <c r="A1610" s="12" t="s">
        <v>52</v>
      </c>
      <c r="B1610" s="20" t="str">
        <f>IFERROR(VLOOKUP(A1610,Sheet1!$E$3:$H$27,4,0),"")</f>
        <v>P1</v>
      </c>
      <c r="C1610" s="14" t="s">
        <v>599</v>
      </c>
      <c r="D1610" s="12" t="s">
        <v>29</v>
      </c>
      <c r="E1610" s="13" t="str">
        <f>IFERROR(VLOOKUP(D1610,Sheet1!$B$1:$C$45,2,0),"")</f>
        <v>MBP</v>
      </c>
      <c r="F1610" s="12" t="s">
        <v>108</v>
      </c>
      <c r="G1610" s="13" t="str">
        <f t="shared" si="5"/>
        <v>Barito Raya</v>
      </c>
      <c r="H1610" s="15" t="str">
        <f>IFERROR(VLOOKUP(A1610,Sheet1!$E$3:$F$27,2,),"")</f>
        <v>Preventive</v>
      </c>
      <c r="I1610" s="16" t="str">
        <f>IFERROR(VLOOKUP(A1610,Sheet1!$E$3:$G$27,3,0),"")</f>
        <v>MCB trip/Power upnormal</v>
      </c>
      <c r="J1610" s="12" t="s">
        <v>112</v>
      </c>
      <c r="K1610" s="17">
        <v>46085.0</v>
      </c>
      <c r="L1610" s="17">
        <v>46085.0</v>
      </c>
      <c r="M1610" s="13"/>
      <c r="N1610" s="23"/>
      <c r="O1610" s="22"/>
      <c r="P1610" s="22"/>
    </row>
    <row r="1611" ht="22.5" customHeight="1">
      <c r="A1611" s="12" t="s">
        <v>65</v>
      </c>
      <c r="B1611" s="20" t="str">
        <f>IFERROR(VLOOKUP(A1611,Sheet1!$E$3:$H$27,4,0),"")</f>
        <v>P3</v>
      </c>
      <c r="C1611" s="15"/>
      <c r="D1611" s="12" t="s">
        <v>2</v>
      </c>
      <c r="E1611" s="13" t="str">
        <f>IFERROR(VLOOKUP(D1611,Sheet1!$B$1:$C$45,2,0),"")</f>
        <v>CME</v>
      </c>
      <c r="F1611" s="12" t="s">
        <v>108</v>
      </c>
      <c r="G1611" s="13" t="str">
        <f t="shared" si="5"/>
        <v>Barito Raya</v>
      </c>
      <c r="H1611" s="15" t="str">
        <f>IFERROR(VLOOKUP(A1611,Sheet1!$E$3:$F$27,2,),"")</f>
        <v>Standby</v>
      </c>
      <c r="I1611" s="16" t="str">
        <f>IFERROR(VLOOKUP(A1611,Sheet1!$E$3:$G$27,3,0),"")</f>
        <v>Standby On Call</v>
      </c>
      <c r="J1611" s="20"/>
      <c r="K1611" s="17">
        <v>46085.0</v>
      </c>
      <c r="L1611" s="17">
        <v>46085.0</v>
      </c>
      <c r="M1611" s="13"/>
      <c r="N1611" s="23"/>
      <c r="O1611" s="22"/>
      <c r="P1611" s="22"/>
    </row>
    <row r="1612" ht="22.5" customHeight="1">
      <c r="A1612" s="12" t="s">
        <v>65</v>
      </c>
      <c r="B1612" s="20" t="str">
        <f>IFERROR(VLOOKUP(A1612,Sheet1!$E$3:$H$27,4,0),"")</f>
        <v>P3</v>
      </c>
      <c r="C1612" s="15"/>
      <c r="D1612" s="12" t="s">
        <v>0</v>
      </c>
      <c r="E1612" s="13" t="str">
        <f>IFERROR(VLOOKUP(D1612,Sheet1!$B$1:$C$45,2,0),"")</f>
        <v>MBP</v>
      </c>
      <c r="F1612" s="12" t="s">
        <v>108</v>
      </c>
      <c r="G1612" s="13" t="str">
        <f t="shared" si="5"/>
        <v>Barito Raya</v>
      </c>
      <c r="H1612" s="15" t="str">
        <f>IFERROR(VLOOKUP(A1612,Sheet1!$E$3:$F$27,2,),"")</f>
        <v>Standby</v>
      </c>
      <c r="I1612" s="16" t="str">
        <f>IFERROR(VLOOKUP(A1612,Sheet1!$E$3:$G$27,3,0),"")</f>
        <v>Standby On Call</v>
      </c>
      <c r="J1612" s="20"/>
      <c r="K1612" s="17">
        <v>46085.0</v>
      </c>
      <c r="L1612" s="17">
        <v>46085.0</v>
      </c>
      <c r="M1612" s="13"/>
      <c r="N1612" s="23"/>
      <c r="O1612" s="22"/>
      <c r="P1612" s="22"/>
    </row>
    <row r="1613" ht="22.5" customHeight="1">
      <c r="A1613" s="12" t="s">
        <v>22</v>
      </c>
      <c r="B1613" s="20" t="str">
        <f>IFERROR(VLOOKUP(A1613,Sheet1!$E$3:$H$27,4,0),"")</f>
        <v>P2</v>
      </c>
      <c r="C1613" s="14" t="s">
        <v>237</v>
      </c>
      <c r="D1613" s="12" t="s">
        <v>85</v>
      </c>
      <c r="E1613" s="13" t="str">
        <f>IFERROR(VLOOKUP(D1613,Sheet1!$B$1:$C$45,2,0),"")</f>
        <v>PM</v>
      </c>
      <c r="F1613" s="12" t="s">
        <v>108</v>
      </c>
      <c r="G1613" s="13" t="str">
        <f t="shared" si="5"/>
        <v>Barito Raya</v>
      </c>
      <c r="H1613" s="15" t="str">
        <f>IFERROR(VLOOKUP(A1613,Sheet1!$E$3:$F$27,2,),"")</f>
        <v>Preventive</v>
      </c>
      <c r="I1613" s="16" t="str">
        <f>IFERROR(VLOOKUP(A1613,Sheet1!$E$3:$G$27,3,0),"")</f>
        <v>Preventive Maintenance</v>
      </c>
      <c r="J1613" s="12" t="s">
        <v>112</v>
      </c>
      <c r="K1613" s="17">
        <v>46085.0</v>
      </c>
      <c r="L1613" s="17">
        <v>46085.0</v>
      </c>
      <c r="M1613" s="12" t="s">
        <v>137</v>
      </c>
      <c r="N1613" s="23"/>
      <c r="O1613" s="22"/>
      <c r="P1613" s="22"/>
    </row>
    <row r="1614" ht="22.5" customHeight="1">
      <c r="A1614" s="12" t="s">
        <v>22</v>
      </c>
      <c r="B1614" s="20" t="str">
        <f>IFERROR(VLOOKUP(A1614,Sheet1!$E$3:$H$27,4,0),"")</f>
        <v>P2</v>
      </c>
      <c r="C1614" s="14" t="s">
        <v>408</v>
      </c>
      <c r="D1614" s="12" t="s">
        <v>84</v>
      </c>
      <c r="E1614" s="13" t="str">
        <f>IFERROR(VLOOKUP(D1614,Sheet1!$B$1:$C$45,2,0),"")</f>
        <v>MBP</v>
      </c>
      <c r="F1614" s="12" t="s">
        <v>108</v>
      </c>
      <c r="G1614" s="13" t="str">
        <f t="shared" si="5"/>
        <v>Barito Raya</v>
      </c>
      <c r="H1614" s="15" t="str">
        <f>IFERROR(VLOOKUP(A1614,Sheet1!$E$3:$F$27,2,),"")</f>
        <v>Preventive</v>
      </c>
      <c r="I1614" s="16" t="str">
        <f>IFERROR(VLOOKUP(A1614,Sheet1!$E$3:$G$27,3,0),"")</f>
        <v>Preventive Maintenance</v>
      </c>
      <c r="J1614" s="12" t="s">
        <v>112</v>
      </c>
      <c r="K1614" s="17">
        <v>46085.0</v>
      </c>
      <c r="L1614" s="17">
        <v>46085.0</v>
      </c>
      <c r="M1614" s="12" t="s">
        <v>137</v>
      </c>
      <c r="N1614" s="23"/>
      <c r="O1614" s="22"/>
      <c r="P1614" s="22"/>
    </row>
    <row r="1615" ht="22.5" customHeight="1">
      <c r="A1615" s="12" t="s">
        <v>22</v>
      </c>
      <c r="B1615" s="20" t="str">
        <f>IFERROR(VLOOKUP(A1615,Sheet1!$E$3:$H$27,4,0),"")</f>
        <v>P2</v>
      </c>
      <c r="C1615" s="14" t="s">
        <v>457</v>
      </c>
      <c r="D1615" s="12" t="s">
        <v>86</v>
      </c>
      <c r="E1615" s="13" t="str">
        <f>IFERROR(VLOOKUP(D1615,Sheet1!$B$1:$C$45,2,0),"")</f>
        <v>PM</v>
      </c>
      <c r="F1615" s="12" t="s">
        <v>108</v>
      </c>
      <c r="G1615" s="13" t="str">
        <f t="shared" si="5"/>
        <v>Barito Raya</v>
      </c>
      <c r="H1615" s="15" t="str">
        <f>IFERROR(VLOOKUP(A1615,Sheet1!$E$3:$F$27,2,),"")</f>
        <v>Preventive</v>
      </c>
      <c r="I1615" s="16" t="str">
        <f>IFERROR(VLOOKUP(A1615,Sheet1!$E$3:$G$27,3,0),"")</f>
        <v>Preventive Maintenance</v>
      </c>
      <c r="J1615" s="12" t="s">
        <v>112</v>
      </c>
      <c r="K1615" s="17">
        <v>46085.0</v>
      </c>
      <c r="L1615" s="17">
        <v>46085.0</v>
      </c>
      <c r="M1615" s="12" t="s">
        <v>137</v>
      </c>
      <c r="N1615" s="23"/>
      <c r="O1615" s="22"/>
      <c r="P1615" s="22"/>
    </row>
    <row r="1616" ht="22.5" customHeight="1">
      <c r="A1616" s="12" t="s">
        <v>33</v>
      </c>
      <c r="B1616" s="20" t="str">
        <f>IFERROR(VLOOKUP(A1616,Sheet1!$E$3:$H$27,4,0),"")</f>
        <v>P2</v>
      </c>
      <c r="C1616" s="14" t="s">
        <v>600</v>
      </c>
      <c r="D1616" s="12" t="s">
        <v>76</v>
      </c>
      <c r="E1616" s="13" t="str">
        <f>IFERROR(VLOOKUP(D1616,Sheet1!$B$1:$C$45,2,0),"")</f>
        <v>TE</v>
      </c>
      <c r="F1616" s="12" t="s">
        <v>179</v>
      </c>
      <c r="G1616" s="13" t="str">
        <f t="shared" si="5"/>
        <v>Palangkaraya</v>
      </c>
      <c r="H1616" s="15" t="str">
        <f>IFERROR(VLOOKUP(A1616,Sheet1!$E$3:$F$27,2,),"")</f>
        <v>Preventive</v>
      </c>
      <c r="I1616" s="16" t="str">
        <f>IFERROR(VLOOKUP(A1616,Sheet1!$E$3:$G$27,3,0),"")</f>
        <v>Pengukuran dan pengambilan data log serta input Gdoc BBT</v>
      </c>
      <c r="J1616" s="12" t="s">
        <v>112</v>
      </c>
      <c r="K1616" s="17">
        <v>46086.0</v>
      </c>
      <c r="L1616" s="17"/>
      <c r="M1616" s="12" t="s">
        <v>137</v>
      </c>
      <c r="N1616" s="23"/>
      <c r="O1616" s="22"/>
      <c r="P1616" s="22"/>
    </row>
    <row r="1617" ht="22.5" customHeight="1">
      <c r="A1617" s="12" t="s">
        <v>33</v>
      </c>
      <c r="B1617" s="20" t="str">
        <f>IFERROR(VLOOKUP(A1617,Sheet1!$E$3:$H$27,4,0),"")</f>
        <v>P2</v>
      </c>
      <c r="C1617" s="14" t="s">
        <v>430</v>
      </c>
      <c r="D1617" s="12" t="s">
        <v>77</v>
      </c>
      <c r="E1617" s="13" t="str">
        <f>IFERROR(VLOOKUP(D1617,Sheet1!$B$1:$C$45,2,0),"")</f>
        <v>TE</v>
      </c>
      <c r="F1617" s="12" t="s">
        <v>179</v>
      </c>
      <c r="G1617" s="13" t="str">
        <f t="shared" si="5"/>
        <v>Palangkaraya</v>
      </c>
      <c r="H1617" s="15" t="str">
        <f>IFERROR(VLOOKUP(A1617,Sheet1!$E$3:$F$27,2,),"")</f>
        <v>Preventive</v>
      </c>
      <c r="I1617" s="16" t="str">
        <f>IFERROR(VLOOKUP(A1617,Sheet1!$E$3:$G$27,3,0),"")</f>
        <v>Pengukuran dan pengambilan data log serta input Gdoc BBT</v>
      </c>
      <c r="J1617" s="12" t="s">
        <v>112</v>
      </c>
      <c r="K1617" s="17">
        <v>46086.0</v>
      </c>
      <c r="L1617" s="17"/>
      <c r="M1617" s="12" t="s">
        <v>137</v>
      </c>
      <c r="N1617" s="23"/>
      <c r="O1617" s="22"/>
      <c r="P1617" s="22"/>
    </row>
    <row r="1618" ht="22.5" customHeight="1">
      <c r="A1618" s="12" t="s">
        <v>52</v>
      </c>
      <c r="B1618" s="20" t="str">
        <f>IFERROR(VLOOKUP(A1618,Sheet1!$E$3:$H$27,4,0),"")</f>
        <v>P1</v>
      </c>
      <c r="C1618" s="14" t="s">
        <v>577</v>
      </c>
      <c r="D1618" s="12" t="s">
        <v>80</v>
      </c>
      <c r="E1618" s="13" t="str">
        <f>IFERROR(VLOOKUP(D1618,Sheet1!$B$1:$C$45,2,0),"")</f>
        <v>TE</v>
      </c>
      <c r="F1618" s="12" t="s">
        <v>179</v>
      </c>
      <c r="G1618" s="13" t="str">
        <f t="shared" si="5"/>
        <v>Palangkaraya</v>
      </c>
      <c r="H1618" s="15" t="str">
        <f>IFERROR(VLOOKUP(A1618,Sheet1!$E$3:$F$27,2,),"")</f>
        <v>Preventive</v>
      </c>
      <c r="I1618" s="16" t="str">
        <f>IFERROR(VLOOKUP(A1618,Sheet1!$E$3:$G$27,3,0),"")</f>
        <v>MCB trip/Power upnormal</v>
      </c>
      <c r="J1618" s="12" t="s">
        <v>112</v>
      </c>
      <c r="K1618" s="17">
        <v>46086.0</v>
      </c>
      <c r="L1618" s="17"/>
      <c r="M1618" s="12" t="s">
        <v>137</v>
      </c>
      <c r="N1618" s="23"/>
      <c r="O1618" s="22"/>
      <c r="P1618" s="22"/>
    </row>
    <row r="1619" ht="22.5" customHeight="1">
      <c r="A1619" s="12" t="s">
        <v>10</v>
      </c>
      <c r="B1619" s="20" t="str">
        <f>IFERROR(VLOOKUP(A1619,Sheet1!$E$3:$H$27,4,0),"")</f>
        <v>P1</v>
      </c>
      <c r="C1619" s="14" t="s">
        <v>601</v>
      </c>
      <c r="D1619" s="12" t="s">
        <v>51</v>
      </c>
      <c r="E1619" s="13" t="str">
        <f>IFERROR(VLOOKUP(D1619,Sheet1!$B$1:$C$45,2,0),"")</f>
        <v>TE</v>
      </c>
      <c r="F1619" s="12" t="s">
        <v>179</v>
      </c>
      <c r="G1619" s="13" t="str">
        <f t="shared" si="5"/>
        <v>Palangkaraya</v>
      </c>
      <c r="H1619" s="15" t="str">
        <f>IFERROR(VLOOKUP(A1619,Sheet1!$E$3:$F$27,2,),"")</f>
        <v>Corrective</v>
      </c>
      <c r="I1619" s="16" t="str">
        <f>IFERROR(VLOOKUP(A1619,Sheet1!$E$3:$G$27,3,0),"")</f>
        <v>Replace Jumper,antena/RRU</v>
      </c>
      <c r="J1619" s="12" t="s">
        <v>112</v>
      </c>
      <c r="K1619" s="17">
        <v>46086.0</v>
      </c>
      <c r="L1619" s="17"/>
      <c r="M1619" s="12" t="s">
        <v>137</v>
      </c>
      <c r="N1619" s="23"/>
      <c r="O1619" s="22"/>
      <c r="P1619" s="22"/>
    </row>
    <row r="1620" ht="22.5" customHeight="1">
      <c r="A1620" s="12" t="s">
        <v>10</v>
      </c>
      <c r="B1620" s="20" t="str">
        <f>IFERROR(VLOOKUP(A1620,Sheet1!$E$3:$H$27,4,0),"")</f>
        <v>P1</v>
      </c>
      <c r="C1620" s="14" t="s">
        <v>444</v>
      </c>
      <c r="D1620" s="12" t="s">
        <v>79</v>
      </c>
      <c r="E1620" s="13" t="str">
        <f>IFERROR(VLOOKUP(D1620,Sheet1!$B$1:$C$45,2,0),"")</f>
        <v>TE</v>
      </c>
      <c r="F1620" s="12" t="s">
        <v>179</v>
      </c>
      <c r="G1620" s="13" t="str">
        <f t="shared" si="5"/>
        <v>Palangkaraya</v>
      </c>
      <c r="H1620" s="15" t="str">
        <f>IFERROR(VLOOKUP(A1620,Sheet1!$E$3:$F$27,2,),"")</f>
        <v>Corrective</v>
      </c>
      <c r="I1620" s="16" t="str">
        <f>IFERROR(VLOOKUP(A1620,Sheet1!$E$3:$G$27,3,0),"")</f>
        <v>Replace Jumper,antena/RRU</v>
      </c>
      <c r="J1620" s="12" t="s">
        <v>112</v>
      </c>
      <c r="K1620" s="17">
        <v>46086.0</v>
      </c>
      <c r="L1620" s="17"/>
      <c r="M1620" s="12" t="s">
        <v>137</v>
      </c>
      <c r="N1620" s="23"/>
      <c r="O1620" s="22"/>
      <c r="P1620" s="22"/>
    </row>
    <row r="1621" ht="22.5" customHeight="1">
      <c r="A1621" s="12" t="s">
        <v>17</v>
      </c>
      <c r="B1621" s="20" t="str">
        <f>IFERROR(VLOOKUP(A1621,Sheet1!$E$3:$H$27,4,0),"")</f>
        <v>P2</v>
      </c>
      <c r="C1621" s="14" t="s">
        <v>578</v>
      </c>
      <c r="D1621" s="12" t="s">
        <v>91</v>
      </c>
      <c r="E1621" s="13" t="str">
        <f>IFERROR(VLOOKUP(D1621,Sheet1!$B$1:$C$45,2,0),"")</f>
        <v>TE</v>
      </c>
      <c r="F1621" s="12" t="s">
        <v>179</v>
      </c>
      <c r="G1621" s="13" t="str">
        <f t="shared" si="5"/>
        <v>Palangkaraya</v>
      </c>
      <c r="H1621" s="15" t="str">
        <f>IFERROR(VLOOKUP(A1621,Sheet1!$E$3:$F$27,2,),"")</f>
        <v>Preventive</v>
      </c>
      <c r="I1621" s="16" t="str">
        <f>IFERROR(VLOOKUP(A1621,Sheet1!$E$3:$G$27,3,0),"")</f>
        <v>integrasi LAN dan validasi alarm</v>
      </c>
      <c r="J1621" s="12" t="s">
        <v>112</v>
      </c>
      <c r="K1621" s="17">
        <v>46086.0</v>
      </c>
      <c r="L1621" s="17"/>
      <c r="M1621" s="12" t="s">
        <v>137</v>
      </c>
      <c r="N1621" s="23"/>
      <c r="O1621" s="22"/>
      <c r="P1621" s="22"/>
    </row>
    <row r="1622" ht="22.5" customHeight="1">
      <c r="A1622" s="12" t="s">
        <v>14</v>
      </c>
      <c r="B1622" s="20" t="str">
        <f>IFERROR(VLOOKUP(A1622,Sheet1!$E$3:$H$27,4,0),"")</f>
        <v>P1</v>
      </c>
      <c r="C1622" s="14" t="s">
        <v>415</v>
      </c>
      <c r="D1622" s="12" t="s">
        <v>58</v>
      </c>
      <c r="E1622" s="13" t="str">
        <f>IFERROR(VLOOKUP(D1622,Sheet1!$B$1:$C$45,2,0),"")</f>
        <v>TE</v>
      </c>
      <c r="F1622" s="12" t="s">
        <v>179</v>
      </c>
      <c r="G1622" s="13" t="str">
        <f t="shared" si="5"/>
        <v>Palangkaraya</v>
      </c>
      <c r="H1622" s="15" t="str">
        <f>IFERROR(VLOOKUP(A1622,Sheet1!$E$3:$F$27,2,),"")</f>
        <v>Corrective</v>
      </c>
      <c r="I1622" s="16" t="str">
        <f>IFERROR(VLOOKUP(A1622,Sheet1!$E$3:$G$27,3,0),"")</f>
        <v>Pemadaman,MCB Trip,Transmisi problem</v>
      </c>
      <c r="J1622" s="12" t="s">
        <v>112</v>
      </c>
      <c r="K1622" s="17">
        <v>46086.0</v>
      </c>
      <c r="L1622" s="17"/>
      <c r="M1622" s="12" t="s">
        <v>137</v>
      </c>
      <c r="N1622" s="23"/>
      <c r="O1622" s="22"/>
      <c r="P1622" s="22"/>
    </row>
    <row r="1623" ht="22.5" customHeight="1">
      <c r="A1623" s="12" t="s">
        <v>14</v>
      </c>
      <c r="B1623" s="20" t="str">
        <f>IFERROR(VLOOKUP(A1623,Sheet1!$E$3:$H$27,4,0),"")</f>
        <v>P1</v>
      </c>
      <c r="C1623" s="14" t="s">
        <v>602</v>
      </c>
      <c r="D1623" s="12" t="s">
        <v>71</v>
      </c>
      <c r="E1623" s="13" t="str">
        <f>IFERROR(VLOOKUP(D1623,Sheet1!$B$1:$C$45,2,0),"")</f>
        <v>TE</v>
      </c>
      <c r="F1623" s="12" t="s">
        <v>179</v>
      </c>
      <c r="G1623" s="13" t="str">
        <f t="shared" si="5"/>
        <v>Palangkaraya</v>
      </c>
      <c r="H1623" s="15" t="str">
        <f>IFERROR(VLOOKUP(A1623,Sheet1!$E$3:$F$27,2,),"")</f>
        <v>Corrective</v>
      </c>
      <c r="I1623" s="16" t="str">
        <f>IFERROR(VLOOKUP(A1623,Sheet1!$E$3:$G$27,3,0),"")</f>
        <v>Pemadaman,MCB Trip,Transmisi problem</v>
      </c>
      <c r="J1623" s="12" t="s">
        <v>112</v>
      </c>
      <c r="K1623" s="17">
        <v>46086.0</v>
      </c>
      <c r="L1623" s="17"/>
      <c r="M1623" s="12" t="s">
        <v>137</v>
      </c>
      <c r="N1623" s="23"/>
      <c r="O1623" s="22"/>
      <c r="P1623" s="22"/>
    </row>
    <row r="1624" ht="22.5" customHeight="1">
      <c r="A1624" s="12" t="s">
        <v>5</v>
      </c>
      <c r="B1624" s="20" t="str">
        <f>IFERROR(VLOOKUP(A1624,Sheet1!$E$3:$H$27,4,0),"")</f>
        <v>P1</v>
      </c>
      <c r="C1624" s="14" t="s">
        <v>235</v>
      </c>
      <c r="D1624" s="12" t="s">
        <v>69</v>
      </c>
      <c r="E1624" s="13" t="str">
        <f>IFERROR(VLOOKUP(D1624,Sheet1!$B$1:$C$45,2,0),"")</f>
        <v>TE</v>
      </c>
      <c r="F1624" s="12" t="s">
        <v>179</v>
      </c>
      <c r="G1624" s="13" t="str">
        <f t="shared" si="5"/>
        <v>Palangkaraya</v>
      </c>
      <c r="H1624" s="15" t="str">
        <f>IFERROR(VLOOKUP(A1624,Sheet1!$E$3:$F$27,2,),"")</f>
        <v>Corrective</v>
      </c>
      <c r="I1624" s="16" t="str">
        <f>IFERROR(VLOOKUP(A1624,Sheet1!$E$3:$G$27,3,0),"")</f>
        <v>Replace Optik,RRU/Soket Power/Replace GPS</v>
      </c>
      <c r="J1624" s="12" t="s">
        <v>112</v>
      </c>
      <c r="K1624" s="17">
        <v>46086.0</v>
      </c>
      <c r="L1624" s="17"/>
      <c r="M1624" s="12" t="s">
        <v>137</v>
      </c>
      <c r="N1624" s="23"/>
      <c r="O1624" s="22"/>
      <c r="P1624" s="22"/>
    </row>
    <row r="1625" ht="22.5" customHeight="1">
      <c r="A1625" s="12" t="s">
        <v>14</v>
      </c>
      <c r="B1625" s="20" t="str">
        <f>IFERROR(VLOOKUP(A1625,Sheet1!$E$3:$H$27,4,0),"")</f>
        <v>P1</v>
      </c>
      <c r="C1625" s="14" t="s">
        <v>346</v>
      </c>
      <c r="D1625" s="12" t="s">
        <v>56</v>
      </c>
      <c r="E1625" s="13" t="str">
        <f>IFERROR(VLOOKUP(D1625,Sheet1!$B$1:$C$45,2,0),"")</f>
        <v>TE</v>
      </c>
      <c r="F1625" s="12" t="s">
        <v>179</v>
      </c>
      <c r="G1625" s="13" t="str">
        <f t="shared" si="5"/>
        <v>Palangkaraya</v>
      </c>
      <c r="H1625" s="15" t="str">
        <f>IFERROR(VLOOKUP(A1625,Sheet1!$E$3:$F$27,2,),"")</f>
        <v>Corrective</v>
      </c>
      <c r="I1625" s="16" t="str">
        <f>IFERROR(VLOOKUP(A1625,Sheet1!$E$3:$G$27,3,0),"")</f>
        <v>Pemadaman,MCB Trip,Transmisi problem</v>
      </c>
      <c r="J1625" s="12" t="s">
        <v>112</v>
      </c>
      <c r="K1625" s="17">
        <v>46086.0</v>
      </c>
      <c r="L1625" s="17"/>
      <c r="M1625" s="12" t="s">
        <v>137</v>
      </c>
      <c r="N1625" s="23"/>
      <c r="O1625" s="22"/>
      <c r="P1625" s="22"/>
    </row>
    <row r="1626" ht="22.5" customHeight="1">
      <c r="A1626" s="12" t="s">
        <v>22</v>
      </c>
      <c r="B1626" s="20" t="str">
        <f>IFERROR(VLOOKUP(A1626,Sheet1!$E$3:$H$27,4,0),"")</f>
        <v>P2</v>
      </c>
      <c r="C1626" s="14"/>
      <c r="D1626" s="12" t="s">
        <v>83</v>
      </c>
      <c r="E1626" s="13" t="str">
        <f>IFERROR(VLOOKUP(D1626,Sheet1!$B$1:$C$45,2,0),"")</f>
        <v>PM</v>
      </c>
      <c r="F1626" s="12" t="s">
        <v>179</v>
      </c>
      <c r="G1626" s="13" t="str">
        <f t="shared" si="5"/>
        <v>Palangkaraya</v>
      </c>
      <c r="H1626" s="15" t="str">
        <f>IFERROR(VLOOKUP(A1626,Sheet1!$E$3:$F$27,2,),"")</f>
        <v>Preventive</v>
      </c>
      <c r="I1626" s="16" t="str">
        <f>IFERROR(VLOOKUP(A1626,Sheet1!$E$3:$G$27,3,0),"")</f>
        <v>Preventive Maintenance</v>
      </c>
      <c r="J1626" s="12" t="s">
        <v>112</v>
      </c>
      <c r="K1626" s="17">
        <v>46086.0</v>
      </c>
      <c r="L1626" s="17"/>
      <c r="M1626" s="12" t="s">
        <v>137</v>
      </c>
      <c r="N1626" s="23"/>
      <c r="O1626" s="22"/>
      <c r="P1626" s="22"/>
    </row>
    <row r="1627" ht="22.5" customHeight="1">
      <c r="A1627" s="12" t="s">
        <v>22</v>
      </c>
      <c r="B1627" s="20" t="str">
        <f>IFERROR(VLOOKUP(A1627,Sheet1!$E$3:$H$27,4,0),"")</f>
        <v>P2</v>
      </c>
      <c r="C1627" s="14"/>
      <c r="D1627" s="12" t="s">
        <v>82</v>
      </c>
      <c r="E1627" s="13" t="str">
        <f>IFERROR(VLOOKUP(D1627,Sheet1!$B$1:$C$45,2,0),"")</f>
        <v>PM</v>
      </c>
      <c r="F1627" s="12" t="s">
        <v>179</v>
      </c>
      <c r="G1627" s="13" t="str">
        <f t="shared" si="5"/>
        <v>Palangkaraya</v>
      </c>
      <c r="H1627" s="15" t="str">
        <f>IFERROR(VLOOKUP(A1627,Sheet1!$E$3:$F$27,2,),"")</f>
        <v>Preventive</v>
      </c>
      <c r="I1627" s="16" t="str">
        <f>IFERROR(VLOOKUP(A1627,Sheet1!$E$3:$G$27,3,0),"")</f>
        <v>Preventive Maintenance</v>
      </c>
      <c r="J1627" s="12" t="s">
        <v>112</v>
      </c>
      <c r="K1627" s="17">
        <v>46086.0</v>
      </c>
      <c r="L1627" s="17"/>
      <c r="M1627" s="12" t="s">
        <v>137</v>
      </c>
      <c r="N1627" s="23"/>
      <c r="O1627" s="22"/>
      <c r="P1627" s="22"/>
    </row>
    <row r="1628" ht="22.5" customHeight="1">
      <c r="A1628" s="12" t="s">
        <v>22</v>
      </c>
      <c r="B1628" s="20" t="str">
        <f>IFERROR(VLOOKUP(A1628,Sheet1!$E$3:$H$27,4,0),"")</f>
        <v>P2</v>
      </c>
      <c r="C1628" s="14"/>
      <c r="D1628" s="12" t="s">
        <v>75</v>
      </c>
      <c r="E1628" s="13" t="str">
        <f>IFERROR(VLOOKUP(D1628,Sheet1!$B$1:$C$45,2,0),"")</f>
        <v>CME</v>
      </c>
      <c r="F1628" s="12" t="s">
        <v>179</v>
      </c>
      <c r="G1628" s="13" t="str">
        <f t="shared" si="5"/>
        <v>Palangkaraya</v>
      </c>
      <c r="H1628" s="15" t="str">
        <f>IFERROR(VLOOKUP(A1628,Sheet1!$E$3:$F$27,2,),"")</f>
        <v>Preventive</v>
      </c>
      <c r="I1628" s="16" t="str">
        <f>IFERROR(VLOOKUP(A1628,Sheet1!$E$3:$G$27,3,0),"")</f>
        <v>Preventive Maintenance</v>
      </c>
      <c r="J1628" s="12" t="s">
        <v>112</v>
      </c>
      <c r="K1628" s="17">
        <v>46086.0</v>
      </c>
      <c r="L1628" s="17"/>
      <c r="M1628" s="12" t="s">
        <v>137</v>
      </c>
      <c r="N1628" s="23"/>
      <c r="O1628" s="22"/>
      <c r="P1628" s="22"/>
    </row>
    <row r="1629" ht="22.5" customHeight="1">
      <c r="A1629" s="12" t="s">
        <v>65</v>
      </c>
      <c r="B1629" s="20" t="str">
        <f>IFERROR(VLOOKUP(A1629,Sheet1!$E$3:$H$27,4,0),"")</f>
        <v>P3</v>
      </c>
      <c r="C1629" s="14"/>
      <c r="D1629" s="12" t="s">
        <v>54</v>
      </c>
      <c r="E1629" s="13" t="str">
        <f>IFERROR(VLOOKUP(D1629,Sheet1!$B$1:$C$45,2,0),"")</f>
        <v>MBP</v>
      </c>
      <c r="F1629" s="12" t="s">
        <v>179</v>
      </c>
      <c r="G1629" s="13" t="str">
        <f t="shared" si="5"/>
        <v>Palangkaraya</v>
      </c>
      <c r="H1629" s="15" t="str">
        <f>IFERROR(VLOOKUP(A1629,Sheet1!$E$3:$F$27,2,),"")</f>
        <v>Standby</v>
      </c>
      <c r="I1629" s="16" t="str">
        <f>IFERROR(VLOOKUP(A1629,Sheet1!$E$3:$G$27,3,0),"")</f>
        <v>Standby On Call</v>
      </c>
      <c r="J1629" s="12" t="s">
        <v>66</v>
      </c>
      <c r="K1629" s="17">
        <v>46086.0</v>
      </c>
      <c r="L1629" s="17"/>
      <c r="M1629" s="12" t="s">
        <v>137</v>
      </c>
      <c r="N1629" s="23"/>
      <c r="O1629" s="22"/>
      <c r="P1629" s="22"/>
    </row>
    <row r="1630" ht="22.5" customHeight="1">
      <c r="A1630" s="12" t="s">
        <v>65</v>
      </c>
      <c r="B1630" s="20" t="str">
        <f>IFERROR(VLOOKUP(A1630,Sheet1!$E$3:$H$27,4,0),"")</f>
        <v>P3</v>
      </c>
      <c r="C1630" s="14"/>
      <c r="D1630" s="12" t="s">
        <v>45</v>
      </c>
      <c r="E1630" s="13" t="str">
        <f>IFERROR(VLOOKUP(D1630,Sheet1!$B$1:$C$45,2,0),"")</f>
        <v>MBP</v>
      </c>
      <c r="F1630" s="12" t="s">
        <v>179</v>
      </c>
      <c r="G1630" s="13" t="str">
        <f t="shared" si="5"/>
        <v>Palangkaraya</v>
      </c>
      <c r="H1630" s="15" t="str">
        <f>IFERROR(VLOOKUP(A1630,Sheet1!$E$3:$F$27,2,),"")</f>
        <v>Standby</v>
      </c>
      <c r="I1630" s="16" t="str">
        <f>IFERROR(VLOOKUP(A1630,Sheet1!$E$3:$G$27,3,0),"")</f>
        <v>Standby On Call</v>
      </c>
      <c r="J1630" s="12" t="s">
        <v>66</v>
      </c>
      <c r="K1630" s="17">
        <v>46086.0</v>
      </c>
      <c r="L1630" s="17"/>
      <c r="M1630" s="12" t="s">
        <v>137</v>
      </c>
      <c r="N1630" s="23"/>
      <c r="O1630" s="22"/>
      <c r="P1630" s="22"/>
    </row>
    <row r="1631" ht="22.5" hidden="1" customHeight="1">
      <c r="A1631" s="12" t="s">
        <v>65</v>
      </c>
      <c r="B1631" s="20" t="str">
        <f>IFERROR(VLOOKUP(A1631,Sheet1!$E$3:$H$27,4,0),"")</f>
        <v>P3</v>
      </c>
      <c r="C1631" s="15"/>
      <c r="D1631" s="12" t="s">
        <v>64</v>
      </c>
      <c r="E1631" s="12" t="s">
        <v>1</v>
      </c>
      <c r="F1631" s="12" t="s">
        <v>179</v>
      </c>
      <c r="G1631" s="13" t="str">
        <f t="shared" si="5"/>
        <v>Palangkaraya</v>
      </c>
      <c r="H1631" s="15" t="str">
        <f>IFERROR(VLOOKUP(A1631,Sheet1!$E$3:$F$27,2,),"")</f>
        <v>Standby</v>
      </c>
      <c r="I1631" s="16" t="str">
        <f>IFERROR(VLOOKUP(A1631,Sheet1!$E$3:$G$27,3,0),"")</f>
        <v>Standby On Call</v>
      </c>
      <c r="J1631" s="12" t="s">
        <v>66</v>
      </c>
      <c r="K1631" s="17">
        <v>46086.0</v>
      </c>
      <c r="L1631" s="17"/>
      <c r="M1631" s="12" t="s">
        <v>137</v>
      </c>
      <c r="N1631" s="23"/>
      <c r="O1631" s="22"/>
      <c r="P1631" s="22"/>
    </row>
    <row r="1632" ht="22.5" customHeight="1">
      <c r="A1632" s="12" t="s">
        <v>52</v>
      </c>
      <c r="B1632" s="20" t="str">
        <f>IFERROR(VLOOKUP(A1632,Sheet1!$E$3:$H$27,4,0),"")</f>
        <v>P1</v>
      </c>
      <c r="C1632" s="14" t="s">
        <v>333</v>
      </c>
      <c r="D1632" s="12" t="s">
        <v>12</v>
      </c>
      <c r="E1632" s="13" t="str">
        <f>IFERROR(VLOOKUP(D1632,Sheet1!$B$1:$C$45,2,0),"")</f>
        <v>TE</v>
      </c>
      <c r="F1632" s="12" t="s">
        <v>108</v>
      </c>
      <c r="G1632" s="13" t="str">
        <f t="shared" si="5"/>
        <v>Barito Raya</v>
      </c>
      <c r="H1632" s="15" t="str">
        <f>IFERROR(VLOOKUP(A1632,Sheet1!$E$3:$F$27,2,),"")</f>
        <v>Preventive</v>
      </c>
      <c r="I1632" s="16" t="str">
        <f>IFERROR(VLOOKUP(A1632,Sheet1!$E$3:$G$27,3,0),"")</f>
        <v>MCB trip/Power upnormal</v>
      </c>
      <c r="J1632" s="12" t="s">
        <v>112</v>
      </c>
      <c r="K1632" s="17">
        <v>46086.0</v>
      </c>
      <c r="L1632" s="17">
        <v>46086.0</v>
      </c>
      <c r="M1632" s="12" t="s">
        <v>137</v>
      </c>
      <c r="N1632" s="23"/>
      <c r="O1632" s="22"/>
      <c r="P1632" s="22"/>
    </row>
    <row r="1633" ht="22.5" customHeight="1">
      <c r="A1633" s="12" t="s">
        <v>25</v>
      </c>
      <c r="B1633" s="20" t="str">
        <f>IFERROR(VLOOKUP(A1633,Sheet1!$E$3:$H$27,4,0),"")</f>
        <v>P2</v>
      </c>
      <c r="C1633" s="14" t="s">
        <v>603</v>
      </c>
      <c r="D1633" s="12" t="s">
        <v>16</v>
      </c>
      <c r="E1633" s="13" t="str">
        <f>IFERROR(VLOOKUP(D1633,Sheet1!$B$1:$C$45,2,0),"")</f>
        <v>TE</v>
      </c>
      <c r="F1633" s="12" t="s">
        <v>108</v>
      </c>
      <c r="G1633" s="13" t="str">
        <f t="shared" si="5"/>
        <v>Barito Raya</v>
      </c>
      <c r="H1633" s="15" t="str">
        <f>IFERROR(VLOOKUP(A1633,Sheet1!$E$3:$F$27,2,),"")</f>
        <v>Corrective</v>
      </c>
      <c r="I1633" s="16" t="str">
        <f>IFERROR(VLOOKUP(A1633,Sheet1!$E$3:$G$27,3,0),"")</f>
        <v>Support Event</v>
      </c>
      <c r="J1633" s="12" t="s">
        <v>112</v>
      </c>
      <c r="K1633" s="17">
        <v>46086.0</v>
      </c>
      <c r="L1633" s="17">
        <v>46086.0</v>
      </c>
      <c r="M1633" s="12" t="s">
        <v>137</v>
      </c>
      <c r="N1633" s="23"/>
      <c r="O1633" s="22"/>
      <c r="P1633" s="22"/>
    </row>
    <row r="1634" ht="22.5" customHeight="1">
      <c r="A1634" s="12" t="s">
        <v>17</v>
      </c>
      <c r="B1634" s="20" t="str">
        <f>IFERROR(VLOOKUP(A1634,Sheet1!$E$3:$H$27,4,0),"")</f>
        <v>P2</v>
      </c>
      <c r="C1634" s="14" t="s">
        <v>408</v>
      </c>
      <c r="D1634" s="12" t="s">
        <v>21</v>
      </c>
      <c r="E1634" s="13" t="str">
        <f>IFERROR(VLOOKUP(D1634,Sheet1!$B$1:$C$45,2,0),"")</f>
        <v>TE</v>
      </c>
      <c r="F1634" s="12" t="s">
        <v>108</v>
      </c>
      <c r="G1634" s="13" t="str">
        <f t="shared" si="5"/>
        <v>Barito Raya</v>
      </c>
      <c r="H1634" s="15" t="str">
        <f>IFERROR(VLOOKUP(A1634,Sheet1!$E$3:$F$27,2,),"")</f>
        <v>Preventive</v>
      </c>
      <c r="I1634" s="16" t="str">
        <f>IFERROR(VLOOKUP(A1634,Sheet1!$E$3:$G$27,3,0),"")</f>
        <v>integrasi LAN dan validasi alarm</v>
      </c>
      <c r="J1634" s="12" t="s">
        <v>112</v>
      </c>
      <c r="K1634" s="17">
        <v>46086.0</v>
      </c>
      <c r="L1634" s="17">
        <v>46086.0</v>
      </c>
      <c r="M1634" s="12" t="s">
        <v>137</v>
      </c>
      <c r="N1634" s="23"/>
      <c r="O1634" s="22"/>
      <c r="P1634" s="22"/>
    </row>
    <row r="1635" ht="22.5" customHeight="1">
      <c r="A1635" s="12" t="s">
        <v>17</v>
      </c>
      <c r="B1635" s="20" t="str">
        <f>IFERROR(VLOOKUP(A1635,Sheet1!$E$3:$H$27,4,0),"")</f>
        <v>P2</v>
      </c>
      <c r="C1635" s="14" t="s">
        <v>596</v>
      </c>
      <c r="D1635" s="12" t="s">
        <v>26</v>
      </c>
      <c r="E1635" s="13" t="str">
        <f>IFERROR(VLOOKUP(D1635,Sheet1!$B$1:$C$45,2,0),"")</f>
        <v>TE</v>
      </c>
      <c r="F1635" s="12" t="s">
        <v>108</v>
      </c>
      <c r="G1635" s="13" t="str">
        <f t="shared" si="5"/>
        <v>Barito Raya</v>
      </c>
      <c r="H1635" s="15" t="str">
        <f>IFERROR(VLOOKUP(A1635,Sheet1!$E$3:$F$27,2,),"")</f>
        <v>Preventive</v>
      </c>
      <c r="I1635" s="16" t="str">
        <f>IFERROR(VLOOKUP(A1635,Sheet1!$E$3:$G$27,3,0),"")</f>
        <v>integrasi LAN dan validasi alarm</v>
      </c>
      <c r="J1635" s="12" t="s">
        <v>112</v>
      </c>
      <c r="K1635" s="17">
        <v>46086.0</v>
      </c>
      <c r="L1635" s="17">
        <v>46086.0</v>
      </c>
      <c r="M1635" s="12" t="s">
        <v>137</v>
      </c>
      <c r="N1635" s="23"/>
      <c r="O1635" s="22"/>
      <c r="P1635" s="22"/>
    </row>
    <row r="1636" ht="22.5" customHeight="1">
      <c r="A1636" s="12" t="s">
        <v>22</v>
      </c>
      <c r="B1636" s="20" t="str">
        <f>IFERROR(VLOOKUP(A1636,Sheet1!$E$3:$H$27,4,0),"")</f>
        <v>P2</v>
      </c>
      <c r="C1636" s="14" t="s">
        <v>596</v>
      </c>
      <c r="D1636" s="12" t="s">
        <v>88</v>
      </c>
      <c r="E1636" s="13" t="str">
        <f>IFERROR(VLOOKUP(D1636,Sheet1!$B$1:$C$45,2,0),"")</f>
        <v>TE</v>
      </c>
      <c r="F1636" s="12" t="s">
        <v>108</v>
      </c>
      <c r="G1636" s="13" t="str">
        <f t="shared" si="5"/>
        <v>Barito Raya</v>
      </c>
      <c r="H1636" s="15" t="str">
        <f>IFERROR(VLOOKUP(A1636,Sheet1!$E$3:$F$27,2,),"")</f>
        <v>Preventive</v>
      </c>
      <c r="I1636" s="16" t="str">
        <f>IFERROR(VLOOKUP(A1636,Sheet1!$E$3:$G$27,3,0),"")</f>
        <v>Preventive Maintenance</v>
      </c>
      <c r="J1636" s="12" t="s">
        <v>112</v>
      </c>
      <c r="K1636" s="17">
        <v>46086.0</v>
      </c>
      <c r="L1636" s="17">
        <v>46086.0</v>
      </c>
      <c r="M1636" s="12" t="s">
        <v>137</v>
      </c>
      <c r="N1636" s="23"/>
      <c r="O1636" s="22"/>
      <c r="P1636" s="22"/>
    </row>
    <row r="1637" ht="22.5" customHeight="1">
      <c r="A1637" s="12" t="s">
        <v>5</v>
      </c>
      <c r="B1637" s="20" t="str">
        <f>IFERROR(VLOOKUP(A1637,Sheet1!$E$3:$H$27,4,0),"")</f>
        <v>P1</v>
      </c>
      <c r="C1637" s="14" t="s">
        <v>587</v>
      </c>
      <c r="D1637" s="12" t="s">
        <v>32</v>
      </c>
      <c r="E1637" s="13" t="str">
        <f>IFERROR(VLOOKUP(D1637,Sheet1!$B$1:$C$45,2,0),"")</f>
        <v>TE</v>
      </c>
      <c r="F1637" s="12" t="s">
        <v>108</v>
      </c>
      <c r="G1637" s="13" t="str">
        <f t="shared" si="5"/>
        <v>Barito Raya</v>
      </c>
      <c r="H1637" s="15" t="str">
        <f>IFERROR(VLOOKUP(A1637,Sheet1!$E$3:$F$27,2,),"")</f>
        <v>Corrective</v>
      </c>
      <c r="I1637" s="16" t="str">
        <f>IFERROR(VLOOKUP(A1637,Sheet1!$E$3:$G$27,3,0),"")</f>
        <v>Replace Optik,RRU/Soket Power/Replace GPS</v>
      </c>
      <c r="J1637" s="12" t="s">
        <v>112</v>
      </c>
      <c r="K1637" s="17">
        <v>46086.0</v>
      </c>
      <c r="L1637" s="17">
        <v>46086.0</v>
      </c>
      <c r="M1637" s="12" t="s">
        <v>137</v>
      </c>
      <c r="N1637" s="23"/>
      <c r="O1637" s="22"/>
      <c r="P1637" s="22"/>
    </row>
    <row r="1638" ht="22.5" customHeight="1">
      <c r="A1638" s="12" t="s">
        <v>52</v>
      </c>
      <c r="B1638" s="20" t="str">
        <f>IFERROR(VLOOKUP(A1638,Sheet1!$E$3:$H$27,4,0),"")</f>
        <v>P1</v>
      </c>
      <c r="C1638" s="14" t="s">
        <v>263</v>
      </c>
      <c r="D1638" s="12" t="s">
        <v>74</v>
      </c>
      <c r="E1638" s="13" t="str">
        <f>IFERROR(VLOOKUP(D1638,Sheet1!$B$1:$C$45,2,0),"")</f>
        <v>TE</v>
      </c>
      <c r="F1638" s="12" t="s">
        <v>108</v>
      </c>
      <c r="G1638" s="13" t="str">
        <f t="shared" si="5"/>
        <v>Barito Raya</v>
      </c>
      <c r="H1638" s="15" t="str">
        <f>IFERROR(VLOOKUP(A1638,Sheet1!$E$3:$F$27,2,),"")</f>
        <v>Preventive</v>
      </c>
      <c r="I1638" s="16" t="str">
        <f>IFERROR(VLOOKUP(A1638,Sheet1!$E$3:$G$27,3,0),"")</f>
        <v>MCB trip/Power upnormal</v>
      </c>
      <c r="J1638" s="12" t="s">
        <v>112</v>
      </c>
      <c r="K1638" s="17">
        <v>46086.0</v>
      </c>
      <c r="L1638" s="17">
        <v>46086.0</v>
      </c>
      <c r="M1638" s="12" t="s">
        <v>137</v>
      </c>
      <c r="N1638" s="23"/>
      <c r="O1638" s="22"/>
      <c r="P1638" s="22"/>
    </row>
    <row r="1639" ht="22.5" customHeight="1">
      <c r="A1639" s="12" t="s">
        <v>5</v>
      </c>
      <c r="B1639" s="20" t="str">
        <f>IFERROR(VLOOKUP(A1639,Sheet1!$E$3:$H$27,4,0),"")</f>
        <v>P1</v>
      </c>
      <c r="C1639" s="14" t="s">
        <v>604</v>
      </c>
      <c r="D1639" s="12" t="s">
        <v>60</v>
      </c>
      <c r="E1639" s="13" t="str">
        <f>IFERROR(VLOOKUP(D1639,Sheet1!$B$1:$C$45,2,0),"")</f>
        <v>TE</v>
      </c>
      <c r="F1639" s="12" t="s">
        <v>108</v>
      </c>
      <c r="G1639" s="13" t="str">
        <f t="shared" si="5"/>
        <v>Barito Raya</v>
      </c>
      <c r="H1639" s="15" t="str">
        <f>IFERROR(VLOOKUP(A1639,Sheet1!$E$3:$F$27,2,),"")</f>
        <v>Corrective</v>
      </c>
      <c r="I1639" s="16" t="str">
        <f>IFERROR(VLOOKUP(A1639,Sheet1!$E$3:$G$27,3,0),"")</f>
        <v>Replace Optik,RRU/Soket Power/Replace GPS</v>
      </c>
      <c r="J1639" s="12" t="s">
        <v>112</v>
      </c>
      <c r="K1639" s="17">
        <v>46086.0</v>
      </c>
      <c r="L1639" s="17">
        <v>46086.0</v>
      </c>
      <c r="M1639" s="12" t="s">
        <v>137</v>
      </c>
      <c r="N1639" s="23"/>
      <c r="O1639" s="22"/>
      <c r="P1639" s="22"/>
    </row>
    <row r="1640" ht="22.5" customHeight="1">
      <c r="A1640" s="12" t="s">
        <v>5</v>
      </c>
      <c r="B1640" s="20" t="str">
        <f>IFERROR(VLOOKUP(A1640,Sheet1!$E$3:$H$27,4,0),"")</f>
        <v>P1</v>
      </c>
      <c r="C1640" s="14" t="s">
        <v>604</v>
      </c>
      <c r="D1640" s="12" t="s">
        <v>62</v>
      </c>
      <c r="E1640" s="13" t="str">
        <f>IFERROR(VLOOKUP(D1640,Sheet1!$B$1:$C$45,2,0),"")</f>
        <v>TE</v>
      </c>
      <c r="F1640" s="12" t="s">
        <v>108</v>
      </c>
      <c r="G1640" s="13" t="str">
        <f t="shared" si="5"/>
        <v>Barito Raya</v>
      </c>
      <c r="H1640" s="15" t="str">
        <f>IFERROR(VLOOKUP(A1640,Sheet1!$E$3:$F$27,2,),"")</f>
        <v>Corrective</v>
      </c>
      <c r="I1640" s="16" t="str">
        <f>IFERROR(VLOOKUP(A1640,Sheet1!$E$3:$G$27,3,0),"")</f>
        <v>Replace Optik,RRU/Soket Power/Replace GPS</v>
      </c>
      <c r="J1640" s="12" t="s">
        <v>112</v>
      </c>
      <c r="K1640" s="17">
        <v>46086.0</v>
      </c>
      <c r="L1640" s="17">
        <v>46086.0</v>
      </c>
      <c r="M1640" s="12" t="s">
        <v>137</v>
      </c>
      <c r="N1640" s="23"/>
      <c r="O1640" s="22"/>
      <c r="P1640" s="22"/>
    </row>
    <row r="1641" ht="22.5" customHeight="1">
      <c r="A1641" s="12" t="s">
        <v>22</v>
      </c>
      <c r="B1641" s="20" t="str">
        <f>IFERROR(VLOOKUP(A1641,Sheet1!$E$3:$H$27,4,0),"")</f>
        <v>P2</v>
      </c>
      <c r="C1641" s="14" t="s">
        <v>238</v>
      </c>
      <c r="D1641" s="12" t="s">
        <v>9</v>
      </c>
      <c r="E1641" s="13" t="str">
        <f>IFERROR(VLOOKUP(D1641,Sheet1!$B$1:$C$45,2,0),"")</f>
        <v>MBP</v>
      </c>
      <c r="F1641" s="12" t="s">
        <v>108</v>
      </c>
      <c r="G1641" s="13" t="str">
        <f t="shared" si="5"/>
        <v>Barito Raya</v>
      </c>
      <c r="H1641" s="15" t="str">
        <f>IFERROR(VLOOKUP(A1641,Sheet1!$E$3:$F$27,2,),"")</f>
        <v>Preventive</v>
      </c>
      <c r="I1641" s="16" t="str">
        <f>IFERROR(VLOOKUP(A1641,Sheet1!$E$3:$G$27,3,0),"")</f>
        <v>Preventive Maintenance</v>
      </c>
      <c r="J1641" s="12" t="s">
        <v>112</v>
      </c>
      <c r="K1641" s="17">
        <v>46086.0</v>
      </c>
      <c r="L1641" s="17">
        <v>46086.0</v>
      </c>
      <c r="M1641" s="12" t="s">
        <v>137</v>
      </c>
      <c r="N1641" s="23"/>
      <c r="O1641" s="22"/>
      <c r="P1641" s="22"/>
    </row>
    <row r="1642" ht="22.5" customHeight="1">
      <c r="A1642" s="12" t="s">
        <v>52</v>
      </c>
      <c r="B1642" s="20" t="str">
        <f>IFERROR(VLOOKUP(A1642,Sheet1!$E$3:$H$27,4,0),"")</f>
        <v>P1</v>
      </c>
      <c r="C1642" s="14" t="s">
        <v>170</v>
      </c>
      <c r="D1642" s="12" t="s">
        <v>4</v>
      </c>
      <c r="E1642" s="13" t="str">
        <f>IFERROR(VLOOKUP(D1642,Sheet1!$B$1:$C$45,2,0),"")</f>
        <v>CME</v>
      </c>
      <c r="F1642" s="12" t="s">
        <v>108</v>
      </c>
      <c r="G1642" s="13" t="str">
        <f t="shared" si="5"/>
        <v>Barito Raya</v>
      </c>
      <c r="H1642" s="15" t="str">
        <f>IFERROR(VLOOKUP(A1642,Sheet1!$E$3:$F$27,2,),"")</f>
        <v>Preventive</v>
      </c>
      <c r="I1642" s="16" t="str">
        <f>IFERROR(VLOOKUP(A1642,Sheet1!$E$3:$G$27,3,0),"")</f>
        <v>MCB trip/Power upnormal</v>
      </c>
      <c r="J1642" s="12" t="s">
        <v>112</v>
      </c>
      <c r="K1642" s="17">
        <v>46086.0</v>
      </c>
      <c r="L1642" s="17">
        <v>46086.0</v>
      </c>
      <c r="M1642" s="12" t="s">
        <v>137</v>
      </c>
      <c r="N1642" s="23"/>
      <c r="O1642" s="22"/>
      <c r="P1642" s="22"/>
    </row>
    <row r="1643" ht="22.5" customHeight="1">
      <c r="A1643" s="12" t="s">
        <v>65</v>
      </c>
      <c r="B1643" s="20" t="str">
        <f>IFERROR(VLOOKUP(A1643,Sheet1!$E$3:$H$27,4,0),"")</f>
        <v>P3</v>
      </c>
      <c r="C1643" s="15"/>
      <c r="D1643" s="12" t="s">
        <v>87</v>
      </c>
      <c r="E1643" s="13" t="str">
        <f>IFERROR(VLOOKUP(D1643,Sheet1!$B$1:$C$45,2,0),"")</f>
        <v>MBP</v>
      </c>
      <c r="F1643" s="12" t="s">
        <v>108</v>
      </c>
      <c r="G1643" s="13" t="str">
        <f t="shared" si="5"/>
        <v>Barito Raya</v>
      </c>
      <c r="H1643" s="15" t="str">
        <f>IFERROR(VLOOKUP(A1643,Sheet1!$E$3:$F$27,2,),"")</f>
        <v>Standby</v>
      </c>
      <c r="I1643" s="16" t="str">
        <f>IFERROR(VLOOKUP(A1643,Sheet1!$E$3:$G$27,3,0),"")</f>
        <v>Standby On Call</v>
      </c>
      <c r="J1643" s="20"/>
      <c r="K1643" s="17">
        <v>46086.0</v>
      </c>
      <c r="L1643" s="17">
        <v>46086.0</v>
      </c>
      <c r="M1643" s="12" t="s">
        <v>137</v>
      </c>
      <c r="N1643" s="23"/>
      <c r="O1643" s="22"/>
      <c r="P1643" s="22"/>
    </row>
    <row r="1644" ht="22.5" customHeight="1">
      <c r="A1644" s="12" t="s">
        <v>65</v>
      </c>
      <c r="B1644" s="20" t="str">
        <f>IFERROR(VLOOKUP(A1644,Sheet1!$E$3:$H$27,4,0),"")</f>
        <v>P3</v>
      </c>
      <c r="C1644" s="15"/>
      <c r="D1644" s="12" t="s">
        <v>29</v>
      </c>
      <c r="E1644" s="13" t="str">
        <f>IFERROR(VLOOKUP(D1644,Sheet1!$B$1:$C$45,2,0),"")</f>
        <v>MBP</v>
      </c>
      <c r="F1644" s="12" t="s">
        <v>108</v>
      </c>
      <c r="G1644" s="13" t="str">
        <f t="shared" si="5"/>
        <v>Barito Raya</v>
      </c>
      <c r="H1644" s="15" t="str">
        <f>IFERROR(VLOOKUP(A1644,Sheet1!$E$3:$F$27,2,),"")</f>
        <v>Standby</v>
      </c>
      <c r="I1644" s="16" t="str">
        <f>IFERROR(VLOOKUP(A1644,Sheet1!$E$3:$G$27,3,0),"")</f>
        <v>Standby On Call</v>
      </c>
      <c r="J1644" s="20"/>
      <c r="K1644" s="17">
        <v>46086.0</v>
      </c>
      <c r="L1644" s="17">
        <v>46086.0</v>
      </c>
      <c r="M1644" s="12" t="s">
        <v>137</v>
      </c>
      <c r="N1644" s="23"/>
      <c r="O1644" s="22"/>
      <c r="P1644" s="22"/>
    </row>
    <row r="1645" ht="22.5" customHeight="1">
      <c r="A1645" s="12" t="s">
        <v>65</v>
      </c>
      <c r="B1645" s="20" t="str">
        <f>IFERROR(VLOOKUP(A1645,Sheet1!$E$3:$H$27,4,0),"")</f>
        <v>P3</v>
      </c>
      <c r="C1645" s="15"/>
      <c r="D1645" s="12" t="s">
        <v>2</v>
      </c>
      <c r="E1645" s="13" t="str">
        <f>IFERROR(VLOOKUP(D1645,Sheet1!$B$1:$C$45,2,0),"")</f>
        <v>CME</v>
      </c>
      <c r="F1645" s="12" t="s">
        <v>108</v>
      </c>
      <c r="G1645" s="13" t="str">
        <f t="shared" si="5"/>
        <v>Barito Raya</v>
      </c>
      <c r="H1645" s="15" t="str">
        <f>IFERROR(VLOOKUP(A1645,Sheet1!$E$3:$F$27,2,),"")</f>
        <v>Standby</v>
      </c>
      <c r="I1645" s="16" t="str">
        <f>IFERROR(VLOOKUP(A1645,Sheet1!$E$3:$G$27,3,0),"")</f>
        <v>Standby On Call</v>
      </c>
      <c r="J1645" s="20"/>
      <c r="K1645" s="17">
        <v>46086.0</v>
      </c>
      <c r="L1645" s="17">
        <v>46086.0</v>
      </c>
      <c r="M1645" s="12" t="s">
        <v>137</v>
      </c>
      <c r="N1645" s="23"/>
      <c r="O1645" s="22"/>
      <c r="P1645" s="22"/>
    </row>
    <row r="1646" ht="22.5" customHeight="1">
      <c r="A1646" s="12" t="s">
        <v>52</v>
      </c>
      <c r="B1646" s="20" t="str">
        <f>IFERROR(VLOOKUP(A1646,Sheet1!$E$3:$H$27,4,0),"")</f>
        <v>P1</v>
      </c>
      <c r="C1646" s="14" t="s">
        <v>206</v>
      </c>
      <c r="D1646" s="12" t="s">
        <v>0</v>
      </c>
      <c r="E1646" s="13" t="str">
        <f>IFERROR(VLOOKUP(D1646,Sheet1!$B$1:$C$45,2,0),"")</f>
        <v>MBP</v>
      </c>
      <c r="F1646" s="12" t="s">
        <v>108</v>
      </c>
      <c r="G1646" s="13" t="str">
        <f t="shared" si="5"/>
        <v>Barito Raya</v>
      </c>
      <c r="H1646" s="15" t="str">
        <f>IFERROR(VLOOKUP(A1646,Sheet1!$E$3:$F$27,2,),"")</f>
        <v>Preventive</v>
      </c>
      <c r="I1646" s="16" t="str">
        <f>IFERROR(VLOOKUP(A1646,Sheet1!$E$3:$G$27,3,0),"")</f>
        <v>MCB trip/Power upnormal</v>
      </c>
      <c r="J1646" s="12" t="s">
        <v>112</v>
      </c>
      <c r="K1646" s="17">
        <v>46086.0</v>
      </c>
      <c r="L1646" s="17">
        <v>46086.0</v>
      </c>
      <c r="M1646" s="12" t="s">
        <v>137</v>
      </c>
      <c r="N1646" s="23"/>
      <c r="O1646" s="22"/>
      <c r="P1646" s="22"/>
    </row>
    <row r="1647" ht="22.5" customHeight="1">
      <c r="A1647" s="12" t="s">
        <v>22</v>
      </c>
      <c r="B1647" s="20" t="str">
        <f>IFERROR(VLOOKUP(A1647,Sheet1!$E$3:$H$27,4,0),"")</f>
        <v>P2</v>
      </c>
      <c r="C1647" s="14" t="s">
        <v>408</v>
      </c>
      <c r="D1647" s="12" t="s">
        <v>85</v>
      </c>
      <c r="E1647" s="13" t="str">
        <f>IFERROR(VLOOKUP(D1647,Sheet1!$B$1:$C$45,2,0),"")</f>
        <v>PM</v>
      </c>
      <c r="F1647" s="12" t="s">
        <v>108</v>
      </c>
      <c r="G1647" s="13" t="str">
        <f t="shared" si="5"/>
        <v>Barito Raya</v>
      </c>
      <c r="H1647" s="15" t="str">
        <f>IFERROR(VLOOKUP(A1647,Sheet1!$E$3:$F$27,2,),"")</f>
        <v>Preventive</v>
      </c>
      <c r="I1647" s="16" t="str">
        <f>IFERROR(VLOOKUP(A1647,Sheet1!$E$3:$G$27,3,0),"")</f>
        <v>Preventive Maintenance</v>
      </c>
      <c r="J1647" s="12" t="s">
        <v>112</v>
      </c>
      <c r="K1647" s="17">
        <v>46086.0</v>
      </c>
      <c r="L1647" s="17">
        <v>46086.0</v>
      </c>
      <c r="M1647" s="12" t="s">
        <v>137</v>
      </c>
      <c r="N1647" s="23"/>
      <c r="O1647" s="22"/>
      <c r="P1647" s="22"/>
    </row>
    <row r="1648" ht="22.5" customHeight="1">
      <c r="A1648" s="12" t="s">
        <v>22</v>
      </c>
      <c r="B1648" s="20" t="str">
        <f>IFERROR(VLOOKUP(A1648,Sheet1!$E$3:$H$27,4,0),"")</f>
        <v>P2</v>
      </c>
      <c r="C1648" s="14" t="s">
        <v>408</v>
      </c>
      <c r="D1648" s="12" t="s">
        <v>84</v>
      </c>
      <c r="E1648" s="13" t="str">
        <f>IFERROR(VLOOKUP(D1648,Sheet1!$B$1:$C$45,2,0),"")</f>
        <v>MBP</v>
      </c>
      <c r="F1648" s="12" t="s">
        <v>108</v>
      </c>
      <c r="G1648" s="13" t="str">
        <f t="shared" si="5"/>
        <v>Barito Raya</v>
      </c>
      <c r="H1648" s="15" t="str">
        <f>IFERROR(VLOOKUP(A1648,Sheet1!$E$3:$F$27,2,),"")</f>
        <v>Preventive</v>
      </c>
      <c r="I1648" s="16" t="str">
        <f>IFERROR(VLOOKUP(A1648,Sheet1!$E$3:$G$27,3,0),"")</f>
        <v>Preventive Maintenance</v>
      </c>
      <c r="J1648" s="12" t="s">
        <v>112</v>
      </c>
      <c r="K1648" s="17">
        <v>46086.0</v>
      </c>
      <c r="L1648" s="17">
        <v>46086.0</v>
      </c>
      <c r="M1648" s="12" t="s">
        <v>137</v>
      </c>
      <c r="N1648" s="23"/>
      <c r="O1648" s="22"/>
      <c r="P1648" s="22"/>
    </row>
    <row r="1649" ht="22.5" customHeight="1">
      <c r="A1649" s="12" t="s">
        <v>22</v>
      </c>
      <c r="B1649" s="20" t="str">
        <f>IFERROR(VLOOKUP(A1649,Sheet1!$E$3:$H$27,4,0),"")</f>
        <v>P2</v>
      </c>
      <c r="C1649" s="14" t="s">
        <v>596</v>
      </c>
      <c r="D1649" s="12" t="s">
        <v>86</v>
      </c>
      <c r="E1649" s="13" t="str">
        <f>IFERROR(VLOOKUP(D1649,Sheet1!$B$1:$C$45,2,0),"")</f>
        <v>PM</v>
      </c>
      <c r="F1649" s="12" t="s">
        <v>108</v>
      </c>
      <c r="G1649" s="13" t="str">
        <f t="shared" si="5"/>
        <v>Barito Raya</v>
      </c>
      <c r="H1649" s="15" t="str">
        <f>IFERROR(VLOOKUP(A1649,Sheet1!$E$3:$F$27,2,),"")</f>
        <v>Preventive</v>
      </c>
      <c r="I1649" s="16" t="str">
        <f>IFERROR(VLOOKUP(A1649,Sheet1!$E$3:$G$27,3,0),"")</f>
        <v>Preventive Maintenance</v>
      </c>
      <c r="J1649" s="12" t="s">
        <v>112</v>
      </c>
      <c r="K1649" s="17">
        <v>46086.0</v>
      </c>
      <c r="L1649" s="17">
        <v>46086.0</v>
      </c>
      <c r="M1649" s="12" t="s">
        <v>137</v>
      </c>
      <c r="N1649" s="23"/>
      <c r="O1649" s="22"/>
      <c r="P1649" s="22"/>
    </row>
    <row r="1650" ht="22.5" customHeight="1">
      <c r="A1650" s="12" t="s">
        <v>14</v>
      </c>
      <c r="B1650" s="20" t="str">
        <f>IFERROR(VLOOKUP(A1650,Sheet1!$E$3:$H$27,4,0),"")</f>
        <v>P1</v>
      </c>
      <c r="C1650" s="14" t="s">
        <v>605</v>
      </c>
      <c r="D1650" s="12" t="s">
        <v>37</v>
      </c>
      <c r="E1650" s="13" t="str">
        <f>IFERROR(VLOOKUP(D1650,Sheet1!$B$1:$C$45,2,0),"")</f>
        <v>TE</v>
      </c>
      <c r="F1650" s="12" t="s">
        <v>179</v>
      </c>
      <c r="G1650" s="13" t="str">
        <f t="shared" si="5"/>
        <v>Palangkaraya</v>
      </c>
      <c r="H1650" s="15" t="str">
        <f>IFERROR(VLOOKUP(A1650,Sheet1!$E$3:$F$27,2,),"")</f>
        <v>Corrective</v>
      </c>
      <c r="I1650" s="16" t="str">
        <f>IFERROR(VLOOKUP(A1650,Sheet1!$E$3:$G$27,3,0),"")</f>
        <v>Pemadaman,MCB Trip,Transmisi problem</v>
      </c>
      <c r="J1650" s="12" t="s">
        <v>112</v>
      </c>
      <c r="K1650" s="17">
        <v>46087.0</v>
      </c>
      <c r="L1650" s="17"/>
      <c r="M1650" s="12" t="s">
        <v>137</v>
      </c>
      <c r="N1650" s="23"/>
      <c r="O1650" s="22"/>
      <c r="P1650" s="22"/>
    </row>
    <row r="1651" ht="22.5" customHeight="1">
      <c r="A1651" s="12" t="s">
        <v>14</v>
      </c>
      <c r="B1651" s="20" t="str">
        <f>IFERROR(VLOOKUP(A1651,Sheet1!$E$3:$H$27,4,0),"")</f>
        <v>P1</v>
      </c>
      <c r="C1651" s="14" t="s">
        <v>577</v>
      </c>
      <c r="D1651" s="12" t="s">
        <v>80</v>
      </c>
      <c r="E1651" s="13" t="str">
        <f>IFERROR(VLOOKUP(D1651,Sheet1!$B$1:$C$45,2,0),"")</f>
        <v>TE</v>
      </c>
      <c r="F1651" s="12" t="s">
        <v>179</v>
      </c>
      <c r="G1651" s="13" t="str">
        <f t="shared" si="5"/>
        <v>Palangkaraya</v>
      </c>
      <c r="H1651" s="15" t="str">
        <f>IFERROR(VLOOKUP(A1651,Sheet1!$E$3:$F$27,2,),"")</f>
        <v>Corrective</v>
      </c>
      <c r="I1651" s="16" t="str">
        <f>IFERROR(VLOOKUP(A1651,Sheet1!$E$3:$G$27,3,0),"")</f>
        <v>Pemadaman,MCB Trip,Transmisi problem</v>
      </c>
      <c r="J1651" s="12" t="s">
        <v>112</v>
      </c>
      <c r="K1651" s="17">
        <v>46087.0</v>
      </c>
      <c r="L1651" s="17"/>
      <c r="M1651" s="12" t="s">
        <v>137</v>
      </c>
      <c r="N1651" s="23"/>
      <c r="O1651" s="22"/>
      <c r="P1651" s="22"/>
    </row>
    <row r="1652" ht="22.5" customHeight="1">
      <c r="A1652" s="12" t="s">
        <v>17</v>
      </c>
      <c r="B1652" s="20" t="str">
        <f>IFERROR(VLOOKUP(A1652,Sheet1!$E$3:$H$27,4,0),"")</f>
        <v>P2</v>
      </c>
      <c r="C1652" s="14" t="s">
        <v>204</v>
      </c>
      <c r="D1652" s="12" t="s">
        <v>77</v>
      </c>
      <c r="E1652" s="13" t="str">
        <f>IFERROR(VLOOKUP(D1652,Sheet1!$B$1:$C$45,2,0),"")</f>
        <v>TE</v>
      </c>
      <c r="F1652" s="12" t="s">
        <v>179</v>
      </c>
      <c r="G1652" s="13" t="str">
        <f t="shared" si="5"/>
        <v>Palangkaraya</v>
      </c>
      <c r="H1652" s="15" t="str">
        <f>IFERROR(VLOOKUP(A1652,Sheet1!$E$3:$F$27,2,),"")</f>
        <v>Preventive</v>
      </c>
      <c r="I1652" s="16" t="str">
        <f>IFERROR(VLOOKUP(A1652,Sheet1!$E$3:$G$27,3,0),"")</f>
        <v>integrasi LAN dan validasi alarm</v>
      </c>
      <c r="J1652" s="12" t="s">
        <v>112</v>
      </c>
      <c r="K1652" s="17">
        <v>46087.0</v>
      </c>
      <c r="L1652" s="17"/>
      <c r="M1652" s="12" t="s">
        <v>137</v>
      </c>
      <c r="N1652" s="23"/>
      <c r="O1652" s="22"/>
      <c r="P1652" s="22"/>
    </row>
    <row r="1653" ht="22.5" customHeight="1">
      <c r="A1653" s="12" t="s">
        <v>14</v>
      </c>
      <c r="B1653" s="20" t="str">
        <f>IFERROR(VLOOKUP(A1653,Sheet1!$E$3:$H$27,4,0),"")</f>
        <v>P1</v>
      </c>
      <c r="C1653" s="14" t="s">
        <v>606</v>
      </c>
      <c r="D1653" s="12" t="s">
        <v>79</v>
      </c>
      <c r="E1653" s="13" t="str">
        <f>IFERROR(VLOOKUP(D1653,Sheet1!$B$1:$C$45,2,0),"")</f>
        <v>TE</v>
      </c>
      <c r="F1653" s="12" t="s">
        <v>179</v>
      </c>
      <c r="G1653" s="13" t="str">
        <f t="shared" si="5"/>
        <v>Palangkaraya</v>
      </c>
      <c r="H1653" s="15" t="str">
        <f>IFERROR(VLOOKUP(A1653,Sheet1!$E$3:$F$27,2,),"")</f>
        <v>Corrective</v>
      </c>
      <c r="I1653" s="16" t="str">
        <f>IFERROR(VLOOKUP(A1653,Sheet1!$E$3:$G$27,3,0),"")</f>
        <v>Pemadaman,MCB Trip,Transmisi problem</v>
      </c>
      <c r="J1653" s="12" t="s">
        <v>112</v>
      </c>
      <c r="K1653" s="17">
        <v>46087.0</v>
      </c>
      <c r="L1653" s="17"/>
      <c r="M1653" s="12" t="s">
        <v>137</v>
      </c>
      <c r="N1653" s="23"/>
      <c r="O1653" s="22"/>
      <c r="P1653" s="22"/>
    </row>
    <row r="1654" ht="22.5" customHeight="1">
      <c r="A1654" s="12" t="s">
        <v>10</v>
      </c>
      <c r="B1654" s="20" t="str">
        <f>IFERROR(VLOOKUP(A1654,Sheet1!$E$3:$H$27,4,0),"")</f>
        <v>P1</v>
      </c>
      <c r="C1654" s="14" t="s">
        <v>444</v>
      </c>
      <c r="D1654" s="12" t="s">
        <v>51</v>
      </c>
      <c r="E1654" s="13" t="str">
        <f>IFERROR(VLOOKUP(D1654,Sheet1!$B$1:$C$45,2,0),"")</f>
        <v>TE</v>
      </c>
      <c r="F1654" s="12" t="s">
        <v>179</v>
      </c>
      <c r="G1654" s="13" t="str">
        <f t="shared" si="5"/>
        <v>Palangkaraya</v>
      </c>
      <c r="H1654" s="15" t="str">
        <f>IFERROR(VLOOKUP(A1654,Sheet1!$E$3:$F$27,2,),"")</f>
        <v>Corrective</v>
      </c>
      <c r="I1654" s="16" t="str">
        <f>IFERROR(VLOOKUP(A1654,Sheet1!$E$3:$G$27,3,0),"")</f>
        <v>Replace Jumper,antena/RRU</v>
      </c>
      <c r="J1654" s="12" t="s">
        <v>112</v>
      </c>
      <c r="K1654" s="17">
        <v>46087.0</v>
      </c>
      <c r="L1654" s="17"/>
      <c r="M1654" s="12" t="s">
        <v>137</v>
      </c>
      <c r="N1654" s="23"/>
      <c r="O1654" s="22"/>
      <c r="P1654" s="22"/>
    </row>
    <row r="1655" ht="22.5" customHeight="1">
      <c r="A1655" s="12" t="s">
        <v>14</v>
      </c>
      <c r="B1655" s="20" t="str">
        <f>IFERROR(VLOOKUP(A1655,Sheet1!$E$3:$H$27,4,0),"")</f>
        <v>P1</v>
      </c>
      <c r="C1655" s="14" t="s">
        <v>607</v>
      </c>
      <c r="D1655" s="12" t="s">
        <v>58</v>
      </c>
      <c r="E1655" s="13" t="str">
        <f>IFERROR(VLOOKUP(D1655,Sheet1!$B$1:$C$45,2,0),"")</f>
        <v>TE</v>
      </c>
      <c r="F1655" s="12" t="s">
        <v>179</v>
      </c>
      <c r="G1655" s="13" t="str">
        <f t="shared" si="5"/>
        <v>Palangkaraya</v>
      </c>
      <c r="H1655" s="15" t="str">
        <f>IFERROR(VLOOKUP(A1655,Sheet1!$E$3:$F$27,2,),"")</f>
        <v>Corrective</v>
      </c>
      <c r="I1655" s="16" t="str">
        <f>IFERROR(VLOOKUP(A1655,Sheet1!$E$3:$G$27,3,0),"")</f>
        <v>Pemadaman,MCB Trip,Transmisi problem</v>
      </c>
      <c r="J1655" s="12" t="s">
        <v>112</v>
      </c>
      <c r="K1655" s="17">
        <v>46087.0</v>
      </c>
      <c r="L1655" s="17"/>
      <c r="M1655" s="12" t="s">
        <v>137</v>
      </c>
      <c r="N1655" s="23"/>
      <c r="O1655" s="22"/>
      <c r="P1655" s="22"/>
    </row>
    <row r="1656" ht="22.5" customHeight="1">
      <c r="A1656" s="12" t="s">
        <v>14</v>
      </c>
      <c r="B1656" s="20" t="str">
        <f>IFERROR(VLOOKUP(A1656,Sheet1!$E$3:$H$27,4,0),"")</f>
        <v>P1</v>
      </c>
      <c r="C1656" s="14" t="s">
        <v>608</v>
      </c>
      <c r="D1656" s="12" t="s">
        <v>91</v>
      </c>
      <c r="E1656" s="13" t="str">
        <f>IFERROR(VLOOKUP(D1656,Sheet1!$B$1:$C$45,2,0),"")</f>
        <v>TE</v>
      </c>
      <c r="F1656" s="12" t="s">
        <v>179</v>
      </c>
      <c r="G1656" s="13" t="str">
        <f t="shared" si="5"/>
        <v>Palangkaraya</v>
      </c>
      <c r="H1656" s="15" t="str">
        <f>IFERROR(VLOOKUP(A1656,Sheet1!$E$3:$F$27,2,),"")</f>
        <v>Corrective</v>
      </c>
      <c r="I1656" s="16" t="str">
        <f>IFERROR(VLOOKUP(A1656,Sheet1!$E$3:$G$27,3,0),"")</f>
        <v>Pemadaman,MCB Trip,Transmisi problem</v>
      </c>
      <c r="J1656" s="12" t="s">
        <v>112</v>
      </c>
      <c r="K1656" s="17">
        <v>46087.0</v>
      </c>
      <c r="L1656" s="17"/>
      <c r="M1656" s="12" t="s">
        <v>137</v>
      </c>
      <c r="N1656" s="23"/>
      <c r="O1656" s="22"/>
      <c r="P1656" s="22"/>
    </row>
    <row r="1657" ht="22.5" customHeight="1">
      <c r="A1657" s="12" t="s">
        <v>14</v>
      </c>
      <c r="B1657" s="20" t="str">
        <f>IFERROR(VLOOKUP(A1657,Sheet1!$E$3:$H$27,4,0),"")</f>
        <v>P1</v>
      </c>
      <c r="C1657" s="14" t="s">
        <v>346</v>
      </c>
      <c r="D1657" s="12" t="s">
        <v>56</v>
      </c>
      <c r="E1657" s="13" t="str">
        <f>IFERROR(VLOOKUP(D1657,Sheet1!$B$1:$C$45,2,0),"")</f>
        <v>TE</v>
      </c>
      <c r="F1657" s="12" t="s">
        <v>179</v>
      </c>
      <c r="G1657" s="13" t="str">
        <f t="shared" si="5"/>
        <v>Palangkaraya</v>
      </c>
      <c r="H1657" s="15" t="str">
        <f>IFERROR(VLOOKUP(A1657,Sheet1!$E$3:$F$27,2,),"")</f>
        <v>Corrective</v>
      </c>
      <c r="I1657" s="16" t="str">
        <f>IFERROR(VLOOKUP(A1657,Sheet1!$E$3:$G$27,3,0),"")</f>
        <v>Pemadaman,MCB Trip,Transmisi problem</v>
      </c>
      <c r="J1657" s="12" t="s">
        <v>112</v>
      </c>
      <c r="K1657" s="17">
        <v>46087.0</v>
      </c>
      <c r="L1657" s="17"/>
      <c r="M1657" s="12" t="s">
        <v>137</v>
      </c>
      <c r="N1657" s="23"/>
      <c r="O1657" s="22"/>
      <c r="P1657" s="22"/>
    </row>
    <row r="1658" ht="22.5" customHeight="1">
      <c r="A1658" s="12" t="s">
        <v>22</v>
      </c>
      <c r="B1658" s="20" t="str">
        <f>IFERROR(VLOOKUP(A1658,Sheet1!$E$3:$H$27,4,0),"")</f>
        <v>P2</v>
      </c>
      <c r="C1658" s="14" t="s">
        <v>477</v>
      </c>
      <c r="D1658" s="12" t="s">
        <v>45</v>
      </c>
      <c r="E1658" s="13" t="str">
        <f>IFERROR(VLOOKUP(D1658,Sheet1!$B$1:$C$45,2,0),"")</f>
        <v>MBP</v>
      </c>
      <c r="F1658" s="12" t="s">
        <v>179</v>
      </c>
      <c r="G1658" s="13" t="str">
        <f t="shared" si="5"/>
        <v>Palangkaraya</v>
      </c>
      <c r="H1658" s="15" t="str">
        <f>IFERROR(VLOOKUP(A1658,Sheet1!$E$3:$F$27,2,),"")</f>
        <v>Preventive</v>
      </c>
      <c r="I1658" s="16" t="str">
        <f>IFERROR(VLOOKUP(A1658,Sheet1!$E$3:$G$27,3,0),"")</f>
        <v>Preventive Maintenance</v>
      </c>
      <c r="J1658" s="12" t="s">
        <v>112</v>
      </c>
      <c r="K1658" s="17">
        <v>46087.0</v>
      </c>
      <c r="L1658" s="17"/>
      <c r="M1658" s="12" t="s">
        <v>137</v>
      </c>
      <c r="N1658" s="23"/>
      <c r="O1658" s="22"/>
      <c r="P1658" s="22"/>
    </row>
    <row r="1659" ht="22.5" customHeight="1">
      <c r="A1659" s="12" t="s">
        <v>14</v>
      </c>
      <c r="B1659" s="20" t="str">
        <f>IFERROR(VLOOKUP(A1659,Sheet1!$E$3:$H$27,4,0),"")</f>
        <v>P1</v>
      </c>
      <c r="C1659" s="14" t="s">
        <v>607</v>
      </c>
      <c r="D1659" s="12" t="s">
        <v>54</v>
      </c>
      <c r="E1659" s="13" t="str">
        <f>IFERROR(VLOOKUP(D1659,Sheet1!$B$1:$C$45,2,0),"")</f>
        <v>MBP</v>
      </c>
      <c r="F1659" s="12" t="s">
        <v>179</v>
      </c>
      <c r="G1659" s="13" t="str">
        <f t="shared" si="5"/>
        <v>Palangkaraya</v>
      </c>
      <c r="H1659" s="15" t="str">
        <f>IFERROR(VLOOKUP(A1659,Sheet1!$E$3:$F$27,2,),"")</f>
        <v>Corrective</v>
      </c>
      <c r="I1659" s="16" t="str">
        <f>IFERROR(VLOOKUP(A1659,Sheet1!$E$3:$G$27,3,0),"")</f>
        <v>Pemadaman,MCB Trip,Transmisi problem</v>
      </c>
      <c r="J1659" s="12" t="s">
        <v>112</v>
      </c>
      <c r="K1659" s="17">
        <v>46087.0</v>
      </c>
      <c r="L1659" s="17"/>
      <c r="M1659" s="12" t="s">
        <v>137</v>
      </c>
      <c r="N1659" s="23"/>
      <c r="O1659" s="22"/>
      <c r="P1659" s="22"/>
    </row>
    <row r="1660" ht="22.5" customHeight="1">
      <c r="A1660" s="12" t="s">
        <v>22</v>
      </c>
      <c r="B1660" s="20" t="str">
        <f>IFERROR(VLOOKUP(A1660,Sheet1!$E$3:$H$27,4,0),"")</f>
        <v>P2</v>
      </c>
      <c r="C1660" s="14" t="s">
        <v>426</v>
      </c>
      <c r="D1660" s="12" t="s">
        <v>83</v>
      </c>
      <c r="E1660" s="13" t="str">
        <f>IFERROR(VLOOKUP(D1660,Sheet1!$B$1:$C$45,2,0),"")</f>
        <v>PM</v>
      </c>
      <c r="F1660" s="12" t="s">
        <v>179</v>
      </c>
      <c r="G1660" s="13" t="str">
        <f t="shared" si="5"/>
        <v>Palangkaraya</v>
      </c>
      <c r="H1660" s="15" t="str">
        <f>IFERROR(VLOOKUP(A1660,Sheet1!$E$3:$F$27,2,),"")</f>
        <v>Preventive</v>
      </c>
      <c r="I1660" s="16" t="str">
        <f>IFERROR(VLOOKUP(A1660,Sheet1!$E$3:$G$27,3,0),"")</f>
        <v>Preventive Maintenance</v>
      </c>
      <c r="J1660" s="12" t="s">
        <v>112</v>
      </c>
      <c r="K1660" s="17">
        <v>46087.0</v>
      </c>
      <c r="L1660" s="17"/>
      <c r="M1660" s="12" t="s">
        <v>137</v>
      </c>
      <c r="N1660" s="23"/>
      <c r="O1660" s="22"/>
      <c r="P1660" s="22"/>
    </row>
    <row r="1661" ht="22.5" customHeight="1">
      <c r="A1661" s="12" t="s">
        <v>22</v>
      </c>
      <c r="B1661" s="20" t="str">
        <f>IFERROR(VLOOKUP(A1661,Sheet1!$E$3:$H$27,4,0),"")</f>
        <v>P2</v>
      </c>
      <c r="C1661" s="14" t="s">
        <v>578</v>
      </c>
      <c r="D1661" s="12" t="s">
        <v>82</v>
      </c>
      <c r="E1661" s="13" t="str">
        <f>IFERROR(VLOOKUP(D1661,Sheet1!$B$1:$C$45,2,0),"")</f>
        <v>PM</v>
      </c>
      <c r="F1661" s="12" t="s">
        <v>179</v>
      </c>
      <c r="G1661" s="13" t="str">
        <f t="shared" si="5"/>
        <v>Palangkaraya</v>
      </c>
      <c r="H1661" s="15" t="str">
        <f>IFERROR(VLOOKUP(A1661,Sheet1!$E$3:$F$27,2,),"")</f>
        <v>Preventive</v>
      </c>
      <c r="I1661" s="16" t="str">
        <f>IFERROR(VLOOKUP(A1661,Sheet1!$E$3:$G$27,3,0),"")</f>
        <v>Preventive Maintenance</v>
      </c>
      <c r="J1661" s="12" t="s">
        <v>112</v>
      </c>
      <c r="K1661" s="17">
        <v>46087.0</v>
      </c>
      <c r="L1661" s="17"/>
      <c r="M1661" s="12" t="s">
        <v>137</v>
      </c>
      <c r="N1661" s="23"/>
      <c r="O1661" s="22"/>
      <c r="P1661" s="22"/>
    </row>
    <row r="1662" ht="22.5" customHeight="1">
      <c r="A1662" s="12" t="s">
        <v>22</v>
      </c>
      <c r="B1662" s="20" t="str">
        <f>IFERROR(VLOOKUP(A1662,Sheet1!$E$3:$H$27,4,0),"")</f>
        <v>P2</v>
      </c>
      <c r="C1662" s="15"/>
      <c r="D1662" s="12" t="s">
        <v>81</v>
      </c>
      <c r="E1662" s="13" t="str">
        <f>IFERROR(VLOOKUP(D1662,Sheet1!$B$1:$C$45,2,0),"")</f>
        <v>PM</v>
      </c>
      <c r="F1662" s="12" t="s">
        <v>179</v>
      </c>
      <c r="G1662" s="13" t="str">
        <f t="shared" si="5"/>
        <v>Palangkaraya</v>
      </c>
      <c r="H1662" s="15" t="str">
        <f>IFERROR(VLOOKUP(A1662,Sheet1!$E$3:$F$27,2,),"")</f>
        <v>Preventive</v>
      </c>
      <c r="I1662" s="16" t="str">
        <f>IFERROR(VLOOKUP(A1662,Sheet1!$E$3:$G$27,3,0),"")</f>
        <v>Preventive Maintenance</v>
      </c>
      <c r="J1662" s="12" t="s">
        <v>112</v>
      </c>
      <c r="K1662" s="17">
        <v>46087.0</v>
      </c>
      <c r="L1662" s="17"/>
      <c r="M1662" s="12" t="s">
        <v>137</v>
      </c>
      <c r="N1662" s="23"/>
      <c r="O1662" s="22"/>
      <c r="P1662" s="22"/>
    </row>
    <row r="1663" ht="22.5" customHeight="1">
      <c r="A1663" s="12" t="s">
        <v>22</v>
      </c>
      <c r="B1663" s="20" t="str">
        <f>IFERROR(VLOOKUP(A1663,Sheet1!$E$3:$H$27,4,0),"")</f>
        <v>P2</v>
      </c>
      <c r="C1663" s="15"/>
      <c r="D1663" s="12" t="s">
        <v>35</v>
      </c>
      <c r="E1663" s="13" t="str">
        <f>IFERROR(VLOOKUP(D1663,Sheet1!$B$1:$C$45,2,0),"")</f>
        <v>MBP</v>
      </c>
      <c r="F1663" s="12" t="s">
        <v>179</v>
      </c>
      <c r="G1663" s="13" t="str">
        <f t="shared" si="5"/>
        <v>Palangkaraya</v>
      </c>
      <c r="H1663" s="15" t="str">
        <f>IFERROR(VLOOKUP(A1663,Sheet1!$E$3:$F$27,2,),"")</f>
        <v>Preventive</v>
      </c>
      <c r="I1663" s="16" t="str">
        <f>IFERROR(VLOOKUP(A1663,Sheet1!$E$3:$G$27,3,0),"")</f>
        <v>Preventive Maintenance</v>
      </c>
      <c r="J1663" s="12" t="s">
        <v>112</v>
      </c>
      <c r="K1663" s="17">
        <v>46087.0</v>
      </c>
      <c r="L1663" s="17"/>
      <c r="M1663" s="12" t="s">
        <v>137</v>
      </c>
      <c r="N1663" s="23"/>
      <c r="O1663" s="22"/>
      <c r="P1663" s="22"/>
    </row>
    <row r="1664" ht="22.5" hidden="1" customHeight="1">
      <c r="A1664" s="12" t="s">
        <v>65</v>
      </c>
      <c r="B1664" s="20" t="str">
        <f>IFERROR(VLOOKUP(A1664,Sheet1!$E$3:$H$27,4,0),"")</f>
        <v>P3</v>
      </c>
      <c r="C1664" s="15"/>
      <c r="D1664" s="12" t="s">
        <v>64</v>
      </c>
      <c r="E1664" s="12" t="s">
        <v>1</v>
      </c>
      <c r="F1664" s="12" t="s">
        <v>179</v>
      </c>
      <c r="G1664" s="13" t="str">
        <f t="shared" si="5"/>
        <v>Palangkaraya</v>
      </c>
      <c r="H1664" s="15" t="str">
        <f>IFERROR(VLOOKUP(A1664,Sheet1!$E$3:$F$27,2,),"")</f>
        <v>Standby</v>
      </c>
      <c r="I1664" s="16" t="str">
        <f>IFERROR(VLOOKUP(A1664,Sheet1!$E$3:$G$27,3,0),"")</f>
        <v>Standby On Call</v>
      </c>
      <c r="J1664" s="20"/>
      <c r="K1664" s="17">
        <v>46087.0</v>
      </c>
      <c r="L1664" s="17"/>
      <c r="M1664" s="12" t="s">
        <v>137</v>
      </c>
      <c r="N1664" s="23"/>
      <c r="O1664" s="22"/>
      <c r="P1664" s="22"/>
    </row>
    <row r="1665" ht="22.5" customHeight="1">
      <c r="A1665" s="12" t="s">
        <v>52</v>
      </c>
      <c r="B1665" s="20" t="str">
        <f>IFERROR(VLOOKUP(A1665,Sheet1!$E$3:$H$27,4,0),"")</f>
        <v>P1</v>
      </c>
      <c r="C1665" s="14" t="s">
        <v>609</v>
      </c>
      <c r="D1665" s="12" t="s">
        <v>12</v>
      </c>
      <c r="E1665" s="13" t="str">
        <f>IFERROR(VLOOKUP(D1665,Sheet1!$B$1:$C$45,2,0),"")</f>
        <v>TE</v>
      </c>
      <c r="F1665" s="12" t="s">
        <v>108</v>
      </c>
      <c r="G1665" s="13" t="str">
        <f t="shared" si="5"/>
        <v>Barito Raya</v>
      </c>
      <c r="H1665" s="15" t="str">
        <f>IFERROR(VLOOKUP(A1665,Sheet1!$E$3:$F$27,2,),"")</f>
        <v>Preventive</v>
      </c>
      <c r="I1665" s="16" t="str">
        <f>IFERROR(VLOOKUP(A1665,Sheet1!$E$3:$G$27,3,0),"")</f>
        <v>MCB trip/Power upnormal</v>
      </c>
      <c r="J1665" s="12" t="s">
        <v>112</v>
      </c>
      <c r="K1665" s="17">
        <v>46087.0</v>
      </c>
      <c r="L1665" s="17">
        <v>46087.0</v>
      </c>
      <c r="M1665" s="12" t="s">
        <v>109</v>
      </c>
      <c r="N1665" s="23"/>
      <c r="O1665" s="22"/>
      <c r="P1665" s="22"/>
    </row>
    <row r="1666" ht="22.5" customHeight="1">
      <c r="A1666" s="12" t="s">
        <v>17</v>
      </c>
      <c r="B1666" s="20" t="str">
        <f>IFERROR(VLOOKUP(A1666,Sheet1!$E$3:$H$27,4,0),"")</f>
        <v>P2</v>
      </c>
      <c r="C1666" s="14" t="s">
        <v>238</v>
      </c>
      <c r="D1666" s="12" t="s">
        <v>16</v>
      </c>
      <c r="E1666" s="13" t="str">
        <f>IFERROR(VLOOKUP(D1666,Sheet1!$B$1:$C$45,2,0),"")</f>
        <v>TE</v>
      </c>
      <c r="F1666" s="12" t="s">
        <v>108</v>
      </c>
      <c r="G1666" s="13" t="str">
        <f t="shared" si="5"/>
        <v>Barito Raya</v>
      </c>
      <c r="H1666" s="15" t="str">
        <f>IFERROR(VLOOKUP(A1666,Sheet1!$E$3:$F$27,2,),"")</f>
        <v>Preventive</v>
      </c>
      <c r="I1666" s="16" t="str">
        <f>IFERROR(VLOOKUP(A1666,Sheet1!$E$3:$G$27,3,0),"")</f>
        <v>integrasi LAN dan validasi alarm</v>
      </c>
      <c r="J1666" s="12" t="s">
        <v>112</v>
      </c>
      <c r="K1666" s="17">
        <v>46087.0</v>
      </c>
      <c r="L1666" s="17">
        <v>46087.0</v>
      </c>
      <c r="M1666" s="12" t="s">
        <v>109</v>
      </c>
      <c r="N1666" s="23"/>
      <c r="O1666" s="22"/>
      <c r="P1666" s="22"/>
    </row>
    <row r="1667" ht="22.5" customHeight="1">
      <c r="A1667" s="12" t="s">
        <v>17</v>
      </c>
      <c r="B1667" s="20" t="str">
        <f>IFERROR(VLOOKUP(A1667,Sheet1!$E$3:$H$27,4,0),"")</f>
        <v>P2</v>
      </c>
      <c r="C1667" s="14" t="s">
        <v>598</v>
      </c>
      <c r="D1667" s="12" t="s">
        <v>21</v>
      </c>
      <c r="E1667" s="13" t="str">
        <f>IFERROR(VLOOKUP(D1667,Sheet1!$B$1:$C$45,2,0),"")</f>
        <v>TE</v>
      </c>
      <c r="F1667" s="12" t="s">
        <v>108</v>
      </c>
      <c r="G1667" s="13" t="str">
        <f t="shared" si="5"/>
        <v>Barito Raya</v>
      </c>
      <c r="H1667" s="15" t="str">
        <f>IFERROR(VLOOKUP(A1667,Sheet1!$E$3:$F$27,2,),"")</f>
        <v>Preventive</v>
      </c>
      <c r="I1667" s="16" t="str">
        <f>IFERROR(VLOOKUP(A1667,Sheet1!$E$3:$G$27,3,0),"")</f>
        <v>integrasi LAN dan validasi alarm</v>
      </c>
      <c r="J1667" s="12" t="s">
        <v>112</v>
      </c>
      <c r="K1667" s="17">
        <v>46087.0</v>
      </c>
      <c r="L1667" s="17">
        <v>46087.0</v>
      </c>
      <c r="M1667" s="12" t="s">
        <v>109</v>
      </c>
      <c r="N1667" s="23"/>
      <c r="O1667" s="22"/>
      <c r="P1667" s="22"/>
    </row>
    <row r="1668" ht="22.5" customHeight="1">
      <c r="A1668" s="12" t="s">
        <v>17</v>
      </c>
      <c r="B1668" s="20" t="str">
        <f>IFERROR(VLOOKUP(A1668,Sheet1!$E$3:$H$27,4,0),"")</f>
        <v>P2</v>
      </c>
      <c r="C1668" s="14" t="s">
        <v>115</v>
      </c>
      <c r="D1668" s="12" t="s">
        <v>26</v>
      </c>
      <c r="E1668" s="13" t="str">
        <f>IFERROR(VLOOKUP(D1668,Sheet1!$B$1:$C$45,2,0),"")</f>
        <v>TE</v>
      </c>
      <c r="F1668" s="12" t="s">
        <v>108</v>
      </c>
      <c r="G1668" s="13" t="str">
        <f t="shared" si="5"/>
        <v>Barito Raya</v>
      </c>
      <c r="H1668" s="15" t="str">
        <f>IFERROR(VLOOKUP(A1668,Sheet1!$E$3:$F$27,2,),"")</f>
        <v>Preventive</v>
      </c>
      <c r="I1668" s="16" t="str">
        <f>IFERROR(VLOOKUP(A1668,Sheet1!$E$3:$G$27,3,0),"")</f>
        <v>integrasi LAN dan validasi alarm</v>
      </c>
      <c r="J1668" s="12" t="s">
        <v>112</v>
      </c>
      <c r="K1668" s="17">
        <v>46087.0</v>
      </c>
      <c r="L1668" s="17">
        <v>46087.0</v>
      </c>
      <c r="M1668" s="12" t="s">
        <v>109</v>
      </c>
      <c r="N1668" s="23"/>
      <c r="O1668" s="22"/>
      <c r="P1668" s="22"/>
    </row>
    <row r="1669" ht="22.5" customHeight="1">
      <c r="A1669" s="12" t="s">
        <v>52</v>
      </c>
      <c r="B1669" s="20" t="str">
        <f>IFERROR(VLOOKUP(A1669,Sheet1!$E$3:$H$27,4,0),"")</f>
        <v>P1</v>
      </c>
      <c r="C1669" s="14" t="s">
        <v>115</v>
      </c>
      <c r="D1669" s="12" t="s">
        <v>88</v>
      </c>
      <c r="E1669" s="13" t="str">
        <f>IFERROR(VLOOKUP(D1669,Sheet1!$B$1:$C$45,2,0),"")</f>
        <v>TE</v>
      </c>
      <c r="F1669" s="12" t="s">
        <v>108</v>
      </c>
      <c r="G1669" s="13" t="str">
        <f t="shared" si="5"/>
        <v>Barito Raya</v>
      </c>
      <c r="H1669" s="15" t="str">
        <f>IFERROR(VLOOKUP(A1669,Sheet1!$E$3:$F$27,2,),"")</f>
        <v>Preventive</v>
      </c>
      <c r="I1669" s="16" t="str">
        <f>IFERROR(VLOOKUP(A1669,Sheet1!$E$3:$G$27,3,0),"")</f>
        <v>MCB trip/Power upnormal</v>
      </c>
      <c r="J1669" s="12" t="s">
        <v>112</v>
      </c>
      <c r="K1669" s="17">
        <v>46087.0</v>
      </c>
      <c r="L1669" s="17">
        <v>46087.0</v>
      </c>
      <c r="M1669" s="12" t="s">
        <v>109</v>
      </c>
      <c r="N1669" s="23"/>
      <c r="O1669" s="22"/>
      <c r="P1669" s="22"/>
    </row>
    <row r="1670" ht="22.5" customHeight="1">
      <c r="A1670" s="12" t="s">
        <v>25</v>
      </c>
      <c r="B1670" s="20" t="str">
        <f>IFERROR(VLOOKUP(A1670,Sheet1!$E$3:$H$27,4,0),"")</f>
        <v>P2</v>
      </c>
      <c r="C1670" s="14" t="s">
        <v>610</v>
      </c>
      <c r="D1670" s="12" t="s">
        <v>32</v>
      </c>
      <c r="E1670" s="13" t="str">
        <f>IFERROR(VLOOKUP(D1670,Sheet1!$B$1:$C$45,2,0),"")</f>
        <v>TE</v>
      </c>
      <c r="F1670" s="12" t="s">
        <v>108</v>
      </c>
      <c r="G1670" s="13" t="str">
        <f t="shared" si="5"/>
        <v>Barito Raya</v>
      </c>
      <c r="H1670" s="15" t="str">
        <f>IFERROR(VLOOKUP(A1670,Sheet1!$E$3:$F$27,2,),"")</f>
        <v>Corrective</v>
      </c>
      <c r="I1670" s="16" t="str">
        <f>IFERROR(VLOOKUP(A1670,Sheet1!$E$3:$G$27,3,0),"")</f>
        <v>Support Event</v>
      </c>
      <c r="J1670" s="12" t="s">
        <v>112</v>
      </c>
      <c r="K1670" s="17">
        <v>46087.0</v>
      </c>
      <c r="L1670" s="17">
        <v>46087.0</v>
      </c>
      <c r="M1670" s="12" t="s">
        <v>109</v>
      </c>
      <c r="N1670" s="23"/>
      <c r="O1670" s="22"/>
      <c r="P1670" s="22"/>
    </row>
    <row r="1671" ht="22.5" customHeight="1">
      <c r="A1671" s="12" t="s">
        <v>52</v>
      </c>
      <c r="B1671" s="20" t="str">
        <f>IFERROR(VLOOKUP(A1671,Sheet1!$E$3:$H$27,4,0),"")</f>
        <v>P1</v>
      </c>
      <c r="C1671" s="14" t="s">
        <v>611</v>
      </c>
      <c r="D1671" s="12" t="s">
        <v>74</v>
      </c>
      <c r="E1671" s="13" t="str">
        <f>IFERROR(VLOOKUP(D1671,Sheet1!$B$1:$C$45,2,0),"")</f>
        <v>TE</v>
      </c>
      <c r="F1671" s="12" t="s">
        <v>108</v>
      </c>
      <c r="G1671" s="13" t="str">
        <f t="shared" si="5"/>
        <v>Barito Raya</v>
      </c>
      <c r="H1671" s="15" t="str">
        <f>IFERROR(VLOOKUP(A1671,Sheet1!$E$3:$F$27,2,),"")</f>
        <v>Preventive</v>
      </c>
      <c r="I1671" s="16" t="str">
        <f>IFERROR(VLOOKUP(A1671,Sheet1!$E$3:$G$27,3,0),"")</f>
        <v>MCB trip/Power upnormal</v>
      </c>
      <c r="J1671" s="12" t="s">
        <v>112</v>
      </c>
      <c r="K1671" s="17">
        <v>46087.0</v>
      </c>
      <c r="L1671" s="17">
        <v>46087.0</v>
      </c>
      <c r="M1671" s="12" t="s">
        <v>109</v>
      </c>
      <c r="N1671" s="23"/>
      <c r="O1671" s="22"/>
      <c r="P1671" s="22"/>
    </row>
    <row r="1672" ht="22.5" customHeight="1">
      <c r="A1672" s="12" t="s">
        <v>5</v>
      </c>
      <c r="B1672" s="20" t="str">
        <f>IFERROR(VLOOKUP(A1672,Sheet1!$E$3:$H$27,4,0),"")</f>
        <v>P1</v>
      </c>
      <c r="C1672" s="14" t="s">
        <v>382</v>
      </c>
      <c r="D1672" s="12" t="s">
        <v>60</v>
      </c>
      <c r="E1672" s="13" t="str">
        <f>IFERROR(VLOOKUP(D1672,Sheet1!$B$1:$C$45,2,0),"")</f>
        <v>TE</v>
      </c>
      <c r="F1672" s="12" t="s">
        <v>108</v>
      </c>
      <c r="G1672" s="13" t="str">
        <f t="shared" si="5"/>
        <v>Barito Raya</v>
      </c>
      <c r="H1672" s="15" t="str">
        <f>IFERROR(VLOOKUP(A1672,Sheet1!$E$3:$F$27,2,),"")</f>
        <v>Corrective</v>
      </c>
      <c r="I1672" s="16" t="str">
        <f>IFERROR(VLOOKUP(A1672,Sheet1!$E$3:$G$27,3,0),"")</f>
        <v>Replace Optik,RRU/Soket Power/Replace GPS</v>
      </c>
      <c r="J1672" s="12" t="s">
        <v>112</v>
      </c>
      <c r="K1672" s="17">
        <v>46087.0</v>
      </c>
      <c r="L1672" s="17">
        <v>46087.0</v>
      </c>
      <c r="M1672" s="12" t="s">
        <v>109</v>
      </c>
      <c r="N1672" s="23"/>
      <c r="O1672" s="22"/>
      <c r="P1672" s="22"/>
    </row>
    <row r="1673" ht="22.5" customHeight="1">
      <c r="A1673" s="12" t="s">
        <v>5</v>
      </c>
      <c r="B1673" s="20" t="str">
        <f>IFERROR(VLOOKUP(A1673,Sheet1!$E$3:$H$27,4,0),"")</f>
        <v>P1</v>
      </c>
      <c r="C1673" s="14" t="s">
        <v>382</v>
      </c>
      <c r="D1673" s="12" t="s">
        <v>62</v>
      </c>
      <c r="E1673" s="13" t="str">
        <f>IFERROR(VLOOKUP(D1673,Sheet1!$B$1:$C$45,2,0),"")</f>
        <v>TE</v>
      </c>
      <c r="F1673" s="12" t="s">
        <v>108</v>
      </c>
      <c r="G1673" s="13" t="str">
        <f t="shared" si="5"/>
        <v>Barito Raya</v>
      </c>
      <c r="H1673" s="15" t="str">
        <f>IFERROR(VLOOKUP(A1673,Sheet1!$E$3:$F$27,2,),"")</f>
        <v>Corrective</v>
      </c>
      <c r="I1673" s="16" t="str">
        <f>IFERROR(VLOOKUP(A1673,Sheet1!$E$3:$G$27,3,0),"")</f>
        <v>Replace Optik,RRU/Soket Power/Replace GPS</v>
      </c>
      <c r="J1673" s="12" t="s">
        <v>112</v>
      </c>
      <c r="K1673" s="17">
        <v>46087.0</v>
      </c>
      <c r="L1673" s="17">
        <v>46087.0</v>
      </c>
      <c r="M1673" s="12" t="s">
        <v>109</v>
      </c>
      <c r="N1673" s="23"/>
      <c r="O1673" s="22"/>
      <c r="P1673" s="22"/>
    </row>
    <row r="1674" ht="22.5" customHeight="1">
      <c r="A1674" s="12" t="s">
        <v>22</v>
      </c>
      <c r="B1674" s="20" t="str">
        <f>IFERROR(VLOOKUP(A1674,Sheet1!$E$3:$H$27,4,0),"")</f>
        <v>P2</v>
      </c>
      <c r="C1674" s="15"/>
      <c r="D1674" s="12" t="s">
        <v>9</v>
      </c>
      <c r="E1674" s="13" t="str">
        <f>IFERROR(VLOOKUP(D1674,Sheet1!$B$1:$C$45,2,0),"")</f>
        <v>MBP</v>
      </c>
      <c r="F1674" s="12" t="s">
        <v>108</v>
      </c>
      <c r="G1674" s="13" t="str">
        <f t="shared" si="5"/>
        <v>Barito Raya</v>
      </c>
      <c r="H1674" s="15" t="str">
        <f>IFERROR(VLOOKUP(A1674,Sheet1!$E$3:$F$27,2,),"")</f>
        <v>Preventive</v>
      </c>
      <c r="I1674" s="16" t="str">
        <f>IFERROR(VLOOKUP(A1674,Sheet1!$E$3:$G$27,3,0),"")</f>
        <v>Preventive Maintenance</v>
      </c>
      <c r="J1674" s="12" t="s">
        <v>112</v>
      </c>
      <c r="K1674" s="17">
        <v>46087.0</v>
      </c>
      <c r="L1674" s="17">
        <v>46087.0</v>
      </c>
      <c r="M1674" s="12" t="s">
        <v>109</v>
      </c>
      <c r="N1674" s="23"/>
      <c r="O1674" s="22"/>
      <c r="P1674" s="22"/>
    </row>
    <row r="1675" ht="22.5" customHeight="1">
      <c r="A1675" s="12" t="s">
        <v>65</v>
      </c>
      <c r="B1675" s="20" t="str">
        <f>IFERROR(VLOOKUP(A1675,Sheet1!$E$3:$H$27,4,0),"")</f>
        <v>P3</v>
      </c>
      <c r="C1675" s="15"/>
      <c r="D1675" s="12" t="s">
        <v>4</v>
      </c>
      <c r="E1675" s="13" t="str">
        <f>IFERROR(VLOOKUP(D1675,Sheet1!$B$1:$C$45,2,0),"")</f>
        <v>CME</v>
      </c>
      <c r="F1675" s="12" t="s">
        <v>108</v>
      </c>
      <c r="G1675" s="13" t="str">
        <f t="shared" si="5"/>
        <v>Barito Raya</v>
      </c>
      <c r="H1675" s="15" t="str">
        <f>IFERROR(VLOOKUP(A1675,Sheet1!$E$3:$F$27,2,),"")</f>
        <v>Standby</v>
      </c>
      <c r="I1675" s="16" t="str">
        <f>IFERROR(VLOOKUP(A1675,Sheet1!$E$3:$G$27,3,0),"")</f>
        <v>Standby On Call</v>
      </c>
      <c r="J1675" s="12" t="s">
        <v>66</v>
      </c>
      <c r="K1675" s="17">
        <v>46087.0</v>
      </c>
      <c r="L1675" s="17">
        <v>46087.0</v>
      </c>
      <c r="M1675" s="13"/>
      <c r="N1675" s="23"/>
      <c r="O1675" s="22"/>
      <c r="P1675" s="22"/>
    </row>
    <row r="1676" ht="22.5" customHeight="1">
      <c r="A1676" s="12" t="s">
        <v>65</v>
      </c>
      <c r="B1676" s="20" t="str">
        <f>IFERROR(VLOOKUP(A1676,Sheet1!$E$3:$H$27,4,0),"")</f>
        <v>P3</v>
      </c>
      <c r="C1676" s="15"/>
      <c r="D1676" s="12" t="s">
        <v>87</v>
      </c>
      <c r="E1676" s="13" t="str">
        <f>IFERROR(VLOOKUP(D1676,Sheet1!$B$1:$C$45,2,0),"")</f>
        <v>MBP</v>
      </c>
      <c r="F1676" s="12" t="s">
        <v>108</v>
      </c>
      <c r="G1676" s="13" t="str">
        <f t="shared" si="5"/>
        <v>Barito Raya</v>
      </c>
      <c r="H1676" s="15" t="str">
        <f>IFERROR(VLOOKUP(A1676,Sheet1!$E$3:$F$27,2,),"")</f>
        <v>Standby</v>
      </c>
      <c r="I1676" s="16" t="str">
        <f>IFERROR(VLOOKUP(A1676,Sheet1!$E$3:$G$27,3,0),"")</f>
        <v>Standby On Call</v>
      </c>
      <c r="J1676" s="12" t="s">
        <v>66</v>
      </c>
      <c r="K1676" s="17">
        <v>46087.0</v>
      </c>
      <c r="L1676" s="17">
        <v>46087.0</v>
      </c>
      <c r="M1676" s="13"/>
      <c r="N1676" s="23"/>
      <c r="O1676" s="22"/>
      <c r="P1676" s="22"/>
    </row>
    <row r="1677" ht="22.5" customHeight="1">
      <c r="A1677" s="12" t="s">
        <v>65</v>
      </c>
      <c r="B1677" s="20" t="str">
        <f>IFERROR(VLOOKUP(A1677,Sheet1!$E$3:$H$27,4,0),"")</f>
        <v>P3</v>
      </c>
      <c r="C1677" s="15"/>
      <c r="D1677" s="12" t="s">
        <v>29</v>
      </c>
      <c r="E1677" s="13" t="str">
        <f>IFERROR(VLOOKUP(D1677,Sheet1!$B$1:$C$45,2,0),"")</f>
        <v>MBP</v>
      </c>
      <c r="F1677" s="12" t="s">
        <v>108</v>
      </c>
      <c r="G1677" s="13" t="str">
        <f t="shared" si="5"/>
        <v>Barito Raya</v>
      </c>
      <c r="H1677" s="15" t="str">
        <f>IFERROR(VLOOKUP(A1677,Sheet1!$E$3:$F$27,2,),"")</f>
        <v>Standby</v>
      </c>
      <c r="I1677" s="16" t="str">
        <f>IFERROR(VLOOKUP(A1677,Sheet1!$E$3:$G$27,3,0),"")</f>
        <v>Standby On Call</v>
      </c>
      <c r="J1677" s="12" t="s">
        <v>66</v>
      </c>
      <c r="K1677" s="17">
        <v>46087.0</v>
      </c>
      <c r="L1677" s="17">
        <v>46087.0</v>
      </c>
      <c r="M1677" s="13"/>
      <c r="N1677" s="23"/>
      <c r="O1677" s="22"/>
      <c r="P1677" s="22"/>
    </row>
    <row r="1678" ht="22.5" customHeight="1">
      <c r="A1678" s="12" t="s">
        <v>27</v>
      </c>
      <c r="B1678" s="20" t="str">
        <f>IFERROR(VLOOKUP(A1678,Sheet1!$E$3:$H$27,4,0),"")</f>
        <v>P2</v>
      </c>
      <c r="C1678" s="14" t="s">
        <v>134</v>
      </c>
      <c r="D1678" s="12" t="s">
        <v>2</v>
      </c>
      <c r="E1678" s="13" t="str">
        <f>IFERROR(VLOOKUP(D1678,Sheet1!$B$1:$C$45,2,0),"")</f>
        <v>CME</v>
      </c>
      <c r="F1678" s="12" t="s">
        <v>108</v>
      </c>
      <c r="G1678" s="13" t="str">
        <f t="shared" si="5"/>
        <v>Barito Raya</v>
      </c>
      <c r="H1678" s="15" t="str">
        <f>IFERROR(VLOOKUP(A1678,Sheet1!$E$3:$F$27,2,),"")</f>
        <v>Preventive</v>
      </c>
      <c r="I1678" s="16" t="str">
        <f>IFERROR(VLOOKUP(A1678,Sheet1!$E$3:$G$27,3,0),"")</f>
        <v>Akses/Hub Site problem metro</v>
      </c>
      <c r="J1678" s="12" t="s">
        <v>112</v>
      </c>
      <c r="K1678" s="17">
        <v>46087.0</v>
      </c>
      <c r="L1678" s="17">
        <v>46087.0</v>
      </c>
      <c r="M1678" s="13"/>
      <c r="N1678" s="23"/>
      <c r="O1678" s="22"/>
      <c r="P1678" s="22"/>
    </row>
    <row r="1679" ht="22.5" customHeight="1">
      <c r="A1679" s="12" t="s">
        <v>65</v>
      </c>
      <c r="B1679" s="20" t="str">
        <f>IFERROR(VLOOKUP(A1679,Sheet1!$E$3:$H$27,4,0),"")</f>
        <v>P3</v>
      </c>
      <c r="C1679" s="15"/>
      <c r="D1679" s="12" t="s">
        <v>0</v>
      </c>
      <c r="E1679" s="13" t="str">
        <f>IFERROR(VLOOKUP(D1679,Sheet1!$B$1:$C$45,2,0),"")</f>
        <v>MBP</v>
      </c>
      <c r="F1679" s="12" t="s">
        <v>108</v>
      </c>
      <c r="G1679" s="13" t="str">
        <f t="shared" si="5"/>
        <v>Barito Raya</v>
      </c>
      <c r="H1679" s="15" t="str">
        <f>IFERROR(VLOOKUP(A1679,Sheet1!$E$3:$F$27,2,),"")</f>
        <v>Standby</v>
      </c>
      <c r="I1679" s="16" t="str">
        <f>IFERROR(VLOOKUP(A1679,Sheet1!$E$3:$G$27,3,0),"")</f>
        <v>Standby On Call</v>
      </c>
      <c r="J1679" s="12" t="s">
        <v>66</v>
      </c>
      <c r="K1679" s="17">
        <v>46087.0</v>
      </c>
      <c r="L1679" s="17">
        <v>46087.0</v>
      </c>
      <c r="M1679" s="13"/>
      <c r="N1679" s="23"/>
      <c r="O1679" s="22"/>
      <c r="P1679" s="22"/>
    </row>
    <row r="1680" ht="22.5" customHeight="1">
      <c r="A1680" s="12" t="s">
        <v>22</v>
      </c>
      <c r="B1680" s="20" t="str">
        <f>IFERROR(VLOOKUP(A1680,Sheet1!$E$3:$H$27,4,0),"")</f>
        <v>P2</v>
      </c>
      <c r="C1680" s="14" t="s">
        <v>370</v>
      </c>
      <c r="D1680" s="12" t="s">
        <v>85</v>
      </c>
      <c r="E1680" s="13" t="str">
        <f>IFERROR(VLOOKUP(D1680,Sheet1!$B$1:$C$45,2,0),"")</f>
        <v>PM</v>
      </c>
      <c r="F1680" s="12" t="s">
        <v>108</v>
      </c>
      <c r="G1680" s="13" t="str">
        <f t="shared" si="5"/>
        <v>Barito Raya</v>
      </c>
      <c r="H1680" s="15" t="str">
        <f>IFERROR(VLOOKUP(A1680,Sheet1!$E$3:$F$27,2,),"")</f>
        <v>Preventive</v>
      </c>
      <c r="I1680" s="16" t="str">
        <f>IFERROR(VLOOKUP(A1680,Sheet1!$E$3:$G$27,3,0),"")</f>
        <v>Preventive Maintenance</v>
      </c>
      <c r="J1680" s="12" t="s">
        <v>112</v>
      </c>
      <c r="K1680" s="17">
        <v>46087.0</v>
      </c>
      <c r="L1680" s="17">
        <v>46087.0</v>
      </c>
      <c r="M1680" s="12" t="s">
        <v>109</v>
      </c>
      <c r="N1680" s="23"/>
      <c r="O1680" s="22"/>
      <c r="P1680" s="22"/>
    </row>
    <row r="1681" ht="22.5" customHeight="1">
      <c r="A1681" s="12" t="s">
        <v>22</v>
      </c>
      <c r="B1681" s="20" t="str">
        <f>IFERROR(VLOOKUP(A1681,Sheet1!$E$3:$H$27,4,0),"")</f>
        <v>P2</v>
      </c>
      <c r="C1681" s="14" t="s">
        <v>370</v>
      </c>
      <c r="D1681" s="12" t="s">
        <v>84</v>
      </c>
      <c r="E1681" s="13" t="str">
        <f>IFERROR(VLOOKUP(D1681,Sheet1!$B$1:$C$45,2,0),"")</f>
        <v>MBP</v>
      </c>
      <c r="F1681" s="12" t="s">
        <v>108</v>
      </c>
      <c r="G1681" s="13" t="str">
        <f t="shared" si="5"/>
        <v>Barito Raya</v>
      </c>
      <c r="H1681" s="15" t="str">
        <f>IFERROR(VLOOKUP(A1681,Sheet1!$E$3:$F$27,2,),"")</f>
        <v>Preventive</v>
      </c>
      <c r="I1681" s="16" t="str">
        <f>IFERROR(VLOOKUP(A1681,Sheet1!$E$3:$G$27,3,0),"")</f>
        <v>Preventive Maintenance</v>
      </c>
      <c r="J1681" s="12" t="s">
        <v>112</v>
      </c>
      <c r="K1681" s="17">
        <v>46087.0</v>
      </c>
      <c r="L1681" s="17">
        <v>46087.0</v>
      </c>
      <c r="M1681" s="12" t="s">
        <v>109</v>
      </c>
      <c r="N1681" s="23"/>
      <c r="O1681" s="22"/>
      <c r="P1681" s="22"/>
    </row>
    <row r="1682" ht="22.5" hidden="1" customHeight="1">
      <c r="A1682" s="12" t="s">
        <v>22</v>
      </c>
      <c r="B1682" s="20" t="str">
        <f>IFERROR(VLOOKUP(A1682,Sheet1!$E$3:$H$27,4,0),"")</f>
        <v>P2</v>
      </c>
      <c r="C1682" s="14" t="s">
        <v>326</v>
      </c>
      <c r="D1682" s="12" t="s">
        <v>86</v>
      </c>
      <c r="E1682" s="13" t="str">
        <f>IFERROR(VLOOKUP(D1682,Sheet1!$B$1:$C$45,2,0),"")</f>
        <v>PM</v>
      </c>
      <c r="F1682" s="12" t="s">
        <v>108</v>
      </c>
      <c r="G1682" s="13" t="str">
        <f t="shared" si="5"/>
        <v>Barito Raya</v>
      </c>
      <c r="H1682" s="15" t="str">
        <f>IFERROR(VLOOKUP(A1682,Sheet1!$E$3:$F$27,2,),"")</f>
        <v>Preventive</v>
      </c>
      <c r="I1682" s="16" t="str">
        <f>IFERROR(VLOOKUP(A1682,Sheet1!$E$3:$G$27,3,0),"")</f>
        <v>Preventive Maintenance</v>
      </c>
      <c r="J1682" s="12" t="s">
        <v>112</v>
      </c>
      <c r="K1682" s="17">
        <v>46087.0</v>
      </c>
      <c r="L1682" s="17">
        <v>46087.0</v>
      </c>
      <c r="M1682" s="12" t="s">
        <v>109</v>
      </c>
      <c r="N1682" s="23"/>
      <c r="O1682" s="22"/>
      <c r="P1682" s="22"/>
    </row>
    <row r="1683" ht="22.5" customHeight="1">
      <c r="A1683" s="12" t="s">
        <v>52</v>
      </c>
      <c r="B1683" s="20" t="str">
        <f>IFERROR(VLOOKUP(A1683,Sheet1!$E$3:$H$27,4,0),"")</f>
        <v>P1</v>
      </c>
      <c r="C1683" s="14" t="s">
        <v>333</v>
      </c>
      <c r="D1683" s="12" t="s">
        <v>12</v>
      </c>
      <c r="E1683" s="13" t="str">
        <f>IFERROR(VLOOKUP(D1683,Sheet1!$B$1:$C$45,2,0),"")</f>
        <v>TE</v>
      </c>
      <c r="F1683" s="12" t="s">
        <v>108</v>
      </c>
      <c r="G1683" s="13" t="str">
        <f t="shared" si="5"/>
        <v>Barito Raya</v>
      </c>
      <c r="H1683" s="15" t="str">
        <f>IFERROR(VLOOKUP(A1683,Sheet1!$E$3:$F$27,2,),"")</f>
        <v>Preventive</v>
      </c>
      <c r="I1683" s="16" t="str">
        <f>IFERROR(VLOOKUP(A1683,Sheet1!$E$3:$G$27,3,0),"")</f>
        <v>MCB trip/Power upnormal</v>
      </c>
      <c r="J1683" s="12" t="s">
        <v>112</v>
      </c>
      <c r="K1683" s="17">
        <v>46090.0</v>
      </c>
      <c r="L1683" s="17">
        <v>46090.0</v>
      </c>
      <c r="M1683" s="12" t="s">
        <v>109</v>
      </c>
      <c r="N1683" s="23"/>
      <c r="O1683" s="22"/>
      <c r="P1683" s="22"/>
    </row>
    <row r="1684" ht="22.5" customHeight="1">
      <c r="A1684" s="12" t="s">
        <v>17</v>
      </c>
      <c r="B1684" s="20" t="str">
        <f>IFERROR(VLOOKUP(A1684,Sheet1!$E$3:$H$27,4,0),"")</f>
        <v>P2</v>
      </c>
      <c r="C1684" s="14" t="s">
        <v>598</v>
      </c>
      <c r="D1684" s="12" t="s">
        <v>16</v>
      </c>
      <c r="E1684" s="13" t="str">
        <f>IFERROR(VLOOKUP(D1684,Sheet1!$B$1:$C$45,2,0),"")</f>
        <v>TE</v>
      </c>
      <c r="F1684" s="12" t="s">
        <v>108</v>
      </c>
      <c r="G1684" s="13" t="str">
        <f t="shared" si="5"/>
        <v>Barito Raya</v>
      </c>
      <c r="H1684" s="15" t="str">
        <f>IFERROR(VLOOKUP(A1684,Sheet1!$E$3:$F$27,2,),"")</f>
        <v>Preventive</v>
      </c>
      <c r="I1684" s="16" t="str">
        <f>IFERROR(VLOOKUP(A1684,Sheet1!$E$3:$G$27,3,0),"")</f>
        <v>integrasi LAN dan validasi alarm</v>
      </c>
      <c r="J1684" s="12" t="s">
        <v>112</v>
      </c>
      <c r="K1684" s="17">
        <v>46090.0</v>
      </c>
      <c r="L1684" s="17">
        <v>46090.0</v>
      </c>
      <c r="M1684" s="12" t="s">
        <v>109</v>
      </c>
      <c r="N1684" s="23"/>
      <c r="O1684" s="22"/>
      <c r="P1684" s="22"/>
    </row>
    <row r="1685" ht="22.5" customHeight="1">
      <c r="A1685" s="12" t="s">
        <v>17</v>
      </c>
      <c r="B1685" s="20" t="str">
        <f>IFERROR(VLOOKUP(A1685,Sheet1!$E$3:$H$27,4,0),"")</f>
        <v>P2</v>
      </c>
      <c r="C1685" s="14" t="s">
        <v>612</v>
      </c>
      <c r="D1685" s="12" t="s">
        <v>21</v>
      </c>
      <c r="E1685" s="13" t="str">
        <f>IFERROR(VLOOKUP(D1685,Sheet1!$B$1:$C$45,2,0),"")</f>
        <v>TE</v>
      </c>
      <c r="F1685" s="12" t="s">
        <v>108</v>
      </c>
      <c r="G1685" s="13" t="str">
        <f t="shared" si="5"/>
        <v>Barito Raya</v>
      </c>
      <c r="H1685" s="15" t="str">
        <f>IFERROR(VLOOKUP(A1685,Sheet1!$E$3:$F$27,2,),"")</f>
        <v>Preventive</v>
      </c>
      <c r="I1685" s="16" t="str">
        <f>IFERROR(VLOOKUP(A1685,Sheet1!$E$3:$G$27,3,0),"")</f>
        <v>integrasi LAN dan validasi alarm</v>
      </c>
      <c r="J1685" s="12" t="s">
        <v>112</v>
      </c>
      <c r="K1685" s="17">
        <v>46090.0</v>
      </c>
      <c r="L1685" s="17">
        <v>46090.0</v>
      </c>
      <c r="M1685" s="12" t="s">
        <v>109</v>
      </c>
      <c r="N1685" s="23"/>
      <c r="O1685" s="22"/>
      <c r="P1685" s="22"/>
    </row>
    <row r="1686" ht="22.5" customHeight="1">
      <c r="A1686" s="12" t="s">
        <v>52</v>
      </c>
      <c r="B1686" s="20" t="str">
        <f>IFERROR(VLOOKUP(A1686,Sheet1!$E$3:$H$27,4,0),"")</f>
        <v>P1</v>
      </c>
      <c r="C1686" s="14" t="s">
        <v>613</v>
      </c>
      <c r="D1686" s="12" t="s">
        <v>26</v>
      </c>
      <c r="E1686" s="13" t="str">
        <f>IFERROR(VLOOKUP(D1686,Sheet1!$B$1:$C$45,2,0),"")</f>
        <v>TE</v>
      </c>
      <c r="F1686" s="12" t="s">
        <v>108</v>
      </c>
      <c r="G1686" s="13" t="str">
        <f t="shared" si="5"/>
        <v>Barito Raya</v>
      </c>
      <c r="H1686" s="15" t="str">
        <f>IFERROR(VLOOKUP(A1686,Sheet1!$E$3:$F$27,2,),"")</f>
        <v>Preventive</v>
      </c>
      <c r="I1686" s="16" t="str">
        <f>IFERROR(VLOOKUP(A1686,Sheet1!$E$3:$G$27,3,0),"")</f>
        <v>MCB trip/Power upnormal</v>
      </c>
      <c r="J1686" s="12" t="s">
        <v>112</v>
      </c>
      <c r="K1686" s="17">
        <v>46090.0</v>
      </c>
      <c r="L1686" s="17">
        <v>46090.0</v>
      </c>
      <c r="M1686" s="12" t="s">
        <v>109</v>
      </c>
      <c r="N1686" s="23"/>
      <c r="O1686" s="22"/>
      <c r="P1686" s="22"/>
    </row>
    <row r="1687" ht="22.5" customHeight="1">
      <c r="A1687" s="12" t="s">
        <v>22</v>
      </c>
      <c r="B1687" s="20" t="str">
        <f>IFERROR(VLOOKUP(A1687,Sheet1!$E$3:$H$27,4,0),"")</f>
        <v>P2</v>
      </c>
      <c r="C1687" s="14" t="s">
        <v>504</v>
      </c>
      <c r="D1687" s="12" t="s">
        <v>88</v>
      </c>
      <c r="E1687" s="13" t="str">
        <f>IFERROR(VLOOKUP(D1687,Sheet1!$B$1:$C$45,2,0),"")</f>
        <v>TE</v>
      </c>
      <c r="F1687" s="12" t="s">
        <v>108</v>
      </c>
      <c r="G1687" s="13" t="str">
        <f t="shared" si="5"/>
        <v>Barito Raya</v>
      </c>
      <c r="H1687" s="15" t="str">
        <f>IFERROR(VLOOKUP(A1687,Sheet1!$E$3:$F$27,2,),"")</f>
        <v>Preventive</v>
      </c>
      <c r="I1687" s="16" t="str">
        <f>IFERROR(VLOOKUP(A1687,Sheet1!$E$3:$G$27,3,0),"")</f>
        <v>Preventive Maintenance</v>
      </c>
      <c r="J1687" s="12" t="s">
        <v>112</v>
      </c>
      <c r="K1687" s="17">
        <v>46090.0</v>
      </c>
      <c r="L1687" s="17">
        <v>46090.0</v>
      </c>
      <c r="M1687" s="12" t="s">
        <v>109</v>
      </c>
      <c r="N1687" s="23"/>
      <c r="O1687" s="22"/>
      <c r="P1687" s="22"/>
    </row>
    <row r="1688" ht="22.5" customHeight="1">
      <c r="A1688" s="12" t="s">
        <v>5</v>
      </c>
      <c r="B1688" s="20" t="str">
        <f>IFERROR(VLOOKUP(A1688,Sheet1!$E$3:$H$27,4,0),"")</f>
        <v>P1</v>
      </c>
      <c r="C1688" s="14" t="s">
        <v>158</v>
      </c>
      <c r="D1688" s="12" t="s">
        <v>32</v>
      </c>
      <c r="E1688" s="13" t="str">
        <f>IFERROR(VLOOKUP(D1688,Sheet1!$B$1:$C$45,2,0),"")</f>
        <v>TE</v>
      </c>
      <c r="F1688" s="12" t="s">
        <v>108</v>
      </c>
      <c r="G1688" s="13" t="str">
        <f t="shared" si="5"/>
        <v>Barito Raya</v>
      </c>
      <c r="H1688" s="15" t="str">
        <f>IFERROR(VLOOKUP(A1688,Sheet1!$E$3:$F$27,2,),"")</f>
        <v>Corrective</v>
      </c>
      <c r="I1688" s="16" t="str">
        <f>IFERROR(VLOOKUP(A1688,Sheet1!$E$3:$G$27,3,0),"")</f>
        <v>Replace Optik,RRU/Soket Power/Replace GPS</v>
      </c>
      <c r="J1688" s="12" t="s">
        <v>112</v>
      </c>
      <c r="K1688" s="17">
        <v>46090.0</v>
      </c>
      <c r="L1688" s="17">
        <v>46090.0</v>
      </c>
      <c r="M1688" s="12" t="s">
        <v>122</v>
      </c>
      <c r="N1688" s="18" t="s">
        <v>614</v>
      </c>
      <c r="O1688" s="19"/>
      <c r="P1688" s="19"/>
    </row>
    <row r="1689" ht="22.5" customHeight="1">
      <c r="A1689" s="12" t="s">
        <v>14</v>
      </c>
      <c r="B1689" s="20" t="str">
        <f>IFERROR(VLOOKUP(A1689,Sheet1!$E$3:$H$27,4,0),"")</f>
        <v>P1</v>
      </c>
      <c r="C1689" s="14" t="s">
        <v>435</v>
      </c>
      <c r="D1689" s="12" t="s">
        <v>74</v>
      </c>
      <c r="E1689" s="13" t="str">
        <f>IFERROR(VLOOKUP(D1689,Sheet1!$B$1:$C$45,2,0),"")</f>
        <v>TE</v>
      </c>
      <c r="F1689" s="12" t="s">
        <v>108</v>
      </c>
      <c r="G1689" s="13" t="str">
        <f t="shared" si="5"/>
        <v>Barito Raya</v>
      </c>
      <c r="H1689" s="15" t="str">
        <f>IFERROR(VLOOKUP(A1689,Sheet1!$E$3:$F$27,2,),"")</f>
        <v>Corrective</v>
      </c>
      <c r="I1689" s="16" t="str">
        <f>IFERROR(VLOOKUP(A1689,Sheet1!$E$3:$G$27,3,0),"")</f>
        <v>Pemadaman,MCB Trip,Transmisi problem</v>
      </c>
      <c r="J1689" s="12" t="s">
        <v>112</v>
      </c>
      <c r="K1689" s="17">
        <v>46090.0</v>
      </c>
      <c r="L1689" s="17">
        <v>46090.0</v>
      </c>
      <c r="M1689" s="12" t="s">
        <v>109</v>
      </c>
      <c r="N1689" s="23"/>
      <c r="O1689" s="22"/>
      <c r="P1689" s="22"/>
    </row>
    <row r="1690" ht="22.5" customHeight="1">
      <c r="A1690" s="12" t="s">
        <v>22</v>
      </c>
      <c r="B1690" s="20" t="str">
        <f>IFERROR(VLOOKUP(A1690,Sheet1!$E$3:$H$27,4,0),"")</f>
        <v>P2</v>
      </c>
      <c r="C1690" s="14" t="s">
        <v>483</v>
      </c>
      <c r="D1690" s="12" t="s">
        <v>60</v>
      </c>
      <c r="E1690" s="13" t="str">
        <f>IFERROR(VLOOKUP(D1690,Sheet1!$B$1:$C$45,2,0),"")</f>
        <v>TE</v>
      </c>
      <c r="F1690" s="12" t="s">
        <v>108</v>
      </c>
      <c r="G1690" s="13" t="str">
        <f t="shared" si="5"/>
        <v>Barito Raya</v>
      </c>
      <c r="H1690" s="15" t="str">
        <f>IFERROR(VLOOKUP(A1690,Sheet1!$E$3:$F$27,2,),"")</f>
        <v>Preventive</v>
      </c>
      <c r="I1690" s="16" t="str">
        <f>IFERROR(VLOOKUP(A1690,Sheet1!$E$3:$G$27,3,0),"")</f>
        <v>Preventive Maintenance</v>
      </c>
      <c r="J1690" s="12" t="s">
        <v>112</v>
      </c>
      <c r="K1690" s="17">
        <v>46090.0</v>
      </c>
      <c r="L1690" s="17">
        <v>46090.0</v>
      </c>
      <c r="M1690" s="12" t="s">
        <v>109</v>
      </c>
      <c r="N1690" s="23"/>
      <c r="O1690" s="22"/>
      <c r="P1690" s="22"/>
    </row>
    <row r="1691" ht="22.5" customHeight="1">
      <c r="A1691" s="12" t="s">
        <v>5</v>
      </c>
      <c r="B1691" s="20" t="str">
        <f>IFERROR(VLOOKUP(A1691,Sheet1!$E$3:$H$27,4,0),"")</f>
        <v>P1</v>
      </c>
      <c r="C1691" s="14" t="s">
        <v>281</v>
      </c>
      <c r="D1691" s="12" t="s">
        <v>62</v>
      </c>
      <c r="E1691" s="13" t="str">
        <f>IFERROR(VLOOKUP(D1691,Sheet1!$B$1:$C$45,2,0),"")</f>
        <v>TE</v>
      </c>
      <c r="F1691" s="12" t="s">
        <v>108</v>
      </c>
      <c r="G1691" s="13" t="str">
        <f t="shared" si="5"/>
        <v>Barito Raya</v>
      </c>
      <c r="H1691" s="15" t="str">
        <f>IFERROR(VLOOKUP(A1691,Sheet1!$E$3:$F$27,2,),"")</f>
        <v>Corrective</v>
      </c>
      <c r="I1691" s="16" t="str">
        <f>IFERROR(VLOOKUP(A1691,Sheet1!$E$3:$G$27,3,0),"")</f>
        <v>Replace Optik,RRU/Soket Power/Replace GPS</v>
      </c>
      <c r="J1691" s="12" t="s">
        <v>112</v>
      </c>
      <c r="K1691" s="17">
        <v>46090.0</v>
      </c>
      <c r="L1691" s="17">
        <v>46090.0</v>
      </c>
      <c r="M1691" s="12" t="s">
        <v>109</v>
      </c>
      <c r="N1691" s="23"/>
      <c r="O1691" s="22"/>
      <c r="P1691" s="22"/>
    </row>
    <row r="1692" ht="22.5" customHeight="1">
      <c r="A1692" s="12" t="s">
        <v>22</v>
      </c>
      <c r="B1692" s="20" t="str">
        <f>IFERROR(VLOOKUP(A1692,Sheet1!$E$3:$H$27,4,0),"")</f>
        <v>P2</v>
      </c>
      <c r="C1692" s="14" t="s">
        <v>615</v>
      </c>
      <c r="D1692" s="12" t="s">
        <v>9</v>
      </c>
      <c r="E1692" s="13" t="str">
        <f>IFERROR(VLOOKUP(D1692,Sheet1!$B$1:$C$45,2,0),"")</f>
        <v>MBP</v>
      </c>
      <c r="F1692" s="12" t="s">
        <v>108</v>
      </c>
      <c r="G1692" s="13" t="str">
        <f t="shared" si="5"/>
        <v>Barito Raya</v>
      </c>
      <c r="H1692" s="15" t="str">
        <f>IFERROR(VLOOKUP(A1692,Sheet1!$E$3:$F$27,2,),"")</f>
        <v>Preventive</v>
      </c>
      <c r="I1692" s="16" t="str">
        <f>IFERROR(VLOOKUP(A1692,Sheet1!$E$3:$G$27,3,0),"")</f>
        <v>Preventive Maintenance</v>
      </c>
      <c r="J1692" s="12" t="s">
        <v>112</v>
      </c>
      <c r="K1692" s="17">
        <v>46090.0</v>
      </c>
      <c r="L1692" s="17">
        <v>46090.0</v>
      </c>
      <c r="M1692" s="12" t="s">
        <v>109</v>
      </c>
      <c r="N1692" s="23"/>
      <c r="O1692" s="22"/>
      <c r="P1692" s="22"/>
    </row>
    <row r="1693" ht="22.5" customHeight="1">
      <c r="A1693" s="12" t="s">
        <v>65</v>
      </c>
      <c r="B1693" s="20" t="str">
        <f>IFERROR(VLOOKUP(A1693,Sheet1!$E$3:$H$27,4,0),"")</f>
        <v>P3</v>
      </c>
      <c r="C1693" s="15"/>
      <c r="D1693" s="12" t="s">
        <v>4</v>
      </c>
      <c r="E1693" s="13" t="str">
        <f>IFERROR(VLOOKUP(D1693,Sheet1!$B$1:$C$45,2,0),"")</f>
        <v>CME</v>
      </c>
      <c r="F1693" s="12" t="s">
        <v>108</v>
      </c>
      <c r="G1693" s="13" t="str">
        <f t="shared" si="5"/>
        <v>Barito Raya</v>
      </c>
      <c r="H1693" s="15" t="str">
        <f>IFERROR(VLOOKUP(A1693,Sheet1!$E$3:$F$27,2,),"")</f>
        <v>Standby</v>
      </c>
      <c r="I1693" s="16" t="str">
        <f>IFERROR(VLOOKUP(A1693,Sheet1!$E$3:$G$27,3,0),"")</f>
        <v>Standby On Call</v>
      </c>
      <c r="J1693" s="12" t="s">
        <v>66</v>
      </c>
      <c r="K1693" s="17">
        <v>46090.0</v>
      </c>
      <c r="L1693" s="17">
        <v>46090.0</v>
      </c>
      <c r="M1693" s="13"/>
      <c r="N1693" s="23"/>
      <c r="O1693" s="22"/>
      <c r="P1693" s="22"/>
    </row>
    <row r="1694" ht="22.5" customHeight="1">
      <c r="A1694" s="12" t="s">
        <v>65</v>
      </c>
      <c r="B1694" s="20" t="str">
        <f>IFERROR(VLOOKUP(A1694,Sheet1!$E$3:$H$27,4,0),"")</f>
        <v>P3</v>
      </c>
      <c r="C1694" s="15"/>
      <c r="D1694" s="12" t="s">
        <v>87</v>
      </c>
      <c r="E1694" s="13" t="str">
        <f>IFERROR(VLOOKUP(D1694,Sheet1!$B$1:$C$45,2,0),"")</f>
        <v>MBP</v>
      </c>
      <c r="F1694" s="12" t="s">
        <v>108</v>
      </c>
      <c r="G1694" s="13" t="str">
        <f t="shared" si="5"/>
        <v>Barito Raya</v>
      </c>
      <c r="H1694" s="15" t="str">
        <f>IFERROR(VLOOKUP(A1694,Sheet1!$E$3:$F$27,2,),"")</f>
        <v>Standby</v>
      </c>
      <c r="I1694" s="16" t="str">
        <f>IFERROR(VLOOKUP(A1694,Sheet1!$E$3:$G$27,3,0),"")</f>
        <v>Standby On Call</v>
      </c>
      <c r="J1694" s="12" t="s">
        <v>66</v>
      </c>
      <c r="K1694" s="17">
        <v>46090.0</v>
      </c>
      <c r="L1694" s="17">
        <v>46090.0</v>
      </c>
      <c r="M1694" s="13"/>
      <c r="N1694" s="23"/>
      <c r="O1694" s="22"/>
      <c r="P1694" s="22"/>
    </row>
    <row r="1695" ht="22.5" customHeight="1">
      <c r="A1695" s="12" t="s">
        <v>65</v>
      </c>
      <c r="B1695" s="20" t="str">
        <f>IFERROR(VLOOKUP(A1695,Sheet1!$E$3:$H$27,4,0),"")</f>
        <v>P3</v>
      </c>
      <c r="C1695" s="15"/>
      <c r="D1695" s="12" t="s">
        <v>29</v>
      </c>
      <c r="E1695" s="13" t="str">
        <f>IFERROR(VLOOKUP(D1695,Sheet1!$B$1:$C$45,2,0),"")</f>
        <v>MBP</v>
      </c>
      <c r="F1695" s="12" t="s">
        <v>108</v>
      </c>
      <c r="G1695" s="13" t="str">
        <f t="shared" si="5"/>
        <v>Barito Raya</v>
      </c>
      <c r="H1695" s="15" t="str">
        <f>IFERROR(VLOOKUP(A1695,Sheet1!$E$3:$F$27,2,),"")</f>
        <v>Standby</v>
      </c>
      <c r="I1695" s="16" t="str">
        <f>IFERROR(VLOOKUP(A1695,Sheet1!$E$3:$G$27,3,0),"")</f>
        <v>Standby On Call</v>
      </c>
      <c r="J1695" s="12" t="s">
        <v>66</v>
      </c>
      <c r="K1695" s="17">
        <v>46090.0</v>
      </c>
      <c r="L1695" s="17">
        <v>46090.0</v>
      </c>
      <c r="M1695" s="13"/>
      <c r="N1695" s="23"/>
      <c r="O1695" s="22"/>
      <c r="P1695" s="22"/>
    </row>
    <row r="1696" ht="22.5" customHeight="1">
      <c r="A1696" s="12" t="s">
        <v>65</v>
      </c>
      <c r="B1696" s="20" t="str">
        <f>IFERROR(VLOOKUP(A1696,Sheet1!$E$3:$H$27,4,0),"")</f>
        <v>P3</v>
      </c>
      <c r="C1696" s="15"/>
      <c r="D1696" s="12" t="s">
        <v>2</v>
      </c>
      <c r="E1696" s="13" t="str">
        <f>IFERROR(VLOOKUP(D1696,Sheet1!$B$1:$C$45,2,0),"")</f>
        <v>CME</v>
      </c>
      <c r="F1696" s="12" t="s">
        <v>108</v>
      </c>
      <c r="G1696" s="13" t="str">
        <f t="shared" si="5"/>
        <v>Barito Raya</v>
      </c>
      <c r="H1696" s="15" t="str">
        <f>IFERROR(VLOOKUP(A1696,Sheet1!$E$3:$F$27,2,),"")</f>
        <v>Standby</v>
      </c>
      <c r="I1696" s="16" t="str">
        <f>IFERROR(VLOOKUP(A1696,Sheet1!$E$3:$G$27,3,0),"")</f>
        <v>Standby On Call</v>
      </c>
      <c r="J1696" s="12" t="s">
        <v>66</v>
      </c>
      <c r="K1696" s="17">
        <v>46090.0</v>
      </c>
      <c r="L1696" s="17">
        <v>46090.0</v>
      </c>
      <c r="M1696" s="13"/>
      <c r="N1696" s="23"/>
      <c r="O1696" s="22"/>
      <c r="P1696" s="22"/>
    </row>
    <row r="1697" ht="22.5" customHeight="1">
      <c r="A1697" s="12" t="s">
        <v>65</v>
      </c>
      <c r="B1697" s="20" t="str">
        <f>IFERROR(VLOOKUP(A1697,Sheet1!$E$3:$H$27,4,0),"")</f>
        <v>P3</v>
      </c>
      <c r="C1697" s="15"/>
      <c r="D1697" s="12" t="s">
        <v>0</v>
      </c>
      <c r="E1697" s="13" t="str">
        <f>IFERROR(VLOOKUP(D1697,Sheet1!$B$1:$C$45,2,0),"")</f>
        <v>MBP</v>
      </c>
      <c r="F1697" s="12" t="s">
        <v>108</v>
      </c>
      <c r="G1697" s="13" t="str">
        <f t="shared" si="5"/>
        <v>Barito Raya</v>
      </c>
      <c r="H1697" s="15" t="str">
        <f>IFERROR(VLOOKUP(A1697,Sheet1!$E$3:$F$27,2,),"")</f>
        <v>Standby</v>
      </c>
      <c r="I1697" s="16" t="str">
        <f>IFERROR(VLOOKUP(A1697,Sheet1!$E$3:$G$27,3,0),"")</f>
        <v>Standby On Call</v>
      </c>
      <c r="J1697" s="12" t="s">
        <v>66</v>
      </c>
      <c r="K1697" s="17">
        <v>46090.0</v>
      </c>
      <c r="L1697" s="17">
        <v>46090.0</v>
      </c>
      <c r="M1697" s="13"/>
      <c r="N1697" s="23"/>
      <c r="O1697" s="22"/>
      <c r="P1697" s="22"/>
    </row>
    <row r="1698" ht="22.5" customHeight="1">
      <c r="A1698" s="12" t="s">
        <v>22</v>
      </c>
      <c r="B1698" s="20" t="str">
        <f>IFERROR(VLOOKUP(A1698,Sheet1!$E$3:$H$27,4,0),"")</f>
        <v>P2</v>
      </c>
      <c r="C1698" s="14" t="s">
        <v>321</v>
      </c>
      <c r="D1698" s="12" t="s">
        <v>85</v>
      </c>
      <c r="E1698" s="13" t="str">
        <f>IFERROR(VLOOKUP(D1698,Sheet1!$B$1:$C$45,2,0),"")</f>
        <v>PM</v>
      </c>
      <c r="F1698" s="12" t="s">
        <v>108</v>
      </c>
      <c r="G1698" s="13" t="str">
        <f t="shared" si="5"/>
        <v>Barito Raya</v>
      </c>
      <c r="H1698" s="15" t="str">
        <f>IFERROR(VLOOKUP(A1698,Sheet1!$E$3:$F$27,2,),"")</f>
        <v>Preventive</v>
      </c>
      <c r="I1698" s="16" t="str">
        <f>IFERROR(VLOOKUP(A1698,Sheet1!$E$3:$G$27,3,0),"")</f>
        <v>Preventive Maintenance</v>
      </c>
      <c r="J1698" s="12" t="s">
        <v>112</v>
      </c>
      <c r="K1698" s="17">
        <v>46090.0</v>
      </c>
      <c r="L1698" s="17">
        <v>46090.0</v>
      </c>
      <c r="M1698" s="12" t="s">
        <v>109</v>
      </c>
      <c r="N1698" s="23"/>
      <c r="O1698" s="22"/>
      <c r="P1698" s="22"/>
    </row>
    <row r="1699" ht="22.5" customHeight="1">
      <c r="A1699" s="12" t="s">
        <v>22</v>
      </c>
      <c r="B1699" s="20" t="str">
        <f>IFERROR(VLOOKUP(A1699,Sheet1!$E$3:$H$27,4,0),"")</f>
        <v>P2</v>
      </c>
      <c r="C1699" s="14" t="s">
        <v>321</v>
      </c>
      <c r="D1699" s="12" t="s">
        <v>84</v>
      </c>
      <c r="E1699" s="13" t="str">
        <f>IFERROR(VLOOKUP(D1699,Sheet1!$B$1:$C$45,2,0),"")</f>
        <v>MBP</v>
      </c>
      <c r="F1699" s="12" t="s">
        <v>108</v>
      </c>
      <c r="G1699" s="13" t="str">
        <f t="shared" si="5"/>
        <v>Barito Raya</v>
      </c>
      <c r="H1699" s="15" t="str">
        <f>IFERROR(VLOOKUP(A1699,Sheet1!$E$3:$F$27,2,),"")</f>
        <v>Preventive</v>
      </c>
      <c r="I1699" s="16" t="str">
        <f>IFERROR(VLOOKUP(A1699,Sheet1!$E$3:$G$27,3,0),"")</f>
        <v>Preventive Maintenance</v>
      </c>
      <c r="J1699" s="12" t="s">
        <v>112</v>
      </c>
      <c r="K1699" s="17">
        <v>46090.0</v>
      </c>
      <c r="L1699" s="17">
        <v>46090.0</v>
      </c>
      <c r="M1699" s="12" t="s">
        <v>109</v>
      </c>
      <c r="N1699" s="23"/>
      <c r="O1699" s="22"/>
      <c r="P1699" s="22"/>
    </row>
    <row r="1700" ht="22.5" customHeight="1">
      <c r="A1700" s="12" t="s">
        <v>22</v>
      </c>
      <c r="B1700" s="20" t="str">
        <f>IFERROR(VLOOKUP(A1700,Sheet1!$E$3:$H$27,4,0),"")</f>
        <v>P2</v>
      </c>
      <c r="C1700" s="14" t="s">
        <v>504</v>
      </c>
      <c r="D1700" s="12" t="s">
        <v>86</v>
      </c>
      <c r="E1700" s="13" t="str">
        <f>IFERROR(VLOOKUP(D1700,Sheet1!$B$1:$C$45,2,0),"")</f>
        <v>PM</v>
      </c>
      <c r="F1700" s="12" t="s">
        <v>108</v>
      </c>
      <c r="G1700" s="13" t="str">
        <f t="shared" si="5"/>
        <v>Barito Raya</v>
      </c>
      <c r="H1700" s="15" t="str">
        <f>IFERROR(VLOOKUP(A1700,Sheet1!$E$3:$F$27,2,),"")</f>
        <v>Preventive</v>
      </c>
      <c r="I1700" s="16" t="str">
        <f>IFERROR(VLOOKUP(A1700,Sheet1!$E$3:$G$27,3,0),"")</f>
        <v>Preventive Maintenance</v>
      </c>
      <c r="J1700" s="12" t="s">
        <v>112</v>
      </c>
      <c r="K1700" s="17">
        <v>46090.0</v>
      </c>
      <c r="L1700" s="17">
        <v>46090.0</v>
      </c>
      <c r="M1700" s="12" t="s">
        <v>109</v>
      </c>
      <c r="N1700" s="23"/>
      <c r="O1700" s="22"/>
      <c r="P1700" s="22"/>
    </row>
    <row r="1701" ht="22.5" customHeight="1">
      <c r="A1701" s="12" t="s">
        <v>5</v>
      </c>
      <c r="B1701" s="20" t="str">
        <f>IFERROR(VLOOKUP(A1701,Sheet1!$E$3:$H$27,4,0),"")</f>
        <v>P1</v>
      </c>
      <c r="C1701" s="14" t="s">
        <v>523</v>
      </c>
      <c r="D1701" s="12" t="s">
        <v>42</v>
      </c>
      <c r="E1701" s="13" t="str">
        <f>IFERROR(VLOOKUP(D1701,Sheet1!$B$1:$C$45,2,0),"")</f>
        <v>TE</v>
      </c>
      <c r="F1701" s="12" t="s">
        <v>108</v>
      </c>
      <c r="G1701" s="13" t="str">
        <f t="shared" si="5"/>
        <v>Barito Raya</v>
      </c>
      <c r="H1701" s="15" t="str">
        <f>IFERROR(VLOOKUP(A1701,Sheet1!$E$3:$F$27,2,),"")</f>
        <v>Corrective</v>
      </c>
      <c r="I1701" s="16" t="str">
        <f>IFERROR(VLOOKUP(A1701,Sheet1!$E$3:$G$27,3,0),"")</f>
        <v>Replace Optik,RRU/Soket Power/Replace GPS</v>
      </c>
      <c r="J1701" s="12" t="s">
        <v>112</v>
      </c>
      <c r="K1701" s="17">
        <v>46090.0</v>
      </c>
      <c r="L1701" s="17">
        <v>46090.0</v>
      </c>
      <c r="M1701" s="12" t="s">
        <v>122</v>
      </c>
      <c r="N1701" s="18" t="s">
        <v>616</v>
      </c>
      <c r="O1701" s="19"/>
      <c r="P1701" s="19"/>
    </row>
    <row r="1702" ht="22.5" customHeight="1">
      <c r="A1702" s="12" t="s">
        <v>5</v>
      </c>
      <c r="B1702" s="20" t="str">
        <f>IFERROR(VLOOKUP(A1702,Sheet1!$E$3:$H$27,4,0),"")</f>
        <v>P1</v>
      </c>
      <c r="C1702" s="14" t="s">
        <v>523</v>
      </c>
      <c r="D1702" s="12" t="s">
        <v>39</v>
      </c>
      <c r="E1702" s="13" t="str">
        <f>IFERROR(VLOOKUP(D1702,Sheet1!$B$1:$C$45,2,0),"")</f>
        <v>TE</v>
      </c>
      <c r="F1702" s="12" t="s">
        <v>108</v>
      </c>
      <c r="G1702" s="13" t="str">
        <f t="shared" si="5"/>
        <v>Barito Raya</v>
      </c>
      <c r="H1702" s="15" t="str">
        <f>IFERROR(VLOOKUP(A1702,Sheet1!$E$3:$F$27,2,),"")</f>
        <v>Corrective</v>
      </c>
      <c r="I1702" s="16" t="str">
        <f>IFERROR(VLOOKUP(A1702,Sheet1!$E$3:$G$27,3,0),"")</f>
        <v>Replace Optik,RRU/Soket Power/Replace GPS</v>
      </c>
      <c r="J1702" s="12" t="s">
        <v>112</v>
      </c>
      <c r="K1702" s="17">
        <v>46090.0</v>
      </c>
      <c r="L1702" s="17">
        <v>46090.0</v>
      </c>
      <c r="M1702" s="12" t="s">
        <v>122</v>
      </c>
      <c r="N1702" s="18" t="s">
        <v>616</v>
      </c>
      <c r="O1702" s="19"/>
      <c r="P1702" s="19"/>
    </row>
    <row r="1703" ht="22.5" customHeight="1">
      <c r="A1703" s="12" t="s">
        <v>5</v>
      </c>
      <c r="B1703" s="20" t="str">
        <f>IFERROR(VLOOKUP(A1703,Sheet1!$E$3:$H$27,4,0),"")</f>
        <v>P1</v>
      </c>
      <c r="C1703" s="14" t="s">
        <v>617</v>
      </c>
      <c r="D1703" s="12" t="s">
        <v>37</v>
      </c>
      <c r="E1703" s="13" t="str">
        <f>IFERROR(VLOOKUP(D1703,Sheet1!$B$1:$C$45,2,0),"")</f>
        <v>TE</v>
      </c>
      <c r="F1703" s="12" t="s">
        <v>179</v>
      </c>
      <c r="G1703" s="13" t="str">
        <f t="shared" si="5"/>
        <v>Palangkaraya</v>
      </c>
      <c r="H1703" s="15" t="str">
        <f>IFERROR(VLOOKUP(A1703,Sheet1!$E$3:$F$27,2,),"")</f>
        <v>Corrective</v>
      </c>
      <c r="I1703" s="16" t="str">
        <f>IFERROR(VLOOKUP(A1703,Sheet1!$E$3:$G$27,3,0),"")</f>
        <v>Replace Optik,RRU/Soket Power/Replace GPS</v>
      </c>
      <c r="J1703" s="12" t="s">
        <v>112</v>
      </c>
      <c r="K1703" s="17">
        <v>46090.0</v>
      </c>
      <c r="L1703" s="17"/>
      <c r="M1703" s="12" t="s">
        <v>137</v>
      </c>
      <c r="N1703" s="23"/>
      <c r="O1703" s="22"/>
      <c r="P1703" s="22"/>
    </row>
    <row r="1704" ht="22.5" customHeight="1">
      <c r="A1704" s="12" t="s">
        <v>14</v>
      </c>
      <c r="B1704" s="20" t="str">
        <f>IFERROR(VLOOKUP(A1704,Sheet1!$E$3:$H$27,4,0),"")</f>
        <v>P1</v>
      </c>
      <c r="C1704" s="14" t="s">
        <v>306</v>
      </c>
      <c r="D1704" s="12" t="s">
        <v>80</v>
      </c>
      <c r="E1704" s="13" t="str">
        <f>IFERROR(VLOOKUP(D1704,Sheet1!$B$1:$C$45,2,0),"")</f>
        <v>TE</v>
      </c>
      <c r="F1704" s="12" t="s">
        <v>179</v>
      </c>
      <c r="G1704" s="13" t="str">
        <f t="shared" si="5"/>
        <v>Palangkaraya</v>
      </c>
      <c r="H1704" s="15" t="str">
        <f>IFERROR(VLOOKUP(A1704,Sheet1!$E$3:$F$27,2,),"")</f>
        <v>Corrective</v>
      </c>
      <c r="I1704" s="16" t="str">
        <f>IFERROR(VLOOKUP(A1704,Sheet1!$E$3:$G$27,3,0),"")</f>
        <v>Pemadaman,MCB Trip,Transmisi problem</v>
      </c>
      <c r="J1704" s="12" t="s">
        <v>112</v>
      </c>
      <c r="K1704" s="17">
        <v>46090.0</v>
      </c>
      <c r="L1704" s="17"/>
      <c r="M1704" s="12" t="s">
        <v>137</v>
      </c>
      <c r="N1704" s="23"/>
      <c r="O1704" s="22"/>
      <c r="P1704" s="22"/>
    </row>
    <row r="1705" ht="22.5" customHeight="1">
      <c r="A1705" s="12" t="s">
        <v>52</v>
      </c>
      <c r="B1705" s="20" t="str">
        <f>IFERROR(VLOOKUP(A1705,Sheet1!$E$3:$H$27,4,0),"")</f>
        <v>P1</v>
      </c>
      <c r="C1705" s="14" t="s">
        <v>577</v>
      </c>
      <c r="D1705" s="12" t="s">
        <v>78</v>
      </c>
      <c r="E1705" s="13" t="str">
        <f>IFERROR(VLOOKUP(D1705,Sheet1!$B$1:$C$45,2,0),"")</f>
        <v>TE</v>
      </c>
      <c r="F1705" s="12" t="s">
        <v>179</v>
      </c>
      <c r="G1705" s="13" t="str">
        <f t="shared" si="5"/>
        <v>Palangkaraya</v>
      </c>
      <c r="H1705" s="15" t="str">
        <f>IFERROR(VLOOKUP(A1705,Sheet1!$E$3:$F$27,2,),"")</f>
        <v>Preventive</v>
      </c>
      <c r="I1705" s="16" t="str">
        <f>IFERROR(VLOOKUP(A1705,Sheet1!$E$3:$G$27,3,0),"")</f>
        <v>MCB trip/Power upnormal</v>
      </c>
      <c r="J1705" s="12" t="s">
        <v>112</v>
      </c>
      <c r="K1705" s="17">
        <v>46090.0</v>
      </c>
      <c r="L1705" s="17"/>
      <c r="M1705" s="12" t="s">
        <v>137</v>
      </c>
      <c r="N1705" s="23"/>
      <c r="O1705" s="22"/>
      <c r="P1705" s="22"/>
    </row>
    <row r="1706" ht="22.5" customHeight="1">
      <c r="A1706" s="12" t="s">
        <v>5</v>
      </c>
      <c r="B1706" s="20" t="str">
        <f>IFERROR(VLOOKUP(A1706,Sheet1!$E$3:$H$27,4,0),"")</f>
        <v>P1</v>
      </c>
      <c r="C1706" s="14" t="s">
        <v>204</v>
      </c>
      <c r="D1706" s="12" t="s">
        <v>76</v>
      </c>
      <c r="E1706" s="13" t="str">
        <f>IFERROR(VLOOKUP(D1706,Sheet1!$B$1:$C$45,2,0),"")</f>
        <v>TE</v>
      </c>
      <c r="F1706" s="12" t="s">
        <v>179</v>
      </c>
      <c r="G1706" s="13" t="str">
        <f t="shared" si="5"/>
        <v>Palangkaraya</v>
      </c>
      <c r="H1706" s="15" t="str">
        <f>IFERROR(VLOOKUP(A1706,Sheet1!$E$3:$F$27,2,),"")</f>
        <v>Corrective</v>
      </c>
      <c r="I1706" s="16" t="str">
        <f>IFERROR(VLOOKUP(A1706,Sheet1!$E$3:$G$27,3,0),"")</f>
        <v>Replace Optik,RRU/Soket Power/Replace GPS</v>
      </c>
      <c r="J1706" s="12" t="s">
        <v>112</v>
      </c>
      <c r="K1706" s="17">
        <v>46090.0</v>
      </c>
      <c r="L1706" s="17"/>
      <c r="M1706" s="12" t="s">
        <v>137</v>
      </c>
      <c r="N1706" s="23"/>
      <c r="O1706" s="22"/>
      <c r="P1706" s="22"/>
    </row>
    <row r="1707" ht="22.5" customHeight="1">
      <c r="A1707" s="12" t="s">
        <v>5</v>
      </c>
      <c r="B1707" s="20" t="str">
        <f>IFERROR(VLOOKUP(A1707,Sheet1!$E$3:$H$27,4,0),"")</f>
        <v>P1</v>
      </c>
      <c r="C1707" s="14" t="s">
        <v>204</v>
      </c>
      <c r="D1707" s="12" t="s">
        <v>77</v>
      </c>
      <c r="E1707" s="13" t="str">
        <f>IFERROR(VLOOKUP(D1707,Sheet1!$B$1:$C$45,2,0),"")</f>
        <v>TE</v>
      </c>
      <c r="F1707" s="12" t="s">
        <v>179</v>
      </c>
      <c r="G1707" s="13" t="str">
        <f t="shared" si="5"/>
        <v>Palangkaraya</v>
      </c>
      <c r="H1707" s="15" t="str">
        <f>IFERROR(VLOOKUP(A1707,Sheet1!$E$3:$F$27,2,),"")</f>
        <v>Corrective</v>
      </c>
      <c r="I1707" s="16" t="str">
        <f>IFERROR(VLOOKUP(A1707,Sheet1!$E$3:$G$27,3,0),"")</f>
        <v>Replace Optik,RRU/Soket Power/Replace GPS</v>
      </c>
      <c r="J1707" s="12" t="s">
        <v>112</v>
      </c>
      <c r="K1707" s="17">
        <v>46090.0</v>
      </c>
      <c r="L1707" s="17"/>
      <c r="M1707" s="12" t="s">
        <v>137</v>
      </c>
      <c r="N1707" s="23"/>
      <c r="O1707" s="22"/>
      <c r="P1707" s="22"/>
    </row>
    <row r="1708" ht="22.5" customHeight="1">
      <c r="A1708" s="12" t="s">
        <v>5</v>
      </c>
      <c r="B1708" s="20" t="str">
        <f>IFERROR(VLOOKUP(A1708,Sheet1!$E$3:$H$27,4,0),"")</f>
        <v>P1</v>
      </c>
      <c r="C1708" s="14" t="s">
        <v>527</v>
      </c>
      <c r="D1708" s="12" t="s">
        <v>91</v>
      </c>
      <c r="E1708" s="13" t="str">
        <f>IFERROR(VLOOKUP(D1708,Sheet1!$B$1:$C$45,2,0),"")</f>
        <v>TE</v>
      </c>
      <c r="F1708" s="12" t="s">
        <v>179</v>
      </c>
      <c r="G1708" s="13" t="str">
        <f t="shared" si="5"/>
        <v>Palangkaraya</v>
      </c>
      <c r="H1708" s="15" t="str">
        <f>IFERROR(VLOOKUP(A1708,Sheet1!$E$3:$F$27,2,),"")</f>
        <v>Corrective</v>
      </c>
      <c r="I1708" s="16" t="str">
        <f>IFERROR(VLOOKUP(A1708,Sheet1!$E$3:$G$27,3,0),"")</f>
        <v>Replace Optik,RRU/Soket Power/Replace GPS</v>
      </c>
      <c r="J1708" s="12" t="s">
        <v>112</v>
      </c>
      <c r="K1708" s="17">
        <v>46090.0</v>
      </c>
      <c r="L1708" s="17"/>
      <c r="M1708" s="12" t="s">
        <v>137</v>
      </c>
      <c r="N1708" s="23"/>
      <c r="O1708" s="22"/>
      <c r="P1708" s="22"/>
    </row>
    <row r="1709" ht="22.5" customHeight="1">
      <c r="A1709" s="12" t="s">
        <v>22</v>
      </c>
      <c r="B1709" s="20" t="str">
        <f>IFERROR(VLOOKUP(A1709,Sheet1!$E$3:$H$27,4,0),"")</f>
        <v>P2</v>
      </c>
      <c r="C1709" s="14" t="s">
        <v>618</v>
      </c>
      <c r="D1709" s="12" t="s">
        <v>58</v>
      </c>
      <c r="E1709" s="13" t="str">
        <f>IFERROR(VLOOKUP(D1709,Sheet1!$B$1:$C$45,2,0),"")</f>
        <v>TE</v>
      </c>
      <c r="F1709" s="12" t="s">
        <v>179</v>
      </c>
      <c r="G1709" s="13" t="str">
        <f t="shared" si="5"/>
        <v>Palangkaraya</v>
      </c>
      <c r="H1709" s="15" t="str">
        <f>IFERROR(VLOOKUP(A1709,Sheet1!$E$3:$F$27,2,),"")</f>
        <v>Preventive</v>
      </c>
      <c r="I1709" s="16" t="str">
        <f>IFERROR(VLOOKUP(A1709,Sheet1!$E$3:$G$27,3,0),"")</f>
        <v>Preventive Maintenance</v>
      </c>
      <c r="J1709" s="12" t="s">
        <v>112</v>
      </c>
      <c r="K1709" s="17">
        <v>46090.0</v>
      </c>
      <c r="L1709" s="17"/>
      <c r="M1709" s="12" t="s">
        <v>137</v>
      </c>
      <c r="N1709" s="23"/>
      <c r="O1709" s="22"/>
      <c r="P1709" s="22"/>
    </row>
    <row r="1710" ht="22.5" customHeight="1">
      <c r="A1710" s="12" t="s">
        <v>10</v>
      </c>
      <c r="B1710" s="20" t="str">
        <f>IFERROR(VLOOKUP(A1710,Sheet1!$E$3:$H$27,4,0),"")</f>
        <v>P1</v>
      </c>
      <c r="C1710" s="14" t="s">
        <v>444</v>
      </c>
      <c r="D1710" s="12" t="s">
        <v>79</v>
      </c>
      <c r="E1710" s="13" t="str">
        <f>IFERROR(VLOOKUP(D1710,Sheet1!$B$1:$C$45,2,0),"")</f>
        <v>TE</v>
      </c>
      <c r="F1710" s="12" t="s">
        <v>179</v>
      </c>
      <c r="G1710" s="13" t="str">
        <f t="shared" si="5"/>
        <v>Palangkaraya</v>
      </c>
      <c r="H1710" s="15" t="str">
        <f>IFERROR(VLOOKUP(A1710,Sheet1!$E$3:$F$27,2,),"")</f>
        <v>Corrective</v>
      </c>
      <c r="I1710" s="16" t="str">
        <f>IFERROR(VLOOKUP(A1710,Sheet1!$E$3:$G$27,3,0),"")</f>
        <v>Replace Jumper,antena/RRU</v>
      </c>
      <c r="J1710" s="12" t="s">
        <v>112</v>
      </c>
      <c r="K1710" s="17">
        <v>46090.0</v>
      </c>
      <c r="L1710" s="17"/>
      <c r="M1710" s="12" t="s">
        <v>137</v>
      </c>
      <c r="N1710" s="23"/>
      <c r="O1710" s="22"/>
      <c r="P1710" s="22"/>
    </row>
    <row r="1711" ht="22.5" customHeight="1">
      <c r="A1711" s="12" t="s">
        <v>5</v>
      </c>
      <c r="B1711" s="20" t="str">
        <f>IFERROR(VLOOKUP(A1711,Sheet1!$E$3:$H$27,4,0),"")</f>
        <v>P1</v>
      </c>
      <c r="C1711" s="14" t="s">
        <v>619</v>
      </c>
      <c r="D1711" s="12" t="s">
        <v>71</v>
      </c>
      <c r="E1711" s="13" t="str">
        <f>IFERROR(VLOOKUP(D1711,Sheet1!$B$1:$C$45,2,0),"")</f>
        <v>TE</v>
      </c>
      <c r="F1711" s="12" t="s">
        <v>179</v>
      </c>
      <c r="G1711" s="13" t="str">
        <f t="shared" si="5"/>
        <v>Palangkaraya</v>
      </c>
      <c r="H1711" s="15" t="str">
        <f>IFERROR(VLOOKUP(A1711,Sheet1!$E$3:$F$27,2,),"")</f>
        <v>Corrective</v>
      </c>
      <c r="I1711" s="16" t="str">
        <f>IFERROR(VLOOKUP(A1711,Sheet1!$E$3:$G$27,3,0),"")</f>
        <v>Replace Optik,RRU/Soket Power/Replace GPS</v>
      </c>
      <c r="J1711" s="12" t="s">
        <v>112</v>
      </c>
      <c r="K1711" s="17">
        <v>46090.0</v>
      </c>
      <c r="L1711" s="17"/>
      <c r="M1711" s="12" t="s">
        <v>137</v>
      </c>
      <c r="N1711" s="23"/>
      <c r="O1711" s="22"/>
      <c r="P1711" s="22"/>
    </row>
    <row r="1712" ht="22.5" customHeight="1">
      <c r="A1712" s="12" t="s">
        <v>5</v>
      </c>
      <c r="B1712" s="20" t="str">
        <f>IFERROR(VLOOKUP(A1712,Sheet1!$E$3:$H$27,4,0),"")</f>
        <v>P1</v>
      </c>
      <c r="C1712" s="14" t="s">
        <v>235</v>
      </c>
      <c r="D1712" s="12" t="s">
        <v>69</v>
      </c>
      <c r="E1712" s="13" t="str">
        <f>IFERROR(VLOOKUP(D1712,Sheet1!$B$1:$C$45,2,0),"")</f>
        <v>TE</v>
      </c>
      <c r="F1712" s="12" t="s">
        <v>179</v>
      </c>
      <c r="G1712" s="13" t="str">
        <f t="shared" si="5"/>
        <v>Palangkaraya</v>
      </c>
      <c r="H1712" s="15" t="str">
        <f>IFERROR(VLOOKUP(A1712,Sheet1!$E$3:$F$27,2,),"")</f>
        <v>Corrective</v>
      </c>
      <c r="I1712" s="16" t="str">
        <f>IFERROR(VLOOKUP(A1712,Sheet1!$E$3:$G$27,3,0),"")</f>
        <v>Replace Optik,RRU/Soket Power/Replace GPS</v>
      </c>
      <c r="J1712" s="12" t="s">
        <v>112</v>
      </c>
      <c r="K1712" s="17">
        <v>46090.0</v>
      </c>
      <c r="L1712" s="17"/>
      <c r="M1712" s="12" t="s">
        <v>137</v>
      </c>
      <c r="N1712" s="23"/>
      <c r="O1712" s="22"/>
      <c r="P1712" s="22"/>
    </row>
    <row r="1713" ht="22.5" customHeight="1">
      <c r="A1713" s="12" t="s">
        <v>14</v>
      </c>
      <c r="B1713" s="20" t="str">
        <f>IFERROR(VLOOKUP(A1713,Sheet1!$E$3:$H$27,4,0),"")</f>
        <v>P1</v>
      </c>
      <c r="C1713" s="14" t="s">
        <v>346</v>
      </c>
      <c r="D1713" s="12" t="s">
        <v>56</v>
      </c>
      <c r="E1713" s="13" t="str">
        <f>IFERROR(VLOOKUP(D1713,Sheet1!$B$1:$C$45,2,0),"")</f>
        <v>TE</v>
      </c>
      <c r="F1713" s="12" t="s">
        <v>179</v>
      </c>
      <c r="G1713" s="13" t="str">
        <f t="shared" si="5"/>
        <v>Palangkaraya</v>
      </c>
      <c r="H1713" s="15" t="str">
        <f>IFERROR(VLOOKUP(A1713,Sheet1!$E$3:$F$27,2,),"")</f>
        <v>Corrective</v>
      </c>
      <c r="I1713" s="16" t="str">
        <f>IFERROR(VLOOKUP(A1713,Sheet1!$E$3:$G$27,3,0),"")</f>
        <v>Pemadaman,MCB Trip,Transmisi problem</v>
      </c>
      <c r="J1713" s="12" t="s">
        <v>112</v>
      </c>
      <c r="K1713" s="17">
        <v>46090.0</v>
      </c>
      <c r="L1713" s="17"/>
      <c r="M1713" s="12" t="s">
        <v>137</v>
      </c>
      <c r="N1713" s="23"/>
      <c r="O1713" s="22"/>
      <c r="P1713" s="22"/>
    </row>
    <row r="1714" ht="22.5" customHeight="1">
      <c r="A1714" s="12" t="s">
        <v>22</v>
      </c>
      <c r="B1714" s="20" t="str">
        <f>IFERROR(VLOOKUP(A1714,Sheet1!$E$3:$H$27,4,0),"")</f>
        <v>P2</v>
      </c>
      <c r="C1714" s="14"/>
      <c r="D1714" s="12" t="s">
        <v>83</v>
      </c>
      <c r="E1714" s="13" t="str">
        <f>IFERROR(VLOOKUP(D1714,Sheet1!$B$1:$C$45,2,0),"")</f>
        <v>PM</v>
      </c>
      <c r="F1714" s="12" t="s">
        <v>179</v>
      </c>
      <c r="G1714" s="13" t="str">
        <f t="shared" si="5"/>
        <v>Palangkaraya</v>
      </c>
      <c r="H1714" s="15" t="str">
        <f>IFERROR(VLOOKUP(A1714,Sheet1!$E$3:$F$27,2,),"")</f>
        <v>Preventive</v>
      </c>
      <c r="I1714" s="16" t="str">
        <f>IFERROR(VLOOKUP(A1714,Sheet1!$E$3:$G$27,3,0),"")</f>
        <v>Preventive Maintenance</v>
      </c>
      <c r="J1714" s="12" t="s">
        <v>112</v>
      </c>
      <c r="K1714" s="17">
        <v>46090.0</v>
      </c>
      <c r="L1714" s="17"/>
      <c r="M1714" s="12" t="s">
        <v>137</v>
      </c>
      <c r="N1714" s="23"/>
      <c r="O1714" s="22"/>
      <c r="P1714" s="22"/>
    </row>
    <row r="1715" ht="22.5" customHeight="1">
      <c r="A1715" s="12" t="s">
        <v>22</v>
      </c>
      <c r="B1715" s="20" t="str">
        <f>IFERROR(VLOOKUP(A1715,Sheet1!$E$3:$H$27,4,0),"")</f>
        <v>P2</v>
      </c>
      <c r="C1715" s="14"/>
      <c r="D1715" s="12" t="s">
        <v>82</v>
      </c>
      <c r="E1715" s="13" t="str">
        <f>IFERROR(VLOOKUP(D1715,Sheet1!$B$1:$C$45,2,0),"")</f>
        <v>PM</v>
      </c>
      <c r="F1715" s="12" t="s">
        <v>179</v>
      </c>
      <c r="G1715" s="13" t="str">
        <f t="shared" si="5"/>
        <v>Palangkaraya</v>
      </c>
      <c r="H1715" s="15" t="str">
        <f>IFERROR(VLOOKUP(A1715,Sheet1!$E$3:$F$27,2,),"")</f>
        <v>Preventive</v>
      </c>
      <c r="I1715" s="16" t="str">
        <f>IFERROR(VLOOKUP(A1715,Sheet1!$E$3:$G$27,3,0),"")</f>
        <v>Preventive Maintenance</v>
      </c>
      <c r="J1715" s="12" t="s">
        <v>112</v>
      </c>
      <c r="K1715" s="17">
        <v>46090.0</v>
      </c>
      <c r="L1715" s="17"/>
      <c r="M1715" s="12" t="s">
        <v>137</v>
      </c>
      <c r="N1715" s="23"/>
      <c r="O1715" s="22"/>
      <c r="P1715" s="22"/>
    </row>
    <row r="1716" ht="22.5" customHeight="1">
      <c r="A1716" s="12" t="s">
        <v>22</v>
      </c>
      <c r="B1716" s="20" t="str">
        <f>IFERROR(VLOOKUP(A1716,Sheet1!$E$3:$H$27,4,0),"")</f>
        <v>P2</v>
      </c>
      <c r="C1716" s="14"/>
      <c r="D1716" s="12" t="s">
        <v>75</v>
      </c>
      <c r="E1716" s="13" t="str">
        <f>IFERROR(VLOOKUP(D1716,Sheet1!$B$1:$C$45,2,0),"")</f>
        <v>CME</v>
      </c>
      <c r="F1716" s="12" t="s">
        <v>179</v>
      </c>
      <c r="G1716" s="13" t="str">
        <f t="shared" si="5"/>
        <v>Palangkaraya</v>
      </c>
      <c r="H1716" s="15" t="str">
        <f>IFERROR(VLOOKUP(A1716,Sheet1!$E$3:$F$27,2,),"")</f>
        <v>Preventive</v>
      </c>
      <c r="I1716" s="16" t="str">
        <f>IFERROR(VLOOKUP(A1716,Sheet1!$E$3:$G$27,3,0),"")</f>
        <v>Preventive Maintenance</v>
      </c>
      <c r="J1716" s="12" t="s">
        <v>112</v>
      </c>
      <c r="K1716" s="17">
        <v>46090.0</v>
      </c>
      <c r="L1716" s="17"/>
      <c r="M1716" s="12" t="s">
        <v>137</v>
      </c>
      <c r="N1716" s="23"/>
      <c r="O1716" s="22"/>
      <c r="P1716" s="22"/>
    </row>
    <row r="1717" ht="22.5" customHeight="1">
      <c r="A1717" s="12" t="s">
        <v>65</v>
      </c>
      <c r="B1717" s="20" t="str">
        <f>IFERROR(VLOOKUP(A1717,Sheet1!$E$3:$H$27,4,0),"")</f>
        <v>P3</v>
      </c>
      <c r="C1717" s="14"/>
      <c r="D1717" s="12" t="s">
        <v>54</v>
      </c>
      <c r="E1717" s="13" t="str">
        <f>IFERROR(VLOOKUP(D1717,Sheet1!$B$1:$C$45,2,0),"")</f>
        <v>MBP</v>
      </c>
      <c r="F1717" s="12" t="s">
        <v>179</v>
      </c>
      <c r="G1717" s="13" t="str">
        <f t="shared" si="5"/>
        <v>Palangkaraya</v>
      </c>
      <c r="H1717" s="15" t="str">
        <f>IFERROR(VLOOKUP(A1717,Sheet1!$E$3:$F$27,2,),"")</f>
        <v>Standby</v>
      </c>
      <c r="I1717" s="16" t="str">
        <f>IFERROR(VLOOKUP(A1717,Sheet1!$E$3:$G$27,3,0),"")</f>
        <v>Standby On Call</v>
      </c>
      <c r="J1717" s="12" t="s">
        <v>66</v>
      </c>
      <c r="K1717" s="17">
        <v>46090.0</v>
      </c>
      <c r="L1717" s="17"/>
      <c r="M1717" s="12" t="s">
        <v>137</v>
      </c>
      <c r="N1717" s="23"/>
      <c r="O1717" s="22"/>
      <c r="P1717" s="22"/>
    </row>
    <row r="1718" ht="22.5" hidden="1" customHeight="1">
      <c r="A1718" s="12" t="s">
        <v>65</v>
      </c>
      <c r="B1718" s="20" t="str">
        <f>IFERROR(VLOOKUP(A1718,Sheet1!$E$3:$H$27,4,0),"")</f>
        <v>P3</v>
      </c>
      <c r="C1718" s="14"/>
      <c r="D1718" s="12" t="s">
        <v>45</v>
      </c>
      <c r="E1718" s="13" t="str">
        <f>IFERROR(VLOOKUP(D1718,Sheet1!$B$1:$C$45,2,0),"")</f>
        <v>MBP</v>
      </c>
      <c r="F1718" s="12" t="s">
        <v>179</v>
      </c>
      <c r="G1718" s="13" t="str">
        <f t="shared" si="5"/>
        <v>Palangkaraya</v>
      </c>
      <c r="H1718" s="15" t="str">
        <f>IFERROR(VLOOKUP(A1718,Sheet1!$E$3:$F$27,2,),"")</f>
        <v>Standby</v>
      </c>
      <c r="I1718" s="16" t="str">
        <f>IFERROR(VLOOKUP(A1718,Sheet1!$E$3:$G$27,3,0),"")</f>
        <v>Standby On Call</v>
      </c>
      <c r="J1718" s="12" t="s">
        <v>66</v>
      </c>
      <c r="K1718" s="17">
        <v>46090.0</v>
      </c>
      <c r="L1718" s="17"/>
      <c r="M1718" s="12" t="s">
        <v>137</v>
      </c>
      <c r="N1718" s="23"/>
      <c r="O1718" s="22"/>
      <c r="P1718" s="22"/>
    </row>
    <row r="1719" ht="22.5" customHeight="1">
      <c r="A1719" s="12" t="s">
        <v>17</v>
      </c>
      <c r="B1719" s="20" t="str">
        <f>IFERROR(VLOOKUP(A1719,Sheet1!$E$3:$H$27,4,0),"")</f>
        <v>P2</v>
      </c>
      <c r="C1719" s="14" t="s">
        <v>321</v>
      </c>
      <c r="D1719" s="12" t="s">
        <v>12</v>
      </c>
      <c r="E1719" s="13" t="str">
        <f>IFERROR(VLOOKUP(D1719,Sheet1!$B$1:$C$45,2,0),"")</f>
        <v>TE</v>
      </c>
      <c r="F1719" s="12" t="s">
        <v>108</v>
      </c>
      <c r="G1719" s="13" t="str">
        <f t="shared" si="5"/>
        <v>Barito Raya</v>
      </c>
      <c r="H1719" s="15" t="str">
        <f>IFERROR(VLOOKUP(A1719,Sheet1!$E$3:$F$27,2,),"")</f>
        <v>Preventive</v>
      </c>
      <c r="I1719" s="16" t="str">
        <f>IFERROR(VLOOKUP(A1719,Sheet1!$E$3:$G$27,3,0),"")</f>
        <v>integrasi LAN dan validasi alarm</v>
      </c>
      <c r="J1719" s="12" t="s">
        <v>112</v>
      </c>
      <c r="K1719" s="17">
        <v>46091.0</v>
      </c>
      <c r="L1719" s="17">
        <v>46091.0</v>
      </c>
      <c r="M1719" s="13"/>
      <c r="N1719" s="23"/>
      <c r="O1719" s="22"/>
      <c r="P1719" s="22"/>
    </row>
    <row r="1720" ht="22.5" customHeight="1">
      <c r="A1720" s="12" t="s">
        <v>22</v>
      </c>
      <c r="B1720" s="20" t="str">
        <f>IFERROR(VLOOKUP(A1720,Sheet1!$E$3:$H$27,4,0),"")</f>
        <v>P2</v>
      </c>
      <c r="C1720" s="14" t="s">
        <v>620</v>
      </c>
      <c r="D1720" s="12" t="s">
        <v>16</v>
      </c>
      <c r="E1720" s="13" t="str">
        <f>IFERROR(VLOOKUP(D1720,Sheet1!$B$1:$C$45,2,0),"")</f>
        <v>TE</v>
      </c>
      <c r="F1720" s="12" t="s">
        <v>108</v>
      </c>
      <c r="G1720" s="13" t="str">
        <f t="shared" si="5"/>
        <v>Barito Raya</v>
      </c>
      <c r="H1720" s="15" t="str">
        <f>IFERROR(VLOOKUP(A1720,Sheet1!$E$3:$F$27,2,),"")</f>
        <v>Preventive</v>
      </c>
      <c r="I1720" s="16" t="str">
        <f>IFERROR(VLOOKUP(A1720,Sheet1!$E$3:$G$27,3,0),"")</f>
        <v>Preventive Maintenance</v>
      </c>
      <c r="J1720" s="12" t="s">
        <v>112</v>
      </c>
      <c r="K1720" s="17">
        <v>46091.0</v>
      </c>
      <c r="L1720" s="17">
        <v>46091.0</v>
      </c>
      <c r="M1720" s="12" t="s">
        <v>137</v>
      </c>
      <c r="N1720" s="23"/>
      <c r="O1720" s="22"/>
      <c r="P1720" s="22"/>
    </row>
    <row r="1721" ht="22.5" customHeight="1">
      <c r="A1721" s="12" t="s">
        <v>17</v>
      </c>
      <c r="B1721" s="20" t="str">
        <f>IFERROR(VLOOKUP(A1721,Sheet1!$E$3:$H$27,4,0),"")</f>
        <v>P2</v>
      </c>
      <c r="C1721" s="14" t="s">
        <v>615</v>
      </c>
      <c r="D1721" s="12" t="s">
        <v>21</v>
      </c>
      <c r="E1721" s="13" t="str">
        <f>IFERROR(VLOOKUP(D1721,Sheet1!$B$1:$C$45,2,0),"")</f>
        <v>TE</v>
      </c>
      <c r="F1721" s="12" t="s">
        <v>108</v>
      </c>
      <c r="G1721" s="13" t="str">
        <f t="shared" si="5"/>
        <v>Barito Raya</v>
      </c>
      <c r="H1721" s="15" t="str">
        <f>IFERROR(VLOOKUP(A1721,Sheet1!$E$3:$F$27,2,),"")</f>
        <v>Preventive</v>
      </c>
      <c r="I1721" s="16" t="str">
        <f>IFERROR(VLOOKUP(A1721,Sheet1!$E$3:$G$27,3,0),"")</f>
        <v>integrasi LAN dan validasi alarm</v>
      </c>
      <c r="J1721" s="12" t="s">
        <v>112</v>
      </c>
      <c r="K1721" s="17">
        <v>46091.0</v>
      </c>
      <c r="L1721" s="17">
        <v>46091.0</v>
      </c>
      <c r="M1721" s="13"/>
      <c r="N1721" s="23"/>
      <c r="O1721" s="22"/>
      <c r="P1721" s="22"/>
    </row>
    <row r="1722" ht="22.5" customHeight="1">
      <c r="A1722" s="12" t="s">
        <v>43</v>
      </c>
      <c r="B1722" s="20" t="str">
        <f>IFERROR(VLOOKUP(A1722,Sheet1!$E$3:$H$27,4,0),"")</f>
        <v>P1</v>
      </c>
      <c r="C1722" s="14" t="s">
        <v>621</v>
      </c>
      <c r="D1722" s="12" t="s">
        <v>26</v>
      </c>
      <c r="E1722" s="13" t="str">
        <f>IFERROR(VLOOKUP(D1722,Sheet1!$B$1:$C$45,2,0),"")</f>
        <v>TE</v>
      </c>
      <c r="F1722" s="12" t="s">
        <v>108</v>
      </c>
      <c r="G1722" s="13" t="str">
        <f t="shared" si="5"/>
        <v>Barito Raya</v>
      </c>
      <c r="H1722" s="15" t="str">
        <f>IFERROR(VLOOKUP(A1722,Sheet1!$E$3:$F$27,2,),"")</f>
        <v>Corrective</v>
      </c>
      <c r="I1722" s="16" t="str">
        <f>IFERROR(VLOOKUP(A1722,Sheet1!$E$3:$G$27,3,0),"")</f>
        <v>Impact BTS down / RX Level &gt;70 / PL</v>
      </c>
      <c r="J1722" s="12" t="s">
        <v>112</v>
      </c>
      <c r="K1722" s="17">
        <v>46091.0</v>
      </c>
      <c r="L1722" s="17">
        <v>46091.0</v>
      </c>
      <c r="M1722" s="12" t="s">
        <v>137</v>
      </c>
      <c r="N1722" s="23"/>
      <c r="O1722" s="22"/>
      <c r="P1722" s="22"/>
    </row>
    <row r="1723" ht="22.5" customHeight="1">
      <c r="A1723" s="12" t="s">
        <v>43</v>
      </c>
      <c r="B1723" s="20" t="str">
        <f>IFERROR(VLOOKUP(A1723,Sheet1!$E$3:$H$27,4,0),"")</f>
        <v>P1</v>
      </c>
      <c r="C1723" s="14" t="s">
        <v>621</v>
      </c>
      <c r="D1723" s="12" t="s">
        <v>88</v>
      </c>
      <c r="E1723" s="13" t="str">
        <f>IFERROR(VLOOKUP(D1723,Sheet1!$B$1:$C$45,2,0),"")</f>
        <v>TE</v>
      </c>
      <c r="F1723" s="12" t="s">
        <v>108</v>
      </c>
      <c r="G1723" s="13" t="str">
        <f t="shared" si="5"/>
        <v>Barito Raya</v>
      </c>
      <c r="H1723" s="15" t="str">
        <f>IFERROR(VLOOKUP(A1723,Sheet1!$E$3:$F$27,2,),"")</f>
        <v>Corrective</v>
      </c>
      <c r="I1723" s="16" t="str">
        <f>IFERROR(VLOOKUP(A1723,Sheet1!$E$3:$G$27,3,0),"")</f>
        <v>Impact BTS down / RX Level &gt;70 / PL</v>
      </c>
      <c r="J1723" s="12" t="s">
        <v>112</v>
      </c>
      <c r="K1723" s="17">
        <v>46091.0</v>
      </c>
      <c r="L1723" s="17">
        <v>46091.0</v>
      </c>
      <c r="M1723" s="12" t="s">
        <v>137</v>
      </c>
      <c r="N1723" s="23"/>
      <c r="O1723" s="22"/>
      <c r="P1723" s="22"/>
    </row>
    <row r="1724" ht="22.5" customHeight="1">
      <c r="A1724" s="12" t="s">
        <v>5</v>
      </c>
      <c r="B1724" s="20" t="str">
        <f>IFERROR(VLOOKUP(A1724,Sheet1!$E$3:$H$27,4,0),"")</f>
        <v>P1</v>
      </c>
      <c r="C1724" s="14" t="s">
        <v>158</v>
      </c>
      <c r="D1724" s="12" t="s">
        <v>32</v>
      </c>
      <c r="E1724" s="13" t="str">
        <f>IFERROR(VLOOKUP(D1724,Sheet1!$B$1:$C$45,2,0),"")</f>
        <v>TE</v>
      </c>
      <c r="F1724" s="12" t="s">
        <v>108</v>
      </c>
      <c r="G1724" s="13" t="str">
        <f t="shared" si="5"/>
        <v>Barito Raya</v>
      </c>
      <c r="H1724" s="15" t="str">
        <f>IFERROR(VLOOKUP(A1724,Sheet1!$E$3:$F$27,2,),"")</f>
        <v>Corrective</v>
      </c>
      <c r="I1724" s="16" t="str">
        <f>IFERROR(VLOOKUP(A1724,Sheet1!$E$3:$G$27,3,0),"")</f>
        <v>Replace Optik,RRU/Soket Power/Replace GPS</v>
      </c>
      <c r="J1724" s="12" t="s">
        <v>112</v>
      </c>
      <c r="K1724" s="17">
        <v>46091.0</v>
      </c>
      <c r="L1724" s="17">
        <v>46091.0</v>
      </c>
      <c r="M1724" s="12" t="s">
        <v>137</v>
      </c>
      <c r="N1724" s="23"/>
      <c r="O1724" s="22"/>
      <c r="P1724" s="22"/>
    </row>
    <row r="1725" ht="22.5" customHeight="1">
      <c r="A1725" s="12" t="s">
        <v>43</v>
      </c>
      <c r="B1725" s="20" t="str">
        <f>IFERROR(VLOOKUP(A1725,Sheet1!$E$3:$H$27,4,0),"")</f>
        <v>P1</v>
      </c>
      <c r="C1725" s="14" t="s">
        <v>263</v>
      </c>
      <c r="D1725" s="12" t="s">
        <v>74</v>
      </c>
      <c r="E1725" s="13" t="str">
        <f>IFERROR(VLOOKUP(D1725,Sheet1!$B$1:$C$45,2,0),"")</f>
        <v>TE</v>
      </c>
      <c r="F1725" s="12" t="s">
        <v>108</v>
      </c>
      <c r="G1725" s="13" t="str">
        <f t="shared" si="5"/>
        <v>Barito Raya</v>
      </c>
      <c r="H1725" s="15" t="str">
        <f>IFERROR(VLOOKUP(A1725,Sheet1!$E$3:$F$27,2,),"")</f>
        <v>Corrective</v>
      </c>
      <c r="I1725" s="16" t="str">
        <f>IFERROR(VLOOKUP(A1725,Sheet1!$E$3:$G$27,3,0),"")</f>
        <v>Impact BTS down / RX Level &gt;70 / PL</v>
      </c>
      <c r="J1725" s="12" t="s">
        <v>112</v>
      </c>
      <c r="K1725" s="17">
        <v>46091.0</v>
      </c>
      <c r="L1725" s="17">
        <v>46091.0</v>
      </c>
      <c r="M1725" s="12" t="s">
        <v>137</v>
      </c>
      <c r="N1725" s="18" t="s">
        <v>622</v>
      </c>
      <c r="O1725" s="19"/>
      <c r="P1725" s="19"/>
    </row>
    <row r="1726" ht="22.5" customHeight="1">
      <c r="A1726" s="12" t="s">
        <v>14</v>
      </c>
      <c r="B1726" s="20" t="str">
        <f>IFERROR(VLOOKUP(A1726,Sheet1!$E$3:$H$27,4,0),"")</f>
        <v>P1</v>
      </c>
      <c r="C1726" s="14" t="s">
        <v>121</v>
      </c>
      <c r="D1726" s="12" t="s">
        <v>60</v>
      </c>
      <c r="E1726" s="13" t="str">
        <f>IFERROR(VLOOKUP(D1726,Sheet1!$B$1:$C$45,2,0),"")</f>
        <v>TE</v>
      </c>
      <c r="F1726" s="12" t="s">
        <v>108</v>
      </c>
      <c r="G1726" s="13" t="str">
        <f t="shared" si="5"/>
        <v>Barito Raya</v>
      </c>
      <c r="H1726" s="15" t="str">
        <f>IFERROR(VLOOKUP(A1726,Sheet1!$E$3:$F$27,2,),"")</f>
        <v>Corrective</v>
      </c>
      <c r="I1726" s="16" t="str">
        <f>IFERROR(VLOOKUP(A1726,Sheet1!$E$3:$G$27,3,0),"")</f>
        <v>Pemadaman,MCB Trip,Transmisi problem</v>
      </c>
      <c r="J1726" s="12" t="s">
        <v>112</v>
      </c>
      <c r="K1726" s="17">
        <v>46091.0</v>
      </c>
      <c r="L1726" s="17">
        <v>46091.0</v>
      </c>
      <c r="M1726" s="12" t="s">
        <v>137</v>
      </c>
      <c r="N1726" s="23"/>
      <c r="O1726" s="22"/>
      <c r="P1726" s="22"/>
    </row>
    <row r="1727" ht="22.5" customHeight="1">
      <c r="A1727" s="12" t="s">
        <v>5</v>
      </c>
      <c r="B1727" s="20" t="str">
        <f>IFERROR(VLOOKUP(A1727,Sheet1!$E$3:$H$27,4,0),"")</f>
        <v>P1</v>
      </c>
      <c r="C1727" s="14" t="s">
        <v>623</v>
      </c>
      <c r="D1727" s="12" t="s">
        <v>62</v>
      </c>
      <c r="E1727" s="13" t="str">
        <f>IFERROR(VLOOKUP(D1727,Sheet1!$B$1:$C$45,2,0),"")</f>
        <v>TE</v>
      </c>
      <c r="F1727" s="12" t="s">
        <v>108</v>
      </c>
      <c r="G1727" s="13" t="str">
        <f t="shared" si="5"/>
        <v>Barito Raya</v>
      </c>
      <c r="H1727" s="15" t="str">
        <f>IFERROR(VLOOKUP(A1727,Sheet1!$E$3:$F$27,2,),"")</f>
        <v>Corrective</v>
      </c>
      <c r="I1727" s="16" t="str">
        <f>IFERROR(VLOOKUP(A1727,Sheet1!$E$3:$G$27,3,0),"")</f>
        <v>Replace Optik,RRU/Soket Power/Replace GPS</v>
      </c>
      <c r="J1727" s="12" t="s">
        <v>112</v>
      </c>
      <c r="K1727" s="17">
        <v>46091.0</v>
      </c>
      <c r="L1727" s="17">
        <v>46091.0</v>
      </c>
      <c r="M1727" s="12" t="s">
        <v>137</v>
      </c>
      <c r="N1727" s="23"/>
      <c r="O1727" s="22"/>
      <c r="P1727" s="22"/>
    </row>
    <row r="1728" ht="22.5" customHeight="1">
      <c r="A1728" s="12" t="s">
        <v>22</v>
      </c>
      <c r="B1728" s="20" t="str">
        <f>IFERROR(VLOOKUP(A1728,Sheet1!$E$3:$H$27,4,0),"")</f>
        <v>P2</v>
      </c>
      <c r="C1728" s="14" t="s">
        <v>620</v>
      </c>
      <c r="D1728" s="12" t="s">
        <v>9</v>
      </c>
      <c r="E1728" s="13" t="str">
        <f>IFERROR(VLOOKUP(D1728,Sheet1!$B$1:$C$45,2,0),"")</f>
        <v>MBP</v>
      </c>
      <c r="F1728" s="12" t="s">
        <v>108</v>
      </c>
      <c r="G1728" s="13" t="str">
        <f t="shared" si="5"/>
        <v>Barito Raya</v>
      </c>
      <c r="H1728" s="15" t="str">
        <f>IFERROR(VLOOKUP(A1728,Sheet1!$E$3:$F$27,2,),"")</f>
        <v>Preventive</v>
      </c>
      <c r="I1728" s="16" t="str">
        <f>IFERROR(VLOOKUP(A1728,Sheet1!$E$3:$G$27,3,0),"")</f>
        <v>Preventive Maintenance</v>
      </c>
      <c r="J1728" s="12" t="s">
        <v>112</v>
      </c>
      <c r="K1728" s="17">
        <v>46091.0</v>
      </c>
      <c r="L1728" s="17">
        <v>46091.0</v>
      </c>
      <c r="M1728" s="12" t="s">
        <v>137</v>
      </c>
      <c r="N1728" s="23"/>
      <c r="O1728" s="22"/>
      <c r="P1728" s="22"/>
    </row>
    <row r="1729" ht="22.5" customHeight="1">
      <c r="A1729" s="12" t="s">
        <v>65</v>
      </c>
      <c r="B1729" s="20" t="str">
        <f>IFERROR(VLOOKUP(A1729,Sheet1!$E$3:$H$27,4,0),"")</f>
        <v>P3</v>
      </c>
      <c r="C1729" s="15"/>
      <c r="D1729" s="12" t="s">
        <v>4</v>
      </c>
      <c r="E1729" s="13" t="str">
        <f>IFERROR(VLOOKUP(D1729,Sheet1!$B$1:$C$45,2,0),"")</f>
        <v>CME</v>
      </c>
      <c r="F1729" s="12" t="s">
        <v>108</v>
      </c>
      <c r="G1729" s="13" t="str">
        <f t="shared" si="5"/>
        <v>Barito Raya</v>
      </c>
      <c r="H1729" s="15" t="str">
        <f>IFERROR(VLOOKUP(A1729,Sheet1!$E$3:$F$27,2,),"")</f>
        <v>Standby</v>
      </c>
      <c r="I1729" s="16" t="str">
        <f>IFERROR(VLOOKUP(A1729,Sheet1!$E$3:$G$27,3,0),"")</f>
        <v>Standby On Call</v>
      </c>
      <c r="J1729" s="12" t="s">
        <v>66</v>
      </c>
      <c r="K1729" s="17">
        <v>46091.0</v>
      </c>
      <c r="L1729" s="17">
        <v>46091.0</v>
      </c>
      <c r="M1729" s="13"/>
      <c r="N1729" s="23"/>
      <c r="O1729" s="22"/>
      <c r="P1729" s="22"/>
    </row>
    <row r="1730" ht="22.5" customHeight="1">
      <c r="A1730" s="12" t="s">
        <v>65</v>
      </c>
      <c r="B1730" s="20" t="str">
        <f>IFERROR(VLOOKUP(A1730,Sheet1!$E$3:$H$27,4,0),"")</f>
        <v>P3</v>
      </c>
      <c r="C1730" s="15"/>
      <c r="D1730" s="12" t="s">
        <v>87</v>
      </c>
      <c r="E1730" s="13" t="str">
        <f>IFERROR(VLOOKUP(D1730,Sheet1!$B$1:$C$45,2,0),"")</f>
        <v>MBP</v>
      </c>
      <c r="F1730" s="12" t="s">
        <v>108</v>
      </c>
      <c r="G1730" s="13" t="str">
        <f t="shared" si="5"/>
        <v>Barito Raya</v>
      </c>
      <c r="H1730" s="15" t="str">
        <f>IFERROR(VLOOKUP(A1730,Sheet1!$E$3:$F$27,2,),"")</f>
        <v>Standby</v>
      </c>
      <c r="I1730" s="16" t="str">
        <f>IFERROR(VLOOKUP(A1730,Sheet1!$E$3:$G$27,3,0),"")</f>
        <v>Standby On Call</v>
      </c>
      <c r="J1730" s="12" t="s">
        <v>66</v>
      </c>
      <c r="K1730" s="17">
        <v>46091.0</v>
      </c>
      <c r="L1730" s="17">
        <v>46091.0</v>
      </c>
      <c r="M1730" s="13"/>
      <c r="N1730" s="23"/>
      <c r="O1730" s="22"/>
      <c r="P1730" s="22"/>
    </row>
    <row r="1731" ht="22.5" customHeight="1">
      <c r="A1731" s="12" t="s">
        <v>65</v>
      </c>
      <c r="B1731" s="20" t="str">
        <f>IFERROR(VLOOKUP(A1731,Sheet1!$E$3:$H$27,4,0),"")</f>
        <v>P3</v>
      </c>
      <c r="C1731" s="15"/>
      <c r="D1731" s="12" t="s">
        <v>29</v>
      </c>
      <c r="E1731" s="13" t="str">
        <f>IFERROR(VLOOKUP(D1731,Sheet1!$B$1:$C$45,2,0),"")</f>
        <v>MBP</v>
      </c>
      <c r="F1731" s="12" t="s">
        <v>108</v>
      </c>
      <c r="G1731" s="13" t="str">
        <f t="shared" si="5"/>
        <v>Barito Raya</v>
      </c>
      <c r="H1731" s="15" t="str">
        <f>IFERROR(VLOOKUP(A1731,Sheet1!$E$3:$F$27,2,),"")</f>
        <v>Standby</v>
      </c>
      <c r="I1731" s="16" t="str">
        <f>IFERROR(VLOOKUP(A1731,Sheet1!$E$3:$G$27,3,0),"")</f>
        <v>Standby On Call</v>
      </c>
      <c r="J1731" s="12" t="s">
        <v>66</v>
      </c>
      <c r="K1731" s="17">
        <v>46091.0</v>
      </c>
      <c r="L1731" s="17">
        <v>46091.0</v>
      </c>
      <c r="M1731" s="13"/>
      <c r="N1731" s="23"/>
      <c r="O1731" s="22"/>
      <c r="P1731" s="22"/>
    </row>
    <row r="1732" ht="22.5" customHeight="1">
      <c r="A1732" s="12" t="s">
        <v>65</v>
      </c>
      <c r="B1732" s="20" t="str">
        <f>IFERROR(VLOOKUP(A1732,Sheet1!$E$3:$H$27,4,0),"")</f>
        <v>P3</v>
      </c>
      <c r="C1732" s="15"/>
      <c r="D1732" s="12" t="s">
        <v>2</v>
      </c>
      <c r="E1732" s="13" t="str">
        <f>IFERROR(VLOOKUP(D1732,Sheet1!$B$1:$C$45,2,0),"")</f>
        <v>CME</v>
      </c>
      <c r="F1732" s="12" t="s">
        <v>108</v>
      </c>
      <c r="G1732" s="13" t="str">
        <f t="shared" si="5"/>
        <v>Barito Raya</v>
      </c>
      <c r="H1732" s="15" t="str">
        <f>IFERROR(VLOOKUP(A1732,Sheet1!$E$3:$F$27,2,),"")</f>
        <v>Standby</v>
      </c>
      <c r="I1732" s="16" t="str">
        <f>IFERROR(VLOOKUP(A1732,Sheet1!$E$3:$G$27,3,0),"")</f>
        <v>Standby On Call</v>
      </c>
      <c r="J1732" s="12" t="s">
        <v>66</v>
      </c>
      <c r="K1732" s="17">
        <v>46091.0</v>
      </c>
      <c r="L1732" s="17">
        <v>46091.0</v>
      </c>
      <c r="M1732" s="13"/>
      <c r="N1732" s="23"/>
      <c r="O1732" s="22"/>
      <c r="P1732" s="22"/>
    </row>
    <row r="1733" ht="22.5" customHeight="1">
      <c r="A1733" s="12" t="s">
        <v>22</v>
      </c>
      <c r="B1733" s="20" t="str">
        <f>IFERROR(VLOOKUP(A1733,Sheet1!$E$3:$H$27,4,0),"")</f>
        <v>P2</v>
      </c>
      <c r="C1733" s="14" t="s">
        <v>624</v>
      </c>
      <c r="D1733" s="12" t="s">
        <v>0</v>
      </c>
      <c r="E1733" s="13" t="str">
        <f>IFERROR(VLOOKUP(D1733,Sheet1!$B$1:$C$45,2,0),"")</f>
        <v>MBP</v>
      </c>
      <c r="F1733" s="12" t="s">
        <v>108</v>
      </c>
      <c r="G1733" s="13" t="str">
        <f t="shared" si="5"/>
        <v>Barito Raya</v>
      </c>
      <c r="H1733" s="15" t="str">
        <f>IFERROR(VLOOKUP(A1733,Sheet1!$E$3:$F$27,2,),"")</f>
        <v>Preventive</v>
      </c>
      <c r="I1733" s="16" t="str">
        <f>IFERROR(VLOOKUP(A1733,Sheet1!$E$3:$G$27,3,0),"")</f>
        <v>Preventive Maintenance</v>
      </c>
      <c r="J1733" s="12" t="s">
        <v>112</v>
      </c>
      <c r="K1733" s="17">
        <v>46091.0</v>
      </c>
      <c r="L1733" s="17">
        <v>46091.0</v>
      </c>
      <c r="M1733" s="12" t="s">
        <v>137</v>
      </c>
      <c r="N1733" s="23"/>
      <c r="O1733" s="22"/>
      <c r="P1733" s="22"/>
    </row>
    <row r="1734" ht="22.5" customHeight="1">
      <c r="A1734" s="12" t="s">
        <v>22</v>
      </c>
      <c r="B1734" s="20" t="str">
        <f>IFERROR(VLOOKUP(A1734,Sheet1!$E$3:$H$27,4,0),"")</f>
        <v>P2</v>
      </c>
      <c r="C1734" s="14" t="s">
        <v>449</v>
      </c>
      <c r="D1734" s="12" t="s">
        <v>85</v>
      </c>
      <c r="E1734" s="13" t="str">
        <f>IFERROR(VLOOKUP(D1734,Sheet1!$B$1:$C$45,2,0),"")</f>
        <v>PM</v>
      </c>
      <c r="F1734" s="12" t="s">
        <v>108</v>
      </c>
      <c r="G1734" s="13" t="str">
        <f t="shared" si="5"/>
        <v>Barito Raya</v>
      </c>
      <c r="H1734" s="15" t="str">
        <f>IFERROR(VLOOKUP(A1734,Sheet1!$E$3:$F$27,2,),"")</f>
        <v>Preventive</v>
      </c>
      <c r="I1734" s="16" t="str">
        <f>IFERROR(VLOOKUP(A1734,Sheet1!$E$3:$G$27,3,0),"")</f>
        <v>Preventive Maintenance</v>
      </c>
      <c r="J1734" s="12" t="s">
        <v>112</v>
      </c>
      <c r="K1734" s="17">
        <v>46091.0</v>
      </c>
      <c r="L1734" s="17">
        <v>46091.0</v>
      </c>
      <c r="M1734" s="12" t="s">
        <v>137</v>
      </c>
      <c r="N1734" s="23"/>
      <c r="O1734" s="22"/>
      <c r="P1734" s="22"/>
    </row>
    <row r="1735" ht="22.5" customHeight="1">
      <c r="A1735" s="12" t="s">
        <v>22</v>
      </c>
      <c r="B1735" s="20" t="str">
        <f>IFERROR(VLOOKUP(A1735,Sheet1!$E$3:$H$27,4,0),"")</f>
        <v>P2</v>
      </c>
      <c r="C1735" s="14" t="s">
        <v>449</v>
      </c>
      <c r="D1735" s="12" t="s">
        <v>84</v>
      </c>
      <c r="E1735" s="13" t="str">
        <f>IFERROR(VLOOKUP(D1735,Sheet1!$B$1:$C$45,2,0),"")</f>
        <v>MBP</v>
      </c>
      <c r="F1735" s="12" t="s">
        <v>108</v>
      </c>
      <c r="G1735" s="13" t="str">
        <f t="shared" si="5"/>
        <v>Barito Raya</v>
      </c>
      <c r="H1735" s="15" t="str">
        <f>IFERROR(VLOOKUP(A1735,Sheet1!$E$3:$F$27,2,),"")</f>
        <v>Preventive</v>
      </c>
      <c r="I1735" s="16" t="str">
        <f>IFERROR(VLOOKUP(A1735,Sheet1!$E$3:$G$27,3,0),"")</f>
        <v>Preventive Maintenance</v>
      </c>
      <c r="J1735" s="12" t="s">
        <v>112</v>
      </c>
      <c r="K1735" s="17">
        <v>46091.0</v>
      </c>
      <c r="L1735" s="17">
        <v>46091.0</v>
      </c>
      <c r="M1735" s="12" t="s">
        <v>137</v>
      </c>
      <c r="N1735" s="23"/>
      <c r="O1735" s="22"/>
      <c r="P1735" s="22"/>
    </row>
    <row r="1736" ht="22.5" customHeight="1">
      <c r="A1736" s="12" t="s">
        <v>22</v>
      </c>
      <c r="B1736" s="20" t="str">
        <f>IFERROR(VLOOKUP(A1736,Sheet1!$E$3:$H$27,4,0),"")</f>
        <v>P2</v>
      </c>
      <c r="C1736" s="15"/>
      <c r="D1736" s="12" t="s">
        <v>86</v>
      </c>
      <c r="E1736" s="13" t="str">
        <f>IFERROR(VLOOKUP(D1736,Sheet1!$B$1:$C$45,2,0),"")</f>
        <v>PM</v>
      </c>
      <c r="F1736" s="12" t="s">
        <v>108</v>
      </c>
      <c r="G1736" s="13" t="str">
        <f t="shared" si="5"/>
        <v>Barito Raya</v>
      </c>
      <c r="H1736" s="15" t="str">
        <f>IFERROR(VLOOKUP(A1736,Sheet1!$E$3:$F$27,2,),"")</f>
        <v>Preventive</v>
      </c>
      <c r="I1736" s="16" t="str">
        <f>IFERROR(VLOOKUP(A1736,Sheet1!$E$3:$G$27,3,0),"")</f>
        <v>Preventive Maintenance</v>
      </c>
      <c r="J1736" s="12" t="s">
        <v>112</v>
      </c>
      <c r="K1736" s="17">
        <v>46091.0</v>
      </c>
      <c r="L1736" s="17">
        <v>46091.0</v>
      </c>
      <c r="M1736" s="12" t="s">
        <v>137</v>
      </c>
      <c r="N1736" s="23"/>
      <c r="O1736" s="22"/>
      <c r="P1736" s="22"/>
    </row>
    <row r="1737" ht="22.5" customHeight="1">
      <c r="A1737" s="12" t="s">
        <v>5</v>
      </c>
      <c r="B1737" s="20" t="str">
        <f>IFERROR(VLOOKUP(A1737,Sheet1!$E$3:$H$27,4,0),"")</f>
        <v>P1</v>
      </c>
      <c r="C1737" s="14" t="s">
        <v>523</v>
      </c>
      <c r="D1737" s="12" t="s">
        <v>42</v>
      </c>
      <c r="E1737" s="13" t="str">
        <f>IFERROR(VLOOKUP(D1737,Sheet1!$B$1:$C$45,2,0),"")</f>
        <v>TE</v>
      </c>
      <c r="F1737" s="12" t="s">
        <v>108</v>
      </c>
      <c r="G1737" s="13" t="str">
        <f t="shared" si="5"/>
        <v>Barito Raya</v>
      </c>
      <c r="H1737" s="15" t="str">
        <f>IFERROR(VLOOKUP(A1737,Sheet1!$E$3:$F$27,2,),"")</f>
        <v>Corrective</v>
      </c>
      <c r="I1737" s="16" t="str">
        <f>IFERROR(VLOOKUP(A1737,Sheet1!$E$3:$G$27,3,0),"")</f>
        <v>Replace Optik,RRU/Soket Power/Replace GPS</v>
      </c>
      <c r="J1737" s="12" t="s">
        <v>112</v>
      </c>
      <c r="K1737" s="17">
        <v>46091.0</v>
      </c>
      <c r="L1737" s="17">
        <v>46091.0</v>
      </c>
      <c r="M1737" s="12" t="s">
        <v>137</v>
      </c>
      <c r="N1737" s="23"/>
      <c r="O1737" s="22"/>
      <c r="P1737" s="22"/>
    </row>
    <row r="1738" ht="22.5" customHeight="1">
      <c r="A1738" s="12" t="s">
        <v>5</v>
      </c>
      <c r="B1738" s="20" t="str">
        <f>IFERROR(VLOOKUP(A1738,Sheet1!$E$3:$H$27,4,0),"")</f>
        <v>P1</v>
      </c>
      <c r="C1738" s="14" t="s">
        <v>523</v>
      </c>
      <c r="D1738" s="12" t="s">
        <v>39</v>
      </c>
      <c r="E1738" s="13" t="str">
        <f>IFERROR(VLOOKUP(D1738,Sheet1!$B$1:$C$45,2,0),"")</f>
        <v>TE</v>
      </c>
      <c r="F1738" s="12" t="s">
        <v>108</v>
      </c>
      <c r="G1738" s="13" t="str">
        <f t="shared" si="5"/>
        <v>Barito Raya</v>
      </c>
      <c r="H1738" s="15" t="str">
        <f>IFERROR(VLOOKUP(A1738,Sheet1!$E$3:$F$27,2,),"")</f>
        <v>Corrective</v>
      </c>
      <c r="I1738" s="16" t="str">
        <f>IFERROR(VLOOKUP(A1738,Sheet1!$E$3:$G$27,3,0),"")</f>
        <v>Replace Optik,RRU/Soket Power/Replace GPS</v>
      </c>
      <c r="J1738" s="12" t="s">
        <v>112</v>
      </c>
      <c r="K1738" s="17">
        <v>46091.0</v>
      </c>
      <c r="L1738" s="17">
        <v>46091.0</v>
      </c>
      <c r="M1738" s="12" t="s">
        <v>137</v>
      </c>
      <c r="N1738" s="23"/>
      <c r="O1738" s="22"/>
      <c r="P1738" s="22"/>
    </row>
    <row r="1739" ht="22.5" customHeight="1">
      <c r="A1739" s="12" t="s">
        <v>25</v>
      </c>
      <c r="B1739" s="20" t="str">
        <f>IFERROR(VLOOKUP(A1739,Sheet1!$E$3:$H$27,4,0),"")</f>
        <v>P2</v>
      </c>
      <c r="C1739" s="14" t="s">
        <v>375</v>
      </c>
      <c r="D1739" s="12" t="s">
        <v>77</v>
      </c>
      <c r="E1739" s="13" t="str">
        <f>IFERROR(VLOOKUP(D1739,Sheet1!$B$1:$C$45,2,0),"")</f>
        <v>TE</v>
      </c>
      <c r="F1739" s="12" t="s">
        <v>179</v>
      </c>
      <c r="G1739" s="13" t="str">
        <f t="shared" si="5"/>
        <v>Palangkaraya</v>
      </c>
      <c r="H1739" s="15" t="str">
        <f>IFERROR(VLOOKUP(A1739,Sheet1!$E$3:$F$27,2,),"")</f>
        <v>Corrective</v>
      </c>
      <c r="I1739" s="16" t="str">
        <f>IFERROR(VLOOKUP(A1739,Sheet1!$E$3:$G$27,3,0),"")</f>
        <v>Support Event</v>
      </c>
      <c r="J1739" s="12" t="s">
        <v>112</v>
      </c>
      <c r="K1739" s="17">
        <v>46091.0</v>
      </c>
      <c r="L1739" s="17">
        <v>46091.0</v>
      </c>
      <c r="M1739" s="12" t="s">
        <v>137</v>
      </c>
      <c r="N1739" s="23"/>
      <c r="O1739" s="22"/>
      <c r="P1739" s="22"/>
    </row>
    <row r="1740" ht="22.5" customHeight="1">
      <c r="A1740" s="12" t="s">
        <v>25</v>
      </c>
      <c r="B1740" s="20" t="str">
        <f>IFERROR(VLOOKUP(A1740,Sheet1!$E$3:$H$27,4,0),"")</f>
        <v>P2</v>
      </c>
      <c r="C1740" s="14" t="s">
        <v>375</v>
      </c>
      <c r="D1740" s="12" t="s">
        <v>37</v>
      </c>
      <c r="E1740" s="13" t="str">
        <f>IFERROR(VLOOKUP(D1740,Sheet1!$B$1:$C$45,2,0),"")</f>
        <v>TE</v>
      </c>
      <c r="F1740" s="12" t="s">
        <v>179</v>
      </c>
      <c r="G1740" s="13" t="str">
        <f t="shared" si="5"/>
        <v>Palangkaraya</v>
      </c>
      <c r="H1740" s="15" t="str">
        <f>IFERROR(VLOOKUP(A1740,Sheet1!$E$3:$F$27,2,),"")</f>
        <v>Corrective</v>
      </c>
      <c r="I1740" s="16" t="str">
        <f>IFERROR(VLOOKUP(A1740,Sheet1!$E$3:$G$27,3,0),"")</f>
        <v>Support Event</v>
      </c>
      <c r="J1740" s="12" t="s">
        <v>112</v>
      </c>
      <c r="K1740" s="17">
        <v>46091.0</v>
      </c>
      <c r="L1740" s="17">
        <v>46091.0</v>
      </c>
      <c r="M1740" s="12" t="s">
        <v>137</v>
      </c>
      <c r="N1740" s="23"/>
      <c r="O1740" s="22"/>
      <c r="P1740" s="22"/>
    </row>
    <row r="1741" ht="22.5" customHeight="1">
      <c r="A1741" s="12" t="s">
        <v>33</v>
      </c>
      <c r="B1741" s="20" t="str">
        <f>IFERROR(VLOOKUP(A1741,Sheet1!$E$3:$H$27,4,0),"")</f>
        <v>P2</v>
      </c>
      <c r="C1741" s="14" t="s">
        <v>625</v>
      </c>
      <c r="D1741" s="12" t="s">
        <v>80</v>
      </c>
      <c r="E1741" s="13" t="str">
        <f>IFERROR(VLOOKUP(D1741,Sheet1!$B$1:$C$45,2,0),"")</f>
        <v>TE</v>
      </c>
      <c r="F1741" s="12" t="s">
        <v>179</v>
      </c>
      <c r="G1741" s="13" t="str">
        <f t="shared" si="5"/>
        <v>Palangkaraya</v>
      </c>
      <c r="H1741" s="15" t="str">
        <f>IFERROR(VLOOKUP(A1741,Sheet1!$E$3:$F$27,2,),"")</f>
        <v>Preventive</v>
      </c>
      <c r="I1741" s="16" t="str">
        <f>IFERROR(VLOOKUP(A1741,Sheet1!$E$3:$G$27,3,0),"")</f>
        <v>Pengukuran dan pengambilan data log serta input Gdoc BBT</v>
      </c>
      <c r="J1741" s="12" t="s">
        <v>112</v>
      </c>
      <c r="K1741" s="17">
        <v>46091.0</v>
      </c>
      <c r="L1741" s="17">
        <v>46091.0</v>
      </c>
      <c r="M1741" s="12" t="s">
        <v>137</v>
      </c>
      <c r="N1741" s="23"/>
      <c r="O1741" s="22"/>
      <c r="P1741" s="22"/>
    </row>
    <row r="1742" ht="22.5" customHeight="1">
      <c r="A1742" s="12" t="s">
        <v>5</v>
      </c>
      <c r="B1742" s="20" t="str">
        <f>IFERROR(VLOOKUP(A1742,Sheet1!$E$3:$H$27,4,0),"")</f>
        <v>P1</v>
      </c>
      <c r="C1742" s="14" t="s">
        <v>204</v>
      </c>
      <c r="D1742" s="12" t="s">
        <v>78</v>
      </c>
      <c r="E1742" s="13" t="str">
        <f>IFERROR(VLOOKUP(D1742,Sheet1!$B$1:$C$45,2,0),"")</f>
        <v>TE</v>
      </c>
      <c r="F1742" s="12" t="s">
        <v>179</v>
      </c>
      <c r="G1742" s="13" t="str">
        <f t="shared" si="5"/>
        <v>Palangkaraya</v>
      </c>
      <c r="H1742" s="15" t="str">
        <f>IFERROR(VLOOKUP(A1742,Sheet1!$E$3:$F$27,2,),"")</f>
        <v>Corrective</v>
      </c>
      <c r="I1742" s="16" t="str">
        <f>IFERROR(VLOOKUP(A1742,Sheet1!$E$3:$G$27,3,0),"")</f>
        <v>Replace Optik,RRU/Soket Power/Replace GPS</v>
      </c>
      <c r="J1742" s="12" t="s">
        <v>112</v>
      </c>
      <c r="K1742" s="17">
        <v>46091.0</v>
      </c>
      <c r="L1742" s="17">
        <v>46091.0</v>
      </c>
      <c r="M1742" s="12" t="s">
        <v>137</v>
      </c>
      <c r="N1742" s="23"/>
      <c r="O1742" s="22"/>
      <c r="P1742" s="22"/>
    </row>
    <row r="1743" ht="22.5" customHeight="1">
      <c r="A1743" s="12" t="s">
        <v>5</v>
      </c>
      <c r="B1743" s="20" t="str">
        <f>IFERROR(VLOOKUP(A1743,Sheet1!$E$3:$H$27,4,0),"")</f>
        <v>P1</v>
      </c>
      <c r="C1743" s="14" t="s">
        <v>204</v>
      </c>
      <c r="D1743" s="12" t="s">
        <v>76</v>
      </c>
      <c r="E1743" s="13" t="str">
        <f>IFERROR(VLOOKUP(D1743,Sheet1!$B$1:$C$45,2,0),"")</f>
        <v>TE</v>
      </c>
      <c r="F1743" s="12" t="s">
        <v>179</v>
      </c>
      <c r="G1743" s="13" t="str">
        <f t="shared" si="5"/>
        <v>Palangkaraya</v>
      </c>
      <c r="H1743" s="15" t="str">
        <f>IFERROR(VLOOKUP(A1743,Sheet1!$E$3:$F$27,2,),"")</f>
        <v>Corrective</v>
      </c>
      <c r="I1743" s="16" t="str">
        <f>IFERROR(VLOOKUP(A1743,Sheet1!$E$3:$G$27,3,0),"")</f>
        <v>Replace Optik,RRU/Soket Power/Replace GPS</v>
      </c>
      <c r="J1743" s="12" t="s">
        <v>112</v>
      </c>
      <c r="K1743" s="17">
        <v>46091.0</v>
      </c>
      <c r="L1743" s="17">
        <v>46091.0</v>
      </c>
      <c r="M1743" s="12" t="s">
        <v>137</v>
      </c>
      <c r="N1743" s="23"/>
      <c r="O1743" s="22"/>
      <c r="P1743" s="22"/>
    </row>
    <row r="1744" ht="22.5" customHeight="1">
      <c r="A1744" s="12" t="s">
        <v>22</v>
      </c>
      <c r="B1744" s="20" t="str">
        <f>IFERROR(VLOOKUP(A1744,Sheet1!$E$3:$H$27,4,0),"")</f>
        <v>P2</v>
      </c>
      <c r="C1744" s="14" t="s">
        <v>607</v>
      </c>
      <c r="D1744" s="12" t="s">
        <v>58</v>
      </c>
      <c r="E1744" s="13" t="str">
        <f>IFERROR(VLOOKUP(D1744,Sheet1!$B$1:$C$45,2,0),"")</f>
        <v>TE</v>
      </c>
      <c r="F1744" s="12" t="s">
        <v>179</v>
      </c>
      <c r="G1744" s="13" t="str">
        <f t="shared" si="5"/>
        <v>Palangkaraya</v>
      </c>
      <c r="H1744" s="15" t="str">
        <f>IFERROR(VLOOKUP(A1744,Sheet1!$E$3:$F$27,2,),"")</f>
        <v>Preventive</v>
      </c>
      <c r="I1744" s="16" t="str">
        <f>IFERROR(VLOOKUP(A1744,Sheet1!$E$3:$G$27,3,0),"")</f>
        <v>Preventive Maintenance</v>
      </c>
      <c r="J1744" s="12" t="s">
        <v>112</v>
      </c>
      <c r="K1744" s="17">
        <v>46091.0</v>
      </c>
      <c r="L1744" s="17">
        <v>46091.0</v>
      </c>
      <c r="M1744" s="12" t="s">
        <v>137</v>
      </c>
      <c r="N1744" s="23"/>
      <c r="O1744" s="22"/>
      <c r="P1744" s="22"/>
    </row>
    <row r="1745" ht="22.5" customHeight="1">
      <c r="A1745" s="12" t="s">
        <v>5</v>
      </c>
      <c r="B1745" s="20" t="str">
        <f>IFERROR(VLOOKUP(A1745,Sheet1!$E$3:$H$27,4,0),"")</f>
        <v>P1</v>
      </c>
      <c r="C1745" s="14" t="s">
        <v>527</v>
      </c>
      <c r="D1745" s="12" t="s">
        <v>91</v>
      </c>
      <c r="E1745" s="13" t="str">
        <f>IFERROR(VLOOKUP(D1745,Sheet1!$B$1:$C$45,2,0),"")</f>
        <v>TE</v>
      </c>
      <c r="F1745" s="12" t="s">
        <v>179</v>
      </c>
      <c r="G1745" s="13" t="str">
        <f t="shared" si="5"/>
        <v>Palangkaraya</v>
      </c>
      <c r="H1745" s="15" t="str">
        <f>IFERROR(VLOOKUP(A1745,Sheet1!$E$3:$F$27,2,),"")</f>
        <v>Corrective</v>
      </c>
      <c r="I1745" s="16" t="str">
        <f>IFERROR(VLOOKUP(A1745,Sheet1!$E$3:$G$27,3,0),"")</f>
        <v>Replace Optik,RRU/Soket Power/Replace GPS</v>
      </c>
      <c r="J1745" s="12" t="s">
        <v>112</v>
      </c>
      <c r="K1745" s="17">
        <v>46091.0</v>
      </c>
      <c r="L1745" s="17">
        <v>46091.0</v>
      </c>
      <c r="M1745" s="12" t="s">
        <v>137</v>
      </c>
      <c r="N1745" s="23"/>
      <c r="O1745" s="22"/>
      <c r="P1745" s="22"/>
    </row>
    <row r="1746" ht="22.5" customHeight="1">
      <c r="A1746" s="12" t="s">
        <v>10</v>
      </c>
      <c r="B1746" s="20" t="str">
        <f>IFERROR(VLOOKUP(A1746,Sheet1!$E$3:$H$27,4,0),"")</f>
        <v>P1</v>
      </c>
      <c r="C1746" s="14" t="s">
        <v>444</v>
      </c>
      <c r="D1746" s="12" t="s">
        <v>79</v>
      </c>
      <c r="E1746" s="13" t="str">
        <f>IFERROR(VLOOKUP(D1746,Sheet1!$B$1:$C$45,2,0),"")</f>
        <v>TE</v>
      </c>
      <c r="F1746" s="12" t="s">
        <v>179</v>
      </c>
      <c r="G1746" s="13" t="str">
        <f t="shared" si="5"/>
        <v>Palangkaraya</v>
      </c>
      <c r="H1746" s="15" t="str">
        <f>IFERROR(VLOOKUP(A1746,Sheet1!$E$3:$F$27,2,),"")</f>
        <v>Corrective</v>
      </c>
      <c r="I1746" s="16" t="str">
        <f>IFERROR(VLOOKUP(A1746,Sheet1!$E$3:$G$27,3,0),"")</f>
        <v>Replace Jumper,antena/RRU</v>
      </c>
      <c r="J1746" s="12" t="s">
        <v>112</v>
      </c>
      <c r="K1746" s="17">
        <v>46091.0</v>
      </c>
      <c r="L1746" s="17">
        <v>46091.0</v>
      </c>
      <c r="M1746" s="12" t="s">
        <v>137</v>
      </c>
      <c r="N1746" s="23"/>
      <c r="O1746" s="22"/>
      <c r="P1746" s="22"/>
    </row>
    <row r="1747" ht="22.5" customHeight="1">
      <c r="A1747" s="12" t="s">
        <v>14</v>
      </c>
      <c r="B1747" s="20" t="str">
        <f>IFERROR(VLOOKUP(A1747,Sheet1!$E$3:$H$27,4,0),"")</f>
        <v>P1</v>
      </c>
      <c r="C1747" s="14" t="s">
        <v>402</v>
      </c>
      <c r="D1747" s="12" t="s">
        <v>51</v>
      </c>
      <c r="E1747" s="13" t="str">
        <f>IFERROR(VLOOKUP(D1747,Sheet1!$B$1:$C$45,2,0),"")</f>
        <v>TE</v>
      </c>
      <c r="F1747" s="12" t="s">
        <v>179</v>
      </c>
      <c r="G1747" s="13" t="str">
        <f t="shared" si="5"/>
        <v>Palangkaraya</v>
      </c>
      <c r="H1747" s="15" t="str">
        <f>IFERROR(VLOOKUP(A1747,Sheet1!$E$3:$F$27,2,),"")</f>
        <v>Corrective</v>
      </c>
      <c r="I1747" s="16" t="str">
        <f>IFERROR(VLOOKUP(A1747,Sheet1!$E$3:$G$27,3,0),"")</f>
        <v>Pemadaman,MCB Trip,Transmisi problem</v>
      </c>
      <c r="J1747" s="12" t="s">
        <v>112</v>
      </c>
      <c r="K1747" s="17">
        <v>46091.0</v>
      </c>
      <c r="L1747" s="17">
        <v>46091.0</v>
      </c>
      <c r="M1747" s="12" t="s">
        <v>137</v>
      </c>
      <c r="N1747" s="23"/>
      <c r="O1747" s="22"/>
      <c r="P1747" s="22"/>
    </row>
    <row r="1748" ht="22.5" customHeight="1">
      <c r="A1748" s="12" t="s">
        <v>5</v>
      </c>
      <c r="B1748" s="20" t="str">
        <f>IFERROR(VLOOKUP(A1748,Sheet1!$E$3:$H$27,4,0),"")</f>
        <v>P1</v>
      </c>
      <c r="C1748" s="14" t="s">
        <v>626</v>
      </c>
      <c r="D1748" s="12" t="s">
        <v>71</v>
      </c>
      <c r="E1748" s="13" t="str">
        <f>IFERROR(VLOOKUP(D1748,Sheet1!$B$1:$C$45,2,0),"")</f>
        <v>TE</v>
      </c>
      <c r="F1748" s="12" t="s">
        <v>179</v>
      </c>
      <c r="G1748" s="13" t="str">
        <f t="shared" si="5"/>
        <v>Palangkaraya</v>
      </c>
      <c r="H1748" s="15" t="str">
        <f>IFERROR(VLOOKUP(A1748,Sheet1!$E$3:$F$27,2,),"")</f>
        <v>Corrective</v>
      </c>
      <c r="I1748" s="16" t="str">
        <f>IFERROR(VLOOKUP(A1748,Sheet1!$E$3:$G$27,3,0),"")</f>
        <v>Replace Optik,RRU/Soket Power/Replace GPS</v>
      </c>
      <c r="J1748" s="12" t="s">
        <v>112</v>
      </c>
      <c r="K1748" s="17">
        <v>46091.0</v>
      </c>
      <c r="L1748" s="17">
        <v>46091.0</v>
      </c>
      <c r="M1748" s="12" t="s">
        <v>137</v>
      </c>
      <c r="N1748" s="23"/>
      <c r="O1748" s="22"/>
      <c r="P1748" s="22"/>
    </row>
    <row r="1749" ht="22.5" customHeight="1">
      <c r="A1749" s="12" t="s">
        <v>5</v>
      </c>
      <c r="B1749" s="20" t="str">
        <f>IFERROR(VLOOKUP(A1749,Sheet1!$E$3:$H$27,4,0),"")</f>
        <v>P1</v>
      </c>
      <c r="C1749" s="14" t="s">
        <v>626</v>
      </c>
      <c r="D1749" s="12" t="s">
        <v>69</v>
      </c>
      <c r="E1749" s="13" t="str">
        <f>IFERROR(VLOOKUP(D1749,Sheet1!$B$1:$C$45,2,0),"")</f>
        <v>TE</v>
      </c>
      <c r="F1749" s="12" t="s">
        <v>179</v>
      </c>
      <c r="G1749" s="13" t="str">
        <f t="shared" si="5"/>
        <v>Palangkaraya</v>
      </c>
      <c r="H1749" s="15" t="str">
        <f>IFERROR(VLOOKUP(A1749,Sheet1!$E$3:$F$27,2,),"")</f>
        <v>Corrective</v>
      </c>
      <c r="I1749" s="16" t="str">
        <f>IFERROR(VLOOKUP(A1749,Sheet1!$E$3:$G$27,3,0),"")</f>
        <v>Replace Optik,RRU/Soket Power/Replace GPS</v>
      </c>
      <c r="J1749" s="12" t="s">
        <v>112</v>
      </c>
      <c r="K1749" s="17">
        <v>46091.0</v>
      </c>
      <c r="L1749" s="17">
        <v>46091.0</v>
      </c>
      <c r="M1749" s="12" t="s">
        <v>137</v>
      </c>
      <c r="N1749" s="23"/>
      <c r="O1749" s="22"/>
      <c r="P1749" s="22"/>
    </row>
    <row r="1750" ht="22.5" customHeight="1">
      <c r="A1750" s="12" t="s">
        <v>14</v>
      </c>
      <c r="B1750" s="20" t="str">
        <f>IFERROR(VLOOKUP(A1750,Sheet1!$E$3:$H$27,4,0),"")</f>
        <v>P1</v>
      </c>
      <c r="C1750" s="14" t="s">
        <v>346</v>
      </c>
      <c r="D1750" s="12" t="s">
        <v>56</v>
      </c>
      <c r="E1750" s="13" t="str">
        <f>IFERROR(VLOOKUP(D1750,Sheet1!$B$1:$C$45,2,0),"")</f>
        <v>TE</v>
      </c>
      <c r="F1750" s="12" t="s">
        <v>179</v>
      </c>
      <c r="G1750" s="13" t="str">
        <f t="shared" si="5"/>
        <v>Palangkaraya</v>
      </c>
      <c r="H1750" s="15" t="str">
        <f>IFERROR(VLOOKUP(A1750,Sheet1!$E$3:$F$27,2,),"")</f>
        <v>Corrective</v>
      </c>
      <c r="I1750" s="16" t="str">
        <f>IFERROR(VLOOKUP(A1750,Sheet1!$E$3:$G$27,3,0),"")</f>
        <v>Pemadaman,MCB Trip,Transmisi problem</v>
      </c>
      <c r="J1750" s="12" t="s">
        <v>112</v>
      </c>
      <c r="K1750" s="17">
        <v>46091.0</v>
      </c>
      <c r="L1750" s="17">
        <v>46091.0</v>
      </c>
      <c r="M1750" s="12" t="s">
        <v>137</v>
      </c>
      <c r="N1750" s="23"/>
      <c r="O1750" s="22"/>
      <c r="P1750" s="22"/>
    </row>
    <row r="1751" ht="22.5" customHeight="1">
      <c r="A1751" s="12" t="s">
        <v>22</v>
      </c>
      <c r="B1751" s="20" t="str">
        <f>IFERROR(VLOOKUP(A1751,Sheet1!$E$3:$H$27,4,0),"")</f>
        <v>P2</v>
      </c>
      <c r="C1751" s="15"/>
      <c r="D1751" s="12" t="s">
        <v>83</v>
      </c>
      <c r="E1751" s="13" t="str">
        <f>IFERROR(VLOOKUP(D1751,Sheet1!$B$1:$C$45,2,0),"")</f>
        <v>PM</v>
      </c>
      <c r="F1751" s="12" t="s">
        <v>179</v>
      </c>
      <c r="G1751" s="13" t="str">
        <f t="shared" si="5"/>
        <v>Palangkaraya</v>
      </c>
      <c r="H1751" s="15" t="str">
        <f>IFERROR(VLOOKUP(A1751,Sheet1!$E$3:$F$27,2,),"")</f>
        <v>Preventive</v>
      </c>
      <c r="I1751" s="16" t="str">
        <f>IFERROR(VLOOKUP(A1751,Sheet1!$E$3:$G$27,3,0),"")</f>
        <v>Preventive Maintenance</v>
      </c>
      <c r="J1751" s="12" t="s">
        <v>112</v>
      </c>
      <c r="K1751" s="17">
        <v>46091.0</v>
      </c>
      <c r="L1751" s="17">
        <v>46091.0</v>
      </c>
      <c r="M1751" s="12" t="s">
        <v>137</v>
      </c>
      <c r="N1751" s="23"/>
      <c r="O1751" s="22"/>
      <c r="P1751" s="22"/>
    </row>
    <row r="1752" ht="22.5" customHeight="1">
      <c r="A1752" s="12" t="s">
        <v>22</v>
      </c>
      <c r="B1752" s="20" t="str">
        <f>IFERROR(VLOOKUP(A1752,Sheet1!$E$3:$H$27,4,0),"")</f>
        <v>P2</v>
      </c>
      <c r="C1752" s="15"/>
      <c r="D1752" s="12" t="s">
        <v>82</v>
      </c>
      <c r="E1752" s="13" t="str">
        <f>IFERROR(VLOOKUP(D1752,Sheet1!$B$1:$C$45,2,0),"")</f>
        <v>PM</v>
      </c>
      <c r="F1752" s="12" t="s">
        <v>179</v>
      </c>
      <c r="G1752" s="13" t="str">
        <f t="shared" si="5"/>
        <v>Palangkaraya</v>
      </c>
      <c r="H1752" s="15" t="str">
        <f>IFERROR(VLOOKUP(A1752,Sheet1!$E$3:$F$27,2,),"")</f>
        <v>Preventive</v>
      </c>
      <c r="I1752" s="16" t="str">
        <f>IFERROR(VLOOKUP(A1752,Sheet1!$E$3:$G$27,3,0),"")</f>
        <v>Preventive Maintenance</v>
      </c>
      <c r="J1752" s="12" t="s">
        <v>112</v>
      </c>
      <c r="K1752" s="17">
        <v>46091.0</v>
      </c>
      <c r="L1752" s="17">
        <v>46091.0</v>
      </c>
      <c r="M1752" s="12" t="s">
        <v>137</v>
      </c>
      <c r="N1752" s="23"/>
      <c r="O1752" s="22"/>
      <c r="P1752" s="22"/>
    </row>
    <row r="1753" ht="22.5" customHeight="1">
      <c r="A1753" s="12" t="s">
        <v>22</v>
      </c>
      <c r="B1753" s="20" t="str">
        <f>IFERROR(VLOOKUP(A1753,Sheet1!$E$3:$H$27,4,0),"")</f>
        <v>P2</v>
      </c>
      <c r="C1753" s="15"/>
      <c r="D1753" s="12" t="s">
        <v>75</v>
      </c>
      <c r="E1753" s="13" t="str">
        <f>IFERROR(VLOOKUP(D1753,Sheet1!$B$1:$C$45,2,0),"")</f>
        <v>CME</v>
      </c>
      <c r="F1753" s="12" t="s">
        <v>179</v>
      </c>
      <c r="G1753" s="13" t="str">
        <f t="shared" si="5"/>
        <v>Palangkaraya</v>
      </c>
      <c r="H1753" s="15" t="str">
        <f>IFERROR(VLOOKUP(A1753,Sheet1!$E$3:$F$27,2,),"")</f>
        <v>Preventive</v>
      </c>
      <c r="I1753" s="16" t="str">
        <f>IFERROR(VLOOKUP(A1753,Sheet1!$E$3:$G$27,3,0),"")</f>
        <v>Preventive Maintenance</v>
      </c>
      <c r="J1753" s="12" t="s">
        <v>112</v>
      </c>
      <c r="K1753" s="17">
        <v>46091.0</v>
      </c>
      <c r="L1753" s="17">
        <v>46091.0</v>
      </c>
      <c r="M1753" s="12" t="s">
        <v>137</v>
      </c>
      <c r="N1753" s="23"/>
      <c r="O1753" s="22"/>
      <c r="P1753" s="22"/>
    </row>
    <row r="1754" ht="22.5" customHeight="1">
      <c r="A1754" s="12" t="s">
        <v>65</v>
      </c>
      <c r="B1754" s="20" t="str">
        <f>IFERROR(VLOOKUP(A1754,Sheet1!$E$3:$H$27,4,0),"")</f>
        <v>P3</v>
      </c>
      <c r="C1754" s="15"/>
      <c r="D1754" s="12" t="s">
        <v>54</v>
      </c>
      <c r="E1754" s="13" t="str">
        <f>IFERROR(VLOOKUP(D1754,Sheet1!$B$1:$C$45,2,0),"")</f>
        <v>MBP</v>
      </c>
      <c r="F1754" s="12" t="s">
        <v>179</v>
      </c>
      <c r="G1754" s="13" t="str">
        <f t="shared" si="5"/>
        <v>Palangkaraya</v>
      </c>
      <c r="H1754" s="15" t="str">
        <f>IFERROR(VLOOKUP(A1754,Sheet1!$E$3:$F$27,2,),"")</f>
        <v>Standby</v>
      </c>
      <c r="I1754" s="16" t="str">
        <f>IFERROR(VLOOKUP(A1754,Sheet1!$E$3:$G$27,3,0),"")</f>
        <v>Standby On Call</v>
      </c>
      <c r="J1754" s="12" t="s">
        <v>66</v>
      </c>
      <c r="K1754" s="17">
        <v>46091.0</v>
      </c>
      <c r="L1754" s="17">
        <v>46091.0</v>
      </c>
      <c r="M1754" s="12" t="s">
        <v>137</v>
      </c>
      <c r="N1754" s="23"/>
      <c r="O1754" s="22"/>
      <c r="P1754" s="22"/>
    </row>
    <row r="1755" ht="22.5" customHeight="1">
      <c r="A1755" s="12" t="s">
        <v>65</v>
      </c>
      <c r="B1755" s="20" t="str">
        <f>IFERROR(VLOOKUP(A1755,Sheet1!$E$3:$H$27,4,0),"")</f>
        <v>P3</v>
      </c>
      <c r="C1755" s="15"/>
      <c r="D1755" s="12" t="s">
        <v>45</v>
      </c>
      <c r="E1755" s="13" t="str">
        <f>IFERROR(VLOOKUP(D1755,Sheet1!$B$1:$C$45,2,0),"")</f>
        <v>MBP</v>
      </c>
      <c r="F1755" s="12" t="s">
        <v>179</v>
      </c>
      <c r="G1755" s="13" t="str">
        <f t="shared" si="5"/>
        <v>Palangkaraya</v>
      </c>
      <c r="H1755" s="15" t="str">
        <f>IFERROR(VLOOKUP(A1755,Sheet1!$E$3:$F$27,2,),"")</f>
        <v>Standby</v>
      </c>
      <c r="I1755" s="16" t="str">
        <f>IFERROR(VLOOKUP(A1755,Sheet1!$E$3:$G$27,3,0),"")</f>
        <v>Standby On Call</v>
      </c>
      <c r="J1755" s="12" t="s">
        <v>66</v>
      </c>
      <c r="K1755" s="17">
        <v>46091.0</v>
      </c>
      <c r="L1755" s="17">
        <v>46092.0</v>
      </c>
      <c r="M1755" s="12" t="s">
        <v>137</v>
      </c>
      <c r="N1755" s="23"/>
      <c r="O1755" s="22"/>
      <c r="P1755" s="22"/>
    </row>
    <row r="1756" ht="22.5" customHeight="1">
      <c r="A1756" s="12" t="s">
        <v>25</v>
      </c>
      <c r="B1756" s="20" t="str">
        <f>IFERROR(VLOOKUP(A1756,Sheet1!$E$3:$H$27,4,0),"")</f>
        <v>P2</v>
      </c>
      <c r="C1756" s="14" t="s">
        <v>375</v>
      </c>
      <c r="D1756" s="12" t="s">
        <v>76</v>
      </c>
      <c r="E1756" s="13" t="str">
        <f>IFERROR(VLOOKUP(D1756,Sheet1!$B$1:$C$45,2,0),"")</f>
        <v>TE</v>
      </c>
      <c r="F1756" s="12" t="s">
        <v>179</v>
      </c>
      <c r="G1756" s="13" t="str">
        <f t="shared" si="5"/>
        <v>Palangkaraya</v>
      </c>
      <c r="H1756" s="15" t="str">
        <f>IFERROR(VLOOKUP(A1756,Sheet1!$E$3:$F$27,2,),"")</f>
        <v>Corrective</v>
      </c>
      <c r="I1756" s="16" t="str">
        <f>IFERROR(VLOOKUP(A1756,Sheet1!$E$3:$G$27,3,0),"")</f>
        <v>Support Event</v>
      </c>
      <c r="J1756" s="12" t="s">
        <v>112</v>
      </c>
      <c r="K1756" s="17">
        <v>46092.0</v>
      </c>
      <c r="L1756" s="17">
        <v>46092.0</v>
      </c>
      <c r="M1756" s="12" t="s">
        <v>137</v>
      </c>
      <c r="N1756" s="23"/>
      <c r="O1756" s="22"/>
      <c r="P1756" s="22"/>
    </row>
    <row r="1757" ht="22.5" customHeight="1">
      <c r="A1757" s="12" t="s">
        <v>25</v>
      </c>
      <c r="B1757" s="20" t="str">
        <f>IFERROR(VLOOKUP(A1757,Sheet1!$E$3:$H$27,4,0),"")</f>
        <v>P2</v>
      </c>
      <c r="C1757" s="14" t="s">
        <v>375</v>
      </c>
      <c r="D1757" s="12" t="s">
        <v>37</v>
      </c>
      <c r="E1757" s="13" t="str">
        <f>IFERROR(VLOOKUP(D1757,Sheet1!$B$1:$C$45,2,0),"")</f>
        <v>TE</v>
      </c>
      <c r="F1757" s="12" t="s">
        <v>179</v>
      </c>
      <c r="G1757" s="13" t="str">
        <f t="shared" si="5"/>
        <v>Palangkaraya</v>
      </c>
      <c r="H1757" s="15" t="str">
        <f>IFERROR(VLOOKUP(A1757,Sheet1!$E$3:$F$27,2,),"")</f>
        <v>Corrective</v>
      </c>
      <c r="I1757" s="16" t="str">
        <f>IFERROR(VLOOKUP(A1757,Sheet1!$E$3:$G$27,3,0),"")</f>
        <v>Support Event</v>
      </c>
      <c r="J1757" s="12" t="s">
        <v>112</v>
      </c>
      <c r="K1757" s="17">
        <v>46092.0</v>
      </c>
      <c r="L1757" s="17">
        <v>46092.0</v>
      </c>
      <c r="M1757" s="12" t="s">
        <v>137</v>
      </c>
      <c r="N1757" s="23"/>
      <c r="O1757" s="22"/>
      <c r="P1757" s="22"/>
    </row>
    <row r="1758" ht="22.5" customHeight="1">
      <c r="A1758" s="12" t="s">
        <v>33</v>
      </c>
      <c r="B1758" s="20" t="str">
        <f>IFERROR(VLOOKUP(A1758,Sheet1!$E$3:$H$27,4,0),"")</f>
        <v>P2</v>
      </c>
      <c r="C1758" s="14" t="s">
        <v>297</v>
      </c>
      <c r="D1758" s="12" t="s">
        <v>77</v>
      </c>
      <c r="E1758" s="13" t="str">
        <f>IFERROR(VLOOKUP(D1758,Sheet1!$B$1:$C$45,2,0),"")</f>
        <v>TE</v>
      </c>
      <c r="F1758" s="12" t="s">
        <v>179</v>
      </c>
      <c r="G1758" s="13" t="str">
        <f t="shared" si="5"/>
        <v>Palangkaraya</v>
      </c>
      <c r="H1758" s="15" t="str">
        <f>IFERROR(VLOOKUP(A1758,Sheet1!$E$3:$F$27,2,),"")</f>
        <v>Preventive</v>
      </c>
      <c r="I1758" s="16" t="str">
        <f>IFERROR(VLOOKUP(A1758,Sheet1!$E$3:$G$27,3,0),"")</f>
        <v>Pengukuran dan pengambilan data log serta input Gdoc BBT</v>
      </c>
      <c r="J1758" s="12" t="s">
        <v>112</v>
      </c>
      <c r="K1758" s="17">
        <v>46092.0</v>
      </c>
      <c r="L1758" s="17">
        <v>46092.0</v>
      </c>
      <c r="M1758" s="12" t="s">
        <v>137</v>
      </c>
      <c r="N1758" s="23"/>
      <c r="O1758" s="22"/>
      <c r="P1758" s="22"/>
    </row>
    <row r="1759" ht="22.5" customHeight="1">
      <c r="A1759" s="12" t="s">
        <v>10</v>
      </c>
      <c r="B1759" s="20" t="str">
        <f>IFERROR(VLOOKUP(A1759,Sheet1!$E$3:$H$27,4,0),"")</f>
        <v>P1</v>
      </c>
      <c r="C1759" s="14" t="s">
        <v>444</v>
      </c>
      <c r="D1759" s="12" t="s">
        <v>79</v>
      </c>
      <c r="E1759" s="13" t="str">
        <f>IFERROR(VLOOKUP(D1759,Sheet1!$B$1:$C$45,2,0),"")</f>
        <v>TE</v>
      </c>
      <c r="F1759" s="12" t="s">
        <v>179</v>
      </c>
      <c r="G1759" s="13" t="str">
        <f t="shared" si="5"/>
        <v>Palangkaraya</v>
      </c>
      <c r="H1759" s="15" t="str">
        <f>IFERROR(VLOOKUP(A1759,Sheet1!$E$3:$F$27,2,),"")</f>
        <v>Corrective</v>
      </c>
      <c r="I1759" s="16" t="str">
        <f>IFERROR(VLOOKUP(A1759,Sheet1!$E$3:$G$27,3,0),"")</f>
        <v>Replace Jumper,antena/RRU</v>
      </c>
      <c r="J1759" s="12" t="s">
        <v>112</v>
      </c>
      <c r="K1759" s="17">
        <v>46092.0</v>
      </c>
      <c r="L1759" s="17">
        <v>46092.0</v>
      </c>
      <c r="M1759" s="12" t="s">
        <v>137</v>
      </c>
      <c r="N1759" s="23"/>
      <c r="O1759" s="22"/>
      <c r="P1759" s="22"/>
    </row>
    <row r="1760" ht="22.5" customHeight="1">
      <c r="A1760" s="12" t="s">
        <v>17</v>
      </c>
      <c r="B1760" s="20" t="str">
        <f>IFERROR(VLOOKUP(A1760,Sheet1!$E$3:$H$27,4,0),"")</f>
        <v>P2</v>
      </c>
      <c r="C1760" s="14" t="s">
        <v>601</v>
      </c>
      <c r="D1760" s="12" t="s">
        <v>51</v>
      </c>
      <c r="E1760" s="13" t="str">
        <f>IFERROR(VLOOKUP(D1760,Sheet1!$B$1:$C$45,2,0),"")</f>
        <v>TE</v>
      </c>
      <c r="F1760" s="12" t="s">
        <v>179</v>
      </c>
      <c r="G1760" s="13" t="str">
        <f t="shared" si="5"/>
        <v>Palangkaraya</v>
      </c>
      <c r="H1760" s="15" t="str">
        <f>IFERROR(VLOOKUP(A1760,Sheet1!$E$3:$F$27,2,),"")</f>
        <v>Preventive</v>
      </c>
      <c r="I1760" s="16" t="str">
        <f>IFERROR(VLOOKUP(A1760,Sheet1!$E$3:$G$27,3,0),"")</f>
        <v>integrasi LAN dan validasi alarm</v>
      </c>
      <c r="J1760" s="12" t="s">
        <v>112</v>
      </c>
      <c r="K1760" s="17">
        <v>46092.0</v>
      </c>
      <c r="L1760" s="17">
        <v>46092.0</v>
      </c>
      <c r="M1760" s="12" t="s">
        <v>137</v>
      </c>
      <c r="N1760" s="23"/>
      <c r="O1760" s="22"/>
      <c r="P1760" s="22"/>
    </row>
    <row r="1761" ht="22.5" customHeight="1">
      <c r="A1761" s="12" t="s">
        <v>17</v>
      </c>
      <c r="B1761" s="20" t="str">
        <f>IFERROR(VLOOKUP(A1761,Sheet1!$E$3:$H$27,4,0),"")</f>
        <v>P2</v>
      </c>
      <c r="C1761" s="14" t="s">
        <v>578</v>
      </c>
      <c r="D1761" s="12" t="s">
        <v>91</v>
      </c>
      <c r="E1761" s="13" t="str">
        <f>IFERROR(VLOOKUP(D1761,Sheet1!$B$1:$C$45,2,0),"")</f>
        <v>TE</v>
      </c>
      <c r="F1761" s="12" t="s">
        <v>179</v>
      </c>
      <c r="G1761" s="13" t="str">
        <f t="shared" si="5"/>
        <v>Palangkaraya</v>
      </c>
      <c r="H1761" s="15" t="str">
        <f>IFERROR(VLOOKUP(A1761,Sheet1!$E$3:$F$27,2,),"")</f>
        <v>Preventive</v>
      </c>
      <c r="I1761" s="16" t="str">
        <f>IFERROR(VLOOKUP(A1761,Sheet1!$E$3:$G$27,3,0),"")</f>
        <v>integrasi LAN dan validasi alarm</v>
      </c>
      <c r="J1761" s="12" t="s">
        <v>112</v>
      </c>
      <c r="K1761" s="17">
        <v>46092.0</v>
      </c>
      <c r="L1761" s="17">
        <v>46092.0</v>
      </c>
      <c r="M1761" s="12" t="s">
        <v>137</v>
      </c>
      <c r="N1761" s="23"/>
      <c r="O1761" s="22"/>
      <c r="P1761" s="22"/>
    </row>
    <row r="1762" ht="22.5" customHeight="1">
      <c r="A1762" s="12" t="s">
        <v>22</v>
      </c>
      <c r="B1762" s="20" t="str">
        <f>IFERROR(VLOOKUP(A1762,Sheet1!$E$3:$H$27,4,0),"")</f>
        <v>P2</v>
      </c>
      <c r="C1762" s="14" t="s">
        <v>607</v>
      </c>
      <c r="D1762" s="12" t="s">
        <v>58</v>
      </c>
      <c r="E1762" s="13" t="str">
        <f>IFERROR(VLOOKUP(D1762,Sheet1!$B$1:$C$45,2,0),"")</f>
        <v>TE</v>
      </c>
      <c r="F1762" s="12" t="s">
        <v>179</v>
      </c>
      <c r="G1762" s="13" t="str">
        <f t="shared" si="5"/>
        <v>Palangkaraya</v>
      </c>
      <c r="H1762" s="15" t="str">
        <f>IFERROR(VLOOKUP(A1762,Sheet1!$E$3:$F$27,2,),"")</f>
        <v>Preventive</v>
      </c>
      <c r="I1762" s="16" t="str">
        <f>IFERROR(VLOOKUP(A1762,Sheet1!$E$3:$G$27,3,0),"")</f>
        <v>Preventive Maintenance</v>
      </c>
      <c r="J1762" s="12" t="s">
        <v>112</v>
      </c>
      <c r="K1762" s="17">
        <v>46092.0</v>
      </c>
      <c r="L1762" s="17">
        <v>46092.0</v>
      </c>
      <c r="M1762" s="12" t="s">
        <v>137</v>
      </c>
      <c r="N1762" s="23"/>
      <c r="O1762" s="22"/>
      <c r="P1762" s="22"/>
    </row>
    <row r="1763" ht="22.5" customHeight="1">
      <c r="A1763" s="12" t="s">
        <v>5</v>
      </c>
      <c r="B1763" s="20" t="str">
        <f>IFERROR(VLOOKUP(A1763,Sheet1!$E$3:$H$27,4,0),"")</f>
        <v>P1</v>
      </c>
      <c r="C1763" s="14" t="s">
        <v>626</v>
      </c>
      <c r="D1763" s="12" t="s">
        <v>69</v>
      </c>
      <c r="E1763" s="13" t="str">
        <f>IFERROR(VLOOKUP(D1763,Sheet1!$B$1:$C$45,2,0),"")</f>
        <v>TE</v>
      </c>
      <c r="F1763" s="12" t="s">
        <v>179</v>
      </c>
      <c r="G1763" s="13" t="str">
        <f t="shared" si="5"/>
        <v>Palangkaraya</v>
      </c>
      <c r="H1763" s="15" t="str">
        <f>IFERROR(VLOOKUP(A1763,Sheet1!$E$3:$F$27,2,),"")</f>
        <v>Corrective</v>
      </c>
      <c r="I1763" s="16" t="str">
        <f>IFERROR(VLOOKUP(A1763,Sheet1!$E$3:$G$27,3,0),"")</f>
        <v>Replace Optik,RRU/Soket Power/Replace GPS</v>
      </c>
      <c r="J1763" s="12" t="s">
        <v>112</v>
      </c>
      <c r="K1763" s="17">
        <v>46092.0</v>
      </c>
      <c r="L1763" s="17">
        <v>46092.0</v>
      </c>
      <c r="M1763" s="12" t="s">
        <v>137</v>
      </c>
      <c r="N1763" s="23"/>
      <c r="O1763" s="22"/>
      <c r="P1763" s="22"/>
    </row>
    <row r="1764" ht="22.5" customHeight="1">
      <c r="A1764" s="12" t="s">
        <v>5</v>
      </c>
      <c r="B1764" s="20" t="str">
        <f>IFERROR(VLOOKUP(A1764,Sheet1!$E$3:$H$27,4,0),"")</f>
        <v>P1</v>
      </c>
      <c r="C1764" s="14" t="s">
        <v>593</v>
      </c>
      <c r="D1764" s="12" t="s">
        <v>71</v>
      </c>
      <c r="E1764" s="13" t="str">
        <f>IFERROR(VLOOKUP(D1764,Sheet1!$B$1:$C$45,2,0),"")</f>
        <v>TE</v>
      </c>
      <c r="F1764" s="12" t="s">
        <v>179</v>
      </c>
      <c r="G1764" s="13" t="str">
        <f t="shared" si="5"/>
        <v>Palangkaraya</v>
      </c>
      <c r="H1764" s="15" t="str">
        <f>IFERROR(VLOOKUP(A1764,Sheet1!$E$3:$F$27,2,),"")</f>
        <v>Corrective</v>
      </c>
      <c r="I1764" s="16" t="str">
        <f>IFERROR(VLOOKUP(A1764,Sheet1!$E$3:$G$27,3,0),"")</f>
        <v>Replace Optik,RRU/Soket Power/Replace GPS</v>
      </c>
      <c r="J1764" s="12" t="s">
        <v>112</v>
      </c>
      <c r="K1764" s="17">
        <v>46092.0</v>
      </c>
      <c r="L1764" s="17">
        <v>46092.0</v>
      </c>
      <c r="M1764" s="12" t="s">
        <v>137</v>
      </c>
      <c r="N1764" s="23"/>
      <c r="O1764" s="22"/>
      <c r="P1764" s="22"/>
    </row>
    <row r="1765" ht="22.5" customHeight="1">
      <c r="A1765" s="12" t="s">
        <v>65</v>
      </c>
      <c r="B1765" s="20" t="str">
        <f>IFERROR(VLOOKUP(A1765,Sheet1!$E$3:$H$27,4,0),"")</f>
        <v>P3</v>
      </c>
      <c r="C1765" s="15"/>
      <c r="D1765" s="12" t="s">
        <v>56</v>
      </c>
      <c r="E1765" s="13" t="str">
        <f>IFERROR(VLOOKUP(D1765,Sheet1!$B$1:$C$45,2,0),"")</f>
        <v>TE</v>
      </c>
      <c r="F1765" s="12" t="s">
        <v>179</v>
      </c>
      <c r="G1765" s="13" t="str">
        <f t="shared" si="5"/>
        <v>Palangkaraya</v>
      </c>
      <c r="H1765" s="15" t="str">
        <f>IFERROR(VLOOKUP(A1765,Sheet1!$E$3:$F$27,2,),"")</f>
        <v>Standby</v>
      </c>
      <c r="I1765" s="16" t="str">
        <f>IFERROR(VLOOKUP(A1765,Sheet1!$E$3:$G$27,3,0),"")</f>
        <v>Standby On Call</v>
      </c>
      <c r="J1765" s="12" t="s">
        <v>66</v>
      </c>
      <c r="K1765" s="17">
        <v>46092.0</v>
      </c>
      <c r="L1765" s="17">
        <v>46092.0</v>
      </c>
      <c r="M1765" s="12" t="s">
        <v>137</v>
      </c>
      <c r="N1765" s="23"/>
      <c r="O1765" s="22"/>
      <c r="P1765" s="22"/>
    </row>
    <row r="1766" ht="22.5" customHeight="1">
      <c r="A1766" s="12" t="s">
        <v>22</v>
      </c>
      <c r="B1766" s="20" t="str">
        <f>IFERROR(VLOOKUP(A1766,Sheet1!$E$3:$H$27,4,0),"")</f>
        <v>P2</v>
      </c>
      <c r="C1766" s="15"/>
      <c r="D1766" s="12" t="s">
        <v>83</v>
      </c>
      <c r="E1766" s="13" t="str">
        <f>IFERROR(VLOOKUP(D1766,Sheet1!$B$1:$C$45,2,0),"")</f>
        <v>PM</v>
      </c>
      <c r="F1766" s="12" t="s">
        <v>179</v>
      </c>
      <c r="G1766" s="13" t="str">
        <f t="shared" si="5"/>
        <v>Palangkaraya</v>
      </c>
      <c r="H1766" s="15" t="str">
        <f>IFERROR(VLOOKUP(A1766,Sheet1!$E$3:$F$27,2,),"")</f>
        <v>Preventive</v>
      </c>
      <c r="I1766" s="16" t="str">
        <f>IFERROR(VLOOKUP(A1766,Sheet1!$E$3:$G$27,3,0),"")</f>
        <v>Preventive Maintenance</v>
      </c>
      <c r="J1766" s="12" t="s">
        <v>112</v>
      </c>
      <c r="K1766" s="17">
        <v>46092.0</v>
      </c>
      <c r="L1766" s="17">
        <v>46092.0</v>
      </c>
      <c r="M1766" s="12" t="s">
        <v>137</v>
      </c>
      <c r="N1766" s="23"/>
      <c r="O1766" s="22"/>
      <c r="P1766" s="22"/>
    </row>
    <row r="1767" ht="22.5" customHeight="1">
      <c r="A1767" s="12" t="s">
        <v>22</v>
      </c>
      <c r="B1767" s="20" t="str">
        <f>IFERROR(VLOOKUP(A1767,Sheet1!$E$3:$H$27,4,0),"")</f>
        <v>P2</v>
      </c>
      <c r="C1767" s="15"/>
      <c r="D1767" s="12" t="s">
        <v>82</v>
      </c>
      <c r="E1767" s="13" t="str">
        <f>IFERROR(VLOOKUP(D1767,Sheet1!$B$1:$C$45,2,0),"")</f>
        <v>PM</v>
      </c>
      <c r="F1767" s="12" t="s">
        <v>179</v>
      </c>
      <c r="G1767" s="13" t="str">
        <f t="shared" si="5"/>
        <v>Palangkaraya</v>
      </c>
      <c r="H1767" s="15" t="str">
        <f>IFERROR(VLOOKUP(A1767,Sheet1!$E$3:$F$27,2,),"")</f>
        <v>Preventive</v>
      </c>
      <c r="I1767" s="16" t="str">
        <f>IFERROR(VLOOKUP(A1767,Sheet1!$E$3:$G$27,3,0),"")</f>
        <v>Preventive Maintenance</v>
      </c>
      <c r="J1767" s="12" t="s">
        <v>112</v>
      </c>
      <c r="K1767" s="17">
        <v>46092.0</v>
      </c>
      <c r="L1767" s="17">
        <v>46092.0</v>
      </c>
      <c r="M1767" s="12" t="s">
        <v>137</v>
      </c>
      <c r="N1767" s="23"/>
      <c r="O1767" s="22"/>
      <c r="P1767" s="22"/>
    </row>
    <row r="1768" ht="22.5" customHeight="1">
      <c r="A1768" s="12" t="s">
        <v>65</v>
      </c>
      <c r="B1768" s="20" t="str">
        <f>IFERROR(VLOOKUP(A1768,Sheet1!$E$3:$H$27,4,0),"")</f>
        <v>P3</v>
      </c>
      <c r="C1768" s="15"/>
      <c r="D1768" s="12" t="s">
        <v>35</v>
      </c>
      <c r="E1768" s="13" t="str">
        <f>IFERROR(VLOOKUP(D1768,Sheet1!$B$1:$C$45,2,0),"")</f>
        <v>MBP</v>
      </c>
      <c r="F1768" s="12" t="s">
        <v>179</v>
      </c>
      <c r="G1768" s="13" t="str">
        <f t="shared" si="5"/>
        <v>Palangkaraya</v>
      </c>
      <c r="H1768" s="15" t="str">
        <f>IFERROR(VLOOKUP(A1768,Sheet1!$E$3:$F$27,2,),"")</f>
        <v>Standby</v>
      </c>
      <c r="I1768" s="16" t="str">
        <f>IFERROR(VLOOKUP(A1768,Sheet1!$E$3:$G$27,3,0),"")</f>
        <v>Standby On Call</v>
      </c>
      <c r="J1768" s="12" t="s">
        <v>66</v>
      </c>
      <c r="K1768" s="17">
        <v>46092.0</v>
      </c>
      <c r="L1768" s="17">
        <v>46092.0</v>
      </c>
      <c r="M1768" s="12" t="s">
        <v>137</v>
      </c>
      <c r="N1768" s="23"/>
      <c r="O1768" s="22"/>
      <c r="P1768" s="22"/>
    </row>
    <row r="1769" ht="22.5" hidden="1" customHeight="1">
      <c r="A1769" s="12" t="s">
        <v>65</v>
      </c>
      <c r="B1769" s="20" t="str">
        <f>IFERROR(VLOOKUP(A1769,Sheet1!$E$3:$H$27,4,0),"")</f>
        <v>P3</v>
      </c>
      <c r="C1769" s="15"/>
      <c r="D1769" s="12" t="s">
        <v>75</v>
      </c>
      <c r="E1769" s="13" t="str">
        <f>IFERROR(VLOOKUP(D1769,Sheet1!$B$1:$C$45,2,0),"")</f>
        <v>CME</v>
      </c>
      <c r="F1769" s="12" t="s">
        <v>179</v>
      </c>
      <c r="G1769" s="13" t="str">
        <f t="shared" si="5"/>
        <v>Palangkaraya</v>
      </c>
      <c r="H1769" s="15" t="str">
        <f>IFERROR(VLOOKUP(A1769,Sheet1!$E$3:$F$27,2,),"")</f>
        <v>Standby</v>
      </c>
      <c r="I1769" s="16" t="str">
        <f>IFERROR(VLOOKUP(A1769,Sheet1!$E$3:$G$27,3,0),"")</f>
        <v>Standby On Call</v>
      </c>
      <c r="J1769" s="12" t="s">
        <v>66</v>
      </c>
      <c r="K1769" s="17">
        <v>46092.0</v>
      </c>
      <c r="L1769" s="17">
        <v>46092.0</v>
      </c>
      <c r="M1769" s="12" t="s">
        <v>137</v>
      </c>
      <c r="N1769" s="23"/>
      <c r="O1769" s="22"/>
      <c r="P1769" s="22"/>
    </row>
    <row r="1770" ht="22.5" hidden="1" customHeight="1">
      <c r="A1770" s="12" t="s">
        <v>65</v>
      </c>
      <c r="B1770" s="20" t="str">
        <f>IFERROR(VLOOKUP(A1770,Sheet1!$E$3:$H$27,4,0),"")</f>
        <v>P3</v>
      </c>
      <c r="C1770" s="15"/>
      <c r="D1770" s="12" t="s">
        <v>54</v>
      </c>
      <c r="E1770" s="13" t="str">
        <f>IFERROR(VLOOKUP(D1770,Sheet1!$B$1:$C$45,2,0),"")</f>
        <v>MBP</v>
      </c>
      <c r="F1770" s="12" t="s">
        <v>179</v>
      </c>
      <c r="G1770" s="13" t="str">
        <f t="shared" si="5"/>
        <v>Palangkaraya</v>
      </c>
      <c r="H1770" s="15" t="str">
        <f>IFERROR(VLOOKUP(A1770,Sheet1!$E$3:$F$27,2,),"")</f>
        <v>Standby</v>
      </c>
      <c r="I1770" s="16" t="str">
        <f>IFERROR(VLOOKUP(A1770,Sheet1!$E$3:$G$27,3,0),"")</f>
        <v>Standby On Call</v>
      </c>
      <c r="J1770" s="12" t="s">
        <v>66</v>
      </c>
      <c r="K1770" s="17">
        <v>46092.0</v>
      </c>
      <c r="L1770" s="17">
        <v>46092.0</v>
      </c>
      <c r="M1770" s="12" t="s">
        <v>137</v>
      </c>
      <c r="N1770" s="23"/>
      <c r="O1770" s="22"/>
      <c r="P1770" s="22"/>
    </row>
    <row r="1771" ht="22.5" customHeight="1">
      <c r="A1771" s="12" t="s">
        <v>52</v>
      </c>
      <c r="B1771" s="20" t="str">
        <f>IFERROR(VLOOKUP(A1771,Sheet1!$E$3:$H$27,4,0),"")</f>
        <v>P1</v>
      </c>
      <c r="C1771" s="14" t="s">
        <v>627</v>
      </c>
      <c r="D1771" s="12" t="s">
        <v>12</v>
      </c>
      <c r="E1771" s="13" t="str">
        <f>IFERROR(VLOOKUP(D1771,Sheet1!$B$1:$C$45,2,0),"")</f>
        <v>TE</v>
      </c>
      <c r="F1771" s="12" t="s">
        <v>108</v>
      </c>
      <c r="G1771" s="12" t="s">
        <v>155</v>
      </c>
      <c r="H1771" s="15" t="str">
        <f>IFERROR(VLOOKUP(A1771,Sheet1!$E$3:$F$27,2,),"")</f>
        <v>Preventive</v>
      </c>
      <c r="I1771" s="16" t="str">
        <f>IFERROR(VLOOKUP(A1771,Sheet1!$E$3:$G$27,3,0),"")</f>
        <v>MCB trip/Power upnormal</v>
      </c>
      <c r="J1771" s="12" t="s">
        <v>112</v>
      </c>
      <c r="K1771" s="17">
        <v>46092.0</v>
      </c>
      <c r="L1771" s="17">
        <v>46092.0</v>
      </c>
      <c r="M1771" s="13"/>
      <c r="N1771" s="23"/>
      <c r="O1771" s="22"/>
      <c r="P1771" s="22"/>
    </row>
    <row r="1772" ht="22.5" customHeight="1">
      <c r="A1772" s="12" t="s">
        <v>22</v>
      </c>
      <c r="B1772" s="20" t="str">
        <f>IFERROR(VLOOKUP(A1772,Sheet1!$E$3:$H$27,4,0),"")</f>
        <v>P2</v>
      </c>
      <c r="C1772" s="15"/>
      <c r="D1772" s="12" t="s">
        <v>16</v>
      </c>
      <c r="E1772" s="13" t="str">
        <f>IFERROR(VLOOKUP(D1772,Sheet1!$B$1:$C$45,2,0),"")</f>
        <v>TE</v>
      </c>
      <c r="F1772" s="12" t="s">
        <v>108</v>
      </c>
      <c r="G1772" s="13" t="str">
        <f t="shared" ref="G1772:G1959" si="6">IFERROR(IFS(F1772="Winda Sokenda","Barito Raya",F1772="Doni Damara","Palangkaraya"),"")</f>
        <v>Barito Raya</v>
      </c>
      <c r="H1772" s="15" t="str">
        <f>IFERROR(VLOOKUP(A1772,Sheet1!$E$3:$F$27,2,),"")</f>
        <v>Preventive</v>
      </c>
      <c r="I1772" s="16" t="str">
        <f>IFERROR(VLOOKUP(A1772,Sheet1!$E$3:$G$27,3,0),"")</f>
        <v>Preventive Maintenance</v>
      </c>
      <c r="J1772" s="12" t="s">
        <v>112</v>
      </c>
      <c r="K1772" s="17">
        <v>46092.0</v>
      </c>
      <c r="L1772" s="17">
        <v>46092.0</v>
      </c>
      <c r="M1772" s="13"/>
      <c r="N1772" s="23"/>
      <c r="O1772" s="22"/>
      <c r="P1772" s="22"/>
    </row>
    <row r="1773" ht="22.5" customHeight="1">
      <c r="A1773" s="12" t="s">
        <v>52</v>
      </c>
      <c r="B1773" s="20" t="str">
        <f>IFERROR(VLOOKUP(A1773,Sheet1!$E$3:$H$27,4,0),"")</f>
        <v>P1</v>
      </c>
      <c r="C1773" s="14" t="s">
        <v>509</v>
      </c>
      <c r="D1773" s="12" t="s">
        <v>21</v>
      </c>
      <c r="E1773" s="13" t="str">
        <f>IFERROR(VLOOKUP(D1773,Sheet1!$B$1:$C$45,2,0),"")</f>
        <v>TE</v>
      </c>
      <c r="F1773" s="12" t="s">
        <v>108</v>
      </c>
      <c r="G1773" s="13" t="str">
        <f t="shared" si="6"/>
        <v>Barito Raya</v>
      </c>
      <c r="H1773" s="15" t="str">
        <f>IFERROR(VLOOKUP(A1773,Sheet1!$E$3:$F$27,2,),"")</f>
        <v>Preventive</v>
      </c>
      <c r="I1773" s="16" t="str">
        <f>IFERROR(VLOOKUP(A1773,Sheet1!$E$3:$G$27,3,0),"")</f>
        <v>MCB trip/Power upnormal</v>
      </c>
      <c r="J1773" s="12" t="s">
        <v>112</v>
      </c>
      <c r="K1773" s="17">
        <v>46092.0</v>
      </c>
      <c r="L1773" s="17">
        <v>46092.0</v>
      </c>
      <c r="M1773" s="13"/>
      <c r="N1773" s="23"/>
      <c r="O1773" s="22"/>
      <c r="P1773" s="22"/>
    </row>
    <row r="1774" ht="22.5" customHeight="1">
      <c r="A1774" s="12" t="s">
        <v>43</v>
      </c>
      <c r="B1774" s="20" t="str">
        <f>IFERROR(VLOOKUP(A1774,Sheet1!$E$3:$H$27,4,0),"")</f>
        <v>P1</v>
      </c>
      <c r="C1774" s="14" t="s">
        <v>563</v>
      </c>
      <c r="D1774" s="12" t="s">
        <v>26</v>
      </c>
      <c r="E1774" s="13" t="str">
        <f>IFERROR(VLOOKUP(D1774,Sheet1!$B$1:$C$45,2,0),"")</f>
        <v>TE</v>
      </c>
      <c r="F1774" s="12" t="s">
        <v>108</v>
      </c>
      <c r="G1774" s="13" t="str">
        <f t="shared" si="6"/>
        <v>Barito Raya</v>
      </c>
      <c r="H1774" s="15" t="str">
        <f>IFERROR(VLOOKUP(A1774,Sheet1!$E$3:$F$27,2,),"")</f>
        <v>Corrective</v>
      </c>
      <c r="I1774" s="16" t="str">
        <f>IFERROR(VLOOKUP(A1774,Sheet1!$E$3:$G$27,3,0),"")</f>
        <v>Impact BTS down / RX Level &gt;70 / PL</v>
      </c>
      <c r="J1774" s="12" t="s">
        <v>112</v>
      </c>
      <c r="K1774" s="17">
        <v>46092.0</v>
      </c>
      <c r="L1774" s="17">
        <v>46092.0</v>
      </c>
      <c r="M1774" s="13"/>
      <c r="N1774" s="23"/>
      <c r="O1774" s="22"/>
      <c r="P1774" s="22"/>
    </row>
    <row r="1775" ht="22.5" customHeight="1">
      <c r="A1775" s="12" t="s">
        <v>14</v>
      </c>
      <c r="B1775" s="20" t="str">
        <f>IFERROR(VLOOKUP(A1775,Sheet1!$E$3:$H$27,4,0),"")</f>
        <v>P1</v>
      </c>
      <c r="C1775" s="14" t="s">
        <v>485</v>
      </c>
      <c r="D1775" s="12" t="s">
        <v>32</v>
      </c>
      <c r="E1775" s="13" t="str">
        <f>IFERROR(VLOOKUP(D1775,Sheet1!$B$1:$C$45,2,0),"")</f>
        <v>TE</v>
      </c>
      <c r="F1775" s="12" t="s">
        <v>108</v>
      </c>
      <c r="G1775" s="13" t="str">
        <f t="shared" si="6"/>
        <v>Barito Raya</v>
      </c>
      <c r="H1775" s="15" t="str">
        <f>IFERROR(VLOOKUP(A1775,Sheet1!$E$3:$F$27,2,),"")</f>
        <v>Corrective</v>
      </c>
      <c r="I1775" s="16" t="str">
        <f>IFERROR(VLOOKUP(A1775,Sheet1!$E$3:$G$27,3,0),"")</f>
        <v>Pemadaman,MCB Trip,Transmisi problem</v>
      </c>
      <c r="J1775" s="12" t="s">
        <v>112</v>
      </c>
      <c r="K1775" s="17">
        <v>46092.0</v>
      </c>
      <c r="L1775" s="17">
        <v>46092.0</v>
      </c>
      <c r="M1775" s="13"/>
      <c r="N1775" s="23"/>
      <c r="O1775" s="22"/>
      <c r="P1775" s="22"/>
    </row>
    <row r="1776" ht="22.5" customHeight="1">
      <c r="A1776" s="12" t="s">
        <v>43</v>
      </c>
      <c r="B1776" s="20" t="str">
        <f>IFERROR(VLOOKUP(A1776,Sheet1!$E$3:$H$27,4,0),"")</f>
        <v>P1</v>
      </c>
      <c r="C1776" s="14" t="s">
        <v>247</v>
      </c>
      <c r="D1776" s="12" t="s">
        <v>74</v>
      </c>
      <c r="E1776" s="13" t="str">
        <f>IFERROR(VLOOKUP(D1776,Sheet1!$B$1:$C$45,2,0),"")</f>
        <v>TE</v>
      </c>
      <c r="F1776" s="12" t="s">
        <v>108</v>
      </c>
      <c r="G1776" s="13" t="str">
        <f t="shared" si="6"/>
        <v>Barito Raya</v>
      </c>
      <c r="H1776" s="15" t="str">
        <f>IFERROR(VLOOKUP(A1776,Sheet1!$E$3:$F$27,2,),"")</f>
        <v>Corrective</v>
      </c>
      <c r="I1776" s="16" t="str">
        <f>IFERROR(VLOOKUP(A1776,Sheet1!$E$3:$G$27,3,0),"")</f>
        <v>Impact BTS down / RX Level &gt;70 / PL</v>
      </c>
      <c r="J1776" s="12" t="s">
        <v>112</v>
      </c>
      <c r="K1776" s="17">
        <v>46092.0</v>
      </c>
      <c r="L1776" s="17">
        <v>46092.0</v>
      </c>
      <c r="M1776" s="13"/>
      <c r="N1776" s="23"/>
      <c r="O1776" s="22"/>
      <c r="P1776" s="22"/>
    </row>
    <row r="1777" ht="22.5" customHeight="1">
      <c r="A1777" s="12" t="s">
        <v>52</v>
      </c>
      <c r="B1777" s="20" t="str">
        <f>IFERROR(VLOOKUP(A1777,Sheet1!$E$3:$H$27,4,0),"")</f>
        <v>P1</v>
      </c>
      <c r="C1777" s="14" t="s">
        <v>412</v>
      </c>
      <c r="D1777" s="12" t="s">
        <v>60</v>
      </c>
      <c r="E1777" s="13" t="str">
        <f>IFERROR(VLOOKUP(D1777,Sheet1!$B$1:$C$45,2,0),"")</f>
        <v>TE</v>
      </c>
      <c r="F1777" s="12" t="s">
        <v>108</v>
      </c>
      <c r="G1777" s="13" t="str">
        <f t="shared" si="6"/>
        <v>Barito Raya</v>
      </c>
      <c r="H1777" s="15" t="str">
        <f>IFERROR(VLOOKUP(A1777,Sheet1!$E$3:$F$27,2,),"")</f>
        <v>Preventive</v>
      </c>
      <c r="I1777" s="16" t="str">
        <f>IFERROR(VLOOKUP(A1777,Sheet1!$E$3:$G$27,3,0),"")</f>
        <v>MCB trip/Power upnormal</v>
      </c>
      <c r="J1777" s="12" t="s">
        <v>112</v>
      </c>
      <c r="K1777" s="17">
        <v>46092.0</v>
      </c>
      <c r="L1777" s="17">
        <v>46092.0</v>
      </c>
      <c r="M1777" s="13"/>
      <c r="N1777" s="23"/>
      <c r="O1777" s="22"/>
      <c r="P1777" s="22"/>
    </row>
    <row r="1778" ht="22.5" customHeight="1">
      <c r="A1778" s="12" t="s">
        <v>52</v>
      </c>
      <c r="B1778" s="20" t="str">
        <f>IFERROR(VLOOKUP(A1778,Sheet1!$E$3:$H$27,4,0),"")</f>
        <v>P1</v>
      </c>
      <c r="C1778" s="14" t="s">
        <v>628</v>
      </c>
      <c r="D1778" s="12" t="s">
        <v>62</v>
      </c>
      <c r="E1778" s="13" t="str">
        <f>IFERROR(VLOOKUP(D1778,Sheet1!$B$1:$C$45,2,0),"")</f>
        <v>TE</v>
      </c>
      <c r="F1778" s="12" t="s">
        <v>108</v>
      </c>
      <c r="G1778" s="13" t="str">
        <f t="shared" si="6"/>
        <v>Barito Raya</v>
      </c>
      <c r="H1778" s="15" t="str">
        <f>IFERROR(VLOOKUP(A1778,Sheet1!$E$3:$F$27,2,),"")</f>
        <v>Preventive</v>
      </c>
      <c r="I1778" s="16" t="str">
        <f>IFERROR(VLOOKUP(A1778,Sheet1!$E$3:$G$27,3,0),"")</f>
        <v>MCB trip/Power upnormal</v>
      </c>
      <c r="J1778" s="12" t="s">
        <v>112</v>
      </c>
      <c r="K1778" s="17">
        <v>46092.0</v>
      </c>
      <c r="L1778" s="17">
        <v>46092.0</v>
      </c>
      <c r="M1778" s="13"/>
      <c r="N1778" s="23"/>
      <c r="O1778" s="22"/>
      <c r="P1778" s="22"/>
    </row>
    <row r="1779" ht="22.5" customHeight="1">
      <c r="A1779" s="12" t="s">
        <v>22</v>
      </c>
      <c r="B1779" s="20" t="str">
        <f>IFERROR(VLOOKUP(A1779,Sheet1!$E$3:$H$27,4,0),"")</f>
        <v>P2</v>
      </c>
      <c r="C1779" s="15"/>
      <c r="D1779" s="12" t="s">
        <v>9</v>
      </c>
      <c r="E1779" s="13" t="str">
        <f>IFERROR(VLOOKUP(D1779,Sheet1!$B$1:$C$45,2,0),"")</f>
        <v>MBP</v>
      </c>
      <c r="F1779" s="12" t="s">
        <v>108</v>
      </c>
      <c r="G1779" s="13" t="str">
        <f t="shared" si="6"/>
        <v>Barito Raya</v>
      </c>
      <c r="H1779" s="15" t="str">
        <f>IFERROR(VLOOKUP(A1779,Sheet1!$E$3:$F$27,2,),"")</f>
        <v>Preventive</v>
      </c>
      <c r="I1779" s="16" t="str">
        <f>IFERROR(VLOOKUP(A1779,Sheet1!$E$3:$G$27,3,0),"")</f>
        <v>Preventive Maintenance</v>
      </c>
      <c r="J1779" s="12" t="s">
        <v>112</v>
      </c>
      <c r="K1779" s="17">
        <v>46092.0</v>
      </c>
      <c r="L1779" s="17">
        <v>46092.0</v>
      </c>
      <c r="M1779" s="13"/>
      <c r="N1779" s="23"/>
      <c r="O1779" s="22"/>
      <c r="P1779" s="22"/>
    </row>
    <row r="1780" ht="22.5" customHeight="1">
      <c r="A1780" s="12" t="s">
        <v>65</v>
      </c>
      <c r="B1780" s="20" t="str">
        <f>IFERROR(VLOOKUP(A1780,Sheet1!$E$3:$H$27,4,0),"")</f>
        <v>P3</v>
      </c>
      <c r="C1780" s="15"/>
      <c r="D1780" s="12" t="s">
        <v>4</v>
      </c>
      <c r="E1780" s="13" t="str">
        <f>IFERROR(VLOOKUP(D1780,Sheet1!$B$1:$C$45,2,0),"")</f>
        <v>CME</v>
      </c>
      <c r="F1780" s="12" t="s">
        <v>108</v>
      </c>
      <c r="G1780" s="13" t="str">
        <f t="shared" si="6"/>
        <v>Barito Raya</v>
      </c>
      <c r="H1780" s="15" t="str">
        <f>IFERROR(VLOOKUP(A1780,Sheet1!$E$3:$F$27,2,),"")</f>
        <v>Standby</v>
      </c>
      <c r="I1780" s="16" t="str">
        <f>IFERROR(VLOOKUP(A1780,Sheet1!$E$3:$G$27,3,0),"")</f>
        <v>Standby On Call</v>
      </c>
      <c r="J1780" s="12" t="s">
        <v>66</v>
      </c>
      <c r="K1780" s="17">
        <v>46092.0</v>
      </c>
      <c r="L1780" s="17">
        <v>46092.0</v>
      </c>
      <c r="M1780" s="13"/>
      <c r="N1780" s="23"/>
      <c r="O1780" s="22"/>
      <c r="P1780" s="22"/>
    </row>
    <row r="1781" ht="22.5" customHeight="1">
      <c r="A1781" s="12" t="s">
        <v>65</v>
      </c>
      <c r="B1781" s="20" t="str">
        <f>IFERROR(VLOOKUP(A1781,Sheet1!$E$3:$H$27,4,0),"")</f>
        <v>P3</v>
      </c>
      <c r="C1781" s="15"/>
      <c r="D1781" s="12" t="s">
        <v>87</v>
      </c>
      <c r="E1781" s="13" t="str">
        <f>IFERROR(VLOOKUP(D1781,Sheet1!$B$1:$C$45,2,0),"")</f>
        <v>MBP</v>
      </c>
      <c r="F1781" s="12" t="s">
        <v>108</v>
      </c>
      <c r="G1781" s="13" t="str">
        <f t="shared" si="6"/>
        <v>Barito Raya</v>
      </c>
      <c r="H1781" s="15" t="str">
        <f>IFERROR(VLOOKUP(A1781,Sheet1!$E$3:$F$27,2,),"")</f>
        <v>Standby</v>
      </c>
      <c r="I1781" s="16" t="str">
        <f>IFERROR(VLOOKUP(A1781,Sheet1!$E$3:$G$27,3,0),"")</f>
        <v>Standby On Call</v>
      </c>
      <c r="J1781" s="12" t="s">
        <v>66</v>
      </c>
      <c r="K1781" s="17">
        <v>46092.0</v>
      </c>
      <c r="L1781" s="17">
        <v>46092.0</v>
      </c>
      <c r="M1781" s="13"/>
      <c r="N1781" s="23"/>
      <c r="O1781" s="22"/>
      <c r="P1781" s="22"/>
    </row>
    <row r="1782" ht="22.5" customHeight="1">
      <c r="A1782" s="12" t="s">
        <v>65</v>
      </c>
      <c r="B1782" s="20" t="str">
        <f>IFERROR(VLOOKUP(A1782,Sheet1!$E$3:$H$27,4,0),"")</f>
        <v>P3</v>
      </c>
      <c r="C1782" s="15"/>
      <c r="D1782" s="12" t="s">
        <v>29</v>
      </c>
      <c r="E1782" s="13" t="str">
        <f>IFERROR(VLOOKUP(D1782,Sheet1!$B$1:$C$45,2,0),"")</f>
        <v>MBP</v>
      </c>
      <c r="F1782" s="12" t="s">
        <v>108</v>
      </c>
      <c r="G1782" s="13" t="str">
        <f t="shared" si="6"/>
        <v>Barito Raya</v>
      </c>
      <c r="H1782" s="15" t="str">
        <f>IFERROR(VLOOKUP(A1782,Sheet1!$E$3:$F$27,2,),"")</f>
        <v>Standby</v>
      </c>
      <c r="I1782" s="16" t="str">
        <f>IFERROR(VLOOKUP(A1782,Sheet1!$E$3:$G$27,3,0),"")</f>
        <v>Standby On Call</v>
      </c>
      <c r="J1782" s="12" t="s">
        <v>66</v>
      </c>
      <c r="K1782" s="17">
        <v>46092.0</v>
      </c>
      <c r="L1782" s="17">
        <v>46092.0</v>
      </c>
      <c r="M1782" s="13"/>
      <c r="N1782" s="23"/>
      <c r="O1782" s="22"/>
      <c r="P1782" s="22"/>
    </row>
    <row r="1783" ht="22.5" customHeight="1">
      <c r="A1783" s="12" t="s">
        <v>65</v>
      </c>
      <c r="B1783" s="20" t="str">
        <f>IFERROR(VLOOKUP(A1783,Sheet1!$E$3:$H$27,4,0),"")</f>
        <v>P3</v>
      </c>
      <c r="C1783" s="15"/>
      <c r="D1783" s="12" t="s">
        <v>2</v>
      </c>
      <c r="E1783" s="13" t="str">
        <f>IFERROR(VLOOKUP(D1783,Sheet1!$B$1:$C$45,2,0),"")</f>
        <v>CME</v>
      </c>
      <c r="F1783" s="12" t="s">
        <v>108</v>
      </c>
      <c r="G1783" s="13" t="str">
        <f t="shared" si="6"/>
        <v>Barito Raya</v>
      </c>
      <c r="H1783" s="15" t="str">
        <f>IFERROR(VLOOKUP(A1783,Sheet1!$E$3:$F$27,2,),"")</f>
        <v>Standby</v>
      </c>
      <c r="I1783" s="16" t="str">
        <f>IFERROR(VLOOKUP(A1783,Sheet1!$E$3:$G$27,3,0),"")</f>
        <v>Standby On Call</v>
      </c>
      <c r="J1783" s="12" t="s">
        <v>66</v>
      </c>
      <c r="K1783" s="17">
        <v>46092.0</v>
      </c>
      <c r="L1783" s="17">
        <v>46092.0</v>
      </c>
      <c r="M1783" s="13"/>
      <c r="N1783" s="23"/>
      <c r="O1783" s="22"/>
      <c r="P1783" s="22"/>
    </row>
    <row r="1784" ht="22.5" customHeight="1">
      <c r="A1784" s="12" t="s">
        <v>65</v>
      </c>
      <c r="B1784" s="20" t="str">
        <f>IFERROR(VLOOKUP(A1784,Sheet1!$E$3:$H$27,4,0),"")</f>
        <v>P3</v>
      </c>
      <c r="C1784" s="15"/>
      <c r="D1784" s="12" t="s">
        <v>0</v>
      </c>
      <c r="E1784" s="13" t="str">
        <f>IFERROR(VLOOKUP(D1784,Sheet1!$B$1:$C$45,2,0),"")</f>
        <v>MBP</v>
      </c>
      <c r="F1784" s="12" t="s">
        <v>108</v>
      </c>
      <c r="G1784" s="13" t="str">
        <f t="shared" si="6"/>
        <v>Barito Raya</v>
      </c>
      <c r="H1784" s="15" t="str">
        <f>IFERROR(VLOOKUP(A1784,Sheet1!$E$3:$F$27,2,),"")</f>
        <v>Standby</v>
      </c>
      <c r="I1784" s="16" t="str">
        <f>IFERROR(VLOOKUP(A1784,Sheet1!$E$3:$G$27,3,0),"")</f>
        <v>Standby On Call</v>
      </c>
      <c r="J1784" s="12" t="s">
        <v>66</v>
      </c>
      <c r="K1784" s="17">
        <v>46092.0</v>
      </c>
      <c r="L1784" s="17">
        <v>46092.0</v>
      </c>
      <c r="M1784" s="13"/>
      <c r="N1784" s="23"/>
      <c r="O1784" s="22"/>
      <c r="P1784" s="22"/>
    </row>
    <row r="1785" ht="22.5" customHeight="1">
      <c r="A1785" s="12" t="s">
        <v>22</v>
      </c>
      <c r="B1785" s="20" t="str">
        <f>IFERROR(VLOOKUP(A1785,Sheet1!$E$3:$H$27,4,0),"")</f>
        <v>P2</v>
      </c>
      <c r="C1785" s="14" t="s">
        <v>157</v>
      </c>
      <c r="D1785" s="12" t="s">
        <v>85</v>
      </c>
      <c r="E1785" s="13" t="str">
        <f>IFERROR(VLOOKUP(D1785,Sheet1!$B$1:$C$45,2,0),"")</f>
        <v>PM</v>
      </c>
      <c r="F1785" s="12" t="s">
        <v>108</v>
      </c>
      <c r="G1785" s="13" t="str">
        <f t="shared" si="6"/>
        <v>Barito Raya</v>
      </c>
      <c r="H1785" s="15" t="str">
        <f>IFERROR(VLOOKUP(A1785,Sheet1!$E$3:$F$27,2,),"")</f>
        <v>Preventive</v>
      </c>
      <c r="I1785" s="16" t="str">
        <f>IFERROR(VLOOKUP(A1785,Sheet1!$E$3:$G$27,3,0),"")</f>
        <v>Preventive Maintenance</v>
      </c>
      <c r="J1785" s="12" t="s">
        <v>112</v>
      </c>
      <c r="K1785" s="17">
        <v>46092.0</v>
      </c>
      <c r="L1785" s="17">
        <v>46092.0</v>
      </c>
      <c r="M1785" s="13"/>
      <c r="N1785" s="23"/>
      <c r="O1785" s="22"/>
      <c r="P1785" s="22"/>
    </row>
    <row r="1786" ht="22.5" customHeight="1">
      <c r="A1786" s="12" t="s">
        <v>22</v>
      </c>
      <c r="B1786" s="20" t="str">
        <f>IFERROR(VLOOKUP(A1786,Sheet1!$E$3:$H$27,4,0),"")</f>
        <v>P2</v>
      </c>
      <c r="C1786" s="14" t="s">
        <v>157</v>
      </c>
      <c r="D1786" s="12" t="s">
        <v>84</v>
      </c>
      <c r="E1786" s="13" t="str">
        <f>IFERROR(VLOOKUP(D1786,Sheet1!$B$1:$C$45,2,0),"")</f>
        <v>MBP</v>
      </c>
      <c r="F1786" s="12" t="s">
        <v>108</v>
      </c>
      <c r="G1786" s="13" t="str">
        <f t="shared" si="6"/>
        <v>Barito Raya</v>
      </c>
      <c r="H1786" s="15" t="str">
        <f>IFERROR(VLOOKUP(A1786,Sheet1!$E$3:$F$27,2,),"")</f>
        <v>Preventive</v>
      </c>
      <c r="I1786" s="16" t="str">
        <f>IFERROR(VLOOKUP(A1786,Sheet1!$E$3:$G$27,3,0),"")</f>
        <v>Preventive Maintenance</v>
      </c>
      <c r="J1786" s="12" t="s">
        <v>112</v>
      </c>
      <c r="K1786" s="17">
        <v>46092.0</v>
      </c>
      <c r="L1786" s="17">
        <v>46092.0</v>
      </c>
      <c r="M1786" s="13"/>
      <c r="N1786" s="23"/>
      <c r="O1786" s="22"/>
      <c r="P1786" s="22"/>
    </row>
    <row r="1787" ht="22.5" customHeight="1">
      <c r="A1787" s="12" t="s">
        <v>22</v>
      </c>
      <c r="B1787" s="20" t="str">
        <f>IFERROR(VLOOKUP(A1787,Sheet1!$E$3:$H$27,4,0),"")</f>
        <v>P2</v>
      </c>
      <c r="C1787" s="14" t="s">
        <v>418</v>
      </c>
      <c r="D1787" s="12" t="s">
        <v>86</v>
      </c>
      <c r="E1787" s="13" t="str">
        <f>IFERROR(VLOOKUP(D1787,Sheet1!$B$1:$C$45,2,0),"")</f>
        <v>PM</v>
      </c>
      <c r="F1787" s="12" t="s">
        <v>108</v>
      </c>
      <c r="G1787" s="13" t="str">
        <f t="shared" si="6"/>
        <v>Barito Raya</v>
      </c>
      <c r="H1787" s="15" t="str">
        <f>IFERROR(VLOOKUP(A1787,Sheet1!$E$3:$F$27,2,),"")</f>
        <v>Preventive</v>
      </c>
      <c r="I1787" s="16" t="str">
        <f>IFERROR(VLOOKUP(A1787,Sheet1!$E$3:$G$27,3,0),"")</f>
        <v>Preventive Maintenance</v>
      </c>
      <c r="J1787" s="12" t="s">
        <v>112</v>
      </c>
      <c r="K1787" s="17">
        <v>46092.0</v>
      </c>
      <c r="L1787" s="17">
        <v>46092.0</v>
      </c>
      <c r="M1787" s="13"/>
      <c r="N1787" s="23"/>
      <c r="O1787" s="22"/>
      <c r="P1787" s="22"/>
    </row>
    <row r="1788" ht="22.5" customHeight="1">
      <c r="A1788" s="12" t="s">
        <v>33</v>
      </c>
      <c r="B1788" s="20" t="str">
        <f>IFERROR(VLOOKUP(A1788,Sheet1!$E$3:$H$27,4,0),"")</f>
        <v>P2</v>
      </c>
      <c r="C1788" s="14" t="s">
        <v>452</v>
      </c>
      <c r="D1788" s="12" t="s">
        <v>76</v>
      </c>
      <c r="E1788" s="13" t="str">
        <f>IFERROR(VLOOKUP(D1788,Sheet1!$B$1:$C$45,2,0),"")</f>
        <v>TE</v>
      </c>
      <c r="F1788" s="12" t="s">
        <v>179</v>
      </c>
      <c r="G1788" s="13" t="str">
        <f t="shared" si="6"/>
        <v>Palangkaraya</v>
      </c>
      <c r="H1788" s="15" t="str">
        <f>IFERROR(VLOOKUP(A1788,Sheet1!$E$3:$F$27,2,),"")</f>
        <v>Preventive</v>
      </c>
      <c r="I1788" s="16" t="str">
        <f>IFERROR(VLOOKUP(A1788,Sheet1!$E$3:$G$27,3,0),"")</f>
        <v>Pengukuran dan pengambilan data log serta input Gdoc BBT</v>
      </c>
      <c r="J1788" s="12" t="s">
        <v>112</v>
      </c>
      <c r="K1788" s="17">
        <v>46094.0</v>
      </c>
      <c r="L1788" s="17">
        <v>46093.0</v>
      </c>
      <c r="M1788" s="12" t="s">
        <v>137</v>
      </c>
      <c r="N1788" s="23"/>
      <c r="O1788" s="22"/>
      <c r="P1788" s="22"/>
    </row>
    <row r="1789" ht="22.5" customHeight="1">
      <c r="A1789" s="12" t="s">
        <v>33</v>
      </c>
      <c r="B1789" s="20" t="str">
        <f>IFERROR(VLOOKUP(A1789,Sheet1!$E$3:$H$27,4,0),"")</f>
        <v>P2</v>
      </c>
      <c r="C1789" s="14" t="s">
        <v>629</v>
      </c>
      <c r="D1789" s="12" t="s">
        <v>37</v>
      </c>
      <c r="E1789" s="13" t="str">
        <f>IFERROR(VLOOKUP(D1789,Sheet1!$B$1:$C$45,2,0),"")</f>
        <v>TE</v>
      </c>
      <c r="F1789" s="12" t="s">
        <v>179</v>
      </c>
      <c r="G1789" s="13" t="str">
        <f t="shared" si="6"/>
        <v>Palangkaraya</v>
      </c>
      <c r="H1789" s="15" t="str">
        <f>IFERROR(VLOOKUP(A1789,Sheet1!$E$3:$F$27,2,),"")</f>
        <v>Preventive</v>
      </c>
      <c r="I1789" s="16" t="str">
        <f>IFERROR(VLOOKUP(A1789,Sheet1!$E$3:$G$27,3,0),"")</f>
        <v>Pengukuran dan pengambilan data log serta input Gdoc BBT</v>
      </c>
      <c r="J1789" s="12" t="s">
        <v>112</v>
      </c>
      <c r="K1789" s="17">
        <v>46094.0</v>
      </c>
      <c r="L1789" s="17">
        <v>46093.0</v>
      </c>
      <c r="M1789" s="12" t="s">
        <v>137</v>
      </c>
      <c r="N1789" s="23"/>
      <c r="O1789" s="22"/>
      <c r="P1789" s="22"/>
    </row>
    <row r="1790" ht="22.5" customHeight="1">
      <c r="A1790" s="12" t="s">
        <v>10</v>
      </c>
      <c r="B1790" s="20" t="str">
        <f>IFERROR(VLOOKUP(A1790,Sheet1!$E$3:$H$27,4,0),"")</f>
        <v>P1</v>
      </c>
      <c r="C1790" s="14" t="s">
        <v>630</v>
      </c>
      <c r="D1790" s="12" t="s">
        <v>78</v>
      </c>
      <c r="E1790" s="13" t="str">
        <f>IFERROR(VLOOKUP(D1790,Sheet1!$B$1:$C$45,2,0),"")</f>
        <v>TE</v>
      </c>
      <c r="F1790" s="12" t="s">
        <v>179</v>
      </c>
      <c r="G1790" s="13" t="str">
        <f t="shared" si="6"/>
        <v>Palangkaraya</v>
      </c>
      <c r="H1790" s="15" t="str">
        <f>IFERROR(VLOOKUP(A1790,Sheet1!$E$3:$F$27,2,),"")</f>
        <v>Corrective</v>
      </c>
      <c r="I1790" s="16" t="str">
        <f>IFERROR(VLOOKUP(A1790,Sheet1!$E$3:$G$27,3,0),"")</f>
        <v>Replace Jumper,antena/RRU</v>
      </c>
      <c r="J1790" s="12" t="s">
        <v>112</v>
      </c>
      <c r="K1790" s="17">
        <v>46094.0</v>
      </c>
      <c r="L1790" s="17">
        <v>46093.0</v>
      </c>
      <c r="M1790" s="12" t="s">
        <v>137</v>
      </c>
      <c r="N1790" s="23"/>
      <c r="O1790" s="22"/>
      <c r="P1790" s="22"/>
    </row>
    <row r="1791" ht="22.5" customHeight="1">
      <c r="A1791" s="12" t="s">
        <v>10</v>
      </c>
      <c r="B1791" s="20" t="str">
        <f>IFERROR(VLOOKUP(A1791,Sheet1!$E$3:$H$27,4,0),"")</f>
        <v>P1</v>
      </c>
      <c r="C1791" s="14" t="s">
        <v>494</v>
      </c>
      <c r="D1791" s="12" t="s">
        <v>77</v>
      </c>
      <c r="E1791" s="13" t="str">
        <f>IFERROR(VLOOKUP(D1791,Sheet1!$B$1:$C$45,2,0),"")</f>
        <v>TE</v>
      </c>
      <c r="F1791" s="12" t="s">
        <v>179</v>
      </c>
      <c r="G1791" s="13" t="str">
        <f t="shared" si="6"/>
        <v>Palangkaraya</v>
      </c>
      <c r="H1791" s="15" t="str">
        <f>IFERROR(VLOOKUP(A1791,Sheet1!$E$3:$F$27,2,),"")</f>
        <v>Corrective</v>
      </c>
      <c r="I1791" s="16" t="str">
        <f>IFERROR(VLOOKUP(A1791,Sheet1!$E$3:$G$27,3,0),"")</f>
        <v>Replace Jumper,antena/RRU</v>
      </c>
      <c r="J1791" s="12" t="s">
        <v>112</v>
      </c>
      <c r="K1791" s="17">
        <v>46094.0</v>
      </c>
      <c r="L1791" s="17">
        <v>46093.0</v>
      </c>
      <c r="M1791" s="12" t="s">
        <v>137</v>
      </c>
      <c r="N1791" s="23"/>
      <c r="O1791" s="22"/>
      <c r="P1791" s="22"/>
    </row>
    <row r="1792" ht="22.5" customHeight="1">
      <c r="A1792" s="12" t="s">
        <v>33</v>
      </c>
      <c r="B1792" s="20" t="str">
        <f>IFERROR(VLOOKUP(A1792,Sheet1!$E$3:$H$27,4,0),"")</f>
        <v>P2</v>
      </c>
      <c r="C1792" s="14" t="s">
        <v>631</v>
      </c>
      <c r="D1792" s="12" t="s">
        <v>80</v>
      </c>
      <c r="E1792" s="13" t="str">
        <f>IFERROR(VLOOKUP(D1792,Sheet1!$B$1:$C$45,2,0),"")</f>
        <v>TE</v>
      </c>
      <c r="F1792" s="12" t="s">
        <v>179</v>
      </c>
      <c r="G1792" s="13" t="str">
        <f t="shared" si="6"/>
        <v>Palangkaraya</v>
      </c>
      <c r="H1792" s="15" t="str">
        <f>IFERROR(VLOOKUP(A1792,Sheet1!$E$3:$F$27,2,),"")</f>
        <v>Preventive</v>
      </c>
      <c r="I1792" s="16" t="str">
        <f>IFERROR(VLOOKUP(A1792,Sheet1!$E$3:$G$27,3,0),"")</f>
        <v>Pengukuran dan pengambilan data log serta input Gdoc BBT</v>
      </c>
      <c r="J1792" s="12" t="s">
        <v>112</v>
      </c>
      <c r="K1792" s="17">
        <v>46094.0</v>
      </c>
      <c r="L1792" s="17">
        <v>46093.0</v>
      </c>
      <c r="M1792" s="12" t="s">
        <v>137</v>
      </c>
      <c r="N1792" s="23"/>
      <c r="O1792" s="22"/>
      <c r="P1792" s="22"/>
    </row>
    <row r="1793" ht="22.5" customHeight="1">
      <c r="A1793" s="12" t="s">
        <v>38</v>
      </c>
      <c r="B1793" s="20" t="str">
        <f>IFERROR(VLOOKUP(A1793,Sheet1!$E$3:$H$27,4,0),"")</f>
        <v>P1</v>
      </c>
      <c r="C1793" s="14" t="s">
        <v>632</v>
      </c>
      <c r="D1793" s="12" t="s">
        <v>79</v>
      </c>
      <c r="E1793" s="13" t="str">
        <f>IFERROR(VLOOKUP(D1793,Sheet1!$B$1:$C$45,2,0),"")</f>
        <v>TE</v>
      </c>
      <c r="F1793" s="12" t="s">
        <v>179</v>
      </c>
      <c r="G1793" s="13" t="str">
        <f t="shared" si="6"/>
        <v>Palangkaraya</v>
      </c>
      <c r="H1793" s="15" t="str">
        <f>IFERROR(VLOOKUP(A1793,Sheet1!$E$3:$F$27,2,),"")</f>
        <v>Corrective</v>
      </c>
      <c r="I1793" s="16" t="str">
        <f>IFERROR(VLOOKUP(A1793,Sheet1!$E$3:$G$27,3,0),"")</f>
        <v>Replace FAN Rectifier</v>
      </c>
      <c r="J1793" s="12" t="s">
        <v>112</v>
      </c>
      <c r="K1793" s="17">
        <v>46094.0</v>
      </c>
      <c r="L1793" s="17">
        <v>46093.0</v>
      </c>
      <c r="M1793" s="12" t="s">
        <v>137</v>
      </c>
      <c r="N1793" s="23"/>
      <c r="O1793" s="22"/>
      <c r="P1793" s="22"/>
    </row>
    <row r="1794" ht="22.5" customHeight="1">
      <c r="A1794" s="12" t="s">
        <v>17</v>
      </c>
      <c r="B1794" s="20" t="str">
        <f>IFERROR(VLOOKUP(A1794,Sheet1!$E$3:$H$27,4,0),"")</f>
        <v>P2</v>
      </c>
      <c r="C1794" s="14" t="s">
        <v>601</v>
      </c>
      <c r="D1794" s="12" t="s">
        <v>51</v>
      </c>
      <c r="E1794" s="13" t="str">
        <f>IFERROR(VLOOKUP(D1794,Sheet1!$B$1:$C$45,2,0),"")</f>
        <v>TE</v>
      </c>
      <c r="F1794" s="12" t="s">
        <v>179</v>
      </c>
      <c r="G1794" s="13" t="str">
        <f t="shared" si="6"/>
        <v>Palangkaraya</v>
      </c>
      <c r="H1794" s="15" t="str">
        <f>IFERROR(VLOOKUP(A1794,Sheet1!$E$3:$F$27,2,),"")</f>
        <v>Preventive</v>
      </c>
      <c r="I1794" s="16" t="str">
        <f>IFERROR(VLOOKUP(A1794,Sheet1!$E$3:$G$27,3,0),"")</f>
        <v>integrasi LAN dan validasi alarm</v>
      </c>
      <c r="J1794" s="12" t="s">
        <v>112</v>
      </c>
      <c r="K1794" s="17">
        <v>46094.0</v>
      </c>
      <c r="L1794" s="17">
        <v>46093.0</v>
      </c>
      <c r="M1794" s="12" t="s">
        <v>137</v>
      </c>
      <c r="N1794" s="23"/>
      <c r="O1794" s="22"/>
      <c r="P1794" s="22"/>
    </row>
    <row r="1795" ht="22.5" customHeight="1">
      <c r="A1795" s="12" t="s">
        <v>5</v>
      </c>
      <c r="B1795" s="20" t="str">
        <f>IFERROR(VLOOKUP(A1795,Sheet1!$E$3:$H$27,4,0),"")</f>
        <v>P1</v>
      </c>
      <c r="C1795" s="14" t="s">
        <v>527</v>
      </c>
      <c r="D1795" s="12" t="s">
        <v>91</v>
      </c>
      <c r="E1795" s="13" t="str">
        <f>IFERROR(VLOOKUP(D1795,Sheet1!$B$1:$C$45,2,0),"")</f>
        <v>TE</v>
      </c>
      <c r="F1795" s="12" t="s">
        <v>179</v>
      </c>
      <c r="G1795" s="13" t="str">
        <f t="shared" si="6"/>
        <v>Palangkaraya</v>
      </c>
      <c r="H1795" s="15" t="str">
        <f>IFERROR(VLOOKUP(A1795,Sheet1!$E$3:$F$27,2,),"")</f>
        <v>Corrective</v>
      </c>
      <c r="I1795" s="16" t="str">
        <f>IFERROR(VLOOKUP(A1795,Sheet1!$E$3:$G$27,3,0),"")</f>
        <v>Replace Optik,RRU/Soket Power/Replace GPS</v>
      </c>
      <c r="J1795" s="12" t="s">
        <v>112</v>
      </c>
      <c r="K1795" s="17">
        <v>46094.0</v>
      </c>
      <c r="L1795" s="17">
        <v>46093.0</v>
      </c>
      <c r="M1795" s="12" t="s">
        <v>137</v>
      </c>
      <c r="N1795" s="23"/>
      <c r="O1795" s="22"/>
      <c r="P1795" s="22"/>
    </row>
    <row r="1796" ht="22.5" customHeight="1">
      <c r="A1796" s="12" t="s">
        <v>65</v>
      </c>
      <c r="B1796" s="20" t="str">
        <f>IFERROR(VLOOKUP(A1796,Sheet1!$E$3:$H$27,4,0),"")</f>
        <v>P3</v>
      </c>
      <c r="C1796" s="15"/>
      <c r="D1796" s="12" t="s">
        <v>58</v>
      </c>
      <c r="E1796" s="13" t="str">
        <f>IFERROR(VLOOKUP(D1796,Sheet1!$B$1:$C$45,2,0),"")</f>
        <v>TE</v>
      </c>
      <c r="F1796" s="12" t="s">
        <v>179</v>
      </c>
      <c r="G1796" s="13" t="str">
        <f t="shared" si="6"/>
        <v>Palangkaraya</v>
      </c>
      <c r="H1796" s="15" t="str">
        <f>IFERROR(VLOOKUP(A1796,Sheet1!$E$3:$F$27,2,),"")</f>
        <v>Standby</v>
      </c>
      <c r="I1796" s="16" t="str">
        <f>IFERROR(VLOOKUP(A1796,Sheet1!$E$3:$G$27,3,0),"")</f>
        <v>Standby On Call</v>
      </c>
      <c r="J1796" s="12" t="s">
        <v>112</v>
      </c>
      <c r="K1796" s="17">
        <v>46094.0</v>
      </c>
      <c r="L1796" s="17">
        <v>46093.0</v>
      </c>
      <c r="M1796" s="12" t="s">
        <v>137</v>
      </c>
      <c r="N1796" s="23"/>
      <c r="O1796" s="22"/>
      <c r="P1796" s="22"/>
    </row>
    <row r="1797" ht="22.5" customHeight="1">
      <c r="A1797" s="12" t="s">
        <v>17</v>
      </c>
      <c r="B1797" s="20" t="str">
        <f>IFERROR(VLOOKUP(A1797,Sheet1!$E$3:$H$27,4,0),"")</f>
        <v>P2</v>
      </c>
      <c r="C1797" s="14" t="s">
        <v>593</v>
      </c>
      <c r="D1797" s="12" t="s">
        <v>71</v>
      </c>
      <c r="E1797" s="13" t="str">
        <f>IFERROR(VLOOKUP(D1797,Sheet1!$B$1:$C$45,2,0),"")</f>
        <v>TE</v>
      </c>
      <c r="F1797" s="12" t="s">
        <v>179</v>
      </c>
      <c r="G1797" s="13" t="str">
        <f t="shared" si="6"/>
        <v>Palangkaraya</v>
      </c>
      <c r="H1797" s="15" t="str">
        <f>IFERROR(VLOOKUP(A1797,Sheet1!$E$3:$F$27,2,),"")</f>
        <v>Preventive</v>
      </c>
      <c r="I1797" s="16" t="str">
        <f>IFERROR(VLOOKUP(A1797,Sheet1!$E$3:$G$27,3,0),"")</f>
        <v>integrasi LAN dan validasi alarm</v>
      </c>
      <c r="J1797" s="12" t="s">
        <v>112</v>
      </c>
      <c r="K1797" s="17">
        <v>46094.0</v>
      </c>
      <c r="L1797" s="17">
        <v>46093.0</v>
      </c>
      <c r="M1797" s="12" t="s">
        <v>137</v>
      </c>
      <c r="N1797" s="23"/>
      <c r="O1797" s="22"/>
      <c r="P1797" s="22"/>
    </row>
    <row r="1798" ht="22.5" customHeight="1">
      <c r="A1798" s="12" t="s">
        <v>5</v>
      </c>
      <c r="B1798" s="20" t="str">
        <f>IFERROR(VLOOKUP(A1798,Sheet1!$E$3:$H$27,4,0),"")</f>
        <v>P1</v>
      </c>
      <c r="C1798" s="14" t="s">
        <v>235</v>
      </c>
      <c r="D1798" s="12" t="s">
        <v>69</v>
      </c>
      <c r="E1798" s="13" t="str">
        <f>IFERROR(VLOOKUP(D1798,Sheet1!$B$1:$C$45,2,0),"")</f>
        <v>TE</v>
      </c>
      <c r="F1798" s="12" t="s">
        <v>179</v>
      </c>
      <c r="G1798" s="13" t="str">
        <f t="shared" si="6"/>
        <v>Palangkaraya</v>
      </c>
      <c r="H1798" s="15" t="str">
        <f>IFERROR(VLOOKUP(A1798,Sheet1!$E$3:$F$27,2,),"")</f>
        <v>Corrective</v>
      </c>
      <c r="I1798" s="16" t="str">
        <f>IFERROR(VLOOKUP(A1798,Sheet1!$E$3:$G$27,3,0),"")</f>
        <v>Replace Optik,RRU/Soket Power/Replace GPS</v>
      </c>
      <c r="J1798" s="12" t="s">
        <v>112</v>
      </c>
      <c r="K1798" s="17">
        <v>46094.0</v>
      </c>
      <c r="L1798" s="17">
        <v>46093.0</v>
      </c>
      <c r="M1798" s="12" t="s">
        <v>137</v>
      </c>
      <c r="N1798" s="23"/>
      <c r="O1798" s="22"/>
      <c r="P1798" s="22"/>
    </row>
    <row r="1799" ht="22.5" customHeight="1">
      <c r="A1799" s="12" t="s">
        <v>14</v>
      </c>
      <c r="B1799" s="20" t="str">
        <f>IFERROR(VLOOKUP(A1799,Sheet1!$E$3:$H$27,4,0),"")</f>
        <v>P1</v>
      </c>
      <c r="C1799" s="14" t="s">
        <v>346</v>
      </c>
      <c r="D1799" s="12" t="s">
        <v>56</v>
      </c>
      <c r="E1799" s="13" t="str">
        <f>IFERROR(VLOOKUP(D1799,Sheet1!$B$1:$C$45,2,0),"")</f>
        <v>TE</v>
      </c>
      <c r="F1799" s="12" t="s">
        <v>179</v>
      </c>
      <c r="G1799" s="13" t="str">
        <f t="shared" si="6"/>
        <v>Palangkaraya</v>
      </c>
      <c r="H1799" s="15" t="str">
        <f>IFERROR(VLOOKUP(A1799,Sheet1!$E$3:$F$27,2,),"")</f>
        <v>Corrective</v>
      </c>
      <c r="I1799" s="16" t="str">
        <f>IFERROR(VLOOKUP(A1799,Sheet1!$E$3:$G$27,3,0),"")</f>
        <v>Pemadaman,MCB Trip,Transmisi problem</v>
      </c>
      <c r="J1799" s="12" t="s">
        <v>112</v>
      </c>
      <c r="K1799" s="17">
        <v>46094.0</v>
      </c>
      <c r="L1799" s="17">
        <v>46093.0</v>
      </c>
      <c r="M1799" s="12" t="s">
        <v>137</v>
      </c>
      <c r="N1799" s="23"/>
      <c r="O1799" s="22"/>
      <c r="P1799" s="22"/>
    </row>
    <row r="1800" ht="22.5" customHeight="1">
      <c r="A1800" s="12" t="s">
        <v>22</v>
      </c>
      <c r="B1800" s="20" t="str">
        <f>IFERROR(VLOOKUP(A1800,Sheet1!$E$3:$H$27,4,0),"")</f>
        <v>P2</v>
      </c>
      <c r="C1800" s="15"/>
      <c r="D1800" s="12" t="s">
        <v>83</v>
      </c>
      <c r="E1800" s="13" t="str">
        <f>IFERROR(VLOOKUP(D1800,Sheet1!$B$1:$C$45,2,0),"")</f>
        <v>PM</v>
      </c>
      <c r="F1800" s="12" t="s">
        <v>179</v>
      </c>
      <c r="G1800" s="13" t="str">
        <f t="shared" si="6"/>
        <v>Palangkaraya</v>
      </c>
      <c r="H1800" s="15" t="str">
        <f>IFERROR(VLOOKUP(A1800,Sheet1!$E$3:$F$27,2,),"")</f>
        <v>Preventive</v>
      </c>
      <c r="I1800" s="16" t="str">
        <f>IFERROR(VLOOKUP(A1800,Sheet1!$E$3:$G$27,3,0),"")</f>
        <v>Preventive Maintenance</v>
      </c>
      <c r="J1800" s="12" t="s">
        <v>112</v>
      </c>
      <c r="K1800" s="17">
        <v>46094.0</v>
      </c>
      <c r="L1800" s="17">
        <v>46093.0</v>
      </c>
      <c r="M1800" s="12" t="s">
        <v>137</v>
      </c>
      <c r="N1800" s="23"/>
      <c r="O1800" s="22"/>
      <c r="P1800" s="22"/>
    </row>
    <row r="1801" ht="22.5" customHeight="1">
      <c r="A1801" s="12" t="s">
        <v>22</v>
      </c>
      <c r="B1801" s="20" t="str">
        <f>IFERROR(VLOOKUP(A1801,Sheet1!$E$3:$H$27,4,0),"")</f>
        <v>P2</v>
      </c>
      <c r="C1801" s="15"/>
      <c r="D1801" s="12" t="s">
        <v>82</v>
      </c>
      <c r="E1801" s="13" t="str">
        <f>IFERROR(VLOOKUP(D1801,Sheet1!$B$1:$C$45,2,0),"")</f>
        <v>PM</v>
      </c>
      <c r="F1801" s="12" t="s">
        <v>179</v>
      </c>
      <c r="G1801" s="13" t="str">
        <f t="shared" si="6"/>
        <v>Palangkaraya</v>
      </c>
      <c r="H1801" s="15" t="str">
        <f>IFERROR(VLOOKUP(A1801,Sheet1!$E$3:$F$27,2,),"")</f>
        <v>Preventive</v>
      </c>
      <c r="I1801" s="16" t="str">
        <f>IFERROR(VLOOKUP(A1801,Sheet1!$E$3:$G$27,3,0),"")</f>
        <v>Preventive Maintenance</v>
      </c>
      <c r="J1801" s="12" t="s">
        <v>112</v>
      </c>
      <c r="K1801" s="17">
        <v>46094.0</v>
      </c>
      <c r="L1801" s="17">
        <v>46093.0</v>
      </c>
      <c r="M1801" s="12" t="s">
        <v>137</v>
      </c>
      <c r="N1801" s="23"/>
      <c r="O1801" s="22"/>
      <c r="P1801" s="22"/>
    </row>
    <row r="1802" ht="22.5" customHeight="1">
      <c r="A1802" s="12" t="s">
        <v>22</v>
      </c>
      <c r="B1802" s="20" t="str">
        <f>IFERROR(VLOOKUP(A1802,Sheet1!$E$3:$H$27,4,0),"")</f>
        <v>P2</v>
      </c>
      <c r="C1802" s="15"/>
      <c r="D1802" s="12" t="s">
        <v>35</v>
      </c>
      <c r="E1802" s="13" t="str">
        <f>IFERROR(VLOOKUP(D1802,Sheet1!$B$1:$C$45,2,0),"")</f>
        <v>MBP</v>
      </c>
      <c r="F1802" s="12" t="s">
        <v>179</v>
      </c>
      <c r="G1802" s="13" t="str">
        <f t="shared" si="6"/>
        <v>Palangkaraya</v>
      </c>
      <c r="H1802" s="15" t="str">
        <f>IFERROR(VLOOKUP(A1802,Sheet1!$E$3:$F$27,2,),"")</f>
        <v>Preventive</v>
      </c>
      <c r="I1802" s="16" t="str">
        <f>IFERROR(VLOOKUP(A1802,Sheet1!$E$3:$G$27,3,0),"")</f>
        <v>Preventive Maintenance</v>
      </c>
      <c r="J1802" s="12" t="s">
        <v>112</v>
      </c>
      <c r="K1802" s="17">
        <v>46094.0</v>
      </c>
      <c r="L1802" s="17">
        <v>46093.0</v>
      </c>
      <c r="M1802" s="12" t="s">
        <v>137</v>
      </c>
      <c r="N1802" s="23"/>
      <c r="O1802" s="22"/>
      <c r="P1802" s="22"/>
    </row>
    <row r="1803" ht="22.5" customHeight="1">
      <c r="A1803" s="12" t="s">
        <v>22</v>
      </c>
      <c r="B1803" s="20" t="str">
        <f>IFERROR(VLOOKUP(A1803,Sheet1!$E$3:$H$27,4,0),"")</f>
        <v>P2</v>
      </c>
      <c r="C1803" s="15"/>
      <c r="D1803" s="12" t="s">
        <v>75</v>
      </c>
      <c r="E1803" s="13" t="str">
        <f>IFERROR(VLOOKUP(D1803,Sheet1!$B$1:$C$45,2,0),"")</f>
        <v>CME</v>
      </c>
      <c r="F1803" s="12" t="s">
        <v>179</v>
      </c>
      <c r="G1803" s="13" t="str">
        <f t="shared" si="6"/>
        <v>Palangkaraya</v>
      </c>
      <c r="H1803" s="15" t="str">
        <f>IFERROR(VLOOKUP(A1803,Sheet1!$E$3:$F$27,2,),"")</f>
        <v>Preventive</v>
      </c>
      <c r="I1803" s="16" t="str">
        <f>IFERROR(VLOOKUP(A1803,Sheet1!$E$3:$G$27,3,0),"")</f>
        <v>Preventive Maintenance</v>
      </c>
      <c r="J1803" s="12" t="s">
        <v>112</v>
      </c>
      <c r="K1803" s="17">
        <v>46094.0</v>
      </c>
      <c r="L1803" s="17">
        <v>46093.0</v>
      </c>
      <c r="M1803" s="12" t="s">
        <v>137</v>
      </c>
      <c r="N1803" s="23"/>
      <c r="O1803" s="22"/>
      <c r="P1803" s="22"/>
    </row>
    <row r="1804" ht="22.5" hidden="1" customHeight="1">
      <c r="A1804" s="12" t="s">
        <v>65</v>
      </c>
      <c r="B1804" s="20" t="str">
        <f>IFERROR(VLOOKUP(A1804,Sheet1!$E$3:$H$27,4,0),"")</f>
        <v>P3</v>
      </c>
      <c r="C1804" s="15"/>
      <c r="D1804" s="12" t="s">
        <v>54</v>
      </c>
      <c r="E1804" s="13" t="str">
        <f>IFERROR(VLOOKUP(D1804,Sheet1!$B$1:$C$45,2,0),"")</f>
        <v>MBP</v>
      </c>
      <c r="F1804" s="12" t="s">
        <v>179</v>
      </c>
      <c r="G1804" s="13" t="str">
        <f t="shared" si="6"/>
        <v>Palangkaraya</v>
      </c>
      <c r="H1804" s="15" t="str">
        <f>IFERROR(VLOOKUP(A1804,Sheet1!$E$3:$F$27,2,),"")</f>
        <v>Standby</v>
      </c>
      <c r="I1804" s="16" t="str">
        <f>IFERROR(VLOOKUP(A1804,Sheet1!$E$3:$G$27,3,0),"")</f>
        <v>Standby On Call</v>
      </c>
      <c r="J1804" s="12" t="s">
        <v>66</v>
      </c>
      <c r="K1804" s="17">
        <v>46093.0</v>
      </c>
      <c r="L1804" s="17">
        <v>46093.0</v>
      </c>
      <c r="M1804" s="12" t="s">
        <v>137</v>
      </c>
      <c r="N1804" s="23"/>
      <c r="O1804" s="22"/>
      <c r="P1804" s="22"/>
    </row>
    <row r="1805" ht="22.5" customHeight="1">
      <c r="A1805" s="12" t="s">
        <v>55</v>
      </c>
      <c r="B1805" s="20" t="str">
        <f>IFERROR(VLOOKUP(A1805,Sheet1!$E$3:$H$27,4,0),"")</f>
        <v>P2</v>
      </c>
      <c r="C1805" s="14" t="s">
        <v>237</v>
      </c>
      <c r="D1805" s="12" t="s">
        <v>12</v>
      </c>
      <c r="E1805" s="13" t="str">
        <f>IFERROR(VLOOKUP(D1805,Sheet1!$B$1:$C$45,2,0),"")</f>
        <v>TE</v>
      </c>
      <c r="F1805" s="12" t="s">
        <v>108</v>
      </c>
      <c r="G1805" s="13" t="str">
        <f t="shared" si="6"/>
        <v>Barito Raya</v>
      </c>
      <c r="H1805" s="15" t="str">
        <f>IFERROR(VLOOKUP(A1805,Sheet1!$E$3:$F$27,2,),"")</f>
        <v>Corrective</v>
      </c>
      <c r="I1805" s="16" t="str">
        <f>IFERROR(VLOOKUP(A1805,Sheet1!$E$3:$G$27,3,0),"")</f>
        <v>Penambahan Modul Recti</v>
      </c>
      <c r="J1805" s="12" t="s">
        <v>112</v>
      </c>
      <c r="K1805" s="17">
        <v>46093.0</v>
      </c>
      <c r="L1805" s="17">
        <v>46093.0</v>
      </c>
      <c r="M1805" s="13"/>
      <c r="N1805" s="23"/>
      <c r="O1805" s="22"/>
      <c r="P1805" s="22"/>
    </row>
    <row r="1806" ht="22.5" customHeight="1">
      <c r="A1806" s="12" t="s">
        <v>22</v>
      </c>
      <c r="B1806" s="20" t="str">
        <f>IFERROR(VLOOKUP(A1806,Sheet1!$E$3:$H$27,4,0),"")</f>
        <v>P2</v>
      </c>
      <c r="C1806" s="15"/>
      <c r="D1806" s="12" t="s">
        <v>16</v>
      </c>
      <c r="E1806" s="13" t="str">
        <f>IFERROR(VLOOKUP(D1806,Sheet1!$B$1:$C$45,2,0),"")</f>
        <v>TE</v>
      </c>
      <c r="F1806" s="12" t="s">
        <v>108</v>
      </c>
      <c r="G1806" s="13" t="str">
        <f t="shared" si="6"/>
        <v>Barito Raya</v>
      </c>
      <c r="H1806" s="15" t="str">
        <f>IFERROR(VLOOKUP(A1806,Sheet1!$E$3:$F$27,2,),"")</f>
        <v>Preventive</v>
      </c>
      <c r="I1806" s="16" t="str">
        <f>IFERROR(VLOOKUP(A1806,Sheet1!$E$3:$G$27,3,0),"")</f>
        <v>Preventive Maintenance</v>
      </c>
      <c r="J1806" s="12" t="s">
        <v>112</v>
      </c>
      <c r="K1806" s="17">
        <v>46093.0</v>
      </c>
      <c r="L1806" s="17">
        <v>46093.0</v>
      </c>
      <c r="M1806" s="13"/>
      <c r="N1806" s="23"/>
      <c r="O1806" s="22"/>
      <c r="P1806" s="22"/>
    </row>
    <row r="1807" ht="22.5" customHeight="1">
      <c r="A1807" s="12" t="s">
        <v>52</v>
      </c>
      <c r="B1807" s="20" t="str">
        <f>IFERROR(VLOOKUP(A1807,Sheet1!$E$3:$H$27,4,0),"")</f>
        <v>P1</v>
      </c>
      <c r="C1807" s="14" t="s">
        <v>407</v>
      </c>
      <c r="D1807" s="12" t="s">
        <v>21</v>
      </c>
      <c r="E1807" s="13" t="str">
        <f>IFERROR(VLOOKUP(D1807,Sheet1!$B$1:$C$45,2,0),"")</f>
        <v>TE</v>
      </c>
      <c r="F1807" s="12" t="s">
        <v>108</v>
      </c>
      <c r="G1807" s="13" t="str">
        <f t="shared" si="6"/>
        <v>Barito Raya</v>
      </c>
      <c r="H1807" s="15" t="str">
        <f>IFERROR(VLOOKUP(A1807,Sheet1!$E$3:$F$27,2,),"")</f>
        <v>Preventive</v>
      </c>
      <c r="I1807" s="16" t="str">
        <f>IFERROR(VLOOKUP(A1807,Sheet1!$E$3:$G$27,3,0),"")</f>
        <v>MCB trip/Power upnormal</v>
      </c>
      <c r="J1807" s="12" t="s">
        <v>112</v>
      </c>
      <c r="K1807" s="17">
        <v>46093.0</v>
      </c>
      <c r="L1807" s="17">
        <v>46093.0</v>
      </c>
      <c r="M1807" s="13"/>
      <c r="N1807" s="23"/>
      <c r="O1807" s="22"/>
      <c r="P1807" s="22"/>
    </row>
    <row r="1808" ht="22.5" customHeight="1">
      <c r="A1808" s="12" t="s">
        <v>25</v>
      </c>
      <c r="B1808" s="20" t="str">
        <f>IFERROR(VLOOKUP(A1808,Sheet1!$E$3:$H$27,4,0),"")</f>
        <v>P2</v>
      </c>
      <c r="C1808" s="14" t="s">
        <v>633</v>
      </c>
      <c r="D1808" s="12" t="s">
        <v>26</v>
      </c>
      <c r="E1808" s="13" t="str">
        <f>IFERROR(VLOOKUP(D1808,Sheet1!$B$1:$C$45,2,0),"")</f>
        <v>TE</v>
      </c>
      <c r="F1808" s="12" t="s">
        <v>108</v>
      </c>
      <c r="G1808" s="13" t="str">
        <f t="shared" si="6"/>
        <v>Barito Raya</v>
      </c>
      <c r="H1808" s="15" t="str">
        <f>IFERROR(VLOOKUP(A1808,Sheet1!$E$3:$F$27,2,),"")</f>
        <v>Corrective</v>
      </c>
      <c r="I1808" s="16" t="str">
        <f>IFERROR(VLOOKUP(A1808,Sheet1!$E$3:$G$27,3,0),"")</f>
        <v>Support Event</v>
      </c>
      <c r="J1808" s="12" t="s">
        <v>112</v>
      </c>
      <c r="K1808" s="17">
        <v>46093.0</v>
      </c>
      <c r="L1808" s="17">
        <v>46093.0</v>
      </c>
      <c r="M1808" s="13"/>
      <c r="N1808" s="23"/>
      <c r="O1808" s="22"/>
      <c r="P1808" s="22"/>
    </row>
    <row r="1809" ht="22.5" customHeight="1">
      <c r="A1809" s="12" t="s">
        <v>25</v>
      </c>
      <c r="B1809" s="20" t="str">
        <f>IFERROR(VLOOKUP(A1809,Sheet1!$E$3:$H$27,4,0),"")</f>
        <v>P2</v>
      </c>
      <c r="C1809" s="14" t="s">
        <v>555</v>
      </c>
      <c r="D1809" s="12" t="s">
        <v>32</v>
      </c>
      <c r="E1809" s="13" t="str">
        <f>IFERROR(VLOOKUP(D1809,Sheet1!$B$1:$C$45,2,0),"")</f>
        <v>TE</v>
      </c>
      <c r="F1809" s="12" t="s">
        <v>108</v>
      </c>
      <c r="G1809" s="13" t="str">
        <f t="shared" si="6"/>
        <v>Barito Raya</v>
      </c>
      <c r="H1809" s="15" t="str">
        <f>IFERROR(VLOOKUP(A1809,Sheet1!$E$3:$F$27,2,),"")</f>
        <v>Corrective</v>
      </c>
      <c r="I1809" s="16" t="str">
        <f>IFERROR(VLOOKUP(A1809,Sheet1!$E$3:$G$27,3,0),"")</f>
        <v>Support Event</v>
      </c>
      <c r="J1809" s="12" t="s">
        <v>112</v>
      </c>
      <c r="K1809" s="17">
        <v>46093.0</v>
      </c>
      <c r="L1809" s="17">
        <v>46093.0</v>
      </c>
      <c r="M1809" s="13"/>
      <c r="N1809" s="23"/>
      <c r="O1809" s="22"/>
      <c r="P1809" s="22"/>
    </row>
    <row r="1810" ht="22.5" customHeight="1">
      <c r="A1810" s="12" t="s">
        <v>5</v>
      </c>
      <c r="B1810" s="20" t="str">
        <f>IFERROR(VLOOKUP(A1810,Sheet1!$E$3:$H$27,4,0),"")</f>
        <v>P1</v>
      </c>
      <c r="C1810" s="14" t="s">
        <v>263</v>
      </c>
      <c r="D1810" s="12" t="s">
        <v>74</v>
      </c>
      <c r="E1810" s="13" t="str">
        <f>IFERROR(VLOOKUP(D1810,Sheet1!$B$1:$C$45,2,0),"")</f>
        <v>TE</v>
      </c>
      <c r="F1810" s="12" t="s">
        <v>108</v>
      </c>
      <c r="G1810" s="13" t="str">
        <f t="shared" si="6"/>
        <v>Barito Raya</v>
      </c>
      <c r="H1810" s="15" t="str">
        <f>IFERROR(VLOOKUP(A1810,Sheet1!$E$3:$F$27,2,),"")</f>
        <v>Corrective</v>
      </c>
      <c r="I1810" s="16" t="str">
        <f>IFERROR(VLOOKUP(A1810,Sheet1!$E$3:$G$27,3,0),"")</f>
        <v>Replace Optik,RRU/Soket Power/Replace GPS</v>
      </c>
      <c r="J1810" s="12" t="s">
        <v>112</v>
      </c>
      <c r="K1810" s="17">
        <v>46093.0</v>
      </c>
      <c r="L1810" s="17">
        <v>46093.0</v>
      </c>
      <c r="M1810" s="13"/>
      <c r="N1810" s="23"/>
      <c r="O1810" s="22"/>
      <c r="P1810" s="22"/>
    </row>
    <row r="1811" ht="22.5" customHeight="1">
      <c r="A1811" s="12" t="s">
        <v>72</v>
      </c>
      <c r="B1811" s="20" t="str">
        <f>IFERROR(VLOOKUP(A1811,Sheet1!$E$3:$H$27,4,0),"")</f>
        <v>P1</v>
      </c>
      <c r="C1811" s="14" t="s">
        <v>119</v>
      </c>
      <c r="D1811" s="12" t="s">
        <v>60</v>
      </c>
      <c r="E1811" s="13" t="str">
        <f>IFERROR(VLOOKUP(D1811,Sheet1!$B$1:$C$45,2,0),"")</f>
        <v>TE</v>
      </c>
      <c r="F1811" s="12" t="s">
        <v>108</v>
      </c>
      <c r="G1811" s="13" t="str">
        <f t="shared" si="6"/>
        <v>Barito Raya</v>
      </c>
      <c r="H1811" s="15" t="str">
        <f>IFERROR(VLOOKUP(A1811,Sheet1!$E$3:$F$27,2,),"")</f>
        <v>Corrective</v>
      </c>
      <c r="I1811" s="16" t="str">
        <f>IFERROR(VLOOKUP(A1811,Sheet1!$E$3:$G$27,3,0),"")</f>
        <v>Perbaikan Auto,pergantian relay,timer, yang berhubungan genset</v>
      </c>
      <c r="J1811" s="12" t="s">
        <v>112</v>
      </c>
      <c r="K1811" s="17">
        <v>46093.0</v>
      </c>
      <c r="L1811" s="17">
        <v>46093.0</v>
      </c>
      <c r="M1811" s="13"/>
      <c r="N1811" s="23"/>
      <c r="O1811" s="22"/>
      <c r="P1811" s="22"/>
    </row>
    <row r="1812" ht="22.5" customHeight="1">
      <c r="A1812" s="12" t="s">
        <v>55</v>
      </c>
      <c r="B1812" s="20" t="str">
        <f>IFERROR(VLOOKUP(A1812,Sheet1!$E$3:$H$27,4,0),"")</f>
        <v>P2</v>
      </c>
      <c r="C1812" s="14" t="s">
        <v>281</v>
      </c>
      <c r="D1812" s="12" t="s">
        <v>62</v>
      </c>
      <c r="E1812" s="13" t="str">
        <f>IFERROR(VLOOKUP(D1812,Sheet1!$B$1:$C$45,2,0),"")</f>
        <v>TE</v>
      </c>
      <c r="F1812" s="12" t="s">
        <v>108</v>
      </c>
      <c r="G1812" s="13" t="str">
        <f t="shared" si="6"/>
        <v>Barito Raya</v>
      </c>
      <c r="H1812" s="15" t="str">
        <f>IFERROR(VLOOKUP(A1812,Sheet1!$E$3:$F$27,2,),"")</f>
        <v>Corrective</v>
      </c>
      <c r="I1812" s="16" t="str">
        <f>IFERROR(VLOOKUP(A1812,Sheet1!$E$3:$G$27,3,0),"")</f>
        <v>Penambahan Modul Recti</v>
      </c>
      <c r="J1812" s="12" t="s">
        <v>112</v>
      </c>
      <c r="K1812" s="17">
        <v>46093.0</v>
      </c>
      <c r="L1812" s="17">
        <v>46093.0</v>
      </c>
      <c r="M1812" s="13"/>
      <c r="N1812" s="23"/>
      <c r="O1812" s="22"/>
      <c r="P1812" s="22"/>
    </row>
    <row r="1813" ht="22.5" customHeight="1">
      <c r="A1813" s="12" t="s">
        <v>22</v>
      </c>
      <c r="B1813" s="20" t="str">
        <f>IFERROR(VLOOKUP(A1813,Sheet1!$E$3:$H$27,4,0),"")</f>
        <v>P2</v>
      </c>
      <c r="C1813" s="15"/>
      <c r="D1813" s="12" t="s">
        <v>9</v>
      </c>
      <c r="E1813" s="13" t="str">
        <f>IFERROR(VLOOKUP(D1813,Sheet1!$B$1:$C$45,2,0),"")</f>
        <v>MBP</v>
      </c>
      <c r="F1813" s="12" t="s">
        <v>108</v>
      </c>
      <c r="G1813" s="13" t="str">
        <f t="shared" si="6"/>
        <v>Barito Raya</v>
      </c>
      <c r="H1813" s="15" t="str">
        <f>IFERROR(VLOOKUP(A1813,Sheet1!$E$3:$F$27,2,),"")</f>
        <v>Preventive</v>
      </c>
      <c r="I1813" s="16" t="str">
        <f>IFERROR(VLOOKUP(A1813,Sheet1!$E$3:$G$27,3,0),"")</f>
        <v>Preventive Maintenance</v>
      </c>
      <c r="J1813" s="12" t="s">
        <v>112</v>
      </c>
      <c r="K1813" s="17">
        <v>46093.0</v>
      </c>
      <c r="L1813" s="17">
        <v>46093.0</v>
      </c>
      <c r="M1813" s="13"/>
      <c r="N1813" s="23"/>
      <c r="O1813" s="22"/>
      <c r="P1813" s="22"/>
    </row>
    <row r="1814" ht="22.5" customHeight="1">
      <c r="A1814" s="12" t="s">
        <v>65</v>
      </c>
      <c r="B1814" s="20" t="str">
        <f>IFERROR(VLOOKUP(A1814,Sheet1!$E$3:$H$27,4,0),"")</f>
        <v>P3</v>
      </c>
      <c r="C1814" s="15"/>
      <c r="D1814" s="12" t="s">
        <v>4</v>
      </c>
      <c r="E1814" s="13" t="str">
        <f>IFERROR(VLOOKUP(D1814,Sheet1!$B$1:$C$45,2,0),"")</f>
        <v>CME</v>
      </c>
      <c r="F1814" s="12" t="s">
        <v>108</v>
      </c>
      <c r="G1814" s="13" t="str">
        <f t="shared" si="6"/>
        <v>Barito Raya</v>
      </c>
      <c r="H1814" s="15" t="str">
        <f>IFERROR(VLOOKUP(A1814,Sheet1!$E$3:$F$27,2,),"")</f>
        <v>Standby</v>
      </c>
      <c r="I1814" s="16" t="str">
        <f>IFERROR(VLOOKUP(A1814,Sheet1!$E$3:$G$27,3,0),"")</f>
        <v>Standby On Call</v>
      </c>
      <c r="J1814" s="12" t="s">
        <v>66</v>
      </c>
      <c r="K1814" s="17">
        <v>46093.0</v>
      </c>
      <c r="L1814" s="17">
        <v>46093.0</v>
      </c>
      <c r="M1814" s="13"/>
      <c r="N1814" s="23"/>
      <c r="O1814" s="22"/>
      <c r="P1814" s="22"/>
    </row>
    <row r="1815" ht="22.5" customHeight="1">
      <c r="A1815" s="12" t="s">
        <v>65</v>
      </c>
      <c r="B1815" s="20" t="str">
        <f>IFERROR(VLOOKUP(A1815,Sheet1!$E$3:$H$27,4,0),"")</f>
        <v>P3</v>
      </c>
      <c r="C1815" s="15"/>
      <c r="D1815" s="12" t="s">
        <v>87</v>
      </c>
      <c r="E1815" s="13" t="str">
        <f>IFERROR(VLOOKUP(D1815,Sheet1!$B$1:$C$45,2,0),"")</f>
        <v>MBP</v>
      </c>
      <c r="F1815" s="12" t="s">
        <v>108</v>
      </c>
      <c r="G1815" s="13" t="str">
        <f t="shared" si="6"/>
        <v>Barito Raya</v>
      </c>
      <c r="H1815" s="15" t="str">
        <f>IFERROR(VLOOKUP(A1815,Sheet1!$E$3:$F$27,2,),"")</f>
        <v>Standby</v>
      </c>
      <c r="I1815" s="16" t="str">
        <f>IFERROR(VLOOKUP(A1815,Sheet1!$E$3:$G$27,3,0),"")</f>
        <v>Standby On Call</v>
      </c>
      <c r="J1815" s="12" t="s">
        <v>66</v>
      </c>
      <c r="K1815" s="17">
        <v>46093.0</v>
      </c>
      <c r="L1815" s="17">
        <v>46093.0</v>
      </c>
      <c r="M1815" s="13"/>
      <c r="N1815" s="23"/>
      <c r="O1815" s="22"/>
      <c r="P1815" s="22"/>
    </row>
    <row r="1816" ht="22.5" customHeight="1">
      <c r="A1816" s="12" t="s">
        <v>65</v>
      </c>
      <c r="B1816" s="20" t="str">
        <f>IFERROR(VLOOKUP(A1816,Sheet1!$E$3:$H$27,4,0),"")</f>
        <v>P3</v>
      </c>
      <c r="C1816" s="15"/>
      <c r="D1816" s="12" t="s">
        <v>29</v>
      </c>
      <c r="E1816" s="13" t="str">
        <f>IFERROR(VLOOKUP(D1816,Sheet1!$B$1:$C$45,2,0),"")</f>
        <v>MBP</v>
      </c>
      <c r="F1816" s="12" t="s">
        <v>108</v>
      </c>
      <c r="G1816" s="13" t="str">
        <f t="shared" si="6"/>
        <v>Barito Raya</v>
      </c>
      <c r="H1816" s="15" t="str">
        <f>IFERROR(VLOOKUP(A1816,Sheet1!$E$3:$F$27,2,),"")</f>
        <v>Standby</v>
      </c>
      <c r="I1816" s="16" t="str">
        <f>IFERROR(VLOOKUP(A1816,Sheet1!$E$3:$G$27,3,0),"")</f>
        <v>Standby On Call</v>
      </c>
      <c r="J1816" s="12" t="s">
        <v>66</v>
      </c>
      <c r="K1816" s="17">
        <v>46093.0</v>
      </c>
      <c r="L1816" s="17">
        <v>46093.0</v>
      </c>
      <c r="M1816" s="13"/>
      <c r="N1816" s="23"/>
      <c r="O1816" s="22"/>
      <c r="P1816" s="22"/>
    </row>
    <row r="1817" ht="22.5" customHeight="1">
      <c r="A1817" s="12" t="s">
        <v>55</v>
      </c>
      <c r="B1817" s="20" t="str">
        <f>IFERROR(VLOOKUP(A1817,Sheet1!$E$3:$H$27,4,0),"")</f>
        <v>P2</v>
      </c>
      <c r="C1817" s="14" t="s">
        <v>461</v>
      </c>
      <c r="D1817" s="12" t="s">
        <v>2</v>
      </c>
      <c r="E1817" s="13" t="str">
        <f>IFERROR(VLOOKUP(D1817,Sheet1!$B$1:$C$45,2,0),"")</f>
        <v>CME</v>
      </c>
      <c r="F1817" s="12" t="s">
        <v>108</v>
      </c>
      <c r="G1817" s="13" t="str">
        <f t="shared" si="6"/>
        <v>Barito Raya</v>
      </c>
      <c r="H1817" s="15" t="str">
        <f>IFERROR(VLOOKUP(A1817,Sheet1!$E$3:$F$27,2,),"")</f>
        <v>Corrective</v>
      </c>
      <c r="I1817" s="16" t="str">
        <f>IFERROR(VLOOKUP(A1817,Sheet1!$E$3:$G$27,3,0),"")</f>
        <v>Penambahan Modul Recti</v>
      </c>
      <c r="J1817" s="12" t="s">
        <v>112</v>
      </c>
      <c r="K1817" s="17">
        <v>46093.0</v>
      </c>
      <c r="L1817" s="17">
        <v>46093.0</v>
      </c>
      <c r="M1817" s="13"/>
      <c r="N1817" s="23"/>
      <c r="O1817" s="22"/>
      <c r="P1817" s="22"/>
    </row>
    <row r="1818" ht="22.5" customHeight="1">
      <c r="A1818" s="12" t="s">
        <v>72</v>
      </c>
      <c r="B1818" s="20" t="str">
        <f>IFERROR(VLOOKUP(A1818,Sheet1!$E$3:$H$27,4,0),"")</f>
        <v>P1</v>
      </c>
      <c r="C1818" s="14" t="s">
        <v>119</v>
      </c>
      <c r="D1818" s="12" t="s">
        <v>0</v>
      </c>
      <c r="E1818" s="13" t="str">
        <f>IFERROR(VLOOKUP(D1818,Sheet1!$B$1:$C$45,2,0),"")</f>
        <v>MBP</v>
      </c>
      <c r="F1818" s="12" t="s">
        <v>108</v>
      </c>
      <c r="G1818" s="13" t="str">
        <f t="shared" si="6"/>
        <v>Barito Raya</v>
      </c>
      <c r="H1818" s="15" t="str">
        <f>IFERROR(VLOOKUP(A1818,Sheet1!$E$3:$F$27,2,),"")</f>
        <v>Corrective</v>
      </c>
      <c r="I1818" s="16" t="str">
        <f>IFERROR(VLOOKUP(A1818,Sheet1!$E$3:$G$27,3,0),"")</f>
        <v>Perbaikan Auto,pergantian relay,timer, yang berhubungan genset</v>
      </c>
      <c r="J1818" s="12" t="s">
        <v>66</v>
      </c>
      <c r="K1818" s="17">
        <v>46093.0</v>
      </c>
      <c r="L1818" s="17">
        <v>46093.0</v>
      </c>
      <c r="M1818" s="13"/>
      <c r="N1818" s="23"/>
      <c r="O1818" s="22"/>
      <c r="P1818" s="22"/>
    </row>
    <row r="1819" ht="22.5" customHeight="1">
      <c r="A1819" s="12" t="s">
        <v>22</v>
      </c>
      <c r="B1819" s="20" t="str">
        <f>IFERROR(VLOOKUP(A1819,Sheet1!$E$3:$H$27,4,0),"")</f>
        <v>P2</v>
      </c>
      <c r="C1819" s="14" t="s">
        <v>134</v>
      </c>
      <c r="D1819" s="12" t="s">
        <v>85</v>
      </c>
      <c r="E1819" s="13" t="str">
        <f>IFERROR(VLOOKUP(D1819,Sheet1!$B$1:$C$45,2,0),"")</f>
        <v>PM</v>
      </c>
      <c r="F1819" s="12" t="s">
        <v>108</v>
      </c>
      <c r="G1819" s="13" t="str">
        <f t="shared" si="6"/>
        <v>Barito Raya</v>
      </c>
      <c r="H1819" s="15" t="str">
        <f>IFERROR(VLOOKUP(A1819,Sheet1!$E$3:$F$27,2,),"")</f>
        <v>Preventive</v>
      </c>
      <c r="I1819" s="16" t="str">
        <f>IFERROR(VLOOKUP(A1819,Sheet1!$E$3:$G$27,3,0),"")</f>
        <v>Preventive Maintenance</v>
      </c>
      <c r="J1819" s="12" t="s">
        <v>112</v>
      </c>
      <c r="K1819" s="17">
        <v>46093.0</v>
      </c>
      <c r="L1819" s="17">
        <v>46093.0</v>
      </c>
      <c r="M1819" s="13"/>
      <c r="N1819" s="23"/>
      <c r="O1819" s="22"/>
      <c r="P1819" s="22"/>
    </row>
    <row r="1820" ht="22.5" customHeight="1">
      <c r="A1820" s="12" t="s">
        <v>22</v>
      </c>
      <c r="B1820" s="20" t="str">
        <f>IFERROR(VLOOKUP(A1820,Sheet1!$E$3:$H$27,4,0),"")</f>
        <v>P2</v>
      </c>
      <c r="C1820" s="14" t="s">
        <v>134</v>
      </c>
      <c r="D1820" s="12" t="s">
        <v>84</v>
      </c>
      <c r="E1820" s="13" t="str">
        <f>IFERROR(VLOOKUP(D1820,Sheet1!$B$1:$C$45,2,0),"")</f>
        <v>MBP</v>
      </c>
      <c r="F1820" s="12" t="s">
        <v>108</v>
      </c>
      <c r="G1820" s="13" t="str">
        <f t="shared" si="6"/>
        <v>Barito Raya</v>
      </c>
      <c r="H1820" s="15" t="str">
        <f>IFERROR(VLOOKUP(A1820,Sheet1!$E$3:$F$27,2,),"")</f>
        <v>Preventive</v>
      </c>
      <c r="I1820" s="16" t="str">
        <f>IFERROR(VLOOKUP(A1820,Sheet1!$E$3:$G$27,3,0),"")</f>
        <v>Preventive Maintenance</v>
      </c>
      <c r="J1820" s="12" t="s">
        <v>112</v>
      </c>
      <c r="K1820" s="17">
        <v>46093.0</v>
      </c>
      <c r="L1820" s="17">
        <v>46093.0</v>
      </c>
      <c r="M1820" s="13"/>
      <c r="N1820" s="23"/>
      <c r="O1820" s="22"/>
      <c r="P1820" s="22"/>
    </row>
    <row r="1821" ht="22.5" hidden="1" customHeight="1">
      <c r="A1821" s="12" t="s">
        <v>22</v>
      </c>
      <c r="B1821" s="20" t="str">
        <f>IFERROR(VLOOKUP(A1821,Sheet1!$E$3:$H$27,4,0),"")</f>
        <v>P2</v>
      </c>
      <c r="C1821" s="15"/>
      <c r="D1821" s="12" t="s">
        <v>86</v>
      </c>
      <c r="E1821" s="13" t="str">
        <f>IFERROR(VLOOKUP(D1821,Sheet1!$B$1:$C$45,2,0),"")</f>
        <v>PM</v>
      </c>
      <c r="F1821" s="12" t="s">
        <v>108</v>
      </c>
      <c r="G1821" s="13" t="str">
        <f t="shared" si="6"/>
        <v>Barito Raya</v>
      </c>
      <c r="H1821" s="15" t="str">
        <f>IFERROR(VLOOKUP(A1821,Sheet1!$E$3:$F$27,2,),"")</f>
        <v>Preventive</v>
      </c>
      <c r="I1821" s="16" t="str">
        <f>IFERROR(VLOOKUP(A1821,Sheet1!$E$3:$G$27,3,0),"")</f>
        <v>Preventive Maintenance</v>
      </c>
      <c r="J1821" s="12" t="s">
        <v>112</v>
      </c>
      <c r="K1821" s="17">
        <v>46093.0</v>
      </c>
      <c r="L1821" s="17">
        <v>46093.0</v>
      </c>
      <c r="M1821" s="13"/>
      <c r="N1821" s="23"/>
      <c r="O1821" s="22"/>
      <c r="P1821" s="22"/>
    </row>
    <row r="1822" ht="22.5" customHeight="1">
      <c r="A1822" s="12" t="s">
        <v>52</v>
      </c>
      <c r="B1822" s="20" t="str">
        <f>IFERROR(VLOOKUP(A1822,Sheet1!$E$3:$H$27,4,0),"")</f>
        <v>P1</v>
      </c>
      <c r="C1822" s="14" t="s">
        <v>285</v>
      </c>
      <c r="D1822" s="12" t="s">
        <v>12</v>
      </c>
      <c r="E1822" s="13" t="str">
        <f>IFERROR(VLOOKUP(D1822,Sheet1!$B$1:$C$45,2,0),"")</f>
        <v>TE</v>
      </c>
      <c r="F1822" s="12" t="s">
        <v>108</v>
      </c>
      <c r="G1822" s="13" t="str">
        <f t="shared" si="6"/>
        <v>Barito Raya</v>
      </c>
      <c r="H1822" s="15" t="str">
        <f>IFERROR(VLOOKUP(A1822,Sheet1!$E$3:$F$27,2,),"")</f>
        <v>Preventive</v>
      </c>
      <c r="I1822" s="16" t="str">
        <f>IFERROR(VLOOKUP(A1822,Sheet1!$E$3:$G$27,3,0),"")</f>
        <v>MCB trip/Power upnormal</v>
      </c>
      <c r="J1822" s="12" t="s">
        <v>112</v>
      </c>
      <c r="K1822" s="17">
        <v>46094.0</v>
      </c>
      <c r="L1822" s="17">
        <v>46094.0</v>
      </c>
      <c r="M1822" s="12" t="s">
        <v>137</v>
      </c>
      <c r="N1822" s="23"/>
      <c r="O1822" s="22"/>
      <c r="P1822" s="22"/>
    </row>
    <row r="1823" ht="22.5" customHeight="1">
      <c r="A1823" s="12" t="s">
        <v>22</v>
      </c>
      <c r="B1823" s="20" t="str">
        <f>IFERROR(VLOOKUP(A1823,Sheet1!$E$3:$H$27,4,0),"")</f>
        <v>P2</v>
      </c>
      <c r="C1823" s="14" t="s">
        <v>286</v>
      </c>
      <c r="D1823" s="12" t="s">
        <v>16</v>
      </c>
      <c r="E1823" s="13" t="str">
        <f>IFERROR(VLOOKUP(D1823,Sheet1!$B$1:$C$45,2,0),"")</f>
        <v>TE</v>
      </c>
      <c r="F1823" s="12" t="s">
        <v>108</v>
      </c>
      <c r="G1823" s="13" t="str">
        <f t="shared" si="6"/>
        <v>Barito Raya</v>
      </c>
      <c r="H1823" s="15" t="str">
        <f>IFERROR(VLOOKUP(A1823,Sheet1!$E$3:$F$27,2,),"")</f>
        <v>Preventive</v>
      </c>
      <c r="I1823" s="16" t="str">
        <f>IFERROR(VLOOKUP(A1823,Sheet1!$E$3:$G$27,3,0),"")</f>
        <v>Preventive Maintenance</v>
      </c>
      <c r="J1823" s="12" t="s">
        <v>112</v>
      </c>
      <c r="K1823" s="17">
        <v>46094.0</v>
      </c>
      <c r="L1823" s="17">
        <v>46094.0</v>
      </c>
      <c r="M1823" s="12" t="s">
        <v>137</v>
      </c>
      <c r="N1823" s="23"/>
      <c r="O1823" s="22"/>
      <c r="P1823" s="22"/>
    </row>
    <row r="1824" ht="22.5" customHeight="1">
      <c r="A1824" s="12" t="s">
        <v>17</v>
      </c>
      <c r="B1824" s="20" t="str">
        <f>IFERROR(VLOOKUP(A1824,Sheet1!$E$3:$H$27,4,0),"")</f>
        <v>P2</v>
      </c>
      <c r="C1824" s="14" t="s">
        <v>323</v>
      </c>
      <c r="D1824" s="12" t="s">
        <v>21</v>
      </c>
      <c r="E1824" s="13" t="str">
        <f>IFERROR(VLOOKUP(D1824,Sheet1!$B$1:$C$45,2,0),"")</f>
        <v>TE</v>
      </c>
      <c r="F1824" s="12" t="s">
        <v>108</v>
      </c>
      <c r="G1824" s="13" t="str">
        <f t="shared" si="6"/>
        <v>Barito Raya</v>
      </c>
      <c r="H1824" s="15" t="str">
        <f>IFERROR(VLOOKUP(A1824,Sheet1!$E$3:$F$27,2,),"")</f>
        <v>Preventive</v>
      </c>
      <c r="I1824" s="16" t="str">
        <f>IFERROR(VLOOKUP(A1824,Sheet1!$E$3:$G$27,3,0),"")</f>
        <v>integrasi LAN dan validasi alarm</v>
      </c>
      <c r="J1824" s="12" t="s">
        <v>112</v>
      </c>
      <c r="K1824" s="17">
        <v>46094.0</v>
      </c>
      <c r="L1824" s="17">
        <v>46094.0</v>
      </c>
      <c r="M1824" s="12" t="s">
        <v>137</v>
      </c>
      <c r="N1824" s="23"/>
      <c r="O1824" s="22"/>
      <c r="P1824" s="22"/>
    </row>
    <row r="1825" ht="22.5" customHeight="1">
      <c r="A1825" s="12" t="s">
        <v>43</v>
      </c>
      <c r="B1825" s="20" t="str">
        <f>IFERROR(VLOOKUP(A1825,Sheet1!$E$3:$H$27,4,0),"")</f>
        <v>P1</v>
      </c>
      <c r="C1825" s="14" t="s">
        <v>621</v>
      </c>
      <c r="D1825" s="12" t="s">
        <v>26</v>
      </c>
      <c r="E1825" s="13" t="str">
        <f>IFERROR(VLOOKUP(D1825,Sheet1!$B$1:$C$45,2,0),"")</f>
        <v>TE</v>
      </c>
      <c r="F1825" s="12" t="s">
        <v>108</v>
      </c>
      <c r="G1825" s="13" t="str">
        <f t="shared" si="6"/>
        <v>Barito Raya</v>
      </c>
      <c r="H1825" s="15" t="str">
        <f>IFERROR(VLOOKUP(A1825,Sheet1!$E$3:$F$27,2,),"")</f>
        <v>Corrective</v>
      </c>
      <c r="I1825" s="16" t="str">
        <f>IFERROR(VLOOKUP(A1825,Sheet1!$E$3:$G$27,3,0),"")</f>
        <v>Impact BTS down / RX Level &gt;70 / PL</v>
      </c>
      <c r="J1825" s="12" t="s">
        <v>112</v>
      </c>
      <c r="K1825" s="17">
        <v>46094.0</v>
      </c>
      <c r="L1825" s="17">
        <v>46094.0</v>
      </c>
      <c r="M1825" s="12" t="s">
        <v>137</v>
      </c>
      <c r="N1825" s="23"/>
      <c r="O1825" s="22"/>
      <c r="P1825" s="22"/>
    </row>
    <row r="1826" ht="22.5" customHeight="1">
      <c r="A1826" s="12" t="s">
        <v>43</v>
      </c>
      <c r="B1826" s="20" t="str">
        <f>IFERROR(VLOOKUP(A1826,Sheet1!$E$3:$H$27,4,0),"")</f>
        <v>P1</v>
      </c>
      <c r="C1826" s="14" t="s">
        <v>355</v>
      </c>
      <c r="D1826" s="12" t="s">
        <v>32</v>
      </c>
      <c r="E1826" s="13" t="str">
        <f>IFERROR(VLOOKUP(D1826,Sheet1!$B$1:$C$45,2,0),"")</f>
        <v>TE</v>
      </c>
      <c r="F1826" s="12" t="s">
        <v>108</v>
      </c>
      <c r="G1826" s="13" t="str">
        <f t="shared" si="6"/>
        <v>Barito Raya</v>
      </c>
      <c r="H1826" s="15" t="str">
        <f>IFERROR(VLOOKUP(A1826,Sheet1!$E$3:$F$27,2,),"")</f>
        <v>Corrective</v>
      </c>
      <c r="I1826" s="16" t="str">
        <f>IFERROR(VLOOKUP(A1826,Sheet1!$E$3:$G$27,3,0),"")</f>
        <v>Impact BTS down / RX Level &gt;70 / PL</v>
      </c>
      <c r="J1826" s="12" t="s">
        <v>112</v>
      </c>
      <c r="K1826" s="17">
        <v>46094.0</v>
      </c>
      <c r="L1826" s="17">
        <v>46094.0</v>
      </c>
      <c r="M1826" s="12" t="s">
        <v>137</v>
      </c>
      <c r="N1826" s="23"/>
      <c r="O1826" s="22"/>
      <c r="P1826" s="22"/>
    </row>
    <row r="1827" ht="22.5" customHeight="1">
      <c r="A1827" s="12" t="s">
        <v>5</v>
      </c>
      <c r="B1827" s="20" t="str">
        <f>IFERROR(VLOOKUP(A1827,Sheet1!$E$3:$H$27,4,0),"")</f>
        <v>P1</v>
      </c>
      <c r="C1827" s="14" t="s">
        <v>263</v>
      </c>
      <c r="D1827" s="12" t="s">
        <v>74</v>
      </c>
      <c r="E1827" s="13" t="str">
        <f>IFERROR(VLOOKUP(D1827,Sheet1!$B$1:$C$45,2,0),"")</f>
        <v>TE</v>
      </c>
      <c r="F1827" s="12" t="s">
        <v>108</v>
      </c>
      <c r="G1827" s="13" t="str">
        <f t="shared" si="6"/>
        <v>Barito Raya</v>
      </c>
      <c r="H1827" s="15" t="str">
        <f>IFERROR(VLOOKUP(A1827,Sheet1!$E$3:$F$27,2,),"")</f>
        <v>Corrective</v>
      </c>
      <c r="I1827" s="16" t="str">
        <f>IFERROR(VLOOKUP(A1827,Sheet1!$E$3:$G$27,3,0),"")</f>
        <v>Replace Optik,RRU/Soket Power/Replace GPS</v>
      </c>
      <c r="J1827" s="12" t="s">
        <v>112</v>
      </c>
      <c r="K1827" s="17">
        <v>46094.0</v>
      </c>
      <c r="L1827" s="17">
        <v>46094.0</v>
      </c>
      <c r="M1827" s="12" t="s">
        <v>137</v>
      </c>
      <c r="N1827" s="23"/>
      <c r="O1827" s="22"/>
      <c r="P1827" s="22"/>
    </row>
    <row r="1828" ht="22.5" customHeight="1">
      <c r="A1828" s="12" t="s">
        <v>72</v>
      </c>
      <c r="B1828" s="20" t="str">
        <f>IFERROR(VLOOKUP(A1828,Sheet1!$E$3:$H$27,4,0),"")</f>
        <v>P1</v>
      </c>
      <c r="C1828" s="14" t="s">
        <v>262</v>
      </c>
      <c r="D1828" s="12" t="s">
        <v>60</v>
      </c>
      <c r="E1828" s="13" t="str">
        <f>IFERROR(VLOOKUP(D1828,Sheet1!$B$1:$C$45,2,0),"")</f>
        <v>TE</v>
      </c>
      <c r="F1828" s="12" t="s">
        <v>108</v>
      </c>
      <c r="G1828" s="13" t="str">
        <f t="shared" si="6"/>
        <v>Barito Raya</v>
      </c>
      <c r="H1828" s="15" t="str">
        <f>IFERROR(VLOOKUP(A1828,Sheet1!$E$3:$F$27,2,),"")</f>
        <v>Corrective</v>
      </c>
      <c r="I1828" s="16" t="str">
        <f>IFERROR(VLOOKUP(A1828,Sheet1!$E$3:$G$27,3,0),"")</f>
        <v>Perbaikan Auto,pergantian relay,timer, yang berhubungan genset</v>
      </c>
      <c r="J1828" s="12" t="s">
        <v>112</v>
      </c>
      <c r="K1828" s="17">
        <v>46094.0</v>
      </c>
      <c r="L1828" s="17">
        <v>46094.0</v>
      </c>
      <c r="M1828" s="12" t="s">
        <v>137</v>
      </c>
      <c r="N1828" s="23"/>
      <c r="O1828" s="22"/>
      <c r="P1828" s="22"/>
    </row>
    <row r="1829" ht="22.5" customHeight="1">
      <c r="A1829" s="12" t="s">
        <v>30</v>
      </c>
      <c r="B1829" s="20" t="str">
        <f>IFERROR(VLOOKUP(A1829,Sheet1!$E$3:$H$27,4,0),"")</f>
        <v>P3</v>
      </c>
      <c r="C1829" s="14" t="s">
        <v>206</v>
      </c>
      <c r="D1829" s="12" t="s">
        <v>62</v>
      </c>
      <c r="E1829" s="13" t="str">
        <f>IFERROR(VLOOKUP(D1829,Sheet1!$B$1:$C$45,2,0),"")</f>
        <v>TE</v>
      </c>
      <c r="F1829" s="12" t="s">
        <v>108</v>
      </c>
      <c r="G1829" s="13" t="str">
        <f t="shared" si="6"/>
        <v>Barito Raya</v>
      </c>
      <c r="H1829" s="15" t="str">
        <f>IFERROR(VLOOKUP(A1829,Sheet1!$E$3:$F$27,2,),"")</f>
        <v>Preventive</v>
      </c>
      <c r="I1829" s="16" t="str">
        <f>IFERROR(VLOOKUP(A1829,Sheet1!$E$3:$G$27,3,0),"")</f>
        <v>Pengawalan akses Vendor</v>
      </c>
      <c r="J1829" s="12" t="s">
        <v>112</v>
      </c>
      <c r="K1829" s="17">
        <v>46094.0</v>
      </c>
      <c r="L1829" s="17">
        <v>46094.0</v>
      </c>
      <c r="M1829" s="12" t="s">
        <v>137</v>
      </c>
      <c r="N1829" s="23"/>
      <c r="O1829" s="22"/>
      <c r="P1829" s="22"/>
    </row>
    <row r="1830" ht="22.5" customHeight="1">
      <c r="A1830" s="12" t="s">
        <v>22</v>
      </c>
      <c r="B1830" s="20" t="str">
        <f>IFERROR(VLOOKUP(A1830,Sheet1!$E$3:$H$27,4,0),"")</f>
        <v>P2</v>
      </c>
      <c r="C1830" s="14" t="s">
        <v>286</v>
      </c>
      <c r="D1830" s="12" t="s">
        <v>9</v>
      </c>
      <c r="E1830" s="13" t="str">
        <f>IFERROR(VLOOKUP(D1830,Sheet1!$B$1:$C$45,2,0),"")</f>
        <v>MBP</v>
      </c>
      <c r="F1830" s="12" t="s">
        <v>108</v>
      </c>
      <c r="G1830" s="13" t="str">
        <f t="shared" si="6"/>
        <v>Barito Raya</v>
      </c>
      <c r="H1830" s="15" t="str">
        <f>IFERROR(VLOOKUP(A1830,Sheet1!$E$3:$F$27,2,),"")</f>
        <v>Preventive</v>
      </c>
      <c r="I1830" s="16" t="str">
        <f>IFERROR(VLOOKUP(A1830,Sheet1!$E$3:$G$27,3,0),"")</f>
        <v>Preventive Maintenance</v>
      </c>
      <c r="J1830" s="12" t="s">
        <v>112</v>
      </c>
      <c r="K1830" s="17">
        <v>46094.0</v>
      </c>
      <c r="L1830" s="17">
        <v>46094.0</v>
      </c>
      <c r="M1830" s="12" t="s">
        <v>137</v>
      </c>
      <c r="N1830" s="23"/>
      <c r="O1830" s="22"/>
      <c r="P1830" s="22"/>
    </row>
    <row r="1831" ht="22.5" customHeight="1">
      <c r="A1831" s="12" t="s">
        <v>65</v>
      </c>
      <c r="B1831" s="20" t="str">
        <f>IFERROR(VLOOKUP(A1831,Sheet1!$E$3:$H$27,4,0),"")</f>
        <v>P3</v>
      </c>
      <c r="C1831" s="15"/>
      <c r="D1831" s="12" t="s">
        <v>4</v>
      </c>
      <c r="E1831" s="13" t="str">
        <f>IFERROR(VLOOKUP(D1831,Sheet1!$B$1:$C$45,2,0),"")</f>
        <v>CME</v>
      </c>
      <c r="F1831" s="12" t="s">
        <v>108</v>
      </c>
      <c r="G1831" s="13" t="str">
        <f t="shared" si="6"/>
        <v>Barito Raya</v>
      </c>
      <c r="H1831" s="15" t="str">
        <f>IFERROR(VLOOKUP(A1831,Sheet1!$E$3:$F$27,2,),"")</f>
        <v>Standby</v>
      </c>
      <c r="I1831" s="16" t="str">
        <f>IFERROR(VLOOKUP(A1831,Sheet1!$E$3:$G$27,3,0),"")</f>
        <v>Standby On Call</v>
      </c>
      <c r="J1831" s="12" t="s">
        <v>66</v>
      </c>
      <c r="K1831" s="17">
        <v>46094.0</v>
      </c>
      <c r="L1831" s="17">
        <v>46094.0</v>
      </c>
      <c r="M1831" s="13"/>
      <c r="N1831" s="23"/>
      <c r="O1831" s="22"/>
      <c r="P1831" s="22"/>
    </row>
    <row r="1832" ht="22.5" customHeight="1">
      <c r="A1832" s="12" t="s">
        <v>65</v>
      </c>
      <c r="B1832" s="20" t="str">
        <f>IFERROR(VLOOKUP(A1832,Sheet1!$E$3:$H$27,4,0),"")</f>
        <v>P3</v>
      </c>
      <c r="C1832" s="15"/>
      <c r="D1832" s="12" t="s">
        <v>87</v>
      </c>
      <c r="E1832" s="13" t="str">
        <f>IFERROR(VLOOKUP(D1832,Sheet1!$B$1:$C$45,2,0),"")</f>
        <v>MBP</v>
      </c>
      <c r="F1832" s="12" t="s">
        <v>108</v>
      </c>
      <c r="G1832" s="13" t="str">
        <f t="shared" si="6"/>
        <v>Barito Raya</v>
      </c>
      <c r="H1832" s="15" t="str">
        <f>IFERROR(VLOOKUP(A1832,Sheet1!$E$3:$F$27,2,),"")</f>
        <v>Standby</v>
      </c>
      <c r="I1832" s="16" t="str">
        <f>IFERROR(VLOOKUP(A1832,Sheet1!$E$3:$G$27,3,0),"")</f>
        <v>Standby On Call</v>
      </c>
      <c r="J1832" s="12" t="s">
        <v>66</v>
      </c>
      <c r="K1832" s="17">
        <v>46094.0</v>
      </c>
      <c r="L1832" s="17">
        <v>46094.0</v>
      </c>
      <c r="M1832" s="13"/>
      <c r="N1832" s="23"/>
      <c r="O1832" s="22"/>
      <c r="P1832" s="22"/>
    </row>
    <row r="1833" ht="22.5" customHeight="1">
      <c r="A1833" s="12" t="s">
        <v>65</v>
      </c>
      <c r="B1833" s="20" t="str">
        <f>IFERROR(VLOOKUP(A1833,Sheet1!$E$3:$H$27,4,0),"")</f>
        <v>P3</v>
      </c>
      <c r="C1833" s="15"/>
      <c r="D1833" s="12" t="s">
        <v>29</v>
      </c>
      <c r="E1833" s="13" t="str">
        <f>IFERROR(VLOOKUP(D1833,Sheet1!$B$1:$C$45,2,0),"")</f>
        <v>MBP</v>
      </c>
      <c r="F1833" s="12" t="s">
        <v>108</v>
      </c>
      <c r="G1833" s="13" t="str">
        <f t="shared" si="6"/>
        <v>Barito Raya</v>
      </c>
      <c r="H1833" s="15" t="str">
        <f>IFERROR(VLOOKUP(A1833,Sheet1!$E$3:$F$27,2,),"")</f>
        <v>Standby</v>
      </c>
      <c r="I1833" s="16" t="str">
        <f>IFERROR(VLOOKUP(A1833,Sheet1!$E$3:$G$27,3,0),"")</f>
        <v>Standby On Call</v>
      </c>
      <c r="J1833" s="12" t="s">
        <v>66</v>
      </c>
      <c r="K1833" s="17">
        <v>46094.0</v>
      </c>
      <c r="L1833" s="17">
        <v>46094.0</v>
      </c>
      <c r="M1833" s="13"/>
      <c r="N1833" s="23"/>
      <c r="O1833" s="22"/>
      <c r="P1833" s="22"/>
    </row>
    <row r="1834" ht="22.5" customHeight="1">
      <c r="A1834" s="12" t="s">
        <v>5</v>
      </c>
      <c r="B1834" s="20" t="str">
        <f>IFERROR(VLOOKUP(A1834,Sheet1!$E$3:$H$27,4,0),"")</f>
        <v>P1</v>
      </c>
      <c r="C1834" s="14" t="s">
        <v>461</v>
      </c>
      <c r="D1834" s="12" t="s">
        <v>2</v>
      </c>
      <c r="E1834" s="13" t="str">
        <f>IFERROR(VLOOKUP(D1834,Sheet1!$B$1:$C$45,2,0),"")</f>
        <v>CME</v>
      </c>
      <c r="F1834" s="12" t="s">
        <v>108</v>
      </c>
      <c r="G1834" s="13" t="str">
        <f t="shared" si="6"/>
        <v>Barito Raya</v>
      </c>
      <c r="H1834" s="15" t="str">
        <f>IFERROR(VLOOKUP(A1834,Sheet1!$E$3:$F$27,2,),"")</f>
        <v>Corrective</v>
      </c>
      <c r="I1834" s="16" t="str">
        <f>IFERROR(VLOOKUP(A1834,Sheet1!$E$3:$G$27,3,0),"")</f>
        <v>Replace Optik,RRU/Soket Power/Replace GPS</v>
      </c>
      <c r="J1834" s="12" t="s">
        <v>112</v>
      </c>
      <c r="K1834" s="17">
        <v>46094.0</v>
      </c>
      <c r="L1834" s="17">
        <v>46094.0</v>
      </c>
      <c r="M1834" s="12" t="s">
        <v>137</v>
      </c>
      <c r="N1834" s="23"/>
      <c r="O1834" s="22"/>
      <c r="P1834" s="22"/>
    </row>
    <row r="1835" ht="22.5" customHeight="1">
      <c r="A1835" s="12" t="s">
        <v>72</v>
      </c>
      <c r="B1835" s="20" t="str">
        <f>IFERROR(VLOOKUP(A1835,Sheet1!$E$3:$H$27,4,0),"")</f>
        <v>P1</v>
      </c>
      <c r="C1835" s="14" t="s">
        <v>262</v>
      </c>
      <c r="D1835" s="12" t="s">
        <v>0</v>
      </c>
      <c r="E1835" s="13" t="str">
        <f>IFERROR(VLOOKUP(D1835,Sheet1!$B$1:$C$45,2,0),"")</f>
        <v>MBP</v>
      </c>
      <c r="F1835" s="12" t="s">
        <v>108</v>
      </c>
      <c r="G1835" s="13" t="str">
        <f t="shared" si="6"/>
        <v>Barito Raya</v>
      </c>
      <c r="H1835" s="15" t="str">
        <f>IFERROR(VLOOKUP(A1835,Sheet1!$E$3:$F$27,2,),"")</f>
        <v>Corrective</v>
      </c>
      <c r="I1835" s="16" t="str">
        <f>IFERROR(VLOOKUP(A1835,Sheet1!$E$3:$G$27,3,0),"")</f>
        <v>Perbaikan Auto,pergantian relay,timer, yang berhubungan genset</v>
      </c>
      <c r="J1835" s="12" t="s">
        <v>112</v>
      </c>
      <c r="K1835" s="17">
        <v>46094.0</v>
      </c>
      <c r="L1835" s="17">
        <v>46094.0</v>
      </c>
      <c r="M1835" s="12" t="s">
        <v>137</v>
      </c>
      <c r="N1835" s="23"/>
      <c r="O1835" s="22"/>
      <c r="P1835" s="22"/>
    </row>
    <row r="1836" ht="22.5" customHeight="1">
      <c r="A1836" s="12" t="s">
        <v>22</v>
      </c>
      <c r="B1836" s="20" t="str">
        <f>IFERROR(VLOOKUP(A1836,Sheet1!$E$3:$H$27,4,0),"")</f>
        <v>P2</v>
      </c>
      <c r="C1836" s="14" t="s">
        <v>298</v>
      </c>
      <c r="D1836" s="12" t="s">
        <v>85</v>
      </c>
      <c r="E1836" s="13" t="str">
        <f>IFERROR(VLOOKUP(D1836,Sheet1!$B$1:$C$45,2,0),"")</f>
        <v>PM</v>
      </c>
      <c r="F1836" s="12" t="s">
        <v>108</v>
      </c>
      <c r="G1836" s="13" t="str">
        <f t="shared" si="6"/>
        <v>Barito Raya</v>
      </c>
      <c r="H1836" s="15" t="str">
        <f>IFERROR(VLOOKUP(A1836,Sheet1!$E$3:$F$27,2,),"")</f>
        <v>Preventive</v>
      </c>
      <c r="I1836" s="16" t="str">
        <f>IFERROR(VLOOKUP(A1836,Sheet1!$E$3:$G$27,3,0),"")</f>
        <v>Preventive Maintenance</v>
      </c>
      <c r="J1836" s="12" t="s">
        <v>112</v>
      </c>
      <c r="K1836" s="17">
        <v>46094.0</v>
      </c>
      <c r="L1836" s="17">
        <v>46094.0</v>
      </c>
      <c r="M1836" s="12" t="s">
        <v>137</v>
      </c>
      <c r="N1836" s="23"/>
      <c r="O1836" s="22"/>
      <c r="P1836" s="22"/>
    </row>
    <row r="1837" ht="22.5" customHeight="1">
      <c r="A1837" s="12" t="s">
        <v>22</v>
      </c>
      <c r="B1837" s="20" t="str">
        <f>IFERROR(VLOOKUP(A1837,Sheet1!$E$3:$H$27,4,0),"")</f>
        <v>P2</v>
      </c>
      <c r="C1837" s="14" t="s">
        <v>298</v>
      </c>
      <c r="D1837" s="12" t="s">
        <v>84</v>
      </c>
      <c r="E1837" s="13" t="str">
        <f>IFERROR(VLOOKUP(D1837,Sheet1!$B$1:$C$45,2,0),"")</f>
        <v>MBP</v>
      </c>
      <c r="F1837" s="12" t="s">
        <v>108</v>
      </c>
      <c r="G1837" s="13" t="str">
        <f t="shared" si="6"/>
        <v>Barito Raya</v>
      </c>
      <c r="H1837" s="15" t="str">
        <f>IFERROR(VLOOKUP(A1837,Sheet1!$E$3:$F$27,2,),"")</f>
        <v>Preventive</v>
      </c>
      <c r="I1837" s="16" t="str">
        <f>IFERROR(VLOOKUP(A1837,Sheet1!$E$3:$G$27,3,0),"")</f>
        <v>Preventive Maintenance</v>
      </c>
      <c r="J1837" s="12" t="s">
        <v>112</v>
      </c>
      <c r="K1837" s="17">
        <v>46094.0</v>
      </c>
      <c r="L1837" s="17">
        <v>46094.0</v>
      </c>
      <c r="M1837" s="12" t="s">
        <v>137</v>
      </c>
      <c r="N1837" s="23"/>
      <c r="O1837" s="22"/>
      <c r="P1837" s="22"/>
    </row>
    <row r="1838" ht="22.5" customHeight="1">
      <c r="A1838" s="12" t="s">
        <v>22</v>
      </c>
      <c r="B1838" s="20" t="str">
        <f>IFERROR(VLOOKUP(A1838,Sheet1!$E$3:$H$27,4,0),"")</f>
        <v>P2</v>
      </c>
      <c r="C1838" s="14" t="s">
        <v>489</v>
      </c>
      <c r="D1838" s="12" t="s">
        <v>86</v>
      </c>
      <c r="E1838" s="13" t="str">
        <f>IFERROR(VLOOKUP(D1838,Sheet1!$B$1:$C$45,2,0),"")</f>
        <v>PM</v>
      </c>
      <c r="F1838" s="12" t="s">
        <v>108</v>
      </c>
      <c r="G1838" s="13" t="str">
        <f t="shared" si="6"/>
        <v>Barito Raya</v>
      </c>
      <c r="H1838" s="15" t="str">
        <f>IFERROR(VLOOKUP(A1838,Sheet1!$E$3:$F$27,2,),"")</f>
        <v>Preventive</v>
      </c>
      <c r="I1838" s="16" t="str">
        <f>IFERROR(VLOOKUP(A1838,Sheet1!$E$3:$G$27,3,0),"")</f>
        <v>Preventive Maintenance</v>
      </c>
      <c r="J1838" s="12" t="s">
        <v>112</v>
      </c>
      <c r="K1838" s="17">
        <v>46094.0</v>
      </c>
      <c r="L1838" s="17">
        <v>46094.0</v>
      </c>
      <c r="M1838" s="13"/>
      <c r="N1838" s="23"/>
      <c r="O1838" s="22"/>
      <c r="P1838" s="22"/>
    </row>
    <row r="1839" ht="22.5" customHeight="1">
      <c r="A1839" s="12" t="s">
        <v>14</v>
      </c>
      <c r="B1839" s="20" t="str">
        <f>IFERROR(VLOOKUP(A1839,Sheet1!$E$3:$H$27,4,0),"")</f>
        <v>P1</v>
      </c>
      <c r="C1839" s="14" t="s">
        <v>634</v>
      </c>
      <c r="D1839" s="12" t="s">
        <v>42</v>
      </c>
      <c r="E1839" s="13" t="str">
        <f>IFERROR(VLOOKUP(D1839,Sheet1!$B$1:$C$45,2,0),"")</f>
        <v>TE</v>
      </c>
      <c r="F1839" s="12" t="s">
        <v>179</v>
      </c>
      <c r="G1839" s="13" t="str">
        <f t="shared" si="6"/>
        <v>Palangkaraya</v>
      </c>
      <c r="H1839" s="15" t="str">
        <f>IFERROR(VLOOKUP(A1839,Sheet1!$E$3:$F$27,2,),"")</f>
        <v>Corrective</v>
      </c>
      <c r="I1839" s="16" t="str">
        <f>IFERROR(VLOOKUP(A1839,Sheet1!$E$3:$G$27,3,0),"")</f>
        <v>Pemadaman,MCB Trip,Transmisi problem</v>
      </c>
      <c r="J1839" s="12" t="s">
        <v>112</v>
      </c>
      <c r="K1839" s="17">
        <v>46115.0</v>
      </c>
      <c r="L1839" s="17">
        <v>46115.0</v>
      </c>
      <c r="M1839" s="12" t="s">
        <v>137</v>
      </c>
      <c r="N1839" s="23"/>
      <c r="O1839" s="22"/>
      <c r="P1839" s="22"/>
    </row>
    <row r="1840" ht="22.5" customHeight="1">
      <c r="A1840" s="12" t="s">
        <v>14</v>
      </c>
      <c r="B1840" s="20" t="str">
        <f>IFERROR(VLOOKUP(A1840,Sheet1!$E$3:$H$27,4,0),"")</f>
        <v>P1</v>
      </c>
      <c r="C1840" s="14" t="s">
        <v>635</v>
      </c>
      <c r="D1840" s="12" t="s">
        <v>76</v>
      </c>
      <c r="E1840" s="13" t="str">
        <f>IFERROR(VLOOKUP(D1840,Sheet1!$B$1:$C$45,2,0),"")</f>
        <v>TE</v>
      </c>
      <c r="F1840" s="12" t="s">
        <v>179</v>
      </c>
      <c r="G1840" s="13" t="str">
        <f t="shared" si="6"/>
        <v>Palangkaraya</v>
      </c>
      <c r="H1840" s="15" t="str">
        <f>IFERROR(VLOOKUP(A1840,Sheet1!$E$3:$F$27,2,),"")</f>
        <v>Corrective</v>
      </c>
      <c r="I1840" s="16" t="str">
        <f>IFERROR(VLOOKUP(A1840,Sheet1!$E$3:$G$27,3,0),"")</f>
        <v>Pemadaman,MCB Trip,Transmisi problem</v>
      </c>
      <c r="J1840" s="12" t="s">
        <v>112</v>
      </c>
      <c r="K1840" s="17">
        <v>46115.0</v>
      </c>
      <c r="L1840" s="17">
        <v>46115.0</v>
      </c>
      <c r="M1840" s="12" t="s">
        <v>137</v>
      </c>
      <c r="N1840" s="23"/>
      <c r="O1840" s="22"/>
      <c r="P1840" s="22"/>
    </row>
    <row r="1841" ht="22.5" customHeight="1">
      <c r="A1841" s="12" t="s">
        <v>33</v>
      </c>
      <c r="B1841" s="20" t="str">
        <f>IFERROR(VLOOKUP(A1841,Sheet1!$E$3:$H$27,4,0),"")</f>
        <v>P2</v>
      </c>
      <c r="C1841" s="14" t="s">
        <v>430</v>
      </c>
      <c r="D1841" s="12" t="s">
        <v>37</v>
      </c>
      <c r="E1841" s="13" t="str">
        <f>IFERROR(VLOOKUP(D1841,Sheet1!$B$1:$C$45,2,0),"")</f>
        <v>TE</v>
      </c>
      <c r="F1841" s="12" t="s">
        <v>179</v>
      </c>
      <c r="G1841" s="13" t="str">
        <f t="shared" si="6"/>
        <v>Palangkaraya</v>
      </c>
      <c r="H1841" s="15" t="str">
        <f>IFERROR(VLOOKUP(A1841,Sheet1!$E$3:$F$27,2,),"")</f>
        <v>Preventive</v>
      </c>
      <c r="I1841" s="16" t="str">
        <f>IFERROR(VLOOKUP(A1841,Sheet1!$E$3:$G$27,3,0),"")</f>
        <v>Pengukuran dan pengambilan data log serta input Gdoc BBT</v>
      </c>
      <c r="J1841" s="12" t="s">
        <v>112</v>
      </c>
      <c r="K1841" s="17">
        <v>46115.0</v>
      </c>
      <c r="L1841" s="17">
        <v>46115.0</v>
      </c>
      <c r="M1841" s="12" t="s">
        <v>137</v>
      </c>
      <c r="N1841" s="23"/>
      <c r="O1841" s="22"/>
      <c r="P1841" s="22"/>
    </row>
    <row r="1842" ht="22.5" customHeight="1">
      <c r="A1842" s="12" t="s">
        <v>5</v>
      </c>
      <c r="B1842" s="20" t="str">
        <f>IFERROR(VLOOKUP(A1842,Sheet1!$E$3:$H$27,4,0),"")</f>
        <v>P1</v>
      </c>
      <c r="C1842" s="14" t="s">
        <v>468</v>
      </c>
      <c r="D1842" s="12" t="s">
        <v>80</v>
      </c>
      <c r="E1842" s="13" t="str">
        <f>IFERROR(VLOOKUP(D1842,Sheet1!$B$1:$C$45,2,0),"")</f>
        <v>TE</v>
      </c>
      <c r="F1842" s="12" t="s">
        <v>179</v>
      </c>
      <c r="G1842" s="13" t="str">
        <f t="shared" si="6"/>
        <v>Palangkaraya</v>
      </c>
      <c r="H1842" s="15" t="str">
        <f>IFERROR(VLOOKUP(A1842,Sheet1!$E$3:$F$27,2,),"")</f>
        <v>Corrective</v>
      </c>
      <c r="I1842" s="16" t="str">
        <f>IFERROR(VLOOKUP(A1842,Sheet1!$E$3:$G$27,3,0),"")</f>
        <v>Replace Optik,RRU/Soket Power/Replace GPS</v>
      </c>
      <c r="J1842" s="12" t="s">
        <v>112</v>
      </c>
      <c r="K1842" s="17">
        <v>46115.0</v>
      </c>
      <c r="L1842" s="17">
        <v>46115.0</v>
      </c>
      <c r="M1842" s="12" t="s">
        <v>137</v>
      </c>
      <c r="N1842" s="23"/>
      <c r="O1842" s="22"/>
      <c r="P1842" s="22"/>
    </row>
    <row r="1843" ht="22.5" customHeight="1">
      <c r="A1843" s="12" t="s">
        <v>5</v>
      </c>
      <c r="B1843" s="20" t="str">
        <f>IFERROR(VLOOKUP(A1843,Sheet1!$E$3:$H$27,4,0),"")</f>
        <v>P1</v>
      </c>
      <c r="C1843" s="14" t="s">
        <v>636</v>
      </c>
      <c r="D1843" s="12" t="s">
        <v>91</v>
      </c>
      <c r="E1843" s="13" t="str">
        <f>IFERROR(VLOOKUP(D1843,Sheet1!$B$1:$C$45,2,0),"")</f>
        <v>TE</v>
      </c>
      <c r="F1843" s="12" t="s">
        <v>179</v>
      </c>
      <c r="G1843" s="13" t="str">
        <f t="shared" si="6"/>
        <v>Palangkaraya</v>
      </c>
      <c r="H1843" s="15" t="str">
        <f>IFERROR(VLOOKUP(A1843,Sheet1!$E$3:$F$27,2,),"")</f>
        <v>Corrective</v>
      </c>
      <c r="I1843" s="16" t="str">
        <f>IFERROR(VLOOKUP(A1843,Sheet1!$E$3:$G$27,3,0),"")</f>
        <v>Replace Optik,RRU/Soket Power/Replace GPS</v>
      </c>
      <c r="J1843" s="12" t="s">
        <v>112</v>
      </c>
      <c r="K1843" s="17">
        <v>46115.0</v>
      </c>
      <c r="L1843" s="17">
        <v>46115.0</v>
      </c>
      <c r="M1843" s="12" t="s">
        <v>137</v>
      </c>
      <c r="N1843" s="23"/>
      <c r="O1843" s="22"/>
      <c r="P1843" s="22"/>
    </row>
    <row r="1844" ht="22.5" customHeight="1">
      <c r="A1844" s="12" t="s">
        <v>14</v>
      </c>
      <c r="B1844" s="20" t="str">
        <f>IFERROR(VLOOKUP(A1844,Sheet1!$E$3:$H$27,4,0),"")</f>
        <v>P1</v>
      </c>
      <c r="C1844" s="14" t="s">
        <v>202</v>
      </c>
      <c r="D1844" s="12" t="s">
        <v>91</v>
      </c>
      <c r="E1844" s="13" t="str">
        <f>IFERROR(VLOOKUP(D1844,Sheet1!$B$1:$C$45,2,0),"")</f>
        <v>TE</v>
      </c>
      <c r="F1844" s="12" t="s">
        <v>179</v>
      </c>
      <c r="G1844" s="13" t="str">
        <f t="shared" si="6"/>
        <v>Palangkaraya</v>
      </c>
      <c r="H1844" s="15" t="str">
        <f>IFERROR(VLOOKUP(A1844,Sheet1!$E$3:$F$27,2,),"")</f>
        <v>Corrective</v>
      </c>
      <c r="I1844" s="16" t="str">
        <f>IFERROR(VLOOKUP(A1844,Sheet1!$E$3:$G$27,3,0),"")</f>
        <v>Pemadaman,MCB Trip,Transmisi problem</v>
      </c>
      <c r="J1844" s="12" t="s">
        <v>112</v>
      </c>
      <c r="K1844" s="17">
        <v>46115.0</v>
      </c>
      <c r="L1844" s="17">
        <v>46115.0</v>
      </c>
      <c r="M1844" s="12" t="s">
        <v>137</v>
      </c>
      <c r="N1844" s="23"/>
      <c r="O1844" s="22"/>
      <c r="P1844" s="22"/>
    </row>
    <row r="1845" ht="22.5" customHeight="1">
      <c r="A1845" s="12" t="s">
        <v>10</v>
      </c>
      <c r="B1845" s="20" t="str">
        <f>IFERROR(VLOOKUP(A1845,Sheet1!$E$3:$H$27,4,0),"")</f>
        <v>P1</v>
      </c>
      <c r="C1845" s="14" t="s">
        <v>478</v>
      </c>
      <c r="D1845" s="12" t="s">
        <v>58</v>
      </c>
      <c r="E1845" s="13" t="str">
        <f>IFERROR(VLOOKUP(D1845,Sheet1!$B$1:$C$45,2,0),"")</f>
        <v>TE</v>
      </c>
      <c r="F1845" s="12" t="s">
        <v>179</v>
      </c>
      <c r="G1845" s="13" t="str">
        <f t="shared" si="6"/>
        <v>Palangkaraya</v>
      </c>
      <c r="H1845" s="15" t="str">
        <f>IFERROR(VLOOKUP(A1845,Sheet1!$E$3:$F$27,2,),"")</f>
        <v>Corrective</v>
      </c>
      <c r="I1845" s="16" t="str">
        <f>IFERROR(VLOOKUP(A1845,Sheet1!$E$3:$G$27,3,0),"")</f>
        <v>Replace Jumper,antena/RRU</v>
      </c>
      <c r="J1845" s="12" t="s">
        <v>112</v>
      </c>
      <c r="K1845" s="17">
        <v>46115.0</v>
      </c>
      <c r="L1845" s="17">
        <v>46115.0</v>
      </c>
      <c r="M1845" s="12" t="s">
        <v>137</v>
      </c>
      <c r="N1845" s="23"/>
      <c r="O1845" s="22"/>
      <c r="P1845" s="22"/>
    </row>
    <row r="1846" ht="22.5" customHeight="1">
      <c r="A1846" s="12" t="s">
        <v>14</v>
      </c>
      <c r="B1846" s="20" t="str">
        <f>IFERROR(VLOOKUP(A1846,Sheet1!$E$3:$H$27,4,0),"")</f>
        <v>P1</v>
      </c>
      <c r="C1846" s="14" t="s">
        <v>634</v>
      </c>
      <c r="D1846" s="12" t="s">
        <v>56</v>
      </c>
      <c r="E1846" s="13" t="str">
        <f>IFERROR(VLOOKUP(D1846,Sheet1!$B$1:$C$45,2,0),"")</f>
        <v>TE</v>
      </c>
      <c r="F1846" s="12" t="s">
        <v>179</v>
      </c>
      <c r="G1846" s="13" t="str">
        <f t="shared" si="6"/>
        <v>Palangkaraya</v>
      </c>
      <c r="H1846" s="15" t="str">
        <f>IFERROR(VLOOKUP(A1846,Sheet1!$E$3:$F$27,2,),"")</f>
        <v>Corrective</v>
      </c>
      <c r="I1846" s="16" t="str">
        <f>IFERROR(VLOOKUP(A1846,Sheet1!$E$3:$G$27,3,0),"")</f>
        <v>Pemadaman,MCB Trip,Transmisi problem</v>
      </c>
      <c r="J1846" s="12" t="s">
        <v>112</v>
      </c>
      <c r="K1846" s="17">
        <v>46115.0</v>
      </c>
      <c r="L1846" s="17">
        <v>46115.0</v>
      </c>
      <c r="M1846" s="12" t="s">
        <v>137</v>
      </c>
      <c r="N1846" s="23"/>
      <c r="O1846" s="22"/>
      <c r="P1846" s="22"/>
    </row>
    <row r="1847" ht="22.5" customHeight="1">
      <c r="A1847" s="12" t="s">
        <v>70</v>
      </c>
      <c r="B1847" s="20" t="str">
        <f>IFERROR(VLOOKUP(A1847,Sheet1!$E$3:$H$27,4,0),"")</f>
        <v>P3</v>
      </c>
      <c r="C1847" s="15"/>
      <c r="D1847" s="12" t="s">
        <v>51</v>
      </c>
      <c r="E1847" s="13" t="str">
        <f>IFERROR(VLOOKUP(D1847,Sheet1!$B$1:$C$45,2,0),"")</f>
        <v>TE</v>
      </c>
      <c r="F1847" s="12" t="s">
        <v>179</v>
      </c>
      <c r="G1847" s="13" t="str">
        <f t="shared" si="6"/>
        <v>Palangkaraya</v>
      </c>
      <c r="H1847" s="15" t="str">
        <f>IFERROR(VLOOKUP(A1847,Sheet1!$E$3:$F$27,2,),"")</f>
        <v>Sick</v>
      </c>
      <c r="I1847" s="16" t="str">
        <f>IFERROR(VLOOKUP(A1847,Sheet1!$E$3:$G$27,3,0),"")</f>
        <v>Sick</v>
      </c>
      <c r="J1847" s="12" t="s">
        <v>66</v>
      </c>
      <c r="K1847" s="17">
        <v>46115.0</v>
      </c>
      <c r="L1847" s="17">
        <v>46115.0</v>
      </c>
      <c r="M1847" s="13"/>
      <c r="N1847" s="23"/>
      <c r="O1847" s="22"/>
      <c r="P1847" s="22"/>
    </row>
    <row r="1848" ht="22.5" customHeight="1">
      <c r="A1848" s="12" t="s">
        <v>68</v>
      </c>
      <c r="B1848" s="20" t="str">
        <f>IFERROR(VLOOKUP(A1848,Sheet1!$E$3:$H$27,4,0),"")</f>
        <v>P3</v>
      </c>
      <c r="C1848" s="15"/>
      <c r="D1848" s="12" t="s">
        <v>79</v>
      </c>
      <c r="E1848" s="13" t="str">
        <f>IFERROR(VLOOKUP(D1848,Sheet1!$B$1:$C$45,2,0),"")</f>
        <v>TE</v>
      </c>
      <c r="F1848" s="12" t="s">
        <v>179</v>
      </c>
      <c r="G1848" s="13" t="str">
        <f t="shared" si="6"/>
        <v>Palangkaraya</v>
      </c>
      <c r="H1848" s="15" t="str">
        <f>IFERROR(VLOOKUP(A1848,Sheet1!$E$3:$F$27,2,),"")</f>
        <v>On Leave</v>
      </c>
      <c r="I1848" s="16" t="str">
        <f>IFERROR(VLOOKUP(A1848,Sheet1!$E$3:$G$27,3,0),"")</f>
        <v>On Leave</v>
      </c>
      <c r="J1848" s="12" t="s">
        <v>66</v>
      </c>
      <c r="K1848" s="17">
        <v>46115.0</v>
      </c>
      <c r="L1848" s="17">
        <v>46115.0</v>
      </c>
      <c r="M1848" s="13"/>
      <c r="N1848" s="23"/>
      <c r="O1848" s="22"/>
      <c r="P1848" s="22"/>
    </row>
    <row r="1849" ht="22.5" customHeight="1">
      <c r="A1849" s="12" t="s">
        <v>68</v>
      </c>
      <c r="B1849" s="20" t="str">
        <f>IFERROR(VLOOKUP(A1849,Sheet1!$E$3:$H$27,4,0),"")</f>
        <v>P3</v>
      </c>
      <c r="C1849" s="15"/>
      <c r="D1849" s="12" t="s">
        <v>39</v>
      </c>
      <c r="E1849" s="13" t="str">
        <f>IFERROR(VLOOKUP(D1849,Sheet1!$B$1:$C$45,2,0),"")</f>
        <v>TE</v>
      </c>
      <c r="F1849" s="12" t="s">
        <v>179</v>
      </c>
      <c r="G1849" s="13" t="str">
        <f t="shared" si="6"/>
        <v>Palangkaraya</v>
      </c>
      <c r="H1849" s="15" t="str">
        <f>IFERROR(VLOOKUP(A1849,Sheet1!$E$3:$F$27,2,),"")</f>
        <v>On Leave</v>
      </c>
      <c r="I1849" s="16" t="str">
        <f>IFERROR(VLOOKUP(A1849,Sheet1!$E$3:$G$27,3,0),"")</f>
        <v>On Leave</v>
      </c>
      <c r="J1849" s="12" t="s">
        <v>66</v>
      </c>
      <c r="K1849" s="17">
        <v>46115.0</v>
      </c>
      <c r="L1849" s="17">
        <v>46115.0</v>
      </c>
      <c r="M1849" s="13"/>
      <c r="N1849" s="23"/>
      <c r="O1849" s="22"/>
      <c r="P1849" s="22"/>
    </row>
    <row r="1850" ht="22.5" customHeight="1">
      <c r="A1850" s="12" t="s">
        <v>68</v>
      </c>
      <c r="B1850" s="20" t="str">
        <f>IFERROR(VLOOKUP(A1850,Sheet1!$E$3:$H$27,4,0),"")</f>
        <v>P3</v>
      </c>
      <c r="C1850" s="15"/>
      <c r="D1850" s="12" t="s">
        <v>71</v>
      </c>
      <c r="E1850" s="13" t="str">
        <f>IFERROR(VLOOKUP(D1850,Sheet1!$B$1:$C$45,2,0),"")</f>
        <v>TE</v>
      </c>
      <c r="F1850" s="12" t="s">
        <v>179</v>
      </c>
      <c r="G1850" s="13" t="str">
        <f t="shared" si="6"/>
        <v>Palangkaraya</v>
      </c>
      <c r="H1850" s="15" t="str">
        <f>IFERROR(VLOOKUP(A1850,Sheet1!$E$3:$F$27,2,),"")</f>
        <v>On Leave</v>
      </c>
      <c r="I1850" s="16" t="str">
        <f>IFERROR(VLOOKUP(A1850,Sheet1!$E$3:$G$27,3,0),"")</f>
        <v>On Leave</v>
      </c>
      <c r="J1850" s="12" t="s">
        <v>66</v>
      </c>
      <c r="K1850" s="17">
        <v>46115.0</v>
      </c>
      <c r="L1850" s="17">
        <v>46115.0</v>
      </c>
      <c r="M1850" s="13"/>
      <c r="N1850" s="23"/>
      <c r="O1850" s="22"/>
      <c r="P1850" s="22"/>
    </row>
    <row r="1851" ht="22.5" customHeight="1">
      <c r="A1851" s="12" t="s">
        <v>5</v>
      </c>
      <c r="B1851" s="20" t="str">
        <f>IFERROR(VLOOKUP(A1851,Sheet1!$E$3:$H$27,4,0),"")</f>
        <v>P1</v>
      </c>
      <c r="C1851" s="14" t="s">
        <v>468</v>
      </c>
      <c r="D1851" s="12" t="s">
        <v>77</v>
      </c>
      <c r="E1851" s="13" t="str">
        <f>IFERROR(VLOOKUP(D1851,Sheet1!$B$1:$C$45,2,0),"")</f>
        <v>TE</v>
      </c>
      <c r="F1851" s="12" t="s">
        <v>179</v>
      </c>
      <c r="G1851" s="13" t="str">
        <f t="shared" si="6"/>
        <v>Palangkaraya</v>
      </c>
      <c r="H1851" s="15" t="str">
        <f>IFERROR(VLOOKUP(A1851,Sheet1!$E$3:$F$27,2,),"")</f>
        <v>Corrective</v>
      </c>
      <c r="I1851" s="16" t="str">
        <f>IFERROR(VLOOKUP(A1851,Sheet1!$E$3:$G$27,3,0),"")</f>
        <v>Replace Optik,RRU/Soket Power/Replace GPS</v>
      </c>
      <c r="J1851" s="12" t="s">
        <v>112</v>
      </c>
      <c r="K1851" s="17">
        <v>46115.0</v>
      </c>
      <c r="L1851" s="17">
        <v>46115.0</v>
      </c>
      <c r="M1851" s="12" t="s">
        <v>137</v>
      </c>
      <c r="N1851" s="23"/>
      <c r="O1851" s="22"/>
      <c r="P1851" s="22"/>
    </row>
    <row r="1852" ht="22.5" customHeight="1">
      <c r="A1852" s="12" t="s">
        <v>68</v>
      </c>
      <c r="B1852" s="20" t="str">
        <f>IFERROR(VLOOKUP(A1852,Sheet1!$E$3:$H$27,4,0),"")</f>
        <v>P3</v>
      </c>
      <c r="C1852" s="15"/>
      <c r="D1852" s="12" t="s">
        <v>78</v>
      </c>
      <c r="E1852" s="13" t="str">
        <f>IFERROR(VLOOKUP(D1852,Sheet1!$B$1:$C$45,2,0),"")</f>
        <v>TE</v>
      </c>
      <c r="F1852" s="12" t="s">
        <v>179</v>
      </c>
      <c r="G1852" s="13" t="str">
        <f t="shared" si="6"/>
        <v>Palangkaraya</v>
      </c>
      <c r="H1852" s="15" t="str">
        <f>IFERROR(VLOOKUP(A1852,Sheet1!$E$3:$F$27,2,),"")</f>
        <v>On Leave</v>
      </c>
      <c r="I1852" s="16" t="str">
        <f>IFERROR(VLOOKUP(A1852,Sheet1!$E$3:$G$27,3,0),"")</f>
        <v>On Leave</v>
      </c>
      <c r="J1852" s="12" t="s">
        <v>66</v>
      </c>
      <c r="K1852" s="17">
        <v>46115.0</v>
      </c>
      <c r="L1852" s="17">
        <v>46115.0</v>
      </c>
      <c r="M1852" s="13"/>
      <c r="N1852" s="23"/>
      <c r="O1852" s="22"/>
      <c r="P1852" s="22"/>
    </row>
    <row r="1853" ht="22.5" customHeight="1">
      <c r="A1853" s="12" t="s">
        <v>22</v>
      </c>
      <c r="B1853" s="20" t="str">
        <f>IFERROR(VLOOKUP(A1853,Sheet1!$E$3:$H$27,4,0),"")</f>
        <v>P2</v>
      </c>
      <c r="C1853" s="14" t="s">
        <v>637</v>
      </c>
      <c r="D1853" s="12" t="s">
        <v>81</v>
      </c>
      <c r="E1853" s="13" t="str">
        <f>IFERROR(VLOOKUP(D1853,Sheet1!$B$1:$C$45,2,0),"")</f>
        <v>PM</v>
      </c>
      <c r="F1853" s="12" t="s">
        <v>179</v>
      </c>
      <c r="G1853" s="13" t="str">
        <f t="shared" si="6"/>
        <v>Palangkaraya</v>
      </c>
      <c r="H1853" s="15" t="str">
        <f>IFERROR(VLOOKUP(A1853,Sheet1!$E$3:$F$27,2,),"")</f>
        <v>Preventive</v>
      </c>
      <c r="I1853" s="16" t="str">
        <f>IFERROR(VLOOKUP(A1853,Sheet1!$E$3:$G$27,3,0),"")</f>
        <v>Preventive Maintenance</v>
      </c>
      <c r="J1853" s="12" t="s">
        <v>112</v>
      </c>
      <c r="K1853" s="17">
        <v>46115.0</v>
      </c>
      <c r="L1853" s="17">
        <v>46115.0</v>
      </c>
      <c r="M1853" s="12" t="s">
        <v>137</v>
      </c>
      <c r="N1853" s="23"/>
      <c r="O1853" s="22"/>
      <c r="P1853" s="22"/>
    </row>
    <row r="1854" ht="22.5" customHeight="1">
      <c r="A1854" s="12" t="s">
        <v>22</v>
      </c>
      <c r="B1854" s="20" t="str">
        <f>IFERROR(VLOOKUP(A1854,Sheet1!$E$3:$H$27,4,0),"")</f>
        <v>P2</v>
      </c>
      <c r="C1854" s="14" t="s">
        <v>494</v>
      </c>
      <c r="D1854" s="12" t="s">
        <v>35</v>
      </c>
      <c r="E1854" s="13" t="str">
        <f>IFERROR(VLOOKUP(D1854,Sheet1!$B$1:$C$45,2,0),"")</f>
        <v>MBP</v>
      </c>
      <c r="F1854" s="12" t="s">
        <v>179</v>
      </c>
      <c r="G1854" s="13" t="str">
        <f t="shared" si="6"/>
        <v>Palangkaraya</v>
      </c>
      <c r="H1854" s="15" t="str">
        <f>IFERROR(VLOOKUP(A1854,Sheet1!$E$3:$F$27,2,),"")</f>
        <v>Preventive</v>
      </c>
      <c r="I1854" s="16" t="str">
        <f>IFERROR(VLOOKUP(A1854,Sheet1!$E$3:$G$27,3,0),"")</f>
        <v>Preventive Maintenance</v>
      </c>
      <c r="J1854" s="12" t="s">
        <v>112</v>
      </c>
      <c r="K1854" s="17">
        <v>46115.0</v>
      </c>
      <c r="L1854" s="17">
        <v>46115.0</v>
      </c>
      <c r="M1854" s="12" t="s">
        <v>137</v>
      </c>
      <c r="N1854" s="23"/>
      <c r="O1854" s="22"/>
      <c r="P1854" s="22"/>
    </row>
    <row r="1855" ht="22.5" hidden="1" customHeight="1">
      <c r="A1855" s="12" t="s">
        <v>65</v>
      </c>
      <c r="B1855" s="20" t="str">
        <f>IFERROR(VLOOKUP(A1855,Sheet1!$E$3:$H$27,4,0),"")</f>
        <v>P3</v>
      </c>
      <c r="C1855" s="15"/>
      <c r="D1855" s="12" t="s">
        <v>64</v>
      </c>
      <c r="E1855" s="13" t="str">
        <f>IFERROR(VLOOKUP(D1855,Sheet1!$B$1:$C$45,2,0),"")</f>
        <v>TE</v>
      </c>
      <c r="F1855" s="12" t="s">
        <v>179</v>
      </c>
      <c r="G1855" s="13" t="str">
        <f t="shared" si="6"/>
        <v>Palangkaraya</v>
      </c>
      <c r="H1855" s="15" t="str">
        <f>IFERROR(VLOOKUP(A1855,Sheet1!$E$3:$F$27,2,),"")</f>
        <v>Standby</v>
      </c>
      <c r="I1855" s="16" t="str">
        <f>IFERROR(VLOOKUP(A1855,Sheet1!$E$3:$G$27,3,0),"")</f>
        <v>Standby On Call</v>
      </c>
      <c r="J1855" s="12" t="s">
        <v>66</v>
      </c>
      <c r="K1855" s="17">
        <v>46115.0</v>
      </c>
      <c r="L1855" s="17">
        <v>46115.0</v>
      </c>
      <c r="M1855" s="13"/>
      <c r="N1855" s="23"/>
      <c r="O1855" s="22"/>
      <c r="P1855" s="22"/>
    </row>
    <row r="1856" ht="22.5" customHeight="1">
      <c r="A1856" s="12" t="s">
        <v>68</v>
      </c>
      <c r="B1856" s="20" t="str">
        <f>IFERROR(VLOOKUP(A1856,Sheet1!$E$3:$H$27,4,0),"")</f>
        <v>P3</v>
      </c>
      <c r="C1856" s="14" t="s">
        <v>638</v>
      </c>
      <c r="D1856" s="12" t="s">
        <v>12</v>
      </c>
      <c r="E1856" s="13" t="str">
        <f>IFERROR(VLOOKUP(D1856,Sheet1!$B$1:$C$45,2,0),"")</f>
        <v>TE</v>
      </c>
      <c r="F1856" s="12" t="s">
        <v>108</v>
      </c>
      <c r="G1856" s="13" t="str">
        <f t="shared" si="6"/>
        <v>Barito Raya</v>
      </c>
      <c r="H1856" s="15" t="str">
        <f>IFERROR(VLOOKUP(A1856,Sheet1!$E$3:$F$27,2,),"")</f>
        <v>On Leave</v>
      </c>
      <c r="I1856" s="16" t="str">
        <f>IFERROR(VLOOKUP(A1856,Sheet1!$E$3:$G$27,3,0),"")</f>
        <v>On Leave</v>
      </c>
      <c r="J1856" s="20"/>
      <c r="K1856" s="17">
        <v>46115.0</v>
      </c>
      <c r="L1856" s="17">
        <v>46115.0</v>
      </c>
      <c r="M1856" s="13"/>
      <c r="N1856" s="23"/>
      <c r="O1856" s="22"/>
      <c r="P1856" s="22"/>
    </row>
    <row r="1857" ht="22.5" customHeight="1">
      <c r="A1857" s="12" t="s">
        <v>22</v>
      </c>
      <c r="B1857" s="20" t="str">
        <f>IFERROR(VLOOKUP(A1857,Sheet1!$E$3:$H$27,4,0),"")</f>
        <v>P2</v>
      </c>
      <c r="C1857" s="14" t="s">
        <v>175</v>
      </c>
      <c r="D1857" s="12" t="s">
        <v>16</v>
      </c>
      <c r="E1857" s="13" t="str">
        <f>IFERROR(VLOOKUP(D1857,Sheet1!$B$1:$C$45,2,0),"")</f>
        <v>TE</v>
      </c>
      <c r="F1857" s="12" t="s">
        <v>108</v>
      </c>
      <c r="G1857" s="13" t="str">
        <f t="shared" si="6"/>
        <v>Barito Raya</v>
      </c>
      <c r="H1857" s="15" t="str">
        <f>IFERROR(VLOOKUP(A1857,Sheet1!$E$3:$F$27,2,),"")</f>
        <v>Preventive</v>
      </c>
      <c r="I1857" s="16" t="str">
        <f>IFERROR(VLOOKUP(A1857,Sheet1!$E$3:$G$27,3,0),"")</f>
        <v>Preventive Maintenance</v>
      </c>
      <c r="J1857" s="12" t="s">
        <v>112</v>
      </c>
      <c r="K1857" s="17">
        <v>46115.0</v>
      </c>
      <c r="L1857" s="17">
        <v>46115.0</v>
      </c>
      <c r="M1857" s="13"/>
      <c r="N1857" s="23"/>
      <c r="O1857" s="22"/>
      <c r="P1857" s="22"/>
    </row>
    <row r="1858" ht="22.5" customHeight="1">
      <c r="A1858" s="12" t="s">
        <v>43</v>
      </c>
      <c r="B1858" s="20" t="str">
        <f>IFERROR(VLOOKUP(A1858,Sheet1!$E$3:$H$27,4,0),"")</f>
        <v>P1</v>
      </c>
      <c r="C1858" s="14" t="s">
        <v>639</v>
      </c>
      <c r="D1858" s="12" t="s">
        <v>21</v>
      </c>
      <c r="E1858" s="13" t="str">
        <f>IFERROR(VLOOKUP(D1858,Sheet1!$B$1:$C$45,2,0),"")</f>
        <v>TE</v>
      </c>
      <c r="F1858" s="12" t="s">
        <v>108</v>
      </c>
      <c r="G1858" s="13" t="str">
        <f t="shared" si="6"/>
        <v>Barito Raya</v>
      </c>
      <c r="H1858" s="15" t="str">
        <f>IFERROR(VLOOKUP(A1858,Sheet1!$E$3:$F$27,2,),"")</f>
        <v>Corrective</v>
      </c>
      <c r="I1858" s="16" t="str">
        <f>IFERROR(VLOOKUP(A1858,Sheet1!$E$3:$G$27,3,0),"")</f>
        <v>Impact BTS down / RX Level &gt;70 / PL</v>
      </c>
      <c r="J1858" s="12" t="s">
        <v>112</v>
      </c>
      <c r="K1858" s="17">
        <v>46115.0</v>
      </c>
      <c r="L1858" s="17">
        <v>46115.0</v>
      </c>
      <c r="M1858" s="13"/>
      <c r="N1858" s="23"/>
      <c r="O1858" s="22"/>
      <c r="P1858" s="22"/>
    </row>
    <row r="1859" ht="22.5" customHeight="1">
      <c r="A1859" s="12" t="s">
        <v>25</v>
      </c>
      <c r="B1859" s="20" t="str">
        <f>IFERROR(VLOOKUP(A1859,Sheet1!$E$3:$H$27,4,0),"")</f>
        <v>P2</v>
      </c>
      <c r="C1859" s="14" t="s">
        <v>633</v>
      </c>
      <c r="D1859" s="12" t="s">
        <v>26</v>
      </c>
      <c r="E1859" s="13" t="str">
        <f>IFERROR(VLOOKUP(D1859,Sheet1!$B$1:$C$45,2,0),"")</f>
        <v>TE</v>
      </c>
      <c r="F1859" s="12" t="s">
        <v>108</v>
      </c>
      <c r="G1859" s="13" t="str">
        <f t="shared" si="6"/>
        <v>Barito Raya</v>
      </c>
      <c r="H1859" s="15" t="str">
        <f>IFERROR(VLOOKUP(A1859,Sheet1!$E$3:$F$27,2,),"")</f>
        <v>Corrective</v>
      </c>
      <c r="I1859" s="16" t="str">
        <f>IFERROR(VLOOKUP(A1859,Sheet1!$E$3:$G$27,3,0),"")</f>
        <v>Support Event</v>
      </c>
      <c r="J1859" s="12" t="s">
        <v>112</v>
      </c>
      <c r="K1859" s="17">
        <v>46115.0</v>
      </c>
      <c r="L1859" s="17">
        <v>46115.0</v>
      </c>
      <c r="M1859" s="13"/>
      <c r="N1859" s="23"/>
      <c r="O1859" s="22"/>
      <c r="P1859" s="22"/>
    </row>
    <row r="1860" ht="22.5" customHeight="1">
      <c r="A1860" s="12" t="s">
        <v>55</v>
      </c>
      <c r="B1860" s="20" t="str">
        <f>IFERROR(VLOOKUP(A1860,Sheet1!$E$3:$H$27,4,0),"")</f>
        <v>P2</v>
      </c>
      <c r="C1860" s="14" t="s">
        <v>421</v>
      </c>
      <c r="D1860" s="12" t="s">
        <v>32</v>
      </c>
      <c r="E1860" s="13" t="str">
        <f>IFERROR(VLOOKUP(D1860,Sheet1!$B$1:$C$45,2,0),"")</f>
        <v>TE</v>
      </c>
      <c r="F1860" s="12" t="s">
        <v>108</v>
      </c>
      <c r="G1860" s="13" t="str">
        <f t="shared" si="6"/>
        <v>Barito Raya</v>
      </c>
      <c r="H1860" s="15" t="str">
        <f>IFERROR(VLOOKUP(A1860,Sheet1!$E$3:$F$27,2,),"")</f>
        <v>Corrective</v>
      </c>
      <c r="I1860" s="16" t="str">
        <f>IFERROR(VLOOKUP(A1860,Sheet1!$E$3:$G$27,3,0),"")</f>
        <v>Penambahan Modul Recti</v>
      </c>
      <c r="J1860" s="12" t="s">
        <v>112</v>
      </c>
      <c r="K1860" s="17">
        <v>46115.0</v>
      </c>
      <c r="L1860" s="17">
        <v>46115.0</v>
      </c>
      <c r="M1860" s="13"/>
      <c r="N1860" s="23"/>
      <c r="O1860" s="22"/>
      <c r="P1860" s="22"/>
    </row>
    <row r="1861" ht="22.5" customHeight="1">
      <c r="A1861" s="12" t="s">
        <v>70</v>
      </c>
      <c r="B1861" s="20" t="str">
        <f>IFERROR(VLOOKUP(A1861,Sheet1!$E$3:$H$27,4,0),"")</f>
        <v>P3</v>
      </c>
      <c r="C1861" s="15"/>
      <c r="D1861" s="12" t="s">
        <v>74</v>
      </c>
      <c r="E1861" s="13" t="str">
        <f>IFERROR(VLOOKUP(D1861,Sheet1!$B$1:$C$45,2,0),"")</f>
        <v>TE</v>
      </c>
      <c r="F1861" s="12" t="s">
        <v>108</v>
      </c>
      <c r="G1861" s="13" t="str">
        <f t="shared" si="6"/>
        <v>Barito Raya</v>
      </c>
      <c r="H1861" s="15" t="str">
        <f>IFERROR(VLOOKUP(A1861,Sheet1!$E$3:$F$27,2,),"")</f>
        <v>Sick</v>
      </c>
      <c r="I1861" s="16" t="str">
        <f>IFERROR(VLOOKUP(A1861,Sheet1!$E$3:$G$27,3,0),"")</f>
        <v>Sick</v>
      </c>
      <c r="J1861" s="20"/>
      <c r="K1861" s="17">
        <v>46115.0</v>
      </c>
      <c r="L1861" s="17">
        <v>46115.0</v>
      </c>
      <c r="M1861" s="13"/>
      <c r="N1861" s="23"/>
      <c r="O1861" s="22"/>
      <c r="P1861" s="22"/>
    </row>
    <row r="1862" ht="22.5" customHeight="1">
      <c r="A1862" s="12" t="s">
        <v>14</v>
      </c>
      <c r="B1862" s="20" t="str">
        <f>IFERROR(VLOOKUP(A1862,Sheet1!$E$3:$H$27,4,0),"")</f>
        <v>P1</v>
      </c>
      <c r="C1862" s="14" t="s">
        <v>640</v>
      </c>
      <c r="D1862" s="12" t="s">
        <v>60</v>
      </c>
      <c r="E1862" s="13" t="str">
        <f>IFERROR(VLOOKUP(D1862,Sheet1!$B$1:$C$45,2,0),"")</f>
        <v>TE</v>
      </c>
      <c r="F1862" s="12" t="s">
        <v>108</v>
      </c>
      <c r="G1862" s="13" t="str">
        <f t="shared" si="6"/>
        <v>Barito Raya</v>
      </c>
      <c r="H1862" s="15" t="str">
        <f>IFERROR(VLOOKUP(A1862,Sheet1!$E$3:$F$27,2,),"")</f>
        <v>Corrective</v>
      </c>
      <c r="I1862" s="16" t="str">
        <f>IFERROR(VLOOKUP(A1862,Sheet1!$E$3:$G$27,3,0),"")</f>
        <v>Pemadaman,MCB Trip,Transmisi problem</v>
      </c>
      <c r="J1862" s="12" t="s">
        <v>112</v>
      </c>
      <c r="K1862" s="17">
        <v>46115.0</v>
      </c>
      <c r="L1862" s="17">
        <v>46115.0</v>
      </c>
      <c r="M1862" s="13"/>
      <c r="N1862" s="23"/>
      <c r="O1862" s="22"/>
      <c r="P1862" s="22"/>
    </row>
    <row r="1863" ht="22.5" customHeight="1">
      <c r="A1863" s="12" t="s">
        <v>14</v>
      </c>
      <c r="B1863" s="20" t="str">
        <f>IFERROR(VLOOKUP(A1863,Sheet1!$E$3:$H$27,4,0),"")</f>
        <v>P1</v>
      </c>
      <c r="C1863" s="14" t="s">
        <v>624</v>
      </c>
      <c r="D1863" s="12" t="s">
        <v>62</v>
      </c>
      <c r="E1863" s="13" t="str">
        <f>IFERROR(VLOOKUP(D1863,Sheet1!$B$1:$C$45,2,0),"")</f>
        <v>TE</v>
      </c>
      <c r="F1863" s="12" t="s">
        <v>108</v>
      </c>
      <c r="G1863" s="13" t="str">
        <f t="shared" si="6"/>
        <v>Barito Raya</v>
      </c>
      <c r="H1863" s="15" t="str">
        <f>IFERROR(VLOOKUP(A1863,Sheet1!$E$3:$F$27,2,),"")</f>
        <v>Corrective</v>
      </c>
      <c r="I1863" s="16" t="str">
        <f>IFERROR(VLOOKUP(A1863,Sheet1!$E$3:$G$27,3,0),"")</f>
        <v>Pemadaman,MCB Trip,Transmisi problem</v>
      </c>
      <c r="J1863" s="12" t="s">
        <v>112</v>
      </c>
      <c r="K1863" s="17">
        <v>46115.0</v>
      </c>
      <c r="L1863" s="17">
        <v>46115.0</v>
      </c>
      <c r="M1863" s="13"/>
      <c r="N1863" s="23"/>
      <c r="O1863" s="22"/>
      <c r="P1863" s="22"/>
    </row>
    <row r="1864" ht="22.5" customHeight="1">
      <c r="A1864" s="12" t="s">
        <v>52</v>
      </c>
      <c r="B1864" s="20" t="str">
        <f>IFERROR(VLOOKUP(A1864,Sheet1!$E$3:$H$27,4,0),"")</f>
        <v>P1</v>
      </c>
      <c r="C1864" s="14" t="s">
        <v>185</v>
      </c>
      <c r="D1864" s="12" t="s">
        <v>9</v>
      </c>
      <c r="E1864" s="13" t="str">
        <f>IFERROR(VLOOKUP(D1864,Sheet1!$B$1:$C$45,2,0),"")</f>
        <v>MBP</v>
      </c>
      <c r="F1864" s="12" t="s">
        <v>108</v>
      </c>
      <c r="G1864" s="13" t="str">
        <f t="shared" si="6"/>
        <v>Barito Raya</v>
      </c>
      <c r="H1864" s="15" t="str">
        <f>IFERROR(VLOOKUP(A1864,Sheet1!$E$3:$F$27,2,),"")</f>
        <v>Preventive</v>
      </c>
      <c r="I1864" s="16" t="str">
        <f>IFERROR(VLOOKUP(A1864,Sheet1!$E$3:$G$27,3,0),"")</f>
        <v>MCB trip/Power upnormal</v>
      </c>
      <c r="J1864" s="12" t="s">
        <v>112</v>
      </c>
      <c r="K1864" s="17">
        <v>46115.0</v>
      </c>
      <c r="L1864" s="17">
        <v>46115.0</v>
      </c>
      <c r="M1864" s="13"/>
      <c r="N1864" s="23"/>
      <c r="O1864" s="22"/>
      <c r="P1864" s="22"/>
    </row>
    <row r="1865" ht="22.5" customHeight="1">
      <c r="A1865" s="12" t="s">
        <v>65</v>
      </c>
      <c r="B1865" s="20" t="str">
        <f>IFERROR(VLOOKUP(A1865,Sheet1!$E$3:$H$27,4,0),"")</f>
        <v>P3</v>
      </c>
      <c r="C1865" s="15"/>
      <c r="D1865" s="12" t="s">
        <v>4</v>
      </c>
      <c r="E1865" s="13" t="str">
        <f>IFERROR(VLOOKUP(D1865,Sheet1!$B$1:$C$45,2,0),"")</f>
        <v>CME</v>
      </c>
      <c r="F1865" s="12" t="s">
        <v>108</v>
      </c>
      <c r="G1865" s="13" t="str">
        <f t="shared" si="6"/>
        <v>Barito Raya</v>
      </c>
      <c r="H1865" s="15" t="str">
        <f>IFERROR(VLOOKUP(A1865,Sheet1!$E$3:$F$27,2,),"")</f>
        <v>Standby</v>
      </c>
      <c r="I1865" s="16" t="str">
        <f>IFERROR(VLOOKUP(A1865,Sheet1!$E$3:$G$27,3,0),"")</f>
        <v>Standby On Call</v>
      </c>
      <c r="J1865" s="12" t="s">
        <v>66</v>
      </c>
      <c r="K1865" s="17">
        <v>46115.0</v>
      </c>
      <c r="L1865" s="17">
        <v>46115.0</v>
      </c>
      <c r="M1865" s="13"/>
      <c r="N1865" s="23"/>
      <c r="O1865" s="22"/>
      <c r="P1865" s="22"/>
    </row>
    <row r="1866" ht="22.5" customHeight="1">
      <c r="A1866" s="12" t="s">
        <v>65</v>
      </c>
      <c r="B1866" s="20" t="str">
        <f>IFERROR(VLOOKUP(A1866,Sheet1!$E$3:$H$27,4,0),"")</f>
        <v>P3</v>
      </c>
      <c r="C1866" s="15"/>
      <c r="D1866" s="12" t="s">
        <v>87</v>
      </c>
      <c r="E1866" s="13" t="str">
        <f>IFERROR(VLOOKUP(D1866,Sheet1!$B$1:$C$45,2,0),"")</f>
        <v>MBP</v>
      </c>
      <c r="F1866" s="12" t="s">
        <v>108</v>
      </c>
      <c r="G1866" s="13" t="str">
        <f t="shared" si="6"/>
        <v>Barito Raya</v>
      </c>
      <c r="H1866" s="15" t="str">
        <f>IFERROR(VLOOKUP(A1866,Sheet1!$E$3:$F$27,2,),"")</f>
        <v>Standby</v>
      </c>
      <c r="I1866" s="16" t="str">
        <f>IFERROR(VLOOKUP(A1866,Sheet1!$E$3:$G$27,3,0),"")</f>
        <v>Standby On Call</v>
      </c>
      <c r="J1866" s="12" t="s">
        <v>66</v>
      </c>
      <c r="K1866" s="17">
        <v>46115.0</v>
      </c>
      <c r="L1866" s="17">
        <v>46115.0</v>
      </c>
      <c r="M1866" s="13"/>
      <c r="N1866" s="23"/>
      <c r="O1866" s="22"/>
      <c r="P1866" s="22"/>
    </row>
    <row r="1867" ht="22.5" customHeight="1">
      <c r="A1867" s="12" t="s">
        <v>65</v>
      </c>
      <c r="B1867" s="20" t="str">
        <f>IFERROR(VLOOKUP(A1867,Sheet1!$E$3:$H$27,4,0),"")</f>
        <v>P3</v>
      </c>
      <c r="C1867" s="15"/>
      <c r="D1867" s="12" t="s">
        <v>29</v>
      </c>
      <c r="E1867" s="13" t="str">
        <f>IFERROR(VLOOKUP(D1867,Sheet1!$B$1:$C$45,2,0),"")</f>
        <v>MBP</v>
      </c>
      <c r="F1867" s="12" t="s">
        <v>108</v>
      </c>
      <c r="G1867" s="13" t="str">
        <f t="shared" si="6"/>
        <v>Barito Raya</v>
      </c>
      <c r="H1867" s="15" t="str">
        <f>IFERROR(VLOOKUP(A1867,Sheet1!$E$3:$F$27,2,),"")</f>
        <v>Standby</v>
      </c>
      <c r="I1867" s="16" t="str">
        <f>IFERROR(VLOOKUP(A1867,Sheet1!$E$3:$G$27,3,0),"")</f>
        <v>Standby On Call</v>
      </c>
      <c r="J1867" s="12" t="s">
        <v>66</v>
      </c>
      <c r="K1867" s="17">
        <v>46115.0</v>
      </c>
      <c r="L1867" s="17">
        <v>46115.0</v>
      </c>
      <c r="M1867" s="13"/>
      <c r="N1867" s="23"/>
      <c r="O1867" s="22"/>
      <c r="P1867" s="22"/>
    </row>
    <row r="1868" ht="22.5" customHeight="1">
      <c r="A1868" s="12" t="s">
        <v>55</v>
      </c>
      <c r="B1868" s="20" t="str">
        <f>IFERROR(VLOOKUP(A1868,Sheet1!$E$3:$H$27,4,0),"")</f>
        <v>P2</v>
      </c>
      <c r="C1868" s="14" t="s">
        <v>134</v>
      </c>
      <c r="D1868" s="12" t="s">
        <v>2</v>
      </c>
      <c r="E1868" s="13" t="str">
        <f>IFERROR(VLOOKUP(D1868,Sheet1!$B$1:$C$45,2,0),"")</f>
        <v>CME</v>
      </c>
      <c r="F1868" s="12" t="s">
        <v>108</v>
      </c>
      <c r="G1868" s="13" t="str">
        <f t="shared" si="6"/>
        <v>Barito Raya</v>
      </c>
      <c r="H1868" s="15" t="str">
        <f>IFERROR(VLOOKUP(A1868,Sheet1!$E$3:$F$27,2,),"")</f>
        <v>Corrective</v>
      </c>
      <c r="I1868" s="16" t="str">
        <f>IFERROR(VLOOKUP(A1868,Sheet1!$E$3:$G$27,3,0),"")</f>
        <v>Penambahan Modul Recti</v>
      </c>
      <c r="J1868" s="12" t="s">
        <v>112</v>
      </c>
      <c r="K1868" s="17">
        <v>46115.0</v>
      </c>
      <c r="L1868" s="17">
        <v>46115.0</v>
      </c>
      <c r="M1868" s="13"/>
      <c r="N1868" s="23"/>
      <c r="O1868" s="22"/>
      <c r="P1868" s="22"/>
    </row>
    <row r="1869" ht="22.5" customHeight="1">
      <c r="A1869" s="12" t="s">
        <v>14</v>
      </c>
      <c r="B1869" s="20" t="str">
        <f>IFERROR(VLOOKUP(A1869,Sheet1!$E$3:$H$27,4,0),"")</f>
        <v>P1</v>
      </c>
      <c r="C1869" s="14" t="s">
        <v>641</v>
      </c>
      <c r="D1869" s="12" t="s">
        <v>0</v>
      </c>
      <c r="E1869" s="13" t="str">
        <f>IFERROR(VLOOKUP(D1869,Sheet1!$B$1:$C$45,2,0),"")</f>
        <v>MBP</v>
      </c>
      <c r="F1869" s="12" t="s">
        <v>108</v>
      </c>
      <c r="G1869" s="13" t="str">
        <f t="shared" si="6"/>
        <v>Barito Raya</v>
      </c>
      <c r="H1869" s="15" t="str">
        <f>IFERROR(VLOOKUP(A1869,Sheet1!$E$3:$F$27,2,),"")</f>
        <v>Corrective</v>
      </c>
      <c r="I1869" s="16" t="str">
        <f>IFERROR(VLOOKUP(A1869,Sheet1!$E$3:$G$27,3,0),"")</f>
        <v>Pemadaman,MCB Trip,Transmisi problem</v>
      </c>
      <c r="J1869" s="12" t="s">
        <v>112</v>
      </c>
      <c r="K1869" s="17">
        <v>46115.0</v>
      </c>
      <c r="L1869" s="17">
        <v>46115.0</v>
      </c>
      <c r="M1869" s="13"/>
      <c r="N1869" s="23"/>
      <c r="O1869" s="22"/>
      <c r="P1869" s="22"/>
    </row>
    <row r="1870" ht="22.5" customHeight="1">
      <c r="A1870" s="12" t="s">
        <v>14</v>
      </c>
      <c r="B1870" s="20" t="str">
        <f>IFERROR(VLOOKUP(A1870,Sheet1!$E$3:$H$27,4,0),"")</f>
        <v>P1</v>
      </c>
      <c r="C1870" s="14" t="s">
        <v>321</v>
      </c>
      <c r="D1870" s="12" t="s">
        <v>85</v>
      </c>
      <c r="E1870" s="13" t="str">
        <f>IFERROR(VLOOKUP(D1870,Sheet1!$B$1:$C$45,2,0),"")</f>
        <v>PM</v>
      </c>
      <c r="F1870" s="12" t="s">
        <v>108</v>
      </c>
      <c r="G1870" s="13" t="str">
        <f t="shared" si="6"/>
        <v>Barito Raya</v>
      </c>
      <c r="H1870" s="15" t="str">
        <f>IFERROR(VLOOKUP(A1870,Sheet1!$E$3:$F$27,2,),"")</f>
        <v>Corrective</v>
      </c>
      <c r="I1870" s="16" t="str">
        <f>IFERROR(VLOOKUP(A1870,Sheet1!$E$3:$G$27,3,0),"")</f>
        <v>Pemadaman,MCB Trip,Transmisi problem</v>
      </c>
      <c r="J1870" s="12" t="s">
        <v>112</v>
      </c>
      <c r="K1870" s="17">
        <v>46115.0</v>
      </c>
      <c r="L1870" s="17">
        <v>46115.0</v>
      </c>
      <c r="M1870" s="13"/>
      <c r="N1870" s="23"/>
      <c r="O1870" s="22"/>
      <c r="P1870" s="22"/>
    </row>
    <row r="1871" ht="22.5" customHeight="1">
      <c r="A1871" s="12" t="s">
        <v>14</v>
      </c>
      <c r="B1871" s="20" t="str">
        <f>IFERROR(VLOOKUP(A1871,Sheet1!$E$3:$H$27,4,0),"")</f>
        <v>P1</v>
      </c>
      <c r="C1871" s="14" t="s">
        <v>321</v>
      </c>
      <c r="D1871" s="12" t="s">
        <v>84</v>
      </c>
      <c r="E1871" s="13" t="str">
        <f>IFERROR(VLOOKUP(D1871,Sheet1!$B$1:$C$45,2,0),"")</f>
        <v>MBP</v>
      </c>
      <c r="F1871" s="12" t="s">
        <v>108</v>
      </c>
      <c r="G1871" s="13" t="str">
        <f t="shared" si="6"/>
        <v>Barito Raya</v>
      </c>
      <c r="H1871" s="15" t="str">
        <f>IFERROR(VLOOKUP(A1871,Sheet1!$E$3:$F$27,2,),"")</f>
        <v>Corrective</v>
      </c>
      <c r="I1871" s="16" t="str">
        <f>IFERROR(VLOOKUP(A1871,Sheet1!$E$3:$G$27,3,0),"")</f>
        <v>Pemadaman,MCB Trip,Transmisi problem</v>
      </c>
      <c r="J1871" s="12" t="s">
        <v>112</v>
      </c>
      <c r="K1871" s="17">
        <v>46115.0</v>
      </c>
      <c r="L1871" s="17">
        <v>46115.0</v>
      </c>
      <c r="M1871" s="13"/>
      <c r="N1871" s="23"/>
      <c r="O1871" s="22"/>
      <c r="P1871" s="22"/>
    </row>
    <row r="1872" ht="22.5" customHeight="1">
      <c r="A1872" s="12" t="s">
        <v>22</v>
      </c>
      <c r="B1872" s="20" t="str">
        <f>IFERROR(VLOOKUP(A1872,Sheet1!$E$3:$H$27,4,0),"")</f>
        <v>P2</v>
      </c>
      <c r="C1872" s="14" t="s">
        <v>313</v>
      </c>
      <c r="D1872" s="12" t="s">
        <v>86</v>
      </c>
      <c r="E1872" s="13" t="str">
        <f>IFERROR(VLOOKUP(D1872,Sheet1!$B$1:$C$45,2,0),"")</f>
        <v>PM</v>
      </c>
      <c r="F1872" s="12" t="s">
        <v>108</v>
      </c>
      <c r="G1872" s="13" t="str">
        <f t="shared" si="6"/>
        <v>Barito Raya</v>
      </c>
      <c r="H1872" s="15" t="str">
        <f>IFERROR(VLOOKUP(A1872,Sheet1!$E$3:$F$27,2,),"")</f>
        <v>Preventive</v>
      </c>
      <c r="I1872" s="16" t="str">
        <f>IFERROR(VLOOKUP(A1872,Sheet1!$E$3:$G$27,3,0),"")</f>
        <v>Preventive Maintenance</v>
      </c>
      <c r="J1872" s="12" t="s">
        <v>112</v>
      </c>
      <c r="K1872" s="17">
        <v>46115.0</v>
      </c>
      <c r="L1872" s="17">
        <v>46115.0</v>
      </c>
      <c r="M1872" s="13"/>
      <c r="N1872" s="23"/>
      <c r="O1872" s="22"/>
      <c r="P1872" s="22"/>
    </row>
    <row r="1873" ht="22.5" customHeight="1">
      <c r="A1873" s="12" t="s">
        <v>14</v>
      </c>
      <c r="B1873" s="20" t="str">
        <f>IFERROR(VLOOKUP(A1873,Sheet1!$E$3:$H$27,4,0),"")</f>
        <v>P1</v>
      </c>
      <c r="C1873" s="14" t="s">
        <v>403</v>
      </c>
      <c r="D1873" s="12" t="s">
        <v>12</v>
      </c>
      <c r="E1873" s="13" t="str">
        <f>IFERROR(VLOOKUP(D1873,Sheet1!$B$1:$C$45,2,0),"")</f>
        <v>TE</v>
      </c>
      <c r="F1873" s="12" t="s">
        <v>108</v>
      </c>
      <c r="G1873" s="13" t="str">
        <f t="shared" si="6"/>
        <v>Barito Raya</v>
      </c>
      <c r="H1873" s="15" t="str">
        <f>IFERROR(VLOOKUP(A1873,Sheet1!$E$3:$F$27,2,),"")</f>
        <v>Corrective</v>
      </c>
      <c r="I1873" s="16" t="str">
        <f>IFERROR(VLOOKUP(A1873,Sheet1!$E$3:$G$27,3,0),"")</f>
        <v>Pemadaman,MCB Trip,Transmisi problem</v>
      </c>
      <c r="J1873" s="12" t="s">
        <v>112</v>
      </c>
      <c r="K1873" s="17">
        <v>46118.0</v>
      </c>
      <c r="L1873" s="17">
        <v>46118.0</v>
      </c>
      <c r="M1873" s="12" t="s">
        <v>109</v>
      </c>
      <c r="N1873" s="18" t="s">
        <v>642</v>
      </c>
      <c r="O1873" s="19"/>
      <c r="P1873" s="19"/>
    </row>
    <row r="1874" ht="22.5" customHeight="1">
      <c r="A1874" s="12" t="s">
        <v>14</v>
      </c>
      <c r="B1874" s="20" t="str">
        <f>IFERROR(VLOOKUP(A1874,Sheet1!$E$3:$H$27,4,0),"")</f>
        <v>P1</v>
      </c>
      <c r="C1874" s="14" t="s">
        <v>643</v>
      </c>
      <c r="D1874" s="12" t="s">
        <v>16</v>
      </c>
      <c r="E1874" s="13" t="str">
        <f>IFERROR(VLOOKUP(D1874,Sheet1!$B$1:$C$45,2,0),"")</f>
        <v>TE</v>
      </c>
      <c r="F1874" s="12" t="s">
        <v>108</v>
      </c>
      <c r="G1874" s="13" t="str">
        <f t="shared" si="6"/>
        <v>Barito Raya</v>
      </c>
      <c r="H1874" s="15" t="str">
        <f>IFERROR(VLOOKUP(A1874,Sheet1!$E$3:$F$27,2,),"")</f>
        <v>Corrective</v>
      </c>
      <c r="I1874" s="16" t="str">
        <f>IFERROR(VLOOKUP(A1874,Sheet1!$E$3:$G$27,3,0),"")</f>
        <v>Pemadaman,MCB Trip,Transmisi problem</v>
      </c>
      <c r="J1874" s="12" t="s">
        <v>112</v>
      </c>
      <c r="K1874" s="17">
        <v>46118.0</v>
      </c>
      <c r="L1874" s="17">
        <v>46118.0</v>
      </c>
      <c r="M1874" s="13"/>
      <c r="N1874" s="23"/>
      <c r="O1874" s="22"/>
      <c r="P1874" s="22"/>
    </row>
    <row r="1875" ht="22.5" customHeight="1">
      <c r="A1875" s="12" t="s">
        <v>14</v>
      </c>
      <c r="B1875" s="20" t="str">
        <f>IFERROR(VLOOKUP(A1875,Sheet1!$E$3:$H$27,4,0),"")</f>
        <v>P1</v>
      </c>
      <c r="C1875" s="14" t="s">
        <v>643</v>
      </c>
      <c r="D1875" s="12" t="s">
        <v>21</v>
      </c>
      <c r="E1875" s="13" t="str">
        <f>IFERROR(VLOOKUP(D1875,Sheet1!$B$1:$C$45,2,0),"")</f>
        <v>TE</v>
      </c>
      <c r="F1875" s="12" t="s">
        <v>108</v>
      </c>
      <c r="G1875" s="13" t="str">
        <f t="shared" si="6"/>
        <v>Barito Raya</v>
      </c>
      <c r="H1875" s="15" t="str">
        <f>IFERROR(VLOOKUP(A1875,Sheet1!$E$3:$F$27,2,),"")</f>
        <v>Corrective</v>
      </c>
      <c r="I1875" s="16" t="str">
        <f>IFERROR(VLOOKUP(A1875,Sheet1!$E$3:$G$27,3,0),"")</f>
        <v>Pemadaman,MCB Trip,Transmisi problem</v>
      </c>
      <c r="J1875" s="12" t="s">
        <v>112</v>
      </c>
      <c r="K1875" s="17">
        <v>46118.0</v>
      </c>
      <c r="L1875" s="17">
        <v>46118.0</v>
      </c>
      <c r="M1875" s="13"/>
      <c r="N1875" s="23"/>
      <c r="O1875" s="22"/>
      <c r="P1875" s="22"/>
    </row>
    <row r="1876" ht="22.5" customHeight="1">
      <c r="A1876" s="12" t="s">
        <v>14</v>
      </c>
      <c r="B1876" s="20" t="str">
        <f>IFERROR(VLOOKUP(A1876,Sheet1!$E$3:$H$27,4,0),"")</f>
        <v>P1</v>
      </c>
      <c r="C1876" s="14" t="s">
        <v>161</v>
      </c>
      <c r="D1876" s="12" t="s">
        <v>26</v>
      </c>
      <c r="E1876" s="13" t="str">
        <f>IFERROR(VLOOKUP(D1876,Sheet1!$B$1:$C$45,2,0),"")</f>
        <v>TE</v>
      </c>
      <c r="F1876" s="12" t="s">
        <v>108</v>
      </c>
      <c r="G1876" s="13" t="str">
        <f t="shared" si="6"/>
        <v>Barito Raya</v>
      </c>
      <c r="H1876" s="15" t="str">
        <f>IFERROR(VLOOKUP(A1876,Sheet1!$E$3:$F$27,2,),"")</f>
        <v>Corrective</v>
      </c>
      <c r="I1876" s="16" t="str">
        <f>IFERROR(VLOOKUP(A1876,Sheet1!$E$3:$G$27,3,0),"")</f>
        <v>Pemadaman,MCB Trip,Transmisi problem</v>
      </c>
      <c r="J1876" s="12" t="s">
        <v>112</v>
      </c>
      <c r="K1876" s="17">
        <v>46118.0</v>
      </c>
      <c r="L1876" s="17">
        <v>46118.0</v>
      </c>
      <c r="M1876" s="13"/>
      <c r="N1876" s="23"/>
      <c r="O1876" s="22"/>
      <c r="P1876" s="22"/>
    </row>
    <row r="1877" ht="22.5" customHeight="1">
      <c r="A1877" s="12" t="s">
        <v>52</v>
      </c>
      <c r="B1877" s="20" t="str">
        <f>IFERROR(VLOOKUP(A1877,Sheet1!$E$3:$H$27,4,0),"")</f>
        <v>P1</v>
      </c>
      <c r="C1877" s="14" t="s">
        <v>644</v>
      </c>
      <c r="D1877" s="12" t="s">
        <v>32</v>
      </c>
      <c r="E1877" s="13" t="str">
        <f>IFERROR(VLOOKUP(D1877,Sheet1!$B$1:$C$45,2,0),"")</f>
        <v>TE</v>
      </c>
      <c r="F1877" s="12" t="s">
        <v>108</v>
      </c>
      <c r="G1877" s="13" t="str">
        <f t="shared" si="6"/>
        <v>Barito Raya</v>
      </c>
      <c r="H1877" s="15" t="str">
        <f>IFERROR(VLOOKUP(A1877,Sheet1!$E$3:$F$27,2,),"")</f>
        <v>Preventive</v>
      </c>
      <c r="I1877" s="16" t="str">
        <f>IFERROR(VLOOKUP(A1877,Sheet1!$E$3:$G$27,3,0),"")</f>
        <v>MCB trip/Power upnormal</v>
      </c>
      <c r="J1877" s="12" t="s">
        <v>112</v>
      </c>
      <c r="K1877" s="17">
        <v>46118.0</v>
      </c>
      <c r="L1877" s="17">
        <v>46118.0</v>
      </c>
      <c r="M1877" s="13"/>
      <c r="N1877" s="23"/>
      <c r="O1877" s="22"/>
      <c r="P1877" s="22"/>
    </row>
    <row r="1878" ht="22.5" customHeight="1">
      <c r="A1878" s="12" t="s">
        <v>14</v>
      </c>
      <c r="B1878" s="20" t="str">
        <f>IFERROR(VLOOKUP(A1878,Sheet1!$E$3:$H$27,4,0),"")</f>
        <v>P1</v>
      </c>
      <c r="C1878" s="14" t="s">
        <v>208</v>
      </c>
      <c r="D1878" s="12" t="s">
        <v>74</v>
      </c>
      <c r="E1878" s="13" t="str">
        <f>IFERROR(VLOOKUP(D1878,Sheet1!$B$1:$C$45,2,0),"")</f>
        <v>TE</v>
      </c>
      <c r="F1878" s="12" t="s">
        <v>108</v>
      </c>
      <c r="G1878" s="13" t="str">
        <f t="shared" si="6"/>
        <v>Barito Raya</v>
      </c>
      <c r="H1878" s="15" t="str">
        <f>IFERROR(VLOOKUP(A1878,Sheet1!$E$3:$F$27,2,),"")</f>
        <v>Corrective</v>
      </c>
      <c r="I1878" s="16" t="str">
        <f>IFERROR(VLOOKUP(A1878,Sheet1!$E$3:$G$27,3,0),"")</f>
        <v>Pemadaman,MCB Trip,Transmisi problem</v>
      </c>
      <c r="J1878" s="12" t="s">
        <v>112</v>
      </c>
      <c r="K1878" s="17">
        <v>46118.0</v>
      </c>
      <c r="L1878" s="17">
        <v>46118.0</v>
      </c>
      <c r="M1878" s="13"/>
      <c r="N1878" s="23"/>
      <c r="O1878" s="22"/>
      <c r="P1878" s="22"/>
    </row>
    <row r="1879" ht="22.5" customHeight="1">
      <c r="A1879" s="12" t="s">
        <v>5</v>
      </c>
      <c r="B1879" s="20" t="str">
        <f>IFERROR(VLOOKUP(A1879,Sheet1!$E$3:$H$27,4,0),"")</f>
        <v>P1</v>
      </c>
      <c r="C1879" s="14" t="s">
        <v>329</v>
      </c>
      <c r="D1879" s="12" t="s">
        <v>60</v>
      </c>
      <c r="E1879" s="13" t="str">
        <f>IFERROR(VLOOKUP(D1879,Sheet1!$B$1:$C$45,2,0),"")</f>
        <v>TE</v>
      </c>
      <c r="F1879" s="12" t="s">
        <v>108</v>
      </c>
      <c r="G1879" s="13" t="str">
        <f t="shared" si="6"/>
        <v>Barito Raya</v>
      </c>
      <c r="H1879" s="15" t="str">
        <f>IFERROR(VLOOKUP(A1879,Sheet1!$E$3:$F$27,2,),"")</f>
        <v>Corrective</v>
      </c>
      <c r="I1879" s="16" t="str">
        <f>IFERROR(VLOOKUP(A1879,Sheet1!$E$3:$G$27,3,0),"")</f>
        <v>Replace Optik,RRU/Soket Power/Replace GPS</v>
      </c>
      <c r="J1879" s="12" t="s">
        <v>112</v>
      </c>
      <c r="K1879" s="17">
        <v>46118.0</v>
      </c>
      <c r="L1879" s="17">
        <v>46118.0</v>
      </c>
      <c r="M1879" s="13"/>
      <c r="N1879" s="23"/>
      <c r="O1879" s="22"/>
      <c r="P1879" s="22"/>
    </row>
    <row r="1880" ht="22.5" customHeight="1">
      <c r="A1880" s="12" t="s">
        <v>5</v>
      </c>
      <c r="B1880" s="20" t="str">
        <f>IFERROR(VLOOKUP(A1880,Sheet1!$E$3:$H$27,4,0),"")</f>
        <v>P1</v>
      </c>
      <c r="C1880" s="14" t="s">
        <v>329</v>
      </c>
      <c r="D1880" s="12" t="s">
        <v>62</v>
      </c>
      <c r="E1880" s="13" t="str">
        <f>IFERROR(VLOOKUP(D1880,Sheet1!$B$1:$C$45,2,0),"")</f>
        <v>TE</v>
      </c>
      <c r="F1880" s="12" t="s">
        <v>108</v>
      </c>
      <c r="G1880" s="13" t="str">
        <f t="shared" si="6"/>
        <v>Barito Raya</v>
      </c>
      <c r="H1880" s="15" t="str">
        <f>IFERROR(VLOOKUP(A1880,Sheet1!$E$3:$F$27,2,),"")</f>
        <v>Corrective</v>
      </c>
      <c r="I1880" s="16" t="str">
        <f>IFERROR(VLOOKUP(A1880,Sheet1!$E$3:$G$27,3,0),"")</f>
        <v>Replace Optik,RRU/Soket Power/Replace GPS</v>
      </c>
      <c r="J1880" s="12" t="s">
        <v>112</v>
      </c>
      <c r="K1880" s="17">
        <v>46118.0</v>
      </c>
      <c r="L1880" s="17">
        <v>46118.0</v>
      </c>
      <c r="M1880" s="13"/>
      <c r="N1880" s="23"/>
      <c r="O1880" s="22"/>
      <c r="P1880" s="22"/>
    </row>
    <row r="1881" ht="22.5" customHeight="1">
      <c r="A1881" s="12" t="s">
        <v>14</v>
      </c>
      <c r="B1881" s="20" t="str">
        <f>IFERROR(VLOOKUP(A1881,Sheet1!$E$3:$H$27,4,0),"")</f>
        <v>P1</v>
      </c>
      <c r="C1881" s="14" t="s">
        <v>208</v>
      </c>
      <c r="D1881" s="12" t="s">
        <v>9</v>
      </c>
      <c r="E1881" s="13" t="str">
        <f>IFERROR(VLOOKUP(D1881,Sheet1!$B$1:$C$45,2,0),"")</f>
        <v>MBP</v>
      </c>
      <c r="F1881" s="12" t="s">
        <v>108</v>
      </c>
      <c r="G1881" s="13" t="str">
        <f t="shared" si="6"/>
        <v>Barito Raya</v>
      </c>
      <c r="H1881" s="15" t="str">
        <f>IFERROR(VLOOKUP(A1881,Sheet1!$E$3:$F$27,2,),"")</f>
        <v>Corrective</v>
      </c>
      <c r="I1881" s="16" t="str">
        <f>IFERROR(VLOOKUP(A1881,Sheet1!$E$3:$G$27,3,0),"")</f>
        <v>Pemadaman,MCB Trip,Transmisi problem</v>
      </c>
      <c r="J1881" s="12" t="s">
        <v>66</v>
      </c>
      <c r="K1881" s="17">
        <v>46118.0</v>
      </c>
      <c r="L1881" s="17">
        <v>46118.0</v>
      </c>
      <c r="M1881" s="13"/>
      <c r="N1881" s="23"/>
      <c r="O1881" s="22"/>
      <c r="P1881" s="22"/>
    </row>
    <row r="1882" ht="22.5" customHeight="1">
      <c r="A1882" s="12" t="s">
        <v>14</v>
      </c>
      <c r="B1882" s="20" t="str">
        <f>IFERROR(VLOOKUP(A1882,Sheet1!$E$3:$H$27,4,0),"")</f>
        <v>P1</v>
      </c>
      <c r="C1882" s="14" t="s">
        <v>161</v>
      </c>
      <c r="D1882" s="12" t="s">
        <v>4</v>
      </c>
      <c r="E1882" s="13" t="str">
        <f>IFERROR(VLOOKUP(D1882,Sheet1!$B$1:$C$45,2,0),"")</f>
        <v>CME</v>
      </c>
      <c r="F1882" s="12" t="s">
        <v>108</v>
      </c>
      <c r="G1882" s="13" t="str">
        <f t="shared" si="6"/>
        <v>Barito Raya</v>
      </c>
      <c r="H1882" s="15" t="str">
        <f>IFERROR(VLOOKUP(A1882,Sheet1!$E$3:$F$27,2,),"")</f>
        <v>Corrective</v>
      </c>
      <c r="I1882" s="16" t="str">
        <f>IFERROR(VLOOKUP(A1882,Sheet1!$E$3:$G$27,3,0),"")</f>
        <v>Pemadaman,MCB Trip,Transmisi problem</v>
      </c>
      <c r="J1882" s="12" t="s">
        <v>66</v>
      </c>
      <c r="K1882" s="17">
        <v>46118.0</v>
      </c>
      <c r="L1882" s="17">
        <v>46118.0</v>
      </c>
      <c r="M1882" s="13"/>
      <c r="N1882" s="23"/>
      <c r="O1882" s="22"/>
      <c r="P1882" s="22"/>
    </row>
    <row r="1883" ht="22.5" customHeight="1">
      <c r="A1883" s="12" t="s">
        <v>65</v>
      </c>
      <c r="B1883" s="20" t="str">
        <f>IFERROR(VLOOKUP(A1883,Sheet1!$E$3:$H$27,4,0),"")</f>
        <v>P3</v>
      </c>
      <c r="C1883" s="15"/>
      <c r="D1883" s="12" t="s">
        <v>87</v>
      </c>
      <c r="E1883" s="13" t="str">
        <f>IFERROR(VLOOKUP(D1883,Sheet1!$B$1:$C$45,2,0),"")</f>
        <v>MBP</v>
      </c>
      <c r="F1883" s="12" t="s">
        <v>108</v>
      </c>
      <c r="G1883" s="13" t="str">
        <f t="shared" si="6"/>
        <v>Barito Raya</v>
      </c>
      <c r="H1883" s="15" t="str">
        <f>IFERROR(VLOOKUP(A1883,Sheet1!$E$3:$F$27,2,),"")</f>
        <v>Standby</v>
      </c>
      <c r="I1883" s="16" t="str">
        <f>IFERROR(VLOOKUP(A1883,Sheet1!$E$3:$G$27,3,0),"")</f>
        <v>Standby On Call</v>
      </c>
      <c r="J1883" s="12" t="s">
        <v>66</v>
      </c>
      <c r="K1883" s="17">
        <v>46118.0</v>
      </c>
      <c r="L1883" s="17">
        <v>46118.0</v>
      </c>
      <c r="M1883" s="13"/>
      <c r="N1883" s="23"/>
      <c r="O1883" s="22"/>
      <c r="P1883" s="22"/>
    </row>
    <row r="1884" ht="22.5" customHeight="1">
      <c r="A1884" s="12" t="s">
        <v>65</v>
      </c>
      <c r="B1884" s="20" t="str">
        <f>IFERROR(VLOOKUP(A1884,Sheet1!$E$3:$H$27,4,0),"")</f>
        <v>P3</v>
      </c>
      <c r="C1884" s="15"/>
      <c r="D1884" s="12" t="s">
        <v>29</v>
      </c>
      <c r="E1884" s="13" t="str">
        <f>IFERROR(VLOOKUP(D1884,Sheet1!$B$1:$C$45,2,0),"")</f>
        <v>MBP</v>
      </c>
      <c r="F1884" s="12" t="s">
        <v>108</v>
      </c>
      <c r="G1884" s="13" t="str">
        <f t="shared" si="6"/>
        <v>Barito Raya</v>
      </c>
      <c r="H1884" s="15" t="str">
        <f>IFERROR(VLOOKUP(A1884,Sheet1!$E$3:$F$27,2,),"")</f>
        <v>Standby</v>
      </c>
      <c r="I1884" s="16" t="str">
        <f>IFERROR(VLOOKUP(A1884,Sheet1!$E$3:$G$27,3,0),"")</f>
        <v>Standby On Call</v>
      </c>
      <c r="J1884" s="12" t="s">
        <v>66</v>
      </c>
      <c r="K1884" s="17">
        <v>46118.0</v>
      </c>
      <c r="L1884" s="17">
        <v>46118.0</v>
      </c>
      <c r="M1884" s="13"/>
      <c r="N1884" s="23"/>
      <c r="O1884" s="22"/>
      <c r="P1884" s="22"/>
    </row>
    <row r="1885" ht="22.5" customHeight="1">
      <c r="A1885" s="12" t="s">
        <v>55</v>
      </c>
      <c r="B1885" s="20" t="str">
        <f>IFERROR(VLOOKUP(A1885,Sheet1!$E$3:$H$27,4,0),"")</f>
        <v>P2</v>
      </c>
      <c r="C1885" s="14" t="s">
        <v>645</v>
      </c>
      <c r="D1885" s="12" t="s">
        <v>2</v>
      </c>
      <c r="E1885" s="13" t="str">
        <f>IFERROR(VLOOKUP(D1885,Sheet1!$B$1:$C$45,2,0),"")</f>
        <v>CME</v>
      </c>
      <c r="F1885" s="12" t="s">
        <v>108</v>
      </c>
      <c r="G1885" s="13" t="str">
        <f t="shared" si="6"/>
        <v>Barito Raya</v>
      </c>
      <c r="H1885" s="15" t="str">
        <f>IFERROR(VLOOKUP(A1885,Sheet1!$E$3:$F$27,2,),"")</f>
        <v>Corrective</v>
      </c>
      <c r="I1885" s="16" t="str">
        <f>IFERROR(VLOOKUP(A1885,Sheet1!$E$3:$G$27,3,0),"")</f>
        <v>Penambahan Modul Recti</v>
      </c>
      <c r="J1885" s="12" t="s">
        <v>112</v>
      </c>
      <c r="K1885" s="17">
        <v>46118.0</v>
      </c>
      <c r="L1885" s="17">
        <v>46118.0</v>
      </c>
      <c r="M1885" s="13"/>
      <c r="N1885" s="23"/>
      <c r="O1885" s="22"/>
      <c r="P1885" s="22"/>
    </row>
    <row r="1886" ht="22.5" customHeight="1">
      <c r="A1886" s="12" t="s">
        <v>65</v>
      </c>
      <c r="B1886" s="20" t="str">
        <f>IFERROR(VLOOKUP(A1886,Sheet1!$E$3:$H$27,4,0),"")</f>
        <v>P3</v>
      </c>
      <c r="C1886" s="15"/>
      <c r="D1886" s="12" t="s">
        <v>0</v>
      </c>
      <c r="E1886" s="13" t="str">
        <f>IFERROR(VLOOKUP(D1886,Sheet1!$B$1:$C$45,2,0),"")</f>
        <v>MBP</v>
      </c>
      <c r="F1886" s="12" t="s">
        <v>108</v>
      </c>
      <c r="G1886" s="13" t="str">
        <f t="shared" si="6"/>
        <v>Barito Raya</v>
      </c>
      <c r="H1886" s="15" t="str">
        <f>IFERROR(VLOOKUP(A1886,Sheet1!$E$3:$F$27,2,),"")</f>
        <v>Standby</v>
      </c>
      <c r="I1886" s="16" t="str">
        <f>IFERROR(VLOOKUP(A1886,Sheet1!$E$3:$G$27,3,0),"")</f>
        <v>Standby On Call</v>
      </c>
      <c r="J1886" s="12" t="s">
        <v>66</v>
      </c>
      <c r="K1886" s="17">
        <v>46118.0</v>
      </c>
      <c r="L1886" s="17">
        <v>46118.0</v>
      </c>
      <c r="M1886" s="13"/>
      <c r="N1886" s="23"/>
      <c r="O1886" s="22"/>
      <c r="P1886" s="22"/>
    </row>
    <row r="1887" ht="22.5" customHeight="1">
      <c r="A1887" s="12" t="s">
        <v>22</v>
      </c>
      <c r="B1887" s="20" t="str">
        <f>IFERROR(VLOOKUP(A1887,Sheet1!$E$3:$H$27,4,0),"")</f>
        <v>P2</v>
      </c>
      <c r="C1887" s="14" t="s">
        <v>509</v>
      </c>
      <c r="D1887" s="12" t="s">
        <v>85</v>
      </c>
      <c r="E1887" s="13" t="str">
        <f>IFERROR(VLOOKUP(D1887,Sheet1!$B$1:$C$45,2,0),"")</f>
        <v>PM</v>
      </c>
      <c r="F1887" s="12" t="s">
        <v>108</v>
      </c>
      <c r="G1887" s="13" t="str">
        <f t="shared" si="6"/>
        <v>Barito Raya</v>
      </c>
      <c r="H1887" s="15" t="str">
        <f>IFERROR(VLOOKUP(A1887,Sheet1!$E$3:$F$27,2,),"")</f>
        <v>Preventive</v>
      </c>
      <c r="I1887" s="16" t="str">
        <f>IFERROR(VLOOKUP(A1887,Sheet1!$E$3:$G$27,3,0),"")</f>
        <v>Preventive Maintenance</v>
      </c>
      <c r="J1887" s="12" t="s">
        <v>112</v>
      </c>
      <c r="K1887" s="17">
        <v>46118.0</v>
      </c>
      <c r="L1887" s="17">
        <v>46118.0</v>
      </c>
      <c r="M1887" s="13"/>
      <c r="N1887" s="23"/>
      <c r="O1887" s="22"/>
      <c r="P1887" s="22"/>
    </row>
    <row r="1888" ht="22.5" customHeight="1">
      <c r="A1888" s="12" t="s">
        <v>22</v>
      </c>
      <c r="B1888" s="20" t="str">
        <f>IFERROR(VLOOKUP(A1888,Sheet1!$E$3:$H$27,4,0),"")</f>
        <v>P2</v>
      </c>
      <c r="C1888" s="14" t="s">
        <v>449</v>
      </c>
      <c r="D1888" s="12" t="s">
        <v>84</v>
      </c>
      <c r="E1888" s="13" t="str">
        <f>IFERROR(VLOOKUP(D1888,Sheet1!$B$1:$C$45,2,0),"")</f>
        <v>MBP</v>
      </c>
      <c r="F1888" s="12" t="s">
        <v>108</v>
      </c>
      <c r="G1888" s="13" t="str">
        <f t="shared" si="6"/>
        <v>Barito Raya</v>
      </c>
      <c r="H1888" s="15" t="str">
        <f>IFERROR(VLOOKUP(A1888,Sheet1!$E$3:$F$27,2,),"")</f>
        <v>Preventive</v>
      </c>
      <c r="I1888" s="16" t="str">
        <f>IFERROR(VLOOKUP(A1888,Sheet1!$E$3:$G$27,3,0),"")</f>
        <v>Preventive Maintenance</v>
      </c>
      <c r="J1888" s="12" t="s">
        <v>112</v>
      </c>
      <c r="K1888" s="17">
        <v>46118.0</v>
      </c>
      <c r="L1888" s="17">
        <v>46118.0</v>
      </c>
      <c r="M1888" s="13"/>
      <c r="N1888" s="23"/>
      <c r="O1888" s="22"/>
      <c r="P1888" s="22"/>
    </row>
    <row r="1889" ht="22.5" customHeight="1">
      <c r="A1889" s="12" t="s">
        <v>22</v>
      </c>
      <c r="B1889" s="20" t="str">
        <f>IFERROR(VLOOKUP(A1889,Sheet1!$E$3:$H$27,4,0),"")</f>
        <v>P2</v>
      </c>
      <c r="C1889" s="14" t="s">
        <v>489</v>
      </c>
      <c r="D1889" s="12" t="s">
        <v>86</v>
      </c>
      <c r="E1889" s="13" t="str">
        <f>IFERROR(VLOOKUP(D1889,Sheet1!$B$1:$C$45,2,0),"")</f>
        <v>PM</v>
      </c>
      <c r="F1889" s="12" t="s">
        <v>108</v>
      </c>
      <c r="G1889" s="13" t="str">
        <f t="shared" si="6"/>
        <v>Barito Raya</v>
      </c>
      <c r="H1889" s="15" t="str">
        <f>IFERROR(VLOOKUP(A1889,Sheet1!$E$3:$F$27,2,),"")</f>
        <v>Preventive</v>
      </c>
      <c r="I1889" s="16" t="str">
        <f>IFERROR(VLOOKUP(A1889,Sheet1!$E$3:$G$27,3,0),"")</f>
        <v>Preventive Maintenance</v>
      </c>
      <c r="J1889" s="12" t="s">
        <v>112</v>
      </c>
      <c r="K1889" s="17">
        <v>46118.0</v>
      </c>
      <c r="L1889" s="17">
        <v>46118.0</v>
      </c>
      <c r="M1889" s="13"/>
      <c r="N1889" s="23"/>
      <c r="O1889" s="22"/>
      <c r="P1889" s="22"/>
    </row>
    <row r="1890" ht="22.5" customHeight="1">
      <c r="A1890" s="12" t="s">
        <v>5</v>
      </c>
      <c r="B1890" s="20" t="str">
        <f>IFERROR(VLOOKUP(A1890,Sheet1!$E$3:$H$27,4,0),"")</f>
        <v>P1</v>
      </c>
      <c r="C1890" s="14" t="s">
        <v>646</v>
      </c>
      <c r="D1890" s="12" t="s">
        <v>37</v>
      </c>
      <c r="E1890" s="13" t="str">
        <f>IFERROR(VLOOKUP(D1890,Sheet1!$B$1:$C$45,2,0),"")</f>
        <v>TE</v>
      </c>
      <c r="F1890" s="12" t="s">
        <v>179</v>
      </c>
      <c r="G1890" s="13" t="str">
        <f t="shared" si="6"/>
        <v>Palangkaraya</v>
      </c>
      <c r="H1890" s="15" t="str">
        <f>IFERROR(VLOOKUP(A1890,Sheet1!$E$3:$F$27,2,),"")</f>
        <v>Corrective</v>
      </c>
      <c r="I1890" s="16" t="str">
        <f>IFERROR(VLOOKUP(A1890,Sheet1!$E$3:$G$27,3,0),"")</f>
        <v>Replace Optik,RRU/Soket Power/Replace GPS</v>
      </c>
      <c r="J1890" s="12" t="s">
        <v>112</v>
      </c>
      <c r="K1890" s="17">
        <v>46118.0</v>
      </c>
      <c r="L1890" s="17">
        <v>46118.0</v>
      </c>
      <c r="M1890" s="12" t="s">
        <v>137</v>
      </c>
      <c r="N1890" s="23"/>
      <c r="O1890" s="22"/>
      <c r="P1890" s="22"/>
    </row>
    <row r="1891" ht="22.5" customHeight="1">
      <c r="A1891" s="12" t="s">
        <v>5</v>
      </c>
      <c r="B1891" s="20" t="str">
        <f>IFERROR(VLOOKUP(A1891,Sheet1!$E$3:$H$27,4,0),"")</f>
        <v>P1</v>
      </c>
      <c r="C1891" s="14" t="s">
        <v>646</v>
      </c>
      <c r="D1891" s="12" t="s">
        <v>77</v>
      </c>
      <c r="E1891" s="13" t="str">
        <f>IFERROR(VLOOKUP(D1891,Sheet1!$B$1:$C$45,2,0),"")</f>
        <v>TE</v>
      </c>
      <c r="F1891" s="12" t="s">
        <v>179</v>
      </c>
      <c r="G1891" s="13" t="str">
        <f t="shared" si="6"/>
        <v>Palangkaraya</v>
      </c>
      <c r="H1891" s="15" t="str">
        <f>IFERROR(VLOOKUP(A1891,Sheet1!$E$3:$F$27,2,),"")</f>
        <v>Corrective</v>
      </c>
      <c r="I1891" s="16" t="str">
        <f>IFERROR(VLOOKUP(A1891,Sheet1!$E$3:$G$27,3,0),"")</f>
        <v>Replace Optik,RRU/Soket Power/Replace GPS</v>
      </c>
      <c r="J1891" s="12" t="s">
        <v>112</v>
      </c>
      <c r="K1891" s="17">
        <v>46118.0</v>
      </c>
      <c r="L1891" s="17">
        <v>46118.0</v>
      </c>
      <c r="M1891" s="12" t="s">
        <v>137</v>
      </c>
      <c r="N1891" s="23"/>
      <c r="O1891" s="22"/>
      <c r="P1891" s="22"/>
    </row>
    <row r="1892" ht="22.5" customHeight="1">
      <c r="A1892" s="12" t="s">
        <v>14</v>
      </c>
      <c r="B1892" s="20" t="str">
        <f>IFERROR(VLOOKUP(A1892,Sheet1!$E$3:$H$27,4,0),"")</f>
        <v>P1</v>
      </c>
      <c r="C1892" s="14" t="s">
        <v>272</v>
      </c>
      <c r="D1892" s="12" t="s">
        <v>76</v>
      </c>
      <c r="E1892" s="13" t="str">
        <f>IFERROR(VLOOKUP(D1892,Sheet1!$B$1:$C$45,2,0),"")</f>
        <v>TE</v>
      </c>
      <c r="F1892" s="12" t="s">
        <v>179</v>
      </c>
      <c r="G1892" s="13" t="str">
        <f t="shared" si="6"/>
        <v>Palangkaraya</v>
      </c>
      <c r="H1892" s="15" t="str">
        <f>IFERROR(VLOOKUP(A1892,Sheet1!$E$3:$F$27,2,),"")</f>
        <v>Corrective</v>
      </c>
      <c r="I1892" s="16" t="str">
        <f>IFERROR(VLOOKUP(A1892,Sheet1!$E$3:$G$27,3,0),"")</f>
        <v>Pemadaman,MCB Trip,Transmisi problem</v>
      </c>
      <c r="J1892" s="12" t="s">
        <v>112</v>
      </c>
      <c r="K1892" s="17">
        <v>46118.0</v>
      </c>
      <c r="L1892" s="17">
        <v>46118.0</v>
      </c>
      <c r="M1892" s="12" t="s">
        <v>137</v>
      </c>
      <c r="N1892" s="23"/>
      <c r="O1892" s="22"/>
      <c r="P1892" s="22"/>
    </row>
    <row r="1893" ht="22.5" customHeight="1">
      <c r="A1893" s="12" t="s">
        <v>5</v>
      </c>
      <c r="B1893" s="20" t="str">
        <f>IFERROR(VLOOKUP(A1893,Sheet1!$E$3:$H$27,4,0),"")</f>
        <v>P1</v>
      </c>
      <c r="C1893" s="14" t="s">
        <v>528</v>
      </c>
      <c r="D1893" s="12" t="s">
        <v>78</v>
      </c>
      <c r="E1893" s="13" t="str">
        <f>IFERROR(VLOOKUP(D1893,Sheet1!$B$1:$C$45,2,0),"")</f>
        <v>TE</v>
      </c>
      <c r="F1893" s="12" t="s">
        <v>179</v>
      </c>
      <c r="G1893" s="13" t="str">
        <f t="shared" si="6"/>
        <v>Palangkaraya</v>
      </c>
      <c r="H1893" s="15" t="str">
        <f>IFERROR(VLOOKUP(A1893,Sheet1!$E$3:$F$27,2,),"")</f>
        <v>Corrective</v>
      </c>
      <c r="I1893" s="16" t="str">
        <f>IFERROR(VLOOKUP(A1893,Sheet1!$E$3:$G$27,3,0),"")</f>
        <v>Replace Optik,RRU/Soket Power/Replace GPS</v>
      </c>
      <c r="J1893" s="12" t="s">
        <v>112</v>
      </c>
      <c r="K1893" s="17">
        <v>46118.0</v>
      </c>
      <c r="L1893" s="17">
        <v>46118.0</v>
      </c>
      <c r="M1893" s="12" t="s">
        <v>137</v>
      </c>
      <c r="N1893" s="23"/>
      <c r="O1893" s="22"/>
      <c r="P1893" s="22"/>
    </row>
    <row r="1894" ht="22.5" customHeight="1">
      <c r="A1894" s="12" t="s">
        <v>5</v>
      </c>
      <c r="B1894" s="20" t="str">
        <f>IFERROR(VLOOKUP(A1894,Sheet1!$E$3:$H$27,4,0),"")</f>
        <v>P1</v>
      </c>
      <c r="C1894" s="14" t="s">
        <v>468</v>
      </c>
      <c r="D1894" s="12" t="s">
        <v>42</v>
      </c>
      <c r="E1894" s="13" t="str">
        <f>IFERROR(VLOOKUP(D1894,Sheet1!$B$1:$C$45,2,0),"")</f>
        <v>TE</v>
      </c>
      <c r="F1894" s="12" t="s">
        <v>179</v>
      </c>
      <c r="G1894" s="13" t="str">
        <f t="shared" si="6"/>
        <v>Palangkaraya</v>
      </c>
      <c r="H1894" s="15" t="str">
        <f>IFERROR(VLOOKUP(A1894,Sheet1!$E$3:$F$27,2,),"")</f>
        <v>Corrective</v>
      </c>
      <c r="I1894" s="16" t="str">
        <f>IFERROR(VLOOKUP(A1894,Sheet1!$E$3:$G$27,3,0),"")</f>
        <v>Replace Optik,RRU/Soket Power/Replace GPS</v>
      </c>
      <c r="J1894" s="12" t="s">
        <v>112</v>
      </c>
      <c r="K1894" s="17">
        <v>46118.0</v>
      </c>
      <c r="L1894" s="17">
        <v>46118.0</v>
      </c>
      <c r="M1894" s="12" t="s">
        <v>137</v>
      </c>
      <c r="N1894" s="23"/>
      <c r="O1894" s="22"/>
      <c r="P1894" s="22"/>
    </row>
    <row r="1895" ht="22.5" customHeight="1">
      <c r="A1895" s="12" t="s">
        <v>5</v>
      </c>
      <c r="B1895" s="20" t="str">
        <f>IFERROR(VLOOKUP(A1895,Sheet1!$E$3:$H$27,4,0),"")</f>
        <v>P1</v>
      </c>
      <c r="C1895" s="14" t="s">
        <v>468</v>
      </c>
      <c r="D1895" s="12" t="s">
        <v>80</v>
      </c>
      <c r="E1895" s="13" t="str">
        <f>IFERROR(VLOOKUP(D1895,Sheet1!$B$1:$C$45,2,0),"")</f>
        <v>TE</v>
      </c>
      <c r="F1895" s="12" t="s">
        <v>179</v>
      </c>
      <c r="G1895" s="13" t="str">
        <f t="shared" si="6"/>
        <v>Palangkaraya</v>
      </c>
      <c r="H1895" s="15" t="str">
        <f>IFERROR(VLOOKUP(A1895,Sheet1!$E$3:$F$27,2,),"")</f>
        <v>Corrective</v>
      </c>
      <c r="I1895" s="16" t="str">
        <f>IFERROR(VLOOKUP(A1895,Sheet1!$E$3:$G$27,3,0),"")</f>
        <v>Replace Optik,RRU/Soket Power/Replace GPS</v>
      </c>
      <c r="J1895" s="12" t="s">
        <v>112</v>
      </c>
      <c r="K1895" s="17">
        <v>46118.0</v>
      </c>
      <c r="L1895" s="17">
        <v>46118.0</v>
      </c>
      <c r="M1895" s="12" t="s">
        <v>137</v>
      </c>
      <c r="N1895" s="23"/>
      <c r="O1895" s="22"/>
      <c r="P1895" s="22"/>
    </row>
    <row r="1896" ht="22.5" customHeight="1">
      <c r="A1896" s="12" t="s">
        <v>68</v>
      </c>
      <c r="B1896" s="20" t="str">
        <f>IFERROR(VLOOKUP(A1896,Sheet1!$E$3:$H$27,4,0),"")</f>
        <v>P3</v>
      </c>
      <c r="C1896" s="15"/>
      <c r="D1896" s="12" t="s">
        <v>39</v>
      </c>
      <c r="E1896" s="13" t="str">
        <f>IFERROR(VLOOKUP(D1896,Sheet1!$B$1:$C$45,2,0),"")</f>
        <v>TE</v>
      </c>
      <c r="F1896" s="12" t="s">
        <v>179</v>
      </c>
      <c r="G1896" s="13" t="str">
        <f t="shared" si="6"/>
        <v>Palangkaraya</v>
      </c>
      <c r="H1896" s="15" t="str">
        <f>IFERROR(VLOOKUP(A1896,Sheet1!$E$3:$F$27,2,),"")</f>
        <v>On Leave</v>
      </c>
      <c r="I1896" s="16" t="str">
        <f>IFERROR(VLOOKUP(A1896,Sheet1!$E$3:$G$27,3,0),"")</f>
        <v>On Leave</v>
      </c>
      <c r="J1896" s="12" t="s">
        <v>66</v>
      </c>
      <c r="K1896" s="17">
        <v>46118.0</v>
      </c>
      <c r="L1896" s="17">
        <v>46118.0</v>
      </c>
      <c r="M1896" s="12" t="s">
        <v>137</v>
      </c>
      <c r="N1896" s="23"/>
      <c r="O1896" s="22"/>
      <c r="P1896" s="22"/>
    </row>
    <row r="1897" ht="22.5" customHeight="1">
      <c r="A1897" s="12" t="s">
        <v>5</v>
      </c>
      <c r="B1897" s="20" t="str">
        <f>IFERROR(VLOOKUP(A1897,Sheet1!$E$3:$H$27,4,0),"")</f>
        <v>P1</v>
      </c>
      <c r="C1897" s="14" t="s">
        <v>303</v>
      </c>
      <c r="D1897" s="12" t="s">
        <v>91</v>
      </c>
      <c r="E1897" s="13" t="str">
        <f>IFERROR(VLOOKUP(D1897,Sheet1!$B$1:$C$45,2,0),"")</f>
        <v>TE</v>
      </c>
      <c r="F1897" s="12" t="s">
        <v>179</v>
      </c>
      <c r="G1897" s="13" t="str">
        <f t="shared" si="6"/>
        <v>Palangkaraya</v>
      </c>
      <c r="H1897" s="15" t="str">
        <f>IFERROR(VLOOKUP(A1897,Sheet1!$E$3:$F$27,2,),"")</f>
        <v>Corrective</v>
      </c>
      <c r="I1897" s="16" t="str">
        <f>IFERROR(VLOOKUP(A1897,Sheet1!$E$3:$G$27,3,0),"")</f>
        <v>Replace Optik,RRU/Soket Power/Replace GPS</v>
      </c>
      <c r="J1897" s="12" t="s">
        <v>112</v>
      </c>
      <c r="K1897" s="17">
        <v>46118.0</v>
      </c>
      <c r="L1897" s="17">
        <v>46118.0</v>
      </c>
      <c r="M1897" s="12" t="s">
        <v>137</v>
      </c>
      <c r="N1897" s="23"/>
      <c r="O1897" s="22"/>
      <c r="P1897" s="22"/>
    </row>
    <row r="1898" ht="22.5" customHeight="1">
      <c r="A1898" s="12" t="s">
        <v>10</v>
      </c>
      <c r="B1898" s="20" t="str">
        <f>IFERROR(VLOOKUP(A1898,Sheet1!$E$3:$H$27,4,0),"")</f>
        <v>P1</v>
      </c>
      <c r="C1898" s="14" t="s">
        <v>478</v>
      </c>
      <c r="D1898" s="12" t="s">
        <v>58</v>
      </c>
      <c r="E1898" s="13" t="str">
        <f>IFERROR(VLOOKUP(D1898,Sheet1!$B$1:$C$45,2,0),"")</f>
        <v>TE</v>
      </c>
      <c r="F1898" s="12" t="s">
        <v>179</v>
      </c>
      <c r="G1898" s="13" t="str">
        <f t="shared" si="6"/>
        <v>Palangkaraya</v>
      </c>
      <c r="H1898" s="15" t="str">
        <f>IFERROR(VLOOKUP(A1898,Sheet1!$E$3:$F$27,2,),"")</f>
        <v>Corrective</v>
      </c>
      <c r="I1898" s="16" t="str">
        <f>IFERROR(VLOOKUP(A1898,Sheet1!$E$3:$G$27,3,0),"")</f>
        <v>Replace Jumper,antena/RRU</v>
      </c>
      <c r="J1898" s="12" t="s">
        <v>112</v>
      </c>
      <c r="K1898" s="17">
        <v>46118.0</v>
      </c>
      <c r="L1898" s="17">
        <v>46118.0</v>
      </c>
      <c r="M1898" s="12" t="s">
        <v>137</v>
      </c>
      <c r="N1898" s="23"/>
      <c r="O1898" s="22"/>
      <c r="P1898" s="22"/>
    </row>
    <row r="1899" ht="22.5" customHeight="1">
      <c r="A1899" s="12" t="s">
        <v>5</v>
      </c>
      <c r="B1899" s="20" t="str">
        <f>IFERROR(VLOOKUP(A1899,Sheet1!$E$3:$H$27,4,0),"")</f>
        <v>P1</v>
      </c>
      <c r="C1899" s="14" t="s">
        <v>593</v>
      </c>
      <c r="D1899" s="12" t="s">
        <v>71</v>
      </c>
      <c r="E1899" s="13" t="str">
        <f>IFERROR(VLOOKUP(D1899,Sheet1!$B$1:$C$45,2,0),"")</f>
        <v>TE</v>
      </c>
      <c r="F1899" s="12" t="s">
        <v>179</v>
      </c>
      <c r="G1899" s="13" t="str">
        <f t="shared" si="6"/>
        <v>Palangkaraya</v>
      </c>
      <c r="H1899" s="15" t="str">
        <f>IFERROR(VLOOKUP(A1899,Sheet1!$E$3:$F$27,2,),"")</f>
        <v>Corrective</v>
      </c>
      <c r="I1899" s="16" t="str">
        <f>IFERROR(VLOOKUP(A1899,Sheet1!$E$3:$G$27,3,0),"")</f>
        <v>Replace Optik,RRU/Soket Power/Replace GPS</v>
      </c>
      <c r="J1899" s="12" t="s">
        <v>112</v>
      </c>
      <c r="K1899" s="17">
        <v>46118.0</v>
      </c>
      <c r="L1899" s="17">
        <v>46118.0</v>
      </c>
      <c r="M1899" s="12" t="s">
        <v>137</v>
      </c>
      <c r="N1899" s="23"/>
      <c r="O1899" s="22"/>
      <c r="P1899" s="22"/>
    </row>
    <row r="1900" ht="22.5" customHeight="1">
      <c r="A1900" s="12" t="s">
        <v>5</v>
      </c>
      <c r="B1900" s="20" t="str">
        <f>IFERROR(VLOOKUP(A1900,Sheet1!$E$3:$H$27,4,0),"")</f>
        <v>P1</v>
      </c>
      <c r="C1900" s="14" t="s">
        <v>593</v>
      </c>
      <c r="D1900" s="12" t="s">
        <v>69</v>
      </c>
      <c r="E1900" s="13" t="str">
        <f>IFERROR(VLOOKUP(D1900,Sheet1!$B$1:$C$45,2,0),"")</f>
        <v>TE</v>
      </c>
      <c r="F1900" s="12" t="s">
        <v>179</v>
      </c>
      <c r="G1900" s="13" t="str">
        <f t="shared" si="6"/>
        <v>Palangkaraya</v>
      </c>
      <c r="H1900" s="15" t="str">
        <f>IFERROR(VLOOKUP(A1900,Sheet1!$E$3:$F$27,2,),"")</f>
        <v>Corrective</v>
      </c>
      <c r="I1900" s="16" t="str">
        <f>IFERROR(VLOOKUP(A1900,Sheet1!$E$3:$G$27,3,0),"")</f>
        <v>Replace Optik,RRU/Soket Power/Replace GPS</v>
      </c>
      <c r="J1900" s="12" t="s">
        <v>112</v>
      </c>
      <c r="K1900" s="17">
        <v>46118.0</v>
      </c>
      <c r="L1900" s="17">
        <v>46118.0</v>
      </c>
      <c r="M1900" s="12" t="s">
        <v>137</v>
      </c>
      <c r="N1900" s="23"/>
      <c r="O1900" s="22"/>
      <c r="P1900" s="22"/>
    </row>
    <row r="1901" ht="22.5" customHeight="1">
      <c r="A1901" s="12" t="s">
        <v>5</v>
      </c>
      <c r="B1901" s="20" t="str">
        <f>IFERROR(VLOOKUP(A1901,Sheet1!$E$3:$H$27,4,0),"")</f>
        <v>P1</v>
      </c>
      <c r="C1901" s="14" t="s">
        <v>300</v>
      </c>
      <c r="D1901" s="12" t="s">
        <v>79</v>
      </c>
      <c r="E1901" s="13" t="str">
        <f>IFERROR(VLOOKUP(D1901,Sheet1!$B$1:$C$45,2,0),"")</f>
        <v>TE</v>
      </c>
      <c r="F1901" s="12" t="s">
        <v>179</v>
      </c>
      <c r="G1901" s="13" t="str">
        <f t="shared" si="6"/>
        <v>Palangkaraya</v>
      </c>
      <c r="H1901" s="15" t="str">
        <f>IFERROR(VLOOKUP(A1901,Sheet1!$E$3:$F$27,2,),"")</f>
        <v>Corrective</v>
      </c>
      <c r="I1901" s="16" t="str">
        <f>IFERROR(VLOOKUP(A1901,Sheet1!$E$3:$G$27,3,0),"")</f>
        <v>Replace Optik,RRU/Soket Power/Replace GPS</v>
      </c>
      <c r="J1901" s="12" t="s">
        <v>112</v>
      </c>
      <c r="K1901" s="17">
        <v>46118.0</v>
      </c>
      <c r="L1901" s="17">
        <v>46118.0</v>
      </c>
      <c r="M1901" s="12" t="s">
        <v>137</v>
      </c>
      <c r="N1901" s="23"/>
      <c r="O1901" s="22"/>
      <c r="P1901" s="22"/>
    </row>
    <row r="1902" ht="22.5" customHeight="1">
      <c r="A1902" s="12" t="s">
        <v>5</v>
      </c>
      <c r="B1902" s="20" t="str">
        <f>IFERROR(VLOOKUP(A1902,Sheet1!$E$3:$H$27,4,0),"")</f>
        <v>P1</v>
      </c>
      <c r="C1902" s="14" t="s">
        <v>300</v>
      </c>
      <c r="D1902" s="12" t="s">
        <v>51</v>
      </c>
      <c r="E1902" s="13" t="str">
        <f>IFERROR(VLOOKUP(D1902,Sheet1!$B$1:$C$45,2,0),"")</f>
        <v>TE</v>
      </c>
      <c r="F1902" s="12" t="s">
        <v>179</v>
      </c>
      <c r="G1902" s="13" t="str">
        <f t="shared" si="6"/>
        <v>Palangkaraya</v>
      </c>
      <c r="H1902" s="15" t="str">
        <f>IFERROR(VLOOKUP(A1902,Sheet1!$E$3:$F$27,2,),"")</f>
        <v>Corrective</v>
      </c>
      <c r="I1902" s="16" t="str">
        <f>IFERROR(VLOOKUP(A1902,Sheet1!$E$3:$G$27,3,0),"")</f>
        <v>Replace Optik,RRU/Soket Power/Replace GPS</v>
      </c>
      <c r="J1902" s="12" t="s">
        <v>112</v>
      </c>
      <c r="K1902" s="17">
        <v>46118.0</v>
      </c>
      <c r="L1902" s="17">
        <v>46118.0</v>
      </c>
      <c r="M1902" s="12" t="s">
        <v>137</v>
      </c>
      <c r="N1902" s="23"/>
      <c r="O1902" s="22"/>
      <c r="P1902" s="22"/>
    </row>
    <row r="1903" ht="22.5" customHeight="1">
      <c r="A1903" s="12" t="s">
        <v>68</v>
      </c>
      <c r="B1903" s="20" t="str">
        <f>IFERROR(VLOOKUP(A1903,Sheet1!$E$3:$H$27,4,0),"")</f>
        <v>P3</v>
      </c>
      <c r="C1903" s="15"/>
      <c r="D1903" s="12" t="s">
        <v>56</v>
      </c>
      <c r="E1903" s="13" t="str">
        <f>IFERROR(VLOOKUP(D1903,Sheet1!$B$1:$C$45,2,0),"")</f>
        <v>TE</v>
      </c>
      <c r="F1903" s="12" t="s">
        <v>179</v>
      </c>
      <c r="G1903" s="13" t="str">
        <f t="shared" si="6"/>
        <v>Palangkaraya</v>
      </c>
      <c r="H1903" s="15" t="str">
        <f>IFERROR(VLOOKUP(A1903,Sheet1!$E$3:$F$27,2,),"")</f>
        <v>On Leave</v>
      </c>
      <c r="I1903" s="16" t="str">
        <f>IFERROR(VLOOKUP(A1903,Sheet1!$E$3:$G$27,3,0),"")</f>
        <v>On Leave</v>
      </c>
      <c r="J1903" s="12" t="s">
        <v>66</v>
      </c>
      <c r="K1903" s="17">
        <v>46118.0</v>
      </c>
      <c r="L1903" s="17">
        <v>46118.0</v>
      </c>
      <c r="M1903" s="12" t="s">
        <v>137</v>
      </c>
      <c r="N1903" s="23"/>
      <c r="O1903" s="22"/>
      <c r="P1903" s="22"/>
    </row>
    <row r="1904" ht="22.5" customHeight="1">
      <c r="A1904" s="12" t="s">
        <v>22</v>
      </c>
      <c r="B1904" s="20" t="str">
        <f>IFERROR(VLOOKUP(A1904,Sheet1!$E$3:$H$27,4,0),"")</f>
        <v>P2</v>
      </c>
      <c r="C1904" s="15"/>
      <c r="D1904" s="12" t="s">
        <v>83</v>
      </c>
      <c r="E1904" s="13" t="str">
        <f>IFERROR(VLOOKUP(D1904,Sheet1!$B$1:$C$45,2,0),"")</f>
        <v>PM</v>
      </c>
      <c r="F1904" s="12" t="s">
        <v>179</v>
      </c>
      <c r="G1904" s="13" t="str">
        <f t="shared" si="6"/>
        <v>Palangkaraya</v>
      </c>
      <c r="H1904" s="15" t="str">
        <f>IFERROR(VLOOKUP(A1904,Sheet1!$E$3:$F$27,2,),"")</f>
        <v>Preventive</v>
      </c>
      <c r="I1904" s="16" t="str">
        <f>IFERROR(VLOOKUP(A1904,Sheet1!$E$3:$G$27,3,0),"")</f>
        <v>Preventive Maintenance</v>
      </c>
      <c r="J1904" s="12" t="s">
        <v>112</v>
      </c>
      <c r="K1904" s="17">
        <v>46118.0</v>
      </c>
      <c r="L1904" s="17">
        <v>46118.0</v>
      </c>
      <c r="M1904" s="12" t="s">
        <v>137</v>
      </c>
      <c r="N1904" s="23"/>
      <c r="O1904" s="22"/>
      <c r="P1904" s="22"/>
    </row>
    <row r="1905" ht="22.5" customHeight="1">
      <c r="A1905" s="12" t="s">
        <v>22</v>
      </c>
      <c r="B1905" s="20" t="str">
        <f>IFERROR(VLOOKUP(A1905,Sheet1!$E$3:$H$27,4,0),"")</f>
        <v>P2</v>
      </c>
      <c r="C1905" s="15"/>
      <c r="D1905" s="12" t="s">
        <v>82</v>
      </c>
      <c r="E1905" s="13" t="str">
        <f>IFERROR(VLOOKUP(D1905,Sheet1!$B$1:$C$45,2,0),"")</f>
        <v>PM</v>
      </c>
      <c r="F1905" s="12" t="s">
        <v>179</v>
      </c>
      <c r="G1905" s="13" t="str">
        <f t="shared" si="6"/>
        <v>Palangkaraya</v>
      </c>
      <c r="H1905" s="15" t="str">
        <f>IFERROR(VLOOKUP(A1905,Sheet1!$E$3:$F$27,2,),"")</f>
        <v>Preventive</v>
      </c>
      <c r="I1905" s="16" t="str">
        <f>IFERROR(VLOOKUP(A1905,Sheet1!$E$3:$G$27,3,0),"")</f>
        <v>Preventive Maintenance</v>
      </c>
      <c r="J1905" s="12" t="s">
        <v>112</v>
      </c>
      <c r="K1905" s="17">
        <v>46118.0</v>
      </c>
      <c r="L1905" s="17">
        <v>46118.0</v>
      </c>
      <c r="M1905" s="12" t="s">
        <v>137</v>
      </c>
      <c r="N1905" s="23"/>
      <c r="O1905" s="22"/>
      <c r="P1905" s="22"/>
    </row>
    <row r="1906" ht="22.5" customHeight="1">
      <c r="A1906" s="12" t="s">
        <v>22</v>
      </c>
      <c r="B1906" s="20" t="str">
        <f>IFERROR(VLOOKUP(A1906,Sheet1!$E$3:$H$27,4,0),"")</f>
        <v>P2</v>
      </c>
      <c r="C1906" s="15"/>
      <c r="D1906" s="12" t="s">
        <v>81</v>
      </c>
      <c r="E1906" s="13" t="str">
        <f>IFERROR(VLOOKUP(D1906,Sheet1!$B$1:$C$45,2,0),"")</f>
        <v>PM</v>
      </c>
      <c r="F1906" s="12" t="s">
        <v>179</v>
      </c>
      <c r="G1906" s="13" t="str">
        <f t="shared" si="6"/>
        <v>Palangkaraya</v>
      </c>
      <c r="H1906" s="15" t="str">
        <f>IFERROR(VLOOKUP(A1906,Sheet1!$E$3:$F$27,2,),"")</f>
        <v>Preventive</v>
      </c>
      <c r="I1906" s="16" t="str">
        <f>IFERROR(VLOOKUP(A1906,Sheet1!$E$3:$G$27,3,0),"")</f>
        <v>Preventive Maintenance</v>
      </c>
      <c r="J1906" s="12" t="s">
        <v>112</v>
      </c>
      <c r="K1906" s="17">
        <v>46118.0</v>
      </c>
      <c r="L1906" s="17">
        <v>46118.0</v>
      </c>
      <c r="M1906" s="12" t="s">
        <v>137</v>
      </c>
      <c r="N1906" s="23"/>
      <c r="O1906" s="22"/>
      <c r="P1906" s="22"/>
    </row>
    <row r="1907" ht="22.5" hidden="1" customHeight="1">
      <c r="A1907" s="12" t="s">
        <v>65</v>
      </c>
      <c r="B1907" s="20" t="str">
        <f>IFERROR(VLOOKUP(A1907,Sheet1!$E$3:$H$27,4,0),"")</f>
        <v>P3</v>
      </c>
      <c r="C1907" s="15"/>
      <c r="D1907" s="12" t="s">
        <v>75</v>
      </c>
      <c r="E1907" s="13" t="str">
        <f>IFERROR(VLOOKUP(D1907,Sheet1!$B$1:$C$45,2,0),"")</f>
        <v>CME</v>
      </c>
      <c r="F1907" s="12" t="s">
        <v>179</v>
      </c>
      <c r="G1907" s="13" t="str">
        <f t="shared" si="6"/>
        <v>Palangkaraya</v>
      </c>
      <c r="H1907" s="15" t="str">
        <f>IFERROR(VLOOKUP(A1907,Sheet1!$E$3:$F$27,2,),"")</f>
        <v>Standby</v>
      </c>
      <c r="I1907" s="16" t="str">
        <f>IFERROR(VLOOKUP(A1907,Sheet1!$E$3:$G$27,3,0),"")</f>
        <v>Standby On Call</v>
      </c>
      <c r="J1907" s="12" t="s">
        <v>112</v>
      </c>
      <c r="K1907" s="17">
        <v>46118.0</v>
      </c>
      <c r="L1907" s="17">
        <v>46118.0</v>
      </c>
      <c r="M1907" s="12" t="s">
        <v>137</v>
      </c>
      <c r="N1907" s="23"/>
      <c r="O1907" s="22"/>
      <c r="P1907" s="22"/>
    </row>
    <row r="1908" ht="22.5" hidden="1" customHeight="1">
      <c r="A1908" s="12" t="s">
        <v>65</v>
      </c>
      <c r="B1908" s="20" t="str">
        <f>IFERROR(VLOOKUP(A1908,Sheet1!$E$3:$H$27,4,0),"")</f>
        <v>P3</v>
      </c>
      <c r="C1908" s="15"/>
      <c r="D1908" s="12" t="s">
        <v>35</v>
      </c>
      <c r="E1908" s="13" t="str">
        <f>IFERROR(VLOOKUP(D1908,Sheet1!$B$1:$C$45,2,0),"")</f>
        <v>MBP</v>
      </c>
      <c r="F1908" s="12" t="s">
        <v>179</v>
      </c>
      <c r="G1908" s="13" t="str">
        <f t="shared" si="6"/>
        <v>Palangkaraya</v>
      </c>
      <c r="H1908" s="15" t="str">
        <f>IFERROR(VLOOKUP(A1908,Sheet1!$E$3:$F$27,2,),"")</f>
        <v>Standby</v>
      </c>
      <c r="I1908" s="16" t="str">
        <f>IFERROR(VLOOKUP(A1908,Sheet1!$E$3:$G$27,3,0),"")</f>
        <v>Standby On Call</v>
      </c>
      <c r="J1908" s="12" t="s">
        <v>112</v>
      </c>
      <c r="K1908" s="17">
        <v>46118.0</v>
      </c>
      <c r="L1908" s="17">
        <v>46118.0</v>
      </c>
      <c r="M1908" s="12" t="s">
        <v>137</v>
      </c>
      <c r="N1908" s="23"/>
      <c r="O1908" s="22"/>
      <c r="P1908" s="22"/>
    </row>
    <row r="1909" ht="22.5" customHeight="1">
      <c r="A1909" s="12" t="s">
        <v>14</v>
      </c>
      <c r="B1909" s="20" t="str">
        <f>IFERROR(VLOOKUP(A1909,Sheet1!$E$3:$H$27,4,0),"")</f>
        <v>P1</v>
      </c>
      <c r="C1909" s="14" t="s">
        <v>351</v>
      </c>
      <c r="D1909" s="12" t="s">
        <v>12</v>
      </c>
      <c r="E1909" s="13" t="str">
        <f>IFERROR(VLOOKUP(D1909,Sheet1!$B$1:$C$45,2,0),"")</f>
        <v>TE</v>
      </c>
      <c r="F1909" s="12" t="s">
        <v>108</v>
      </c>
      <c r="G1909" s="13" t="str">
        <f t="shared" si="6"/>
        <v>Barito Raya</v>
      </c>
      <c r="H1909" s="15" t="str">
        <f>IFERROR(VLOOKUP(A1909,Sheet1!$E$3:$F$27,2,),"")</f>
        <v>Corrective</v>
      </c>
      <c r="I1909" s="16" t="str">
        <f>IFERROR(VLOOKUP(A1909,Sheet1!$E$3:$G$27,3,0),"")</f>
        <v>Pemadaman,MCB Trip,Transmisi problem</v>
      </c>
      <c r="J1909" s="12" t="s">
        <v>112</v>
      </c>
      <c r="K1909" s="17">
        <v>46119.0</v>
      </c>
      <c r="L1909" s="17">
        <v>46119.0</v>
      </c>
      <c r="M1909" s="12" t="s">
        <v>137</v>
      </c>
      <c r="N1909" s="23"/>
      <c r="O1909" s="22"/>
      <c r="P1909" s="22"/>
    </row>
    <row r="1910" ht="22.5" customHeight="1">
      <c r="A1910" s="12" t="s">
        <v>22</v>
      </c>
      <c r="B1910" s="20" t="str">
        <f>IFERROR(VLOOKUP(A1910,Sheet1!$E$3:$H$27,4,0),"")</f>
        <v>P2</v>
      </c>
      <c r="C1910" s="14" t="s">
        <v>512</v>
      </c>
      <c r="D1910" s="12" t="s">
        <v>16</v>
      </c>
      <c r="E1910" s="13" t="str">
        <f>IFERROR(VLOOKUP(D1910,Sheet1!$B$1:$C$45,2,0),"")</f>
        <v>TE</v>
      </c>
      <c r="F1910" s="12" t="s">
        <v>108</v>
      </c>
      <c r="G1910" s="13" t="str">
        <f t="shared" si="6"/>
        <v>Barito Raya</v>
      </c>
      <c r="H1910" s="15" t="str">
        <f>IFERROR(VLOOKUP(A1910,Sheet1!$E$3:$F$27,2,),"")</f>
        <v>Preventive</v>
      </c>
      <c r="I1910" s="16" t="str">
        <f>IFERROR(VLOOKUP(A1910,Sheet1!$E$3:$G$27,3,0),"")</f>
        <v>Preventive Maintenance</v>
      </c>
      <c r="J1910" s="12" t="s">
        <v>112</v>
      </c>
      <c r="K1910" s="17">
        <v>46119.0</v>
      </c>
      <c r="L1910" s="17">
        <v>46119.0</v>
      </c>
      <c r="M1910" s="12" t="s">
        <v>137</v>
      </c>
      <c r="N1910" s="23"/>
      <c r="O1910" s="22"/>
      <c r="P1910" s="22"/>
    </row>
    <row r="1911" ht="22.5" customHeight="1">
      <c r="A1911" s="12" t="s">
        <v>14</v>
      </c>
      <c r="B1911" s="20" t="str">
        <f>IFERROR(VLOOKUP(A1911,Sheet1!$E$3:$H$27,4,0),"")</f>
        <v>P1</v>
      </c>
      <c r="C1911" s="14" t="s">
        <v>351</v>
      </c>
      <c r="D1911" s="12" t="s">
        <v>21</v>
      </c>
      <c r="E1911" s="13" t="str">
        <f>IFERROR(VLOOKUP(D1911,Sheet1!$B$1:$C$45,2,0),"")</f>
        <v>TE</v>
      </c>
      <c r="F1911" s="12" t="s">
        <v>108</v>
      </c>
      <c r="G1911" s="13" t="str">
        <f t="shared" si="6"/>
        <v>Barito Raya</v>
      </c>
      <c r="H1911" s="15" t="str">
        <f>IFERROR(VLOOKUP(A1911,Sheet1!$E$3:$F$27,2,),"")</f>
        <v>Corrective</v>
      </c>
      <c r="I1911" s="16" t="str">
        <f>IFERROR(VLOOKUP(A1911,Sheet1!$E$3:$G$27,3,0),"")</f>
        <v>Pemadaman,MCB Trip,Transmisi problem</v>
      </c>
      <c r="J1911" s="12" t="s">
        <v>112</v>
      </c>
      <c r="K1911" s="17">
        <v>46119.0</v>
      </c>
      <c r="L1911" s="17">
        <v>46119.0</v>
      </c>
      <c r="M1911" s="12" t="s">
        <v>137</v>
      </c>
      <c r="N1911" s="23"/>
      <c r="O1911" s="22"/>
      <c r="P1911" s="22"/>
    </row>
    <row r="1912" ht="22.5" customHeight="1">
      <c r="A1912" s="12" t="s">
        <v>5</v>
      </c>
      <c r="B1912" s="20" t="str">
        <f>IFERROR(VLOOKUP(A1912,Sheet1!$E$3:$H$27,4,0),"")</f>
        <v>P1</v>
      </c>
      <c r="C1912" s="14" t="s">
        <v>647</v>
      </c>
      <c r="D1912" s="12" t="s">
        <v>26</v>
      </c>
      <c r="E1912" s="13" t="str">
        <f>IFERROR(VLOOKUP(D1912,Sheet1!$B$1:$C$45,2,0),"")</f>
        <v>TE</v>
      </c>
      <c r="F1912" s="12" t="s">
        <v>108</v>
      </c>
      <c r="G1912" s="13" t="str">
        <f t="shared" si="6"/>
        <v>Barito Raya</v>
      </c>
      <c r="H1912" s="15" t="str">
        <f>IFERROR(VLOOKUP(A1912,Sheet1!$E$3:$F$27,2,),"")</f>
        <v>Corrective</v>
      </c>
      <c r="I1912" s="16" t="str">
        <f>IFERROR(VLOOKUP(A1912,Sheet1!$E$3:$G$27,3,0),"")</f>
        <v>Replace Optik,RRU/Soket Power/Replace GPS</v>
      </c>
      <c r="J1912" s="12" t="s">
        <v>112</v>
      </c>
      <c r="K1912" s="17">
        <v>46119.0</v>
      </c>
      <c r="L1912" s="17">
        <v>46119.0</v>
      </c>
      <c r="M1912" s="12" t="s">
        <v>122</v>
      </c>
      <c r="N1912" s="18" t="s">
        <v>648</v>
      </c>
      <c r="O1912" s="19"/>
      <c r="P1912" s="19"/>
    </row>
    <row r="1913" ht="22.5" customHeight="1">
      <c r="A1913" s="12" t="s">
        <v>52</v>
      </c>
      <c r="B1913" s="20" t="str">
        <f>IFERROR(VLOOKUP(A1913,Sheet1!$E$3:$H$27,4,0),"")</f>
        <v>P1</v>
      </c>
      <c r="C1913" s="14" t="s">
        <v>163</v>
      </c>
      <c r="D1913" s="12" t="s">
        <v>32</v>
      </c>
      <c r="E1913" s="13" t="str">
        <f>IFERROR(VLOOKUP(D1913,Sheet1!$B$1:$C$45,2,0),"")</f>
        <v>TE</v>
      </c>
      <c r="F1913" s="12" t="s">
        <v>108</v>
      </c>
      <c r="G1913" s="13" t="str">
        <f t="shared" si="6"/>
        <v>Barito Raya</v>
      </c>
      <c r="H1913" s="15" t="str">
        <f>IFERROR(VLOOKUP(A1913,Sheet1!$E$3:$F$27,2,),"")</f>
        <v>Preventive</v>
      </c>
      <c r="I1913" s="16" t="str">
        <f>IFERROR(VLOOKUP(A1913,Sheet1!$E$3:$G$27,3,0),"")</f>
        <v>MCB trip/Power upnormal</v>
      </c>
      <c r="J1913" s="12" t="s">
        <v>112</v>
      </c>
      <c r="K1913" s="17">
        <v>46119.0</v>
      </c>
      <c r="L1913" s="17">
        <v>46119.0</v>
      </c>
      <c r="M1913" s="12" t="s">
        <v>137</v>
      </c>
      <c r="N1913" s="23"/>
      <c r="O1913" s="22"/>
      <c r="P1913" s="22"/>
    </row>
    <row r="1914" ht="22.5" customHeight="1">
      <c r="A1914" s="12" t="s">
        <v>52</v>
      </c>
      <c r="B1914" s="20" t="str">
        <f>IFERROR(VLOOKUP(A1914,Sheet1!$E$3:$H$27,4,0),"")</f>
        <v>P1</v>
      </c>
      <c r="C1914" s="14" t="s">
        <v>649</v>
      </c>
      <c r="D1914" s="12" t="s">
        <v>74</v>
      </c>
      <c r="E1914" s="13" t="str">
        <f>IFERROR(VLOOKUP(D1914,Sheet1!$B$1:$C$45,2,0),"")</f>
        <v>TE</v>
      </c>
      <c r="F1914" s="12" t="s">
        <v>108</v>
      </c>
      <c r="G1914" s="13" t="str">
        <f t="shared" si="6"/>
        <v>Barito Raya</v>
      </c>
      <c r="H1914" s="15" t="str">
        <f>IFERROR(VLOOKUP(A1914,Sheet1!$E$3:$F$27,2,),"")</f>
        <v>Preventive</v>
      </c>
      <c r="I1914" s="16" t="str">
        <f>IFERROR(VLOOKUP(A1914,Sheet1!$E$3:$G$27,3,0),"")</f>
        <v>MCB trip/Power upnormal</v>
      </c>
      <c r="J1914" s="12" t="s">
        <v>112</v>
      </c>
      <c r="K1914" s="17">
        <v>46119.0</v>
      </c>
      <c r="L1914" s="17">
        <v>46119.0</v>
      </c>
      <c r="M1914" s="12" t="s">
        <v>137</v>
      </c>
      <c r="N1914" s="23"/>
      <c r="O1914" s="22"/>
      <c r="P1914" s="22"/>
    </row>
    <row r="1915" ht="22.5" customHeight="1">
      <c r="A1915" s="12" t="s">
        <v>22</v>
      </c>
      <c r="B1915" s="20" t="str">
        <f>IFERROR(VLOOKUP(A1915,Sheet1!$E$3:$H$27,4,0),"")</f>
        <v>P2</v>
      </c>
      <c r="C1915" s="14" t="s">
        <v>262</v>
      </c>
      <c r="D1915" s="12" t="s">
        <v>60</v>
      </c>
      <c r="E1915" s="13" t="str">
        <f>IFERROR(VLOOKUP(D1915,Sheet1!$B$1:$C$45,2,0),"")</f>
        <v>TE</v>
      </c>
      <c r="F1915" s="12" t="s">
        <v>108</v>
      </c>
      <c r="G1915" s="13" t="str">
        <f t="shared" si="6"/>
        <v>Barito Raya</v>
      </c>
      <c r="H1915" s="15" t="str">
        <f>IFERROR(VLOOKUP(A1915,Sheet1!$E$3:$F$27,2,),"")</f>
        <v>Preventive</v>
      </c>
      <c r="I1915" s="16" t="str">
        <f>IFERROR(VLOOKUP(A1915,Sheet1!$E$3:$G$27,3,0),"")</f>
        <v>Preventive Maintenance</v>
      </c>
      <c r="J1915" s="12" t="s">
        <v>112</v>
      </c>
      <c r="K1915" s="17">
        <v>46119.0</v>
      </c>
      <c r="L1915" s="17">
        <v>46119.0</v>
      </c>
      <c r="M1915" s="12" t="s">
        <v>137</v>
      </c>
      <c r="N1915" s="23"/>
      <c r="O1915" s="22"/>
      <c r="P1915" s="22"/>
    </row>
    <row r="1916" ht="22.5" customHeight="1">
      <c r="A1916" s="12" t="s">
        <v>14</v>
      </c>
      <c r="B1916" s="20" t="str">
        <f>IFERROR(VLOOKUP(A1916,Sheet1!$E$3:$H$27,4,0),"")</f>
        <v>P1</v>
      </c>
      <c r="C1916" s="14" t="s">
        <v>412</v>
      </c>
      <c r="D1916" s="12" t="s">
        <v>62</v>
      </c>
      <c r="E1916" s="13" t="str">
        <f>IFERROR(VLOOKUP(D1916,Sheet1!$B$1:$C$45,2,0),"")</f>
        <v>TE</v>
      </c>
      <c r="F1916" s="12" t="s">
        <v>108</v>
      </c>
      <c r="G1916" s="13" t="str">
        <f t="shared" si="6"/>
        <v>Barito Raya</v>
      </c>
      <c r="H1916" s="15" t="str">
        <f>IFERROR(VLOOKUP(A1916,Sheet1!$E$3:$F$27,2,),"")</f>
        <v>Corrective</v>
      </c>
      <c r="I1916" s="16" t="str">
        <f>IFERROR(VLOOKUP(A1916,Sheet1!$E$3:$G$27,3,0),"")</f>
        <v>Pemadaman,MCB Trip,Transmisi problem</v>
      </c>
      <c r="J1916" s="12" t="s">
        <v>112</v>
      </c>
      <c r="K1916" s="17">
        <v>46119.0</v>
      </c>
      <c r="L1916" s="17">
        <v>46119.0</v>
      </c>
      <c r="M1916" s="12" t="s">
        <v>137</v>
      </c>
      <c r="N1916" s="23"/>
      <c r="O1916" s="22"/>
      <c r="P1916" s="22"/>
    </row>
    <row r="1917" ht="22.5" customHeight="1">
      <c r="A1917" s="12" t="s">
        <v>65</v>
      </c>
      <c r="B1917" s="20" t="str">
        <f>IFERROR(VLOOKUP(A1917,Sheet1!$E$3:$H$27,4,0),"")</f>
        <v>P3</v>
      </c>
      <c r="C1917" s="14"/>
      <c r="D1917" s="12" t="s">
        <v>9</v>
      </c>
      <c r="E1917" s="13" t="str">
        <f>IFERROR(VLOOKUP(D1917,Sheet1!$B$1:$C$45,2,0),"")</f>
        <v>MBP</v>
      </c>
      <c r="F1917" s="12" t="s">
        <v>108</v>
      </c>
      <c r="G1917" s="13" t="str">
        <f t="shared" si="6"/>
        <v>Barito Raya</v>
      </c>
      <c r="H1917" s="15" t="str">
        <f>IFERROR(VLOOKUP(A1917,Sheet1!$E$3:$F$27,2,),"")</f>
        <v>Standby</v>
      </c>
      <c r="I1917" s="16" t="str">
        <f>IFERROR(VLOOKUP(A1917,Sheet1!$E$3:$G$27,3,0),"")</f>
        <v>Standby On Call</v>
      </c>
      <c r="J1917" s="12" t="s">
        <v>66</v>
      </c>
      <c r="K1917" s="17">
        <v>46119.0</v>
      </c>
      <c r="L1917" s="17">
        <v>46119.0</v>
      </c>
      <c r="M1917" s="12" t="s">
        <v>137</v>
      </c>
      <c r="N1917" s="23"/>
      <c r="O1917" s="22"/>
      <c r="P1917" s="22"/>
    </row>
    <row r="1918" ht="22.5" customHeight="1">
      <c r="A1918" s="12" t="s">
        <v>65</v>
      </c>
      <c r="B1918" s="20" t="str">
        <f>IFERROR(VLOOKUP(A1918,Sheet1!$E$3:$H$27,4,0),"")</f>
        <v>P3</v>
      </c>
      <c r="C1918" s="14"/>
      <c r="D1918" s="12" t="s">
        <v>4</v>
      </c>
      <c r="E1918" s="13" t="str">
        <f>IFERROR(VLOOKUP(D1918,Sheet1!$B$1:$C$45,2,0),"")</f>
        <v>CME</v>
      </c>
      <c r="F1918" s="12" t="s">
        <v>108</v>
      </c>
      <c r="G1918" s="13" t="str">
        <f t="shared" si="6"/>
        <v>Barito Raya</v>
      </c>
      <c r="H1918" s="15" t="str">
        <f>IFERROR(VLOOKUP(A1918,Sheet1!$E$3:$F$27,2,),"")</f>
        <v>Standby</v>
      </c>
      <c r="I1918" s="16" t="str">
        <f>IFERROR(VLOOKUP(A1918,Sheet1!$E$3:$G$27,3,0),"")</f>
        <v>Standby On Call</v>
      </c>
      <c r="J1918" s="12" t="s">
        <v>66</v>
      </c>
      <c r="K1918" s="17">
        <v>46119.0</v>
      </c>
      <c r="L1918" s="17">
        <v>46119.0</v>
      </c>
      <c r="M1918" s="12" t="s">
        <v>137</v>
      </c>
      <c r="N1918" s="23"/>
      <c r="O1918" s="22"/>
      <c r="P1918" s="22"/>
    </row>
    <row r="1919" ht="22.5" customHeight="1">
      <c r="A1919" s="12" t="s">
        <v>65</v>
      </c>
      <c r="B1919" s="20" t="str">
        <f>IFERROR(VLOOKUP(A1919,Sheet1!$E$3:$H$27,4,0),"")</f>
        <v>P3</v>
      </c>
      <c r="C1919" s="15"/>
      <c r="D1919" s="12" t="s">
        <v>87</v>
      </c>
      <c r="E1919" s="13" t="str">
        <f>IFERROR(VLOOKUP(D1919,Sheet1!$B$1:$C$45,2,0),"")</f>
        <v>MBP</v>
      </c>
      <c r="F1919" s="12" t="s">
        <v>108</v>
      </c>
      <c r="G1919" s="13" t="str">
        <f t="shared" si="6"/>
        <v>Barito Raya</v>
      </c>
      <c r="H1919" s="15" t="str">
        <f>IFERROR(VLOOKUP(A1919,Sheet1!$E$3:$F$27,2,),"")</f>
        <v>Standby</v>
      </c>
      <c r="I1919" s="16" t="str">
        <f>IFERROR(VLOOKUP(A1919,Sheet1!$E$3:$G$27,3,0),"")</f>
        <v>Standby On Call</v>
      </c>
      <c r="J1919" s="12" t="s">
        <v>66</v>
      </c>
      <c r="K1919" s="17">
        <v>46119.0</v>
      </c>
      <c r="L1919" s="17">
        <v>46119.0</v>
      </c>
      <c r="M1919" s="12" t="s">
        <v>137</v>
      </c>
      <c r="N1919" s="23"/>
      <c r="O1919" s="22"/>
      <c r="P1919" s="22"/>
    </row>
    <row r="1920" ht="22.5" customHeight="1">
      <c r="A1920" s="12" t="s">
        <v>65</v>
      </c>
      <c r="B1920" s="20" t="str">
        <f>IFERROR(VLOOKUP(A1920,Sheet1!$E$3:$H$27,4,0),"")</f>
        <v>P3</v>
      </c>
      <c r="C1920" s="15"/>
      <c r="D1920" s="12" t="s">
        <v>29</v>
      </c>
      <c r="E1920" s="13" t="str">
        <f>IFERROR(VLOOKUP(D1920,Sheet1!$B$1:$C$45,2,0),"")</f>
        <v>MBP</v>
      </c>
      <c r="F1920" s="12" t="s">
        <v>108</v>
      </c>
      <c r="G1920" s="13" t="str">
        <f t="shared" si="6"/>
        <v>Barito Raya</v>
      </c>
      <c r="H1920" s="15" t="str">
        <f>IFERROR(VLOOKUP(A1920,Sheet1!$E$3:$F$27,2,),"")</f>
        <v>Standby</v>
      </c>
      <c r="I1920" s="16" t="str">
        <f>IFERROR(VLOOKUP(A1920,Sheet1!$E$3:$G$27,3,0),"")</f>
        <v>Standby On Call</v>
      </c>
      <c r="J1920" s="12" t="s">
        <v>66</v>
      </c>
      <c r="K1920" s="17">
        <v>46119.0</v>
      </c>
      <c r="L1920" s="17">
        <v>46119.0</v>
      </c>
      <c r="M1920" s="12" t="s">
        <v>137</v>
      </c>
      <c r="N1920" s="23"/>
      <c r="O1920" s="22"/>
      <c r="P1920" s="22"/>
    </row>
    <row r="1921" ht="22.5" customHeight="1">
      <c r="A1921" s="12" t="s">
        <v>65</v>
      </c>
      <c r="B1921" s="20" t="str">
        <f>IFERROR(VLOOKUP(A1921,Sheet1!$E$3:$H$27,4,0),"")</f>
        <v>P3</v>
      </c>
      <c r="C1921" s="14"/>
      <c r="D1921" s="12" t="s">
        <v>2</v>
      </c>
      <c r="E1921" s="13" t="str">
        <f>IFERROR(VLOOKUP(D1921,Sheet1!$B$1:$C$45,2,0),"")</f>
        <v>CME</v>
      </c>
      <c r="F1921" s="12" t="s">
        <v>108</v>
      </c>
      <c r="G1921" s="13" t="str">
        <f t="shared" si="6"/>
        <v>Barito Raya</v>
      </c>
      <c r="H1921" s="15" t="str">
        <f>IFERROR(VLOOKUP(A1921,Sheet1!$E$3:$F$27,2,),"")</f>
        <v>Standby</v>
      </c>
      <c r="I1921" s="16" t="str">
        <f>IFERROR(VLOOKUP(A1921,Sheet1!$E$3:$G$27,3,0),"")</f>
        <v>Standby On Call</v>
      </c>
      <c r="J1921" s="12" t="s">
        <v>66</v>
      </c>
      <c r="K1921" s="17">
        <v>46119.0</v>
      </c>
      <c r="L1921" s="17">
        <v>46119.0</v>
      </c>
      <c r="M1921" s="12" t="s">
        <v>137</v>
      </c>
      <c r="N1921" s="23"/>
      <c r="O1921" s="22"/>
      <c r="P1921" s="22"/>
    </row>
    <row r="1922" ht="22.5" customHeight="1">
      <c r="A1922" s="12" t="s">
        <v>65</v>
      </c>
      <c r="B1922" s="20" t="str">
        <f>IFERROR(VLOOKUP(A1922,Sheet1!$E$3:$H$27,4,0),"")</f>
        <v>P3</v>
      </c>
      <c r="C1922" s="15"/>
      <c r="D1922" s="12" t="s">
        <v>0</v>
      </c>
      <c r="E1922" s="13" t="str">
        <f>IFERROR(VLOOKUP(D1922,Sheet1!$B$1:$C$45,2,0),"")</f>
        <v>MBP</v>
      </c>
      <c r="F1922" s="12" t="s">
        <v>108</v>
      </c>
      <c r="G1922" s="13" t="str">
        <f t="shared" si="6"/>
        <v>Barito Raya</v>
      </c>
      <c r="H1922" s="15" t="str">
        <f>IFERROR(VLOOKUP(A1922,Sheet1!$E$3:$F$27,2,),"")</f>
        <v>Standby</v>
      </c>
      <c r="I1922" s="16" t="str">
        <f>IFERROR(VLOOKUP(A1922,Sheet1!$E$3:$G$27,3,0),"")</f>
        <v>Standby On Call</v>
      </c>
      <c r="J1922" s="12" t="s">
        <v>66</v>
      </c>
      <c r="K1922" s="17">
        <v>46119.0</v>
      </c>
      <c r="L1922" s="17">
        <v>46119.0</v>
      </c>
      <c r="M1922" s="12" t="s">
        <v>137</v>
      </c>
      <c r="N1922" s="23"/>
      <c r="O1922" s="22"/>
      <c r="P1922" s="22"/>
    </row>
    <row r="1923" ht="22.5" customHeight="1">
      <c r="A1923" s="12" t="s">
        <v>22</v>
      </c>
      <c r="B1923" s="20" t="str">
        <f>IFERROR(VLOOKUP(A1923,Sheet1!$E$3:$H$27,4,0),"")</f>
        <v>P2</v>
      </c>
      <c r="C1923" s="14"/>
      <c r="D1923" s="12" t="s">
        <v>85</v>
      </c>
      <c r="E1923" s="13" t="str">
        <f>IFERROR(VLOOKUP(D1923,Sheet1!$B$1:$C$45,2,0),"")</f>
        <v>PM</v>
      </c>
      <c r="F1923" s="12" t="s">
        <v>108</v>
      </c>
      <c r="G1923" s="13" t="str">
        <f t="shared" si="6"/>
        <v>Barito Raya</v>
      </c>
      <c r="H1923" s="15" t="str">
        <f>IFERROR(VLOOKUP(A1923,Sheet1!$E$3:$F$27,2,),"")</f>
        <v>Preventive</v>
      </c>
      <c r="I1923" s="16" t="str">
        <f>IFERROR(VLOOKUP(A1923,Sheet1!$E$3:$G$27,3,0),"")</f>
        <v>Preventive Maintenance</v>
      </c>
      <c r="J1923" s="12" t="s">
        <v>112</v>
      </c>
      <c r="K1923" s="17">
        <v>46119.0</v>
      </c>
      <c r="L1923" s="17">
        <v>46119.0</v>
      </c>
      <c r="M1923" s="12" t="s">
        <v>137</v>
      </c>
      <c r="N1923" s="23"/>
      <c r="O1923" s="22"/>
      <c r="P1923" s="22"/>
    </row>
    <row r="1924" ht="22.5" customHeight="1">
      <c r="A1924" s="12" t="s">
        <v>22</v>
      </c>
      <c r="B1924" s="20" t="str">
        <f>IFERROR(VLOOKUP(A1924,Sheet1!$E$3:$H$27,4,0),"")</f>
        <v>P2</v>
      </c>
      <c r="C1924" s="14"/>
      <c r="D1924" s="12" t="s">
        <v>84</v>
      </c>
      <c r="E1924" s="13" t="str">
        <f>IFERROR(VLOOKUP(D1924,Sheet1!$B$1:$C$45,2,0),"")</f>
        <v>MBP</v>
      </c>
      <c r="F1924" s="12" t="s">
        <v>108</v>
      </c>
      <c r="G1924" s="13" t="str">
        <f t="shared" si="6"/>
        <v>Barito Raya</v>
      </c>
      <c r="H1924" s="15" t="str">
        <f>IFERROR(VLOOKUP(A1924,Sheet1!$E$3:$F$27,2,),"")</f>
        <v>Preventive</v>
      </c>
      <c r="I1924" s="16" t="str">
        <f>IFERROR(VLOOKUP(A1924,Sheet1!$E$3:$G$27,3,0),"")</f>
        <v>Preventive Maintenance</v>
      </c>
      <c r="J1924" s="12" t="s">
        <v>112</v>
      </c>
      <c r="K1924" s="17">
        <v>46119.0</v>
      </c>
      <c r="L1924" s="17">
        <v>46119.0</v>
      </c>
      <c r="M1924" s="12" t="s">
        <v>137</v>
      </c>
      <c r="N1924" s="23"/>
      <c r="O1924" s="22"/>
      <c r="P1924" s="22"/>
    </row>
    <row r="1925" ht="22.5" customHeight="1">
      <c r="A1925" s="12" t="s">
        <v>22</v>
      </c>
      <c r="B1925" s="20" t="str">
        <f>IFERROR(VLOOKUP(A1925,Sheet1!$E$3:$H$27,4,0),"")</f>
        <v>P2</v>
      </c>
      <c r="C1925" s="14" t="s">
        <v>162</v>
      </c>
      <c r="D1925" s="12" t="s">
        <v>86</v>
      </c>
      <c r="E1925" s="13" t="str">
        <f>IFERROR(VLOOKUP(D1925,Sheet1!$B$1:$C$45,2,0),"")</f>
        <v>PM</v>
      </c>
      <c r="F1925" s="12" t="s">
        <v>108</v>
      </c>
      <c r="G1925" s="13" t="str">
        <f t="shared" si="6"/>
        <v>Barito Raya</v>
      </c>
      <c r="H1925" s="15" t="str">
        <f>IFERROR(VLOOKUP(A1925,Sheet1!$E$3:$F$27,2,),"")</f>
        <v>Preventive</v>
      </c>
      <c r="I1925" s="16" t="str">
        <f>IFERROR(VLOOKUP(A1925,Sheet1!$E$3:$G$27,3,0),"")</f>
        <v>Preventive Maintenance</v>
      </c>
      <c r="J1925" s="12" t="s">
        <v>112</v>
      </c>
      <c r="K1925" s="17">
        <v>46119.0</v>
      </c>
      <c r="L1925" s="17">
        <v>46119.0</v>
      </c>
      <c r="M1925" s="12" t="s">
        <v>137</v>
      </c>
      <c r="N1925" s="23"/>
      <c r="O1925" s="22"/>
      <c r="P1925" s="22"/>
    </row>
    <row r="1926" ht="22.5" customHeight="1">
      <c r="A1926" s="12" t="s">
        <v>5</v>
      </c>
      <c r="B1926" s="20" t="str">
        <f>IFERROR(VLOOKUP(A1926,Sheet1!$E$3:$H$27,4,0),"")</f>
        <v>P1</v>
      </c>
      <c r="C1926" s="14" t="s">
        <v>646</v>
      </c>
      <c r="D1926" s="12" t="s">
        <v>76</v>
      </c>
      <c r="E1926" s="13" t="str">
        <f>IFERROR(VLOOKUP(D1926,Sheet1!$B$1:$C$45,2,0),"")</f>
        <v>TE</v>
      </c>
      <c r="F1926" s="12" t="s">
        <v>179</v>
      </c>
      <c r="G1926" s="13" t="str">
        <f t="shared" si="6"/>
        <v>Palangkaraya</v>
      </c>
      <c r="H1926" s="15" t="str">
        <f>IFERROR(VLOOKUP(A1926,Sheet1!$E$3:$F$27,2,),"")</f>
        <v>Corrective</v>
      </c>
      <c r="I1926" s="16" t="str">
        <f>IFERROR(VLOOKUP(A1926,Sheet1!$E$3:$G$27,3,0),"")</f>
        <v>Replace Optik,RRU/Soket Power/Replace GPS</v>
      </c>
      <c r="J1926" s="12" t="s">
        <v>112</v>
      </c>
      <c r="K1926" s="17">
        <v>46119.0</v>
      </c>
      <c r="L1926" s="17"/>
      <c r="M1926" s="12" t="s">
        <v>137</v>
      </c>
      <c r="N1926" s="23"/>
      <c r="O1926" s="22"/>
      <c r="P1926" s="22"/>
    </row>
    <row r="1927" ht="22.5" customHeight="1">
      <c r="A1927" s="12" t="s">
        <v>5</v>
      </c>
      <c r="B1927" s="20" t="str">
        <f>IFERROR(VLOOKUP(A1927,Sheet1!$E$3:$H$27,4,0),"")</f>
        <v>P1</v>
      </c>
      <c r="C1927" s="14" t="s">
        <v>593</v>
      </c>
      <c r="D1927" s="12" t="s">
        <v>71</v>
      </c>
      <c r="E1927" s="13" t="str">
        <f>IFERROR(VLOOKUP(D1927,Sheet1!$B$1:$C$45,2,0),"")</f>
        <v>TE</v>
      </c>
      <c r="F1927" s="12" t="s">
        <v>179</v>
      </c>
      <c r="G1927" s="13" t="str">
        <f t="shared" si="6"/>
        <v>Palangkaraya</v>
      </c>
      <c r="H1927" s="15" t="str">
        <f>IFERROR(VLOOKUP(A1927,Sheet1!$E$3:$F$27,2,),"")</f>
        <v>Corrective</v>
      </c>
      <c r="I1927" s="16" t="str">
        <f>IFERROR(VLOOKUP(A1927,Sheet1!$E$3:$G$27,3,0),"")</f>
        <v>Replace Optik,RRU/Soket Power/Replace GPS</v>
      </c>
      <c r="J1927" s="12" t="s">
        <v>112</v>
      </c>
      <c r="K1927" s="17">
        <v>46119.0</v>
      </c>
      <c r="L1927" s="17"/>
      <c r="M1927" s="12" t="s">
        <v>137</v>
      </c>
      <c r="N1927" s="23"/>
      <c r="O1927" s="22"/>
      <c r="P1927" s="22"/>
    </row>
    <row r="1928" ht="22.5" customHeight="1">
      <c r="A1928" s="12" t="s">
        <v>5</v>
      </c>
      <c r="B1928" s="20" t="str">
        <f>IFERROR(VLOOKUP(A1928,Sheet1!$E$3:$H$27,4,0),"")</f>
        <v>P1</v>
      </c>
      <c r="C1928" s="14" t="s">
        <v>593</v>
      </c>
      <c r="D1928" s="12" t="s">
        <v>69</v>
      </c>
      <c r="E1928" s="13" t="str">
        <f>IFERROR(VLOOKUP(D1928,Sheet1!$B$1:$C$45,2,0),"")</f>
        <v>TE</v>
      </c>
      <c r="F1928" s="12" t="s">
        <v>179</v>
      </c>
      <c r="G1928" s="13" t="str">
        <f t="shared" si="6"/>
        <v>Palangkaraya</v>
      </c>
      <c r="H1928" s="15" t="str">
        <f>IFERROR(VLOOKUP(A1928,Sheet1!$E$3:$F$27,2,),"")</f>
        <v>Corrective</v>
      </c>
      <c r="I1928" s="16" t="str">
        <f>IFERROR(VLOOKUP(A1928,Sheet1!$E$3:$G$27,3,0),"")</f>
        <v>Replace Optik,RRU/Soket Power/Replace GPS</v>
      </c>
      <c r="J1928" s="12" t="s">
        <v>112</v>
      </c>
      <c r="K1928" s="17">
        <v>46119.0</v>
      </c>
      <c r="L1928" s="17"/>
      <c r="M1928" s="12" t="s">
        <v>137</v>
      </c>
      <c r="N1928" s="23"/>
      <c r="O1928" s="22"/>
      <c r="P1928" s="22"/>
    </row>
    <row r="1929" ht="22.5" customHeight="1">
      <c r="A1929" s="12" t="s">
        <v>49</v>
      </c>
      <c r="B1929" s="20" t="str">
        <f>IFERROR(VLOOKUP(A1929,Sheet1!$E$3:$H$27,4,0),"")</f>
        <v>P2</v>
      </c>
      <c r="C1929" s="14" t="s">
        <v>636</v>
      </c>
      <c r="D1929" s="12" t="s">
        <v>91</v>
      </c>
      <c r="E1929" s="13" t="str">
        <f>IFERROR(VLOOKUP(D1929,Sheet1!$B$1:$C$45,2,0),"")</f>
        <v>TE</v>
      </c>
      <c r="F1929" s="12" t="s">
        <v>179</v>
      </c>
      <c r="G1929" s="13" t="str">
        <f t="shared" si="6"/>
        <v>Palangkaraya</v>
      </c>
      <c r="H1929" s="15" t="str">
        <f>IFERROR(VLOOKUP(A1929,Sheet1!$E$3:$F$27,2,),"")</f>
        <v>Preventive</v>
      </c>
      <c r="I1929" s="16" t="str">
        <f>IFERROR(VLOOKUP(A1929,Sheet1!$E$3:$G$27,3,0),"")</f>
        <v>Bts High temp impact fliker</v>
      </c>
      <c r="J1929" s="12" t="s">
        <v>112</v>
      </c>
      <c r="K1929" s="17">
        <v>46119.0</v>
      </c>
      <c r="L1929" s="17"/>
      <c r="M1929" s="12" t="s">
        <v>137</v>
      </c>
      <c r="N1929" s="23"/>
      <c r="O1929" s="22"/>
      <c r="P1929" s="22"/>
    </row>
    <row r="1930" ht="22.5" customHeight="1">
      <c r="A1930" s="12" t="s">
        <v>10</v>
      </c>
      <c r="B1930" s="20" t="str">
        <f>IFERROR(VLOOKUP(A1930,Sheet1!$E$3:$H$27,4,0),"")</f>
        <v>P1</v>
      </c>
      <c r="C1930" s="14" t="s">
        <v>650</v>
      </c>
      <c r="D1930" s="12" t="s">
        <v>58</v>
      </c>
      <c r="E1930" s="13" t="str">
        <f>IFERROR(VLOOKUP(D1930,Sheet1!$B$1:$C$45,2,0),"")</f>
        <v>TE</v>
      </c>
      <c r="F1930" s="12" t="s">
        <v>179</v>
      </c>
      <c r="G1930" s="13" t="str">
        <f t="shared" si="6"/>
        <v>Palangkaraya</v>
      </c>
      <c r="H1930" s="15" t="str">
        <f>IFERROR(VLOOKUP(A1930,Sheet1!$E$3:$F$27,2,),"")</f>
        <v>Corrective</v>
      </c>
      <c r="I1930" s="16" t="str">
        <f>IFERROR(VLOOKUP(A1930,Sheet1!$E$3:$G$27,3,0),"")</f>
        <v>Replace Jumper,antena/RRU</v>
      </c>
      <c r="J1930" s="12" t="s">
        <v>112</v>
      </c>
      <c r="K1930" s="17">
        <v>46119.0</v>
      </c>
      <c r="L1930" s="17"/>
      <c r="M1930" s="12" t="s">
        <v>137</v>
      </c>
      <c r="N1930" s="23"/>
      <c r="O1930" s="22"/>
      <c r="P1930" s="22"/>
    </row>
    <row r="1931" ht="22.5" customHeight="1">
      <c r="A1931" s="12" t="s">
        <v>10</v>
      </c>
      <c r="B1931" s="20" t="str">
        <f>IFERROR(VLOOKUP(A1931,Sheet1!$E$3:$H$27,4,0),"")</f>
        <v>P1</v>
      </c>
      <c r="C1931" s="14" t="s">
        <v>444</v>
      </c>
      <c r="D1931" s="12" t="s">
        <v>79</v>
      </c>
      <c r="E1931" s="13" t="str">
        <f>IFERROR(VLOOKUP(D1931,Sheet1!$B$1:$C$45,2,0),"")</f>
        <v>TE</v>
      </c>
      <c r="F1931" s="12" t="s">
        <v>179</v>
      </c>
      <c r="G1931" s="13" t="str">
        <f t="shared" si="6"/>
        <v>Palangkaraya</v>
      </c>
      <c r="H1931" s="15" t="str">
        <f>IFERROR(VLOOKUP(A1931,Sheet1!$E$3:$F$27,2,),"")</f>
        <v>Corrective</v>
      </c>
      <c r="I1931" s="16" t="str">
        <f>IFERROR(VLOOKUP(A1931,Sheet1!$E$3:$G$27,3,0),"")</f>
        <v>Replace Jumper,antena/RRU</v>
      </c>
      <c r="J1931" s="12" t="s">
        <v>112</v>
      </c>
      <c r="K1931" s="17">
        <v>46119.0</v>
      </c>
      <c r="L1931" s="17"/>
      <c r="M1931" s="12" t="s">
        <v>137</v>
      </c>
      <c r="N1931" s="23"/>
      <c r="O1931" s="22"/>
      <c r="P1931" s="22"/>
    </row>
    <row r="1932" ht="22.5" customHeight="1">
      <c r="A1932" s="12" t="s">
        <v>14</v>
      </c>
      <c r="B1932" s="20" t="str">
        <f>IFERROR(VLOOKUP(A1932,Sheet1!$E$3:$H$27,4,0),"")</f>
        <v>P1</v>
      </c>
      <c r="C1932" s="14" t="s">
        <v>651</v>
      </c>
      <c r="D1932" s="12" t="s">
        <v>56</v>
      </c>
      <c r="E1932" s="13" t="str">
        <f>IFERROR(VLOOKUP(D1932,Sheet1!$B$1:$C$45,2,0),"")</f>
        <v>TE</v>
      </c>
      <c r="F1932" s="12" t="s">
        <v>179</v>
      </c>
      <c r="G1932" s="13" t="str">
        <f t="shared" si="6"/>
        <v>Palangkaraya</v>
      </c>
      <c r="H1932" s="15" t="str">
        <f>IFERROR(VLOOKUP(A1932,Sheet1!$E$3:$F$27,2,),"")</f>
        <v>Corrective</v>
      </c>
      <c r="I1932" s="16" t="str">
        <f>IFERROR(VLOOKUP(A1932,Sheet1!$E$3:$G$27,3,0),"")</f>
        <v>Pemadaman,MCB Trip,Transmisi problem</v>
      </c>
      <c r="J1932" s="12" t="s">
        <v>112</v>
      </c>
      <c r="K1932" s="17">
        <v>46119.0</v>
      </c>
      <c r="L1932" s="17"/>
      <c r="M1932" s="12" t="s">
        <v>137</v>
      </c>
      <c r="N1932" s="23"/>
      <c r="O1932" s="22"/>
      <c r="P1932" s="22"/>
    </row>
    <row r="1933" ht="22.5" customHeight="1">
      <c r="A1933" s="12" t="s">
        <v>33</v>
      </c>
      <c r="B1933" s="20" t="str">
        <f>IFERROR(VLOOKUP(A1933,Sheet1!$E$3:$H$27,4,0),"")</f>
        <v>P2</v>
      </c>
      <c r="C1933" s="14" t="s">
        <v>430</v>
      </c>
      <c r="D1933" s="12" t="s">
        <v>77</v>
      </c>
      <c r="E1933" s="13" t="str">
        <f>IFERROR(VLOOKUP(D1933,Sheet1!$B$1:$C$45,2,0),"")</f>
        <v>TE</v>
      </c>
      <c r="F1933" s="12" t="s">
        <v>179</v>
      </c>
      <c r="G1933" s="13" t="str">
        <f t="shared" si="6"/>
        <v>Palangkaraya</v>
      </c>
      <c r="H1933" s="15" t="str">
        <f>IFERROR(VLOOKUP(A1933,Sheet1!$E$3:$F$27,2,),"")</f>
        <v>Preventive</v>
      </c>
      <c r="I1933" s="16" t="str">
        <f>IFERROR(VLOOKUP(A1933,Sheet1!$E$3:$G$27,3,0),"")</f>
        <v>Pengukuran dan pengambilan data log serta input Gdoc BBT</v>
      </c>
      <c r="J1933" s="12" t="s">
        <v>112</v>
      </c>
      <c r="K1933" s="17">
        <v>46119.0</v>
      </c>
      <c r="L1933" s="17"/>
      <c r="M1933" s="12" t="s">
        <v>137</v>
      </c>
      <c r="N1933" s="23"/>
      <c r="O1933" s="22"/>
      <c r="P1933" s="22"/>
    </row>
    <row r="1934" ht="22.5" customHeight="1">
      <c r="A1934" s="12" t="s">
        <v>33</v>
      </c>
      <c r="B1934" s="20" t="str">
        <f>IFERROR(VLOOKUP(A1934,Sheet1!$E$3:$H$27,4,0),"")</f>
        <v>P2</v>
      </c>
      <c r="C1934" s="14" t="s">
        <v>525</v>
      </c>
      <c r="D1934" s="12" t="s">
        <v>80</v>
      </c>
      <c r="E1934" s="13" t="str">
        <f>IFERROR(VLOOKUP(D1934,Sheet1!$B$1:$C$45,2,0),"")</f>
        <v>TE</v>
      </c>
      <c r="F1934" s="12" t="s">
        <v>179</v>
      </c>
      <c r="G1934" s="13" t="str">
        <f t="shared" si="6"/>
        <v>Palangkaraya</v>
      </c>
      <c r="H1934" s="15" t="str">
        <f>IFERROR(VLOOKUP(A1934,Sheet1!$E$3:$F$27,2,),"")</f>
        <v>Preventive</v>
      </c>
      <c r="I1934" s="16" t="str">
        <f>IFERROR(VLOOKUP(A1934,Sheet1!$E$3:$G$27,3,0),"")</f>
        <v>Pengukuran dan pengambilan data log serta input Gdoc BBT</v>
      </c>
      <c r="J1934" s="12" t="s">
        <v>112</v>
      </c>
      <c r="K1934" s="17">
        <v>46119.0</v>
      </c>
      <c r="L1934" s="17"/>
      <c r="M1934" s="12" t="s">
        <v>137</v>
      </c>
      <c r="N1934" s="23"/>
      <c r="O1934" s="22"/>
      <c r="P1934" s="22"/>
    </row>
    <row r="1935" ht="22.5" customHeight="1">
      <c r="A1935" s="12" t="s">
        <v>33</v>
      </c>
      <c r="B1935" s="20" t="str">
        <f>IFERROR(VLOOKUP(A1935,Sheet1!$E$3:$H$27,4,0),"")</f>
        <v>P2</v>
      </c>
      <c r="C1935" s="14" t="s">
        <v>652</v>
      </c>
      <c r="D1935" s="12" t="s">
        <v>42</v>
      </c>
      <c r="E1935" s="13" t="str">
        <f>IFERROR(VLOOKUP(D1935,Sheet1!$B$1:$C$45,2,0),"")</f>
        <v>TE</v>
      </c>
      <c r="F1935" s="12" t="s">
        <v>179</v>
      </c>
      <c r="G1935" s="13" t="str">
        <f t="shared" si="6"/>
        <v>Palangkaraya</v>
      </c>
      <c r="H1935" s="15" t="str">
        <f>IFERROR(VLOOKUP(A1935,Sheet1!$E$3:$F$27,2,),"")</f>
        <v>Preventive</v>
      </c>
      <c r="I1935" s="16" t="str">
        <f>IFERROR(VLOOKUP(A1935,Sheet1!$E$3:$G$27,3,0),"")</f>
        <v>Pengukuran dan pengambilan data log serta input Gdoc BBT</v>
      </c>
      <c r="J1935" s="12" t="s">
        <v>112</v>
      </c>
      <c r="K1935" s="17">
        <v>46119.0</v>
      </c>
      <c r="L1935" s="17"/>
      <c r="M1935" s="12" t="s">
        <v>137</v>
      </c>
      <c r="N1935" s="23"/>
      <c r="O1935" s="22"/>
      <c r="P1935" s="22"/>
    </row>
    <row r="1936" ht="22.5" customHeight="1">
      <c r="A1936" s="12" t="s">
        <v>33</v>
      </c>
      <c r="B1936" s="20" t="str">
        <f>IFERROR(VLOOKUP(A1936,Sheet1!$E$3:$H$27,4,0),"")</f>
        <v>P2</v>
      </c>
      <c r="C1936" s="14" t="s">
        <v>653</v>
      </c>
      <c r="D1936" s="12" t="s">
        <v>78</v>
      </c>
      <c r="E1936" s="13" t="str">
        <f>IFERROR(VLOOKUP(D1936,Sheet1!$B$1:$C$45,2,0),"")</f>
        <v>TE</v>
      </c>
      <c r="F1936" s="12" t="s">
        <v>179</v>
      </c>
      <c r="G1936" s="13" t="str">
        <f t="shared" si="6"/>
        <v>Palangkaraya</v>
      </c>
      <c r="H1936" s="15" t="str">
        <f>IFERROR(VLOOKUP(A1936,Sheet1!$E$3:$F$27,2,),"")</f>
        <v>Preventive</v>
      </c>
      <c r="I1936" s="16" t="str">
        <f>IFERROR(VLOOKUP(A1936,Sheet1!$E$3:$G$27,3,0),"")</f>
        <v>Pengukuran dan pengambilan data log serta input Gdoc BBT</v>
      </c>
      <c r="J1936" s="12" t="s">
        <v>112</v>
      </c>
      <c r="K1936" s="17">
        <v>46119.0</v>
      </c>
      <c r="L1936" s="17"/>
      <c r="M1936" s="12" t="s">
        <v>137</v>
      </c>
      <c r="N1936" s="23"/>
      <c r="O1936" s="22"/>
      <c r="P1936" s="22"/>
    </row>
    <row r="1937" ht="22.5" customHeight="1">
      <c r="A1937" s="12" t="s">
        <v>22</v>
      </c>
      <c r="B1937" s="20" t="str">
        <f>IFERROR(VLOOKUP(A1937,Sheet1!$E$3:$H$27,4,0),"")</f>
        <v>P2</v>
      </c>
      <c r="C1937" s="15"/>
      <c r="D1937" s="12" t="s">
        <v>83</v>
      </c>
      <c r="E1937" s="13" t="str">
        <f>IFERROR(VLOOKUP(D1937,Sheet1!$B$1:$C$45,2,0),"")</f>
        <v>PM</v>
      </c>
      <c r="F1937" s="12" t="s">
        <v>179</v>
      </c>
      <c r="G1937" s="13" t="str">
        <f t="shared" si="6"/>
        <v>Palangkaraya</v>
      </c>
      <c r="H1937" s="15" t="str">
        <f>IFERROR(VLOOKUP(A1937,Sheet1!$E$3:$F$27,2,),"")</f>
        <v>Preventive</v>
      </c>
      <c r="I1937" s="16" t="str">
        <f>IFERROR(VLOOKUP(A1937,Sheet1!$E$3:$G$27,3,0),"")</f>
        <v>Preventive Maintenance</v>
      </c>
      <c r="J1937" s="12" t="s">
        <v>112</v>
      </c>
      <c r="K1937" s="17">
        <v>46119.0</v>
      </c>
      <c r="L1937" s="17"/>
      <c r="M1937" s="12" t="s">
        <v>137</v>
      </c>
      <c r="N1937" s="23"/>
      <c r="O1937" s="22"/>
      <c r="P1937" s="22"/>
    </row>
    <row r="1938" ht="22.5" customHeight="1">
      <c r="A1938" s="12" t="s">
        <v>22</v>
      </c>
      <c r="B1938" s="20" t="str">
        <f>IFERROR(VLOOKUP(A1938,Sheet1!$E$3:$H$27,4,0),"")</f>
        <v>P2</v>
      </c>
      <c r="C1938" s="15"/>
      <c r="D1938" s="12" t="s">
        <v>82</v>
      </c>
      <c r="E1938" s="13" t="str">
        <f>IFERROR(VLOOKUP(D1938,Sheet1!$B$1:$C$45,2,0),"")</f>
        <v>PM</v>
      </c>
      <c r="F1938" s="12" t="s">
        <v>179</v>
      </c>
      <c r="G1938" s="13" t="str">
        <f t="shared" si="6"/>
        <v>Palangkaraya</v>
      </c>
      <c r="H1938" s="15" t="str">
        <f>IFERROR(VLOOKUP(A1938,Sheet1!$E$3:$F$27,2,),"")</f>
        <v>Preventive</v>
      </c>
      <c r="I1938" s="16" t="str">
        <f>IFERROR(VLOOKUP(A1938,Sheet1!$E$3:$G$27,3,0),"")</f>
        <v>Preventive Maintenance</v>
      </c>
      <c r="J1938" s="12" t="s">
        <v>112</v>
      </c>
      <c r="K1938" s="17">
        <v>46119.0</v>
      </c>
      <c r="L1938" s="17"/>
      <c r="M1938" s="12" t="s">
        <v>137</v>
      </c>
      <c r="N1938" s="23"/>
      <c r="O1938" s="22"/>
      <c r="P1938" s="22"/>
    </row>
    <row r="1939" ht="22.5" customHeight="1">
      <c r="A1939" s="12" t="s">
        <v>22</v>
      </c>
      <c r="B1939" s="20" t="str">
        <f>IFERROR(VLOOKUP(A1939,Sheet1!$E$3:$H$27,4,0),"")</f>
        <v>P2</v>
      </c>
      <c r="C1939" s="15"/>
      <c r="D1939" s="12" t="s">
        <v>81</v>
      </c>
      <c r="E1939" s="13" t="str">
        <f>IFERROR(VLOOKUP(D1939,Sheet1!$B$1:$C$45,2,0),"")</f>
        <v>PM</v>
      </c>
      <c r="F1939" s="12" t="s">
        <v>179</v>
      </c>
      <c r="G1939" s="13" t="str">
        <f t="shared" si="6"/>
        <v>Palangkaraya</v>
      </c>
      <c r="H1939" s="15" t="str">
        <f>IFERROR(VLOOKUP(A1939,Sheet1!$E$3:$F$27,2,),"")</f>
        <v>Preventive</v>
      </c>
      <c r="I1939" s="16" t="str">
        <f>IFERROR(VLOOKUP(A1939,Sheet1!$E$3:$G$27,3,0),"")</f>
        <v>Preventive Maintenance</v>
      </c>
      <c r="J1939" s="12" t="s">
        <v>112</v>
      </c>
      <c r="K1939" s="17">
        <v>46119.0</v>
      </c>
      <c r="L1939" s="17"/>
      <c r="M1939" s="12" t="s">
        <v>137</v>
      </c>
      <c r="N1939" s="23"/>
      <c r="O1939" s="22"/>
      <c r="P1939" s="22"/>
    </row>
    <row r="1940" ht="22.5" customHeight="1">
      <c r="A1940" s="12" t="s">
        <v>65</v>
      </c>
      <c r="B1940" s="20" t="str">
        <f>IFERROR(VLOOKUP(A1940,Sheet1!$E$3:$H$27,4,0),"")</f>
        <v>P3</v>
      </c>
      <c r="C1940" s="15"/>
      <c r="D1940" s="12" t="s">
        <v>35</v>
      </c>
      <c r="E1940" s="13" t="str">
        <f>IFERROR(VLOOKUP(D1940,Sheet1!$B$1:$C$45,2,0),"")</f>
        <v>MBP</v>
      </c>
      <c r="F1940" s="12" t="s">
        <v>179</v>
      </c>
      <c r="G1940" s="13" t="str">
        <f t="shared" si="6"/>
        <v>Palangkaraya</v>
      </c>
      <c r="H1940" s="15" t="str">
        <f>IFERROR(VLOOKUP(A1940,Sheet1!$E$3:$F$27,2,),"")</f>
        <v>Standby</v>
      </c>
      <c r="I1940" s="16" t="str">
        <f>IFERROR(VLOOKUP(A1940,Sheet1!$E$3:$G$27,3,0),"")</f>
        <v>Standby On Call</v>
      </c>
      <c r="J1940" s="12" t="s">
        <v>112</v>
      </c>
      <c r="K1940" s="17">
        <v>46119.0</v>
      </c>
      <c r="L1940" s="17"/>
      <c r="M1940" s="12" t="s">
        <v>137</v>
      </c>
      <c r="N1940" s="23"/>
      <c r="O1940" s="22"/>
      <c r="P1940" s="22"/>
    </row>
    <row r="1941" ht="22.5" customHeight="1">
      <c r="A1941" s="12" t="s">
        <v>65</v>
      </c>
      <c r="B1941" s="20" t="str">
        <f>IFERROR(VLOOKUP(A1941,Sheet1!$E$3:$H$27,4,0),"")</f>
        <v>P3</v>
      </c>
      <c r="C1941" s="15"/>
      <c r="D1941" s="12" t="s">
        <v>75</v>
      </c>
      <c r="E1941" s="13" t="str">
        <f>IFERROR(VLOOKUP(D1941,Sheet1!$B$1:$C$45,2,0),"")</f>
        <v>CME</v>
      </c>
      <c r="F1941" s="12" t="s">
        <v>179</v>
      </c>
      <c r="G1941" s="13" t="str">
        <f t="shared" si="6"/>
        <v>Palangkaraya</v>
      </c>
      <c r="H1941" s="15" t="str">
        <f>IFERROR(VLOOKUP(A1941,Sheet1!$E$3:$F$27,2,),"")</f>
        <v>Standby</v>
      </c>
      <c r="I1941" s="16" t="str">
        <f>IFERROR(VLOOKUP(A1941,Sheet1!$E$3:$G$27,3,0),"")</f>
        <v>Standby On Call</v>
      </c>
      <c r="J1941" s="12" t="s">
        <v>112</v>
      </c>
      <c r="K1941" s="17">
        <v>46119.0</v>
      </c>
      <c r="L1941" s="17"/>
      <c r="M1941" s="12" t="s">
        <v>137</v>
      </c>
      <c r="N1941" s="23"/>
      <c r="O1941" s="22"/>
      <c r="P1941" s="22"/>
    </row>
    <row r="1942" ht="22.5" customHeight="1">
      <c r="A1942" s="12" t="s">
        <v>14</v>
      </c>
      <c r="B1942" s="20" t="str">
        <f>IFERROR(VLOOKUP(A1942,Sheet1!$E$3:$H$27,4,0),"")</f>
        <v>P1</v>
      </c>
      <c r="C1942" s="14" t="s">
        <v>427</v>
      </c>
      <c r="D1942" s="12" t="s">
        <v>64</v>
      </c>
      <c r="E1942" s="13" t="str">
        <f>IFERROR(VLOOKUP(D1942,Sheet1!$B$1:$C$45,2,0),"")</f>
        <v>TE</v>
      </c>
      <c r="F1942" s="12" t="s">
        <v>179</v>
      </c>
      <c r="G1942" s="13" t="str">
        <f t="shared" si="6"/>
        <v>Palangkaraya</v>
      </c>
      <c r="H1942" s="15" t="str">
        <f>IFERROR(VLOOKUP(A1942,Sheet1!$E$3:$F$27,2,),"")</f>
        <v>Corrective</v>
      </c>
      <c r="I1942" s="16" t="str">
        <f>IFERROR(VLOOKUP(A1942,Sheet1!$E$3:$G$27,3,0),"")</f>
        <v>Pemadaman,MCB Trip,Transmisi problem</v>
      </c>
      <c r="J1942" s="12" t="s">
        <v>112</v>
      </c>
      <c r="K1942" s="17">
        <v>46119.0</v>
      </c>
      <c r="L1942" s="17"/>
      <c r="M1942" s="12" t="s">
        <v>137</v>
      </c>
      <c r="N1942" s="23"/>
      <c r="O1942" s="22"/>
      <c r="P1942" s="22"/>
    </row>
    <row r="1943" ht="22.5" customHeight="1">
      <c r="A1943" s="12" t="s">
        <v>25</v>
      </c>
      <c r="B1943" s="20" t="str">
        <f>IFERROR(VLOOKUP(A1943,Sheet1!$E$3:$H$27,4,0),"")</f>
        <v>P2</v>
      </c>
      <c r="C1943" s="14" t="s">
        <v>654</v>
      </c>
      <c r="D1943" s="12" t="s">
        <v>12</v>
      </c>
      <c r="E1943" s="13" t="str">
        <f>IFERROR(VLOOKUP(D1943,Sheet1!$B$1:$C$45,2,0),"")</f>
        <v>TE</v>
      </c>
      <c r="F1943" s="12" t="s">
        <v>108</v>
      </c>
      <c r="G1943" s="13" t="str">
        <f t="shared" si="6"/>
        <v>Barito Raya</v>
      </c>
      <c r="H1943" s="15" t="str">
        <f>IFERROR(VLOOKUP(A1943,Sheet1!$E$3:$F$27,2,),"")</f>
        <v>Corrective</v>
      </c>
      <c r="I1943" s="16" t="str">
        <f>IFERROR(VLOOKUP(A1943,Sheet1!$E$3:$G$27,3,0),"")</f>
        <v>Support Event</v>
      </c>
      <c r="J1943" s="12" t="s">
        <v>112</v>
      </c>
      <c r="K1943" s="17">
        <v>46120.0</v>
      </c>
      <c r="L1943" s="17">
        <v>46120.0</v>
      </c>
      <c r="M1943" s="13"/>
      <c r="N1943" s="23"/>
      <c r="O1943" s="22"/>
      <c r="P1943" s="22"/>
    </row>
    <row r="1944" ht="22.5" customHeight="1">
      <c r="A1944" s="12" t="s">
        <v>22</v>
      </c>
      <c r="B1944" s="20" t="str">
        <f>IFERROR(VLOOKUP(A1944,Sheet1!$E$3:$H$27,4,0),"")</f>
        <v>P2</v>
      </c>
      <c r="C1944" s="15"/>
      <c r="D1944" s="12" t="s">
        <v>16</v>
      </c>
      <c r="E1944" s="13" t="str">
        <f>IFERROR(VLOOKUP(D1944,Sheet1!$B$1:$C$45,2,0),"")</f>
        <v>TE</v>
      </c>
      <c r="F1944" s="12" t="s">
        <v>108</v>
      </c>
      <c r="G1944" s="13" t="str">
        <f t="shared" si="6"/>
        <v>Barito Raya</v>
      </c>
      <c r="H1944" s="15" t="str">
        <f>IFERROR(VLOOKUP(A1944,Sheet1!$E$3:$F$27,2,),"")</f>
        <v>Preventive</v>
      </c>
      <c r="I1944" s="16" t="str">
        <f>IFERROR(VLOOKUP(A1944,Sheet1!$E$3:$G$27,3,0),"")</f>
        <v>Preventive Maintenance</v>
      </c>
      <c r="J1944" s="12" t="s">
        <v>112</v>
      </c>
      <c r="K1944" s="17">
        <v>46120.0</v>
      </c>
      <c r="L1944" s="17">
        <v>46120.0</v>
      </c>
      <c r="M1944" s="13"/>
      <c r="N1944" s="23"/>
      <c r="O1944" s="22"/>
      <c r="P1944" s="22"/>
    </row>
    <row r="1945" ht="22.5" customHeight="1">
      <c r="A1945" s="12" t="s">
        <v>55</v>
      </c>
      <c r="B1945" s="20" t="str">
        <f>IFERROR(VLOOKUP(A1945,Sheet1!$E$3:$H$27,4,0),"")</f>
        <v>P2</v>
      </c>
      <c r="C1945" s="14" t="s">
        <v>161</v>
      </c>
      <c r="D1945" s="12" t="s">
        <v>21</v>
      </c>
      <c r="E1945" s="13" t="str">
        <f>IFERROR(VLOOKUP(D1945,Sheet1!$B$1:$C$45,2,0),"")</f>
        <v>TE</v>
      </c>
      <c r="F1945" s="12" t="s">
        <v>108</v>
      </c>
      <c r="G1945" s="13" t="str">
        <f t="shared" si="6"/>
        <v>Barito Raya</v>
      </c>
      <c r="H1945" s="15" t="str">
        <f>IFERROR(VLOOKUP(A1945,Sheet1!$E$3:$F$27,2,),"")</f>
        <v>Corrective</v>
      </c>
      <c r="I1945" s="16" t="str">
        <f>IFERROR(VLOOKUP(A1945,Sheet1!$E$3:$G$27,3,0),"")</f>
        <v>Penambahan Modul Recti</v>
      </c>
      <c r="J1945" s="12" t="s">
        <v>112</v>
      </c>
      <c r="K1945" s="17">
        <v>46120.0</v>
      </c>
      <c r="L1945" s="17">
        <v>46120.0</v>
      </c>
      <c r="M1945" s="13"/>
      <c r="N1945" s="23"/>
      <c r="O1945" s="22"/>
      <c r="P1945" s="22"/>
    </row>
    <row r="1946" ht="22.5" customHeight="1">
      <c r="A1946" s="12" t="s">
        <v>14</v>
      </c>
      <c r="B1946" s="20" t="str">
        <f>IFERROR(VLOOKUP(A1946,Sheet1!$E$3:$H$27,4,0),"")</f>
        <v>P1</v>
      </c>
      <c r="C1946" s="14" t="s">
        <v>621</v>
      </c>
      <c r="D1946" s="12" t="s">
        <v>26</v>
      </c>
      <c r="E1946" s="13" t="str">
        <f>IFERROR(VLOOKUP(D1946,Sheet1!$B$1:$C$45,2,0),"")</f>
        <v>TE</v>
      </c>
      <c r="F1946" s="12" t="s">
        <v>108</v>
      </c>
      <c r="G1946" s="13" t="str">
        <f t="shared" si="6"/>
        <v>Barito Raya</v>
      </c>
      <c r="H1946" s="15" t="str">
        <f>IFERROR(VLOOKUP(A1946,Sheet1!$E$3:$F$27,2,),"")</f>
        <v>Corrective</v>
      </c>
      <c r="I1946" s="16" t="str">
        <f>IFERROR(VLOOKUP(A1946,Sheet1!$E$3:$G$27,3,0),"")</f>
        <v>Pemadaman,MCB Trip,Transmisi problem</v>
      </c>
      <c r="J1946" s="12" t="s">
        <v>112</v>
      </c>
      <c r="K1946" s="17">
        <v>46120.0</v>
      </c>
      <c r="L1946" s="17">
        <v>46120.0</v>
      </c>
      <c r="M1946" s="13"/>
      <c r="N1946" s="23"/>
      <c r="O1946" s="22"/>
      <c r="P1946" s="22"/>
    </row>
    <row r="1947" ht="22.5" customHeight="1">
      <c r="A1947" s="12" t="s">
        <v>52</v>
      </c>
      <c r="B1947" s="20" t="str">
        <f>IFERROR(VLOOKUP(A1947,Sheet1!$E$3:$H$27,4,0),"")</f>
        <v>P1</v>
      </c>
      <c r="C1947" s="14" t="s">
        <v>355</v>
      </c>
      <c r="D1947" s="12" t="s">
        <v>32</v>
      </c>
      <c r="E1947" s="13" t="str">
        <f>IFERROR(VLOOKUP(D1947,Sheet1!$B$1:$C$45,2,0),"")</f>
        <v>TE</v>
      </c>
      <c r="F1947" s="12" t="s">
        <v>108</v>
      </c>
      <c r="G1947" s="13" t="str">
        <f t="shared" si="6"/>
        <v>Barito Raya</v>
      </c>
      <c r="H1947" s="15" t="str">
        <f>IFERROR(VLOOKUP(A1947,Sheet1!$E$3:$F$27,2,),"")</f>
        <v>Preventive</v>
      </c>
      <c r="I1947" s="16" t="str">
        <f>IFERROR(VLOOKUP(A1947,Sheet1!$E$3:$G$27,3,0),"")</f>
        <v>MCB trip/Power upnormal</v>
      </c>
      <c r="J1947" s="12" t="s">
        <v>112</v>
      </c>
      <c r="K1947" s="17">
        <v>46120.0</v>
      </c>
      <c r="L1947" s="17">
        <v>46120.0</v>
      </c>
      <c r="M1947" s="13"/>
      <c r="N1947" s="23"/>
      <c r="O1947" s="22"/>
      <c r="P1947" s="22"/>
    </row>
    <row r="1948" ht="22.5" customHeight="1">
      <c r="A1948" s="12" t="s">
        <v>52</v>
      </c>
      <c r="B1948" s="20" t="str">
        <f>IFERROR(VLOOKUP(A1948,Sheet1!$E$3:$H$27,4,0),"")</f>
        <v>P1</v>
      </c>
      <c r="C1948" s="14" t="s">
        <v>516</v>
      </c>
      <c r="D1948" s="12" t="s">
        <v>74</v>
      </c>
      <c r="E1948" s="13" t="str">
        <f>IFERROR(VLOOKUP(D1948,Sheet1!$B$1:$C$45,2,0),"")</f>
        <v>TE</v>
      </c>
      <c r="F1948" s="12" t="s">
        <v>108</v>
      </c>
      <c r="G1948" s="13" t="str">
        <f t="shared" si="6"/>
        <v>Barito Raya</v>
      </c>
      <c r="H1948" s="15" t="str">
        <f>IFERROR(VLOOKUP(A1948,Sheet1!$E$3:$F$27,2,),"")</f>
        <v>Preventive</v>
      </c>
      <c r="I1948" s="16" t="str">
        <f>IFERROR(VLOOKUP(A1948,Sheet1!$E$3:$G$27,3,0),"")</f>
        <v>MCB trip/Power upnormal</v>
      </c>
      <c r="J1948" s="12" t="s">
        <v>112</v>
      </c>
      <c r="K1948" s="17">
        <v>46120.0</v>
      </c>
      <c r="L1948" s="17">
        <v>46120.0</v>
      </c>
      <c r="M1948" s="13"/>
      <c r="N1948" s="23"/>
      <c r="O1948" s="22"/>
      <c r="P1948" s="22"/>
    </row>
    <row r="1949" ht="22.5" customHeight="1">
      <c r="A1949" s="12" t="s">
        <v>5</v>
      </c>
      <c r="B1949" s="20" t="str">
        <f>IFERROR(VLOOKUP(A1949,Sheet1!$E$3:$H$27,4,0),"")</f>
        <v>P1</v>
      </c>
      <c r="C1949" s="14" t="s">
        <v>412</v>
      </c>
      <c r="D1949" s="12" t="s">
        <v>60</v>
      </c>
      <c r="E1949" s="13" t="str">
        <f>IFERROR(VLOOKUP(D1949,Sheet1!$B$1:$C$45,2,0),"")</f>
        <v>TE</v>
      </c>
      <c r="F1949" s="12" t="s">
        <v>108</v>
      </c>
      <c r="G1949" s="13" t="str">
        <f t="shared" si="6"/>
        <v>Barito Raya</v>
      </c>
      <c r="H1949" s="15" t="str">
        <f>IFERROR(VLOOKUP(A1949,Sheet1!$E$3:$F$27,2,),"")</f>
        <v>Corrective</v>
      </c>
      <c r="I1949" s="16" t="str">
        <f>IFERROR(VLOOKUP(A1949,Sheet1!$E$3:$G$27,3,0),"")</f>
        <v>Replace Optik,RRU/Soket Power/Replace GPS</v>
      </c>
      <c r="J1949" s="12" t="s">
        <v>112</v>
      </c>
      <c r="K1949" s="17">
        <v>46120.0</v>
      </c>
      <c r="L1949" s="17">
        <v>46120.0</v>
      </c>
      <c r="M1949" s="13"/>
      <c r="N1949" s="23"/>
      <c r="O1949" s="22"/>
      <c r="P1949" s="22"/>
    </row>
    <row r="1950" ht="22.5" customHeight="1">
      <c r="A1950" s="12" t="s">
        <v>5</v>
      </c>
      <c r="B1950" s="20" t="str">
        <f>IFERROR(VLOOKUP(A1950,Sheet1!$E$3:$H$27,4,0),"")</f>
        <v>P1</v>
      </c>
      <c r="C1950" s="14" t="s">
        <v>412</v>
      </c>
      <c r="D1950" s="12" t="s">
        <v>62</v>
      </c>
      <c r="E1950" s="13" t="str">
        <f>IFERROR(VLOOKUP(D1950,Sheet1!$B$1:$C$45,2,0),"")</f>
        <v>TE</v>
      </c>
      <c r="F1950" s="12" t="s">
        <v>108</v>
      </c>
      <c r="G1950" s="13" t="str">
        <f t="shared" si="6"/>
        <v>Barito Raya</v>
      </c>
      <c r="H1950" s="15" t="str">
        <f>IFERROR(VLOOKUP(A1950,Sheet1!$E$3:$F$27,2,),"")</f>
        <v>Corrective</v>
      </c>
      <c r="I1950" s="16" t="str">
        <f>IFERROR(VLOOKUP(A1950,Sheet1!$E$3:$G$27,3,0),"")</f>
        <v>Replace Optik,RRU/Soket Power/Replace GPS</v>
      </c>
      <c r="J1950" s="12" t="s">
        <v>112</v>
      </c>
      <c r="K1950" s="17">
        <v>46120.0</v>
      </c>
      <c r="L1950" s="17">
        <v>46120.0</v>
      </c>
      <c r="M1950" s="13"/>
      <c r="N1950" s="23"/>
      <c r="O1950" s="22"/>
      <c r="P1950" s="22"/>
    </row>
    <row r="1951" ht="22.5" customHeight="1">
      <c r="A1951" s="12" t="s">
        <v>65</v>
      </c>
      <c r="B1951" s="20" t="str">
        <f>IFERROR(VLOOKUP(A1951,Sheet1!$E$3:$H$27,4,0),"")</f>
        <v>P3</v>
      </c>
      <c r="C1951" s="15"/>
      <c r="D1951" s="12" t="s">
        <v>9</v>
      </c>
      <c r="E1951" s="13" t="str">
        <f>IFERROR(VLOOKUP(D1951,Sheet1!$B$1:$C$45,2,0),"")</f>
        <v>MBP</v>
      </c>
      <c r="F1951" s="12" t="s">
        <v>108</v>
      </c>
      <c r="G1951" s="13" t="str">
        <f t="shared" si="6"/>
        <v>Barito Raya</v>
      </c>
      <c r="H1951" s="15" t="str">
        <f>IFERROR(VLOOKUP(A1951,Sheet1!$E$3:$F$27,2,),"")</f>
        <v>Standby</v>
      </c>
      <c r="I1951" s="16" t="str">
        <f>IFERROR(VLOOKUP(A1951,Sheet1!$E$3:$G$27,3,0),"")</f>
        <v>Standby On Call</v>
      </c>
      <c r="J1951" s="12" t="s">
        <v>66</v>
      </c>
      <c r="K1951" s="17">
        <v>46120.0</v>
      </c>
      <c r="L1951" s="17">
        <v>46120.0</v>
      </c>
      <c r="M1951" s="13"/>
      <c r="N1951" s="23"/>
      <c r="O1951" s="22"/>
      <c r="P1951" s="22"/>
    </row>
    <row r="1952" ht="22.5" customHeight="1">
      <c r="A1952" s="12" t="s">
        <v>55</v>
      </c>
      <c r="B1952" s="20" t="str">
        <f>IFERROR(VLOOKUP(A1952,Sheet1!$E$3:$H$27,4,0),"")</f>
        <v>P2</v>
      </c>
      <c r="C1952" s="14" t="s">
        <v>161</v>
      </c>
      <c r="D1952" s="12" t="s">
        <v>4</v>
      </c>
      <c r="E1952" s="13" t="str">
        <f>IFERROR(VLOOKUP(D1952,Sheet1!$B$1:$C$45,2,0),"")</f>
        <v>CME</v>
      </c>
      <c r="F1952" s="12" t="s">
        <v>108</v>
      </c>
      <c r="G1952" s="13" t="str">
        <f t="shared" si="6"/>
        <v>Barito Raya</v>
      </c>
      <c r="H1952" s="15" t="str">
        <f>IFERROR(VLOOKUP(A1952,Sheet1!$E$3:$F$27,2,),"")</f>
        <v>Corrective</v>
      </c>
      <c r="I1952" s="16" t="str">
        <f>IFERROR(VLOOKUP(A1952,Sheet1!$E$3:$G$27,3,0),"")</f>
        <v>Penambahan Modul Recti</v>
      </c>
      <c r="J1952" s="12" t="s">
        <v>112</v>
      </c>
      <c r="K1952" s="17">
        <v>46120.0</v>
      </c>
      <c r="L1952" s="17">
        <v>46120.0</v>
      </c>
      <c r="M1952" s="13"/>
      <c r="N1952" s="23"/>
      <c r="O1952" s="22"/>
      <c r="P1952" s="22"/>
    </row>
    <row r="1953" ht="22.5" customHeight="1">
      <c r="A1953" s="12" t="s">
        <v>14</v>
      </c>
      <c r="B1953" s="20" t="str">
        <f>IFERROR(VLOOKUP(A1953,Sheet1!$E$3:$H$27,4,0),"")</f>
        <v>P1</v>
      </c>
      <c r="C1953" s="14" t="s">
        <v>621</v>
      </c>
      <c r="D1953" s="12" t="s">
        <v>87</v>
      </c>
      <c r="E1953" s="13" t="str">
        <f>IFERROR(VLOOKUP(D1953,Sheet1!$B$1:$C$45,2,0),"")</f>
        <v>MBP</v>
      </c>
      <c r="F1953" s="12" t="s">
        <v>108</v>
      </c>
      <c r="G1953" s="13" t="str">
        <f t="shared" si="6"/>
        <v>Barito Raya</v>
      </c>
      <c r="H1953" s="15" t="str">
        <f>IFERROR(VLOOKUP(A1953,Sheet1!$E$3:$F$27,2,),"")</f>
        <v>Corrective</v>
      </c>
      <c r="I1953" s="16" t="str">
        <f>IFERROR(VLOOKUP(A1953,Sheet1!$E$3:$G$27,3,0),"")</f>
        <v>Pemadaman,MCB Trip,Transmisi problem</v>
      </c>
      <c r="J1953" s="12" t="s">
        <v>112</v>
      </c>
      <c r="K1953" s="17">
        <v>46120.0</v>
      </c>
      <c r="L1953" s="17">
        <v>46120.0</v>
      </c>
      <c r="M1953" s="13"/>
      <c r="N1953" s="23"/>
      <c r="O1953" s="22"/>
      <c r="P1953" s="22"/>
    </row>
    <row r="1954" ht="22.5" customHeight="1">
      <c r="A1954" s="12" t="s">
        <v>65</v>
      </c>
      <c r="B1954" s="20" t="str">
        <f>IFERROR(VLOOKUP(A1954,Sheet1!$E$3:$H$27,4,0),"")</f>
        <v>P3</v>
      </c>
      <c r="C1954" s="15"/>
      <c r="D1954" s="12" t="s">
        <v>29</v>
      </c>
      <c r="E1954" s="13" t="str">
        <f>IFERROR(VLOOKUP(D1954,Sheet1!$B$1:$C$45,2,0),"")</f>
        <v>MBP</v>
      </c>
      <c r="F1954" s="12" t="s">
        <v>108</v>
      </c>
      <c r="G1954" s="13" t="str">
        <f t="shared" si="6"/>
        <v>Barito Raya</v>
      </c>
      <c r="H1954" s="15" t="str">
        <f>IFERROR(VLOOKUP(A1954,Sheet1!$E$3:$F$27,2,),"")</f>
        <v>Standby</v>
      </c>
      <c r="I1954" s="16" t="str">
        <f>IFERROR(VLOOKUP(A1954,Sheet1!$E$3:$G$27,3,0),"")</f>
        <v>Standby On Call</v>
      </c>
      <c r="J1954" s="12" t="s">
        <v>66</v>
      </c>
      <c r="K1954" s="17">
        <v>46120.0</v>
      </c>
      <c r="L1954" s="17">
        <v>46120.0</v>
      </c>
      <c r="M1954" s="13"/>
      <c r="N1954" s="23"/>
      <c r="O1954" s="22"/>
      <c r="P1954" s="22"/>
    </row>
    <row r="1955" ht="22.5" customHeight="1">
      <c r="A1955" s="12" t="s">
        <v>65</v>
      </c>
      <c r="B1955" s="20" t="str">
        <f>IFERROR(VLOOKUP(A1955,Sheet1!$E$3:$H$27,4,0),"")</f>
        <v>P3</v>
      </c>
      <c r="C1955" s="15"/>
      <c r="D1955" s="12" t="s">
        <v>2</v>
      </c>
      <c r="E1955" s="13" t="str">
        <f>IFERROR(VLOOKUP(D1955,Sheet1!$B$1:$C$45,2,0),"")</f>
        <v>CME</v>
      </c>
      <c r="F1955" s="12" t="s">
        <v>108</v>
      </c>
      <c r="G1955" s="13" t="str">
        <f t="shared" si="6"/>
        <v>Barito Raya</v>
      </c>
      <c r="H1955" s="15" t="str">
        <f>IFERROR(VLOOKUP(A1955,Sheet1!$E$3:$F$27,2,),"")</f>
        <v>Standby</v>
      </c>
      <c r="I1955" s="16" t="str">
        <f>IFERROR(VLOOKUP(A1955,Sheet1!$E$3:$G$27,3,0),"")</f>
        <v>Standby On Call</v>
      </c>
      <c r="J1955" s="12" t="s">
        <v>66</v>
      </c>
      <c r="K1955" s="17">
        <v>46120.0</v>
      </c>
      <c r="L1955" s="17">
        <v>46120.0</v>
      </c>
      <c r="M1955" s="13"/>
      <c r="N1955" s="23"/>
      <c r="O1955" s="22"/>
      <c r="P1955" s="22"/>
    </row>
    <row r="1956" ht="22.5" customHeight="1">
      <c r="A1956" s="12" t="s">
        <v>14</v>
      </c>
      <c r="B1956" s="20" t="str">
        <f>IFERROR(VLOOKUP(A1956,Sheet1!$E$3:$H$27,4,0),"")</f>
        <v>P1</v>
      </c>
      <c r="C1956" s="14" t="s">
        <v>424</v>
      </c>
      <c r="D1956" s="12" t="s">
        <v>0</v>
      </c>
      <c r="E1956" s="13" t="str">
        <f>IFERROR(VLOOKUP(D1956,Sheet1!$B$1:$C$45,2,0),"")</f>
        <v>MBP</v>
      </c>
      <c r="F1956" s="12" t="s">
        <v>108</v>
      </c>
      <c r="G1956" s="13" t="str">
        <f t="shared" si="6"/>
        <v>Barito Raya</v>
      </c>
      <c r="H1956" s="15" t="str">
        <f>IFERROR(VLOOKUP(A1956,Sheet1!$E$3:$F$27,2,),"")</f>
        <v>Corrective</v>
      </c>
      <c r="I1956" s="16" t="str">
        <f>IFERROR(VLOOKUP(A1956,Sheet1!$E$3:$G$27,3,0),"")</f>
        <v>Pemadaman,MCB Trip,Transmisi problem</v>
      </c>
      <c r="J1956" s="12" t="s">
        <v>112</v>
      </c>
      <c r="K1956" s="17">
        <v>46120.0</v>
      </c>
      <c r="L1956" s="17">
        <v>46120.0</v>
      </c>
      <c r="M1956" s="13"/>
      <c r="N1956" s="23"/>
      <c r="O1956" s="22"/>
      <c r="P1956" s="22"/>
    </row>
    <row r="1957" ht="22.5" customHeight="1">
      <c r="A1957" s="12" t="s">
        <v>22</v>
      </c>
      <c r="B1957" s="20" t="str">
        <f>IFERROR(VLOOKUP(A1957,Sheet1!$E$3:$H$27,4,0),"")</f>
        <v>P2</v>
      </c>
      <c r="C1957" s="15"/>
      <c r="D1957" s="12" t="s">
        <v>85</v>
      </c>
      <c r="E1957" s="13" t="str">
        <f>IFERROR(VLOOKUP(D1957,Sheet1!$B$1:$C$45,2,0),"")</f>
        <v>PM</v>
      </c>
      <c r="F1957" s="12" t="s">
        <v>108</v>
      </c>
      <c r="G1957" s="13" t="str">
        <f t="shared" si="6"/>
        <v>Barito Raya</v>
      </c>
      <c r="H1957" s="15" t="str">
        <f>IFERROR(VLOOKUP(A1957,Sheet1!$E$3:$F$27,2,),"")</f>
        <v>Preventive</v>
      </c>
      <c r="I1957" s="16" t="str">
        <f>IFERROR(VLOOKUP(A1957,Sheet1!$E$3:$G$27,3,0),"")</f>
        <v>Preventive Maintenance</v>
      </c>
      <c r="J1957" s="12" t="s">
        <v>112</v>
      </c>
      <c r="K1957" s="17">
        <v>46120.0</v>
      </c>
      <c r="L1957" s="17">
        <v>46120.0</v>
      </c>
      <c r="M1957" s="13"/>
      <c r="N1957" s="23"/>
      <c r="O1957" s="22"/>
      <c r="P1957" s="22"/>
    </row>
    <row r="1958" ht="22.5" customHeight="1">
      <c r="A1958" s="12" t="s">
        <v>22</v>
      </c>
      <c r="B1958" s="20" t="str">
        <f>IFERROR(VLOOKUP(A1958,Sheet1!$E$3:$H$27,4,0),"")</f>
        <v>P2</v>
      </c>
      <c r="C1958" s="15"/>
      <c r="D1958" s="12" t="s">
        <v>84</v>
      </c>
      <c r="E1958" s="13" t="str">
        <f>IFERROR(VLOOKUP(D1958,Sheet1!$B$1:$C$45,2,0),"")</f>
        <v>MBP</v>
      </c>
      <c r="F1958" s="12" t="s">
        <v>108</v>
      </c>
      <c r="G1958" s="13" t="str">
        <f t="shared" si="6"/>
        <v>Barito Raya</v>
      </c>
      <c r="H1958" s="15" t="str">
        <f>IFERROR(VLOOKUP(A1958,Sheet1!$E$3:$F$27,2,),"")</f>
        <v>Preventive</v>
      </c>
      <c r="I1958" s="16" t="str">
        <f>IFERROR(VLOOKUP(A1958,Sheet1!$E$3:$G$27,3,0),"")</f>
        <v>Preventive Maintenance</v>
      </c>
      <c r="J1958" s="12" t="s">
        <v>112</v>
      </c>
      <c r="K1958" s="17">
        <v>46120.0</v>
      </c>
      <c r="L1958" s="17">
        <v>46120.0</v>
      </c>
      <c r="M1958" s="13"/>
      <c r="N1958" s="23"/>
      <c r="O1958" s="22"/>
      <c r="P1958" s="22"/>
    </row>
    <row r="1959" ht="22.5" customHeight="1">
      <c r="A1959" s="12" t="s">
        <v>22</v>
      </c>
      <c r="B1959" s="20" t="str">
        <f>IFERROR(VLOOKUP(A1959,Sheet1!$E$3:$H$27,4,0),"")</f>
        <v>P2</v>
      </c>
      <c r="C1959" s="15"/>
      <c r="D1959" s="12" t="s">
        <v>86</v>
      </c>
      <c r="E1959" s="13" t="str">
        <f>IFERROR(VLOOKUP(D1959,Sheet1!$B$1:$C$45,2,0),"")</f>
        <v>PM</v>
      </c>
      <c r="F1959" s="12" t="s">
        <v>108</v>
      </c>
      <c r="G1959" s="13" t="str">
        <f t="shared" si="6"/>
        <v>Barito Raya</v>
      </c>
      <c r="H1959" s="15" t="str">
        <f>IFERROR(VLOOKUP(A1959,Sheet1!$E$3:$F$27,2,),"")</f>
        <v>Preventive</v>
      </c>
      <c r="I1959" s="16" t="str">
        <f>IFERROR(VLOOKUP(A1959,Sheet1!$E$3:$G$27,3,0),"")</f>
        <v>Preventive Maintenance</v>
      </c>
      <c r="J1959" s="12" t="s">
        <v>112</v>
      </c>
      <c r="K1959" s="17">
        <v>46120.0</v>
      </c>
      <c r="L1959" s="17">
        <v>46120.0</v>
      </c>
      <c r="M1959" s="13"/>
      <c r="N1959" s="23"/>
      <c r="O1959" s="22"/>
      <c r="P1959" s="22"/>
    </row>
    <row r="1960" ht="22.5" customHeight="1">
      <c r="A1960" s="12" t="s">
        <v>5</v>
      </c>
      <c r="B1960" s="20" t="str">
        <f>IFERROR(VLOOKUP(A1960,Sheet1!$E$3:$H$27,4,0),"")</f>
        <v>P1</v>
      </c>
      <c r="C1960" s="14" t="s">
        <v>635</v>
      </c>
      <c r="D1960" s="12" t="s">
        <v>37</v>
      </c>
      <c r="E1960" s="13" t="str">
        <f>IFERROR(VLOOKUP(D1960,Sheet1!$B$1:$C$45,2,0),"")</f>
        <v>TE</v>
      </c>
      <c r="F1960" s="12" t="s">
        <v>179</v>
      </c>
      <c r="G1960" s="13" t="str">
        <f t="shared" ref="G1960:G1971" si="7">IFERROR(IFS(F1965="Winda Sokenda","Barito Raya",F1965="Doni Damara","Palangkaraya"),"")</f>
        <v>Palangkaraya</v>
      </c>
      <c r="H1960" s="15" t="str">
        <f>IFERROR(VLOOKUP(A1960,Sheet1!$E$3:$F$27,2,),"")</f>
        <v>Corrective</v>
      </c>
      <c r="I1960" s="16" t="str">
        <f>IFERROR(VLOOKUP(A1960,Sheet1!$E$3:$G$27,3,0),"")</f>
        <v>Replace Optik,RRU/Soket Power/Replace GPS</v>
      </c>
      <c r="J1960" s="12" t="s">
        <v>112</v>
      </c>
      <c r="K1960" s="17">
        <v>46120.0</v>
      </c>
      <c r="L1960" s="17"/>
      <c r="M1960" s="13"/>
      <c r="N1960" s="23"/>
      <c r="O1960" s="22"/>
      <c r="P1960" s="22"/>
    </row>
    <row r="1961" ht="22.5" customHeight="1">
      <c r="A1961" s="12" t="s">
        <v>5</v>
      </c>
      <c r="B1961" s="20" t="str">
        <f>IFERROR(VLOOKUP(A1961,Sheet1!$E$3:$H$27,4,0),"")</f>
        <v>P1</v>
      </c>
      <c r="C1961" s="14" t="s">
        <v>655</v>
      </c>
      <c r="D1961" s="12" t="s">
        <v>42</v>
      </c>
      <c r="E1961" s="13" t="str">
        <f>IFERROR(VLOOKUP(D1961,Sheet1!$B$1:$C$45,2,0),"")</f>
        <v>TE</v>
      </c>
      <c r="F1961" s="12" t="s">
        <v>179</v>
      </c>
      <c r="G1961" s="13" t="str">
        <f t="shared" si="7"/>
        <v>Palangkaraya</v>
      </c>
      <c r="H1961" s="15" t="str">
        <f>IFERROR(VLOOKUP(A1961,Sheet1!$E$3:$F$27,2,),"")</f>
        <v>Corrective</v>
      </c>
      <c r="I1961" s="16" t="str">
        <f>IFERROR(VLOOKUP(A1961,Sheet1!$E$3:$G$27,3,0),"")</f>
        <v>Replace Optik,RRU/Soket Power/Replace GPS</v>
      </c>
      <c r="J1961" s="12" t="s">
        <v>112</v>
      </c>
      <c r="K1961" s="17">
        <v>46120.0</v>
      </c>
      <c r="L1961" s="17"/>
      <c r="M1961" s="13"/>
      <c r="N1961" s="23"/>
      <c r="O1961" s="22"/>
      <c r="P1961" s="22"/>
    </row>
    <row r="1962" ht="22.5" customHeight="1">
      <c r="A1962" s="12" t="s">
        <v>5</v>
      </c>
      <c r="B1962" s="20" t="str">
        <f>IFERROR(VLOOKUP(A1962,Sheet1!$E$3:$H$27,4,0),"")</f>
        <v>P1</v>
      </c>
      <c r="C1962" s="14" t="s">
        <v>646</v>
      </c>
      <c r="D1962" s="12" t="s">
        <v>76</v>
      </c>
      <c r="E1962" s="13" t="str">
        <f>IFERROR(VLOOKUP(D1962,Sheet1!$B$1:$C$45,2,0),"")</f>
        <v>TE</v>
      </c>
      <c r="F1962" s="12" t="s">
        <v>179</v>
      </c>
      <c r="G1962" s="13" t="str">
        <f t="shared" si="7"/>
        <v>Palangkaraya</v>
      </c>
      <c r="H1962" s="15" t="str">
        <f>IFERROR(VLOOKUP(A1962,Sheet1!$E$3:$F$27,2,),"")</f>
        <v>Corrective</v>
      </c>
      <c r="I1962" s="16" t="str">
        <f>IFERROR(VLOOKUP(A1962,Sheet1!$E$3:$G$27,3,0),"")</f>
        <v>Replace Optik,RRU/Soket Power/Replace GPS</v>
      </c>
      <c r="J1962" s="12" t="s">
        <v>112</v>
      </c>
      <c r="K1962" s="17">
        <v>46120.0</v>
      </c>
      <c r="L1962" s="17"/>
      <c r="M1962" s="13"/>
      <c r="N1962" s="23"/>
      <c r="O1962" s="22"/>
      <c r="P1962" s="22"/>
    </row>
    <row r="1963" ht="22.5" customHeight="1">
      <c r="A1963" s="12" t="s">
        <v>5</v>
      </c>
      <c r="B1963" s="20" t="str">
        <f>IFERROR(VLOOKUP(A1963,Sheet1!$E$3:$H$27,4,0),"")</f>
        <v>P1</v>
      </c>
      <c r="C1963" s="14" t="s">
        <v>375</v>
      </c>
      <c r="D1963" s="12" t="s">
        <v>80</v>
      </c>
      <c r="E1963" s="13" t="str">
        <f>IFERROR(VLOOKUP(D1963,Sheet1!$B$1:$C$45,2,0),"")</f>
        <v>TE</v>
      </c>
      <c r="F1963" s="12" t="s">
        <v>179</v>
      </c>
      <c r="G1963" s="13" t="str">
        <f t="shared" si="7"/>
        <v>Palangkaraya</v>
      </c>
      <c r="H1963" s="15" t="str">
        <f>IFERROR(VLOOKUP(A1963,Sheet1!$E$3:$F$27,2,),"")</f>
        <v>Corrective</v>
      </c>
      <c r="I1963" s="16" t="str">
        <f>IFERROR(VLOOKUP(A1963,Sheet1!$E$3:$G$27,3,0),"")</f>
        <v>Replace Optik,RRU/Soket Power/Replace GPS</v>
      </c>
      <c r="J1963" s="12" t="s">
        <v>112</v>
      </c>
      <c r="K1963" s="17">
        <v>46120.0</v>
      </c>
      <c r="L1963" s="17"/>
      <c r="M1963" s="13"/>
      <c r="N1963" s="23"/>
      <c r="O1963" s="22"/>
      <c r="P1963" s="22"/>
    </row>
    <row r="1964" ht="22.5" customHeight="1">
      <c r="A1964" s="12" t="s">
        <v>5</v>
      </c>
      <c r="B1964" s="20" t="str">
        <f>IFERROR(VLOOKUP(A1964,Sheet1!$E$3:$H$27,4,0),"")</f>
        <v>P1</v>
      </c>
      <c r="C1964" s="14" t="s">
        <v>375</v>
      </c>
      <c r="D1964" s="12" t="s">
        <v>77</v>
      </c>
      <c r="E1964" s="13" t="str">
        <f>IFERROR(VLOOKUP(D1964,Sheet1!$B$1:$C$45,2,0),"")</f>
        <v>TE</v>
      </c>
      <c r="F1964" s="12" t="s">
        <v>179</v>
      </c>
      <c r="G1964" s="13" t="str">
        <f t="shared" si="7"/>
        <v>Palangkaraya</v>
      </c>
      <c r="H1964" s="15" t="str">
        <f>IFERROR(VLOOKUP(A1964,Sheet1!$E$3:$F$27,2,),"")</f>
        <v>Corrective</v>
      </c>
      <c r="I1964" s="16" t="str">
        <f>IFERROR(VLOOKUP(A1964,Sheet1!$E$3:$G$27,3,0),"")</f>
        <v>Replace Optik,RRU/Soket Power/Replace GPS</v>
      </c>
      <c r="J1964" s="12" t="s">
        <v>112</v>
      </c>
      <c r="K1964" s="17">
        <v>46120.0</v>
      </c>
      <c r="L1964" s="17"/>
      <c r="M1964" s="13"/>
      <c r="N1964" s="23"/>
      <c r="O1964" s="22"/>
      <c r="P1964" s="22"/>
    </row>
    <row r="1965" ht="22.5" customHeight="1">
      <c r="A1965" s="12" t="s">
        <v>14</v>
      </c>
      <c r="B1965" s="20" t="str">
        <f>IFERROR(VLOOKUP(A1965,Sheet1!$E$3:$H$27,4,0),"")</f>
        <v>P1</v>
      </c>
      <c r="C1965" s="14" t="s">
        <v>656</v>
      </c>
      <c r="D1965" s="12" t="s">
        <v>91</v>
      </c>
      <c r="E1965" s="13" t="str">
        <f>IFERROR(VLOOKUP(D1965,Sheet1!$B$1:$C$45,2,0),"")</f>
        <v>TE</v>
      </c>
      <c r="F1965" s="12" t="s">
        <v>179</v>
      </c>
      <c r="G1965" s="13" t="str">
        <f t="shared" si="7"/>
        <v>Palangkaraya</v>
      </c>
      <c r="H1965" s="15" t="str">
        <f>IFERROR(VLOOKUP(A1965,Sheet1!$E$3:$F$27,2,),"")</f>
        <v>Corrective</v>
      </c>
      <c r="I1965" s="16" t="str">
        <f>IFERROR(VLOOKUP(A1965,Sheet1!$E$3:$G$27,3,0),"")</f>
        <v>Pemadaman,MCB Trip,Transmisi problem</v>
      </c>
      <c r="J1965" s="12" t="s">
        <v>112</v>
      </c>
      <c r="K1965" s="17">
        <v>46120.0</v>
      </c>
      <c r="L1965" s="17"/>
      <c r="M1965" s="13"/>
      <c r="N1965" s="23"/>
      <c r="O1965" s="22"/>
      <c r="P1965" s="22"/>
    </row>
    <row r="1966" ht="22.5" customHeight="1">
      <c r="A1966" s="12" t="s">
        <v>14</v>
      </c>
      <c r="B1966" s="20" t="str">
        <f>IFERROR(VLOOKUP(A1966,Sheet1!$E$3:$H$27,4,0),"")</f>
        <v>P1</v>
      </c>
      <c r="C1966" s="14" t="s">
        <v>650</v>
      </c>
      <c r="D1966" s="12" t="s">
        <v>58</v>
      </c>
      <c r="E1966" s="13" t="str">
        <f>IFERROR(VLOOKUP(D1966,Sheet1!$B$1:$C$45,2,0),"")</f>
        <v>TE</v>
      </c>
      <c r="F1966" s="12" t="s">
        <v>179</v>
      </c>
      <c r="G1966" s="13" t="str">
        <f t="shared" si="7"/>
        <v>Palangkaraya</v>
      </c>
      <c r="H1966" s="15" t="str">
        <f>IFERROR(VLOOKUP(A1966,Sheet1!$E$3:$F$27,2,),"")</f>
        <v>Corrective</v>
      </c>
      <c r="I1966" s="16" t="str">
        <f>IFERROR(VLOOKUP(A1966,Sheet1!$E$3:$G$27,3,0),"")</f>
        <v>Pemadaman,MCB Trip,Transmisi problem</v>
      </c>
      <c r="J1966" s="12" t="s">
        <v>112</v>
      </c>
      <c r="K1966" s="17">
        <v>46120.0</v>
      </c>
      <c r="L1966" s="17"/>
      <c r="M1966" s="13"/>
      <c r="N1966" s="23"/>
      <c r="O1966" s="22"/>
      <c r="P1966" s="22"/>
    </row>
    <row r="1967" ht="22.5" customHeight="1">
      <c r="A1967" s="12" t="s">
        <v>33</v>
      </c>
      <c r="B1967" s="20" t="str">
        <f>IFERROR(VLOOKUP(A1967,Sheet1!$E$3:$H$27,4,0),"")</f>
        <v>P2</v>
      </c>
      <c r="C1967" s="14" t="s">
        <v>479</v>
      </c>
      <c r="D1967" s="12" t="s">
        <v>79</v>
      </c>
      <c r="E1967" s="13" t="str">
        <f>IFERROR(VLOOKUP(D1967,Sheet1!$B$1:$C$45,2,0),"")</f>
        <v>TE</v>
      </c>
      <c r="F1967" s="12" t="s">
        <v>179</v>
      </c>
      <c r="G1967" s="13" t="str">
        <f t="shared" si="7"/>
        <v>Palangkaraya</v>
      </c>
      <c r="H1967" s="15" t="str">
        <f>IFERROR(VLOOKUP(A1967,Sheet1!$E$3:$F$27,2,),"")</f>
        <v>Preventive</v>
      </c>
      <c r="I1967" s="16" t="str">
        <f>IFERROR(VLOOKUP(A1967,Sheet1!$E$3:$G$27,3,0),"")</f>
        <v>Pengukuran dan pengambilan data log serta input Gdoc BBT</v>
      </c>
      <c r="J1967" s="12" t="s">
        <v>112</v>
      </c>
      <c r="K1967" s="17">
        <v>46120.0</v>
      </c>
      <c r="L1967" s="17"/>
      <c r="M1967" s="13"/>
      <c r="N1967" s="23"/>
      <c r="O1967" s="22"/>
      <c r="P1967" s="22"/>
    </row>
    <row r="1968" ht="22.5" customHeight="1">
      <c r="A1968" s="12" t="s">
        <v>5</v>
      </c>
      <c r="B1968" s="20" t="str">
        <f>IFERROR(VLOOKUP(A1968,Sheet1!$E$3:$H$27,4,0),"")</f>
        <v>P1</v>
      </c>
      <c r="C1968" s="14" t="s">
        <v>593</v>
      </c>
      <c r="D1968" s="12" t="s">
        <v>69</v>
      </c>
      <c r="E1968" s="13" t="str">
        <f>IFERROR(VLOOKUP(D1968,Sheet1!$B$1:$C$45,2,0),"")</f>
        <v>TE</v>
      </c>
      <c r="F1968" s="12" t="s">
        <v>179</v>
      </c>
      <c r="G1968" s="13" t="str">
        <f t="shared" si="7"/>
        <v>Palangkaraya</v>
      </c>
      <c r="H1968" s="15" t="str">
        <f>IFERROR(VLOOKUP(A1968,Sheet1!$E$3:$F$27,2,),"")</f>
        <v>Corrective</v>
      </c>
      <c r="I1968" s="16" t="str">
        <f>IFERROR(VLOOKUP(A1968,Sheet1!$E$3:$G$27,3,0),"")</f>
        <v>Replace Optik,RRU/Soket Power/Replace GPS</v>
      </c>
      <c r="J1968" s="12" t="s">
        <v>112</v>
      </c>
      <c r="K1968" s="17">
        <v>46120.0</v>
      </c>
      <c r="L1968" s="17"/>
      <c r="M1968" s="13"/>
      <c r="N1968" s="23"/>
      <c r="O1968" s="22"/>
      <c r="P1968" s="22"/>
    </row>
    <row r="1969" ht="22.5" customHeight="1">
      <c r="A1969" s="12" t="s">
        <v>5</v>
      </c>
      <c r="B1969" s="20" t="str">
        <f>IFERROR(VLOOKUP(A1969,Sheet1!$E$3:$H$27,4,0),"")</f>
        <v>P1</v>
      </c>
      <c r="C1969" s="14" t="s">
        <v>593</v>
      </c>
      <c r="D1969" s="12" t="s">
        <v>71</v>
      </c>
      <c r="E1969" s="13" t="str">
        <f>IFERROR(VLOOKUP(D1969,Sheet1!$B$1:$C$45,2,0),"")</f>
        <v>TE</v>
      </c>
      <c r="F1969" s="12" t="s">
        <v>179</v>
      </c>
      <c r="G1969" s="13" t="str">
        <f t="shared" si="7"/>
        <v>Palangkaraya</v>
      </c>
      <c r="H1969" s="15" t="str">
        <f>IFERROR(VLOOKUP(A1969,Sheet1!$E$3:$F$27,2,),"")</f>
        <v>Corrective</v>
      </c>
      <c r="I1969" s="16" t="str">
        <f>IFERROR(VLOOKUP(A1969,Sheet1!$E$3:$G$27,3,0),"")</f>
        <v>Replace Optik,RRU/Soket Power/Replace GPS</v>
      </c>
      <c r="J1969" s="12" t="s">
        <v>112</v>
      </c>
      <c r="K1969" s="17">
        <v>46120.0</v>
      </c>
      <c r="L1969" s="17"/>
      <c r="M1969" s="13"/>
      <c r="N1969" s="23"/>
      <c r="O1969" s="22"/>
      <c r="P1969" s="22"/>
    </row>
    <row r="1970" ht="22.5" customHeight="1">
      <c r="A1970" s="12" t="s">
        <v>14</v>
      </c>
      <c r="B1970" s="20" t="str">
        <f>IFERROR(VLOOKUP(A1970,Sheet1!$E$3:$H$27,4,0),"")</f>
        <v>P1</v>
      </c>
      <c r="C1970" s="14" t="s">
        <v>394</v>
      </c>
      <c r="D1970" s="12" t="s">
        <v>54</v>
      </c>
      <c r="E1970" s="13" t="str">
        <f>IFERROR(VLOOKUP(D1970,Sheet1!$B$1:$C$45,2,0),"")</f>
        <v>MBP</v>
      </c>
      <c r="F1970" s="12" t="s">
        <v>179</v>
      </c>
      <c r="G1970" s="13" t="str">
        <f t="shared" si="7"/>
        <v>Palangkaraya</v>
      </c>
      <c r="H1970" s="15" t="str">
        <f>IFERROR(VLOOKUP(A1970,Sheet1!$E$3:$F$27,2,),"")</f>
        <v>Corrective</v>
      </c>
      <c r="I1970" s="16" t="str">
        <f>IFERROR(VLOOKUP(A1970,Sheet1!$E$3:$G$27,3,0),"")</f>
        <v>Pemadaman,MCB Trip,Transmisi problem</v>
      </c>
      <c r="J1970" s="12" t="s">
        <v>112</v>
      </c>
      <c r="K1970" s="17">
        <v>46120.0</v>
      </c>
      <c r="L1970" s="17"/>
      <c r="M1970" s="13"/>
      <c r="N1970" s="23"/>
      <c r="O1970" s="22"/>
      <c r="P1970" s="22"/>
    </row>
    <row r="1971" ht="22.5" customHeight="1">
      <c r="A1971" s="12" t="s">
        <v>14</v>
      </c>
      <c r="B1971" s="20" t="str">
        <f>IFERROR(VLOOKUP(A1971,Sheet1!$E$3:$H$27,4,0),"")</f>
        <v>P1</v>
      </c>
      <c r="C1971" s="14" t="s">
        <v>656</v>
      </c>
      <c r="D1971" s="12" t="s">
        <v>64</v>
      </c>
      <c r="E1971" s="13" t="str">
        <f>IFERROR(VLOOKUP(D1971,Sheet1!$B$1:$C$45,2,0),"")</f>
        <v>TE</v>
      </c>
      <c r="F1971" s="12" t="s">
        <v>179</v>
      </c>
      <c r="G1971" s="13" t="str">
        <f t="shared" si="7"/>
        <v>Palangkaraya</v>
      </c>
      <c r="H1971" s="15" t="str">
        <f>IFERROR(VLOOKUP(A1971,Sheet1!$E$3:$F$27,2,),"")</f>
        <v>Corrective</v>
      </c>
      <c r="I1971" s="16" t="str">
        <f>IFERROR(VLOOKUP(A1971,Sheet1!$E$3:$G$27,3,0),"")</f>
        <v>Pemadaman,MCB Trip,Transmisi problem</v>
      </c>
      <c r="J1971" s="12" t="s">
        <v>112</v>
      </c>
      <c r="K1971" s="17">
        <v>46120.0</v>
      </c>
      <c r="L1971" s="17"/>
      <c r="M1971" s="13"/>
      <c r="N1971" s="23"/>
      <c r="O1971" s="22"/>
      <c r="P1971" s="22"/>
    </row>
    <row r="1972" ht="22.5" customHeight="1">
      <c r="A1972" s="12" t="s">
        <v>22</v>
      </c>
      <c r="B1972" s="20" t="str">
        <f>IFERROR(VLOOKUP(A1972,Sheet1!$E$3:$H$27,4,0),"")</f>
        <v>P2</v>
      </c>
      <c r="C1972" s="15"/>
      <c r="D1972" s="12" t="s">
        <v>83</v>
      </c>
      <c r="E1972" s="13" t="str">
        <f>IFERROR(VLOOKUP(D1972,Sheet1!$B$1:$C$45,2,0),"")</f>
        <v>PM</v>
      </c>
      <c r="F1972" s="12" t="s">
        <v>179</v>
      </c>
      <c r="G1972" s="12" t="s">
        <v>657</v>
      </c>
      <c r="H1972" s="15" t="str">
        <f>IFERROR(VLOOKUP(A1972,Sheet1!$E$3:$F$27,2,),"")</f>
        <v>Preventive</v>
      </c>
      <c r="I1972" s="16" t="str">
        <f>IFERROR(VLOOKUP(A1972,Sheet1!$E$3:$G$27,3,0),"")</f>
        <v>Preventive Maintenance</v>
      </c>
      <c r="J1972" s="12" t="s">
        <v>112</v>
      </c>
      <c r="K1972" s="17">
        <v>46120.0</v>
      </c>
      <c r="L1972" s="17"/>
      <c r="M1972" s="13"/>
      <c r="N1972" s="23"/>
      <c r="O1972" s="22"/>
      <c r="P1972" s="22"/>
    </row>
    <row r="1973" ht="22.5" customHeight="1">
      <c r="A1973" s="12" t="s">
        <v>22</v>
      </c>
      <c r="B1973" s="20" t="str">
        <f>IFERROR(VLOOKUP(A1973,Sheet1!$E$3:$H$27,4,0),"")</f>
        <v>P2</v>
      </c>
      <c r="C1973" s="15"/>
      <c r="D1973" s="12" t="s">
        <v>82</v>
      </c>
      <c r="E1973" s="13" t="str">
        <f>IFERROR(VLOOKUP(D1973,Sheet1!$B$1:$C$45,2,0),"")</f>
        <v>PM</v>
      </c>
      <c r="F1973" s="12" t="s">
        <v>179</v>
      </c>
      <c r="G1973" s="12" t="s">
        <v>657</v>
      </c>
      <c r="H1973" s="15" t="str">
        <f>IFERROR(VLOOKUP(A1973,Sheet1!$E$3:$F$27,2,),"")</f>
        <v>Preventive</v>
      </c>
      <c r="I1973" s="16" t="str">
        <f>IFERROR(VLOOKUP(A1973,Sheet1!$E$3:$G$27,3,0),"")</f>
        <v>Preventive Maintenance</v>
      </c>
      <c r="J1973" s="12" t="s">
        <v>112</v>
      </c>
      <c r="K1973" s="17">
        <v>46120.0</v>
      </c>
      <c r="L1973" s="17"/>
      <c r="M1973" s="13"/>
      <c r="N1973" s="23"/>
      <c r="O1973" s="22"/>
      <c r="P1973" s="22"/>
    </row>
    <row r="1974" ht="22.5" customHeight="1">
      <c r="A1974" s="12" t="s">
        <v>22</v>
      </c>
      <c r="B1974" s="20" t="str">
        <f>IFERROR(VLOOKUP(A1974,Sheet1!$E$3:$H$27,4,0),"")</f>
        <v>P2</v>
      </c>
      <c r="C1974" s="15"/>
      <c r="D1974" s="12" t="s">
        <v>81</v>
      </c>
      <c r="E1974" s="13" t="str">
        <f>IFERROR(VLOOKUP(D1974,Sheet1!$B$1:$C$45,2,0),"")</f>
        <v>PM</v>
      </c>
      <c r="F1974" s="12" t="s">
        <v>179</v>
      </c>
      <c r="G1974" s="12" t="s">
        <v>657</v>
      </c>
      <c r="H1974" s="15" t="str">
        <f>IFERROR(VLOOKUP(A1974,Sheet1!$E$3:$F$27,2,),"")</f>
        <v>Preventive</v>
      </c>
      <c r="I1974" s="16" t="str">
        <f>IFERROR(VLOOKUP(A1974,Sheet1!$E$3:$G$27,3,0),"")</f>
        <v>Preventive Maintenance</v>
      </c>
      <c r="J1974" s="12" t="s">
        <v>112</v>
      </c>
      <c r="K1974" s="17">
        <v>46120.0</v>
      </c>
      <c r="L1974" s="17"/>
      <c r="M1974" s="13"/>
      <c r="N1974" s="23"/>
      <c r="O1974" s="22"/>
      <c r="P1974" s="22"/>
    </row>
    <row r="1975" ht="22.5" customHeight="1">
      <c r="A1975" s="12" t="s">
        <v>65</v>
      </c>
      <c r="B1975" s="20" t="str">
        <f>IFERROR(VLOOKUP(A1975,Sheet1!$E$3:$H$27,4,0),"")</f>
        <v>P3</v>
      </c>
      <c r="C1975" s="15"/>
      <c r="D1975" s="12" t="s">
        <v>35</v>
      </c>
      <c r="E1975" s="13" t="str">
        <f>IFERROR(VLOOKUP(D1975,Sheet1!$B$1:$C$45,2,0),"")</f>
        <v>MBP</v>
      </c>
      <c r="F1975" s="12" t="s">
        <v>179</v>
      </c>
      <c r="G1975" s="12" t="s">
        <v>657</v>
      </c>
      <c r="H1975" s="15" t="str">
        <f>IFERROR(VLOOKUP(A1975,Sheet1!$E$3:$F$27,2,),"")</f>
        <v>Standby</v>
      </c>
      <c r="I1975" s="16" t="str">
        <f>IFERROR(VLOOKUP(A1975,Sheet1!$E$3:$G$27,3,0),"")</f>
        <v>Standby On Call</v>
      </c>
      <c r="J1975" s="12" t="s">
        <v>112</v>
      </c>
      <c r="K1975" s="17">
        <v>46120.0</v>
      </c>
      <c r="L1975" s="17"/>
      <c r="M1975" s="13"/>
      <c r="N1975" s="23"/>
      <c r="O1975" s="22"/>
      <c r="P1975" s="22"/>
    </row>
    <row r="1976" ht="22.5" customHeight="1">
      <c r="A1976" s="12" t="s">
        <v>65</v>
      </c>
      <c r="B1976" s="20" t="str">
        <f>IFERROR(VLOOKUP(A1976,Sheet1!$E$3:$H$27,4,0),"")</f>
        <v>P3</v>
      </c>
      <c r="C1976" s="15"/>
      <c r="D1976" s="12" t="s">
        <v>75</v>
      </c>
      <c r="E1976" s="13" t="str">
        <f>IFERROR(VLOOKUP(D1976,Sheet1!$B$1:$C$45,2,0),"")</f>
        <v>CME</v>
      </c>
      <c r="F1976" s="12" t="s">
        <v>179</v>
      </c>
      <c r="G1976" s="12" t="s">
        <v>657</v>
      </c>
      <c r="H1976" s="15" t="str">
        <f>IFERROR(VLOOKUP(A1976,Sheet1!$E$3:$F$27,2,),"")</f>
        <v>Standby</v>
      </c>
      <c r="I1976" s="16" t="str">
        <f>IFERROR(VLOOKUP(A1976,Sheet1!$E$3:$G$27,3,0),"")</f>
        <v>Standby On Call</v>
      </c>
      <c r="J1976" s="12" t="s">
        <v>112</v>
      </c>
      <c r="K1976" s="17">
        <v>46120.0</v>
      </c>
      <c r="L1976" s="17"/>
      <c r="M1976" s="13"/>
      <c r="N1976" s="23"/>
      <c r="O1976" s="22"/>
      <c r="P1976" s="22"/>
    </row>
    <row r="1977" ht="22.5" customHeight="1">
      <c r="A1977" s="12" t="s">
        <v>14</v>
      </c>
      <c r="B1977" s="20" t="str">
        <f>IFERROR(VLOOKUP(A1977,Sheet1!$E$3:$H$27,4,0),"")</f>
        <v>P1</v>
      </c>
      <c r="C1977" s="14" t="s">
        <v>351</v>
      </c>
      <c r="D1977" s="12" t="s">
        <v>12</v>
      </c>
      <c r="E1977" s="13" t="str">
        <f>IFERROR(VLOOKUP(D1977,Sheet1!$B$1:$C$45,2,0),"")</f>
        <v>TE</v>
      </c>
      <c r="F1977" s="12" t="s">
        <v>108</v>
      </c>
      <c r="G1977" s="13" t="str">
        <f t="shared" ref="G1977:G2204" si="8">IFERROR(IFS(F1977="Winda Sokenda","Barito Raya",F1977="Doni Damara","Palangkaraya"),"")</f>
        <v>Barito Raya</v>
      </c>
      <c r="H1977" s="15" t="str">
        <f>IFERROR(VLOOKUP(A1977,Sheet1!$E$3:$F$27,2,),"")</f>
        <v>Corrective</v>
      </c>
      <c r="I1977" s="16" t="str">
        <f>IFERROR(VLOOKUP(A1977,Sheet1!$E$3:$G$27,3,0),"")</f>
        <v>Pemadaman,MCB Trip,Transmisi problem</v>
      </c>
      <c r="J1977" s="12" t="s">
        <v>112</v>
      </c>
      <c r="K1977" s="17">
        <v>46121.0</v>
      </c>
      <c r="L1977" s="17">
        <v>46121.0</v>
      </c>
      <c r="M1977" s="13"/>
      <c r="N1977" s="23"/>
      <c r="O1977" s="22"/>
      <c r="P1977" s="22"/>
    </row>
    <row r="1978" ht="22.5" customHeight="1">
      <c r="A1978" s="12" t="s">
        <v>5</v>
      </c>
      <c r="B1978" s="20" t="str">
        <f>IFERROR(VLOOKUP(A1978,Sheet1!$E$3:$H$27,4,0),"")</f>
        <v>P1</v>
      </c>
      <c r="C1978" s="14" t="s">
        <v>658</v>
      </c>
      <c r="D1978" s="12" t="s">
        <v>16</v>
      </c>
      <c r="E1978" s="13" t="str">
        <f>IFERROR(VLOOKUP(D1978,Sheet1!$B$1:$C$45,2,0),"")</f>
        <v>TE</v>
      </c>
      <c r="F1978" s="12" t="s">
        <v>108</v>
      </c>
      <c r="G1978" s="13" t="str">
        <f t="shared" si="8"/>
        <v>Barito Raya</v>
      </c>
      <c r="H1978" s="15" t="str">
        <f>IFERROR(VLOOKUP(A1978,Sheet1!$E$3:$F$27,2,),"")</f>
        <v>Corrective</v>
      </c>
      <c r="I1978" s="16" t="str">
        <f>IFERROR(VLOOKUP(A1978,Sheet1!$E$3:$G$27,3,0),"")</f>
        <v>Replace Optik,RRU/Soket Power/Replace GPS</v>
      </c>
      <c r="J1978" s="12" t="s">
        <v>112</v>
      </c>
      <c r="K1978" s="17">
        <v>46121.0</v>
      </c>
      <c r="L1978" s="17">
        <v>46121.0</v>
      </c>
      <c r="M1978" s="13"/>
      <c r="N1978" s="23"/>
      <c r="O1978" s="22"/>
      <c r="P1978" s="22"/>
    </row>
    <row r="1979" ht="22.5" customHeight="1">
      <c r="A1979" s="12" t="s">
        <v>25</v>
      </c>
      <c r="B1979" s="20" t="str">
        <f>IFERROR(VLOOKUP(A1979,Sheet1!$E$3:$H$27,4,0),"")</f>
        <v>P2</v>
      </c>
      <c r="C1979" s="14" t="s">
        <v>659</v>
      </c>
      <c r="D1979" s="12" t="s">
        <v>21</v>
      </c>
      <c r="E1979" s="13" t="str">
        <f>IFERROR(VLOOKUP(D1979,Sheet1!$B$1:$C$45,2,0),"")</f>
        <v>TE</v>
      </c>
      <c r="F1979" s="12" t="s">
        <v>108</v>
      </c>
      <c r="G1979" s="13" t="str">
        <f t="shared" si="8"/>
        <v>Barito Raya</v>
      </c>
      <c r="H1979" s="15" t="str">
        <f>IFERROR(VLOOKUP(A1979,Sheet1!$E$3:$F$27,2,),"")</f>
        <v>Corrective</v>
      </c>
      <c r="I1979" s="16" t="str">
        <f>IFERROR(VLOOKUP(A1979,Sheet1!$E$3:$G$27,3,0),"")</f>
        <v>Support Event</v>
      </c>
      <c r="J1979" s="12" t="s">
        <v>112</v>
      </c>
      <c r="K1979" s="17">
        <v>46121.0</v>
      </c>
      <c r="L1979" s="17">
        <v>46121.0</v>
      </c>
      <c r="M1979" s="13"/>
      <c r="N1979" s="23"/>
      <c r="O1979" s="22"/>
      <c r="P1979" s="22"/>
    </row>
    <row r="1980" ht="22.5" customHeight="1">
      <c r="A1980" s="12" t="s">
        <v>61</v>
      </c>
      <c r="B1980" s="20" t="str">
        <f>IFERROR(VLOOKUP(A1980,Sheet1!$E$3:$H$27,4,0),"")</f>
        <v>P3</v>
      </c>
      <c r="C1980" s="14" t="s">
        <v>660</v>
      </c>
      <c r="D1980" s="12" t="s">
        <v>26</v>
      </c>
      <c r="E1980" s="13" t="str">
        <f>IFERROR(VLOOKUP(D1980,Sheet1!$B$1:$C$45,2,0),"")</f>
        <v>TE</v>
      </c>
      <c r="F1980" s="12" t="s">
        <v>108</v>
      </c>
      <c r="G1980" s="13" t="str">
        <f t="shared" si="8"/>
        <v>Barito Raya</v>
      </c>
      <c r="H1980" s="15" t="str">
        <f>IFERROR(VLOOKUP(A1980,Sheet1!$E$3:$F$27,2,),"")</f>
        <v>Corrective</v>
      </c>
      <c r="I1980" s="16" t="str">
        <f>IFERROR(VLOOKUP(A1980,Sheet1!$E$3:$G$27,3,0),"")</f>
        <v>Perbaikan Exhaust fan</v>
      </c>
      <c r="J1980" s="12" t="s">
        <v>112</v>
      </c>
      <c r="K1980" s="17">
        <v>46121.0</v>
      </c>
      <c r="L1980" s="17">
        <v>46121.0</v>
      </c>
      <c r="M1980" s="13"/>
      <c r="N1980" s="23"/>
      <c r="O1980" s="22"/>
      <c r="P1980" s="22"/>
    </row>
    <row r="1981" ht="22.5" customHeight="1">
      <c r="A1981" s="12" t="s">
        <v>52</v>
      </c>
      <c r="B1981" s="20" t="str">
        <f>IFERROR(VLOOKUP(A1981,Sheet1!$E$3:$H$27,4,0),"")</f>
        <v>P1</v>
      </c>
      <c r="C1981" s="14" t="s">
        <v>265</v>
      </c>
      <c r="D1981" s="12" t="s">
        <v>32</v>
      </c>
      <c r="E1981" s="13" t="str">
        <f>IFERROR(VLOOKUP(D1981,Sheet1!$B$1:$C$45,2,0),"")</f>
        <v>TE</v>
      </c>
      <c r="F1981" s="12" t="s">
        <v>108</v>
      </c>
      <c r="G1981" s="13" t="str">
        <f t="shared" si="8"/>
        <v>Barito Raya</v>
      </c>
      <c r="H1981" s="15" t="str">
        <f>IFERROR(VLOOKUP(A1981,Sheet1!$E$3:$F$27,2,),"")</f>
        <v>Preventive</v>
      </c>
      <c r="I1981" s="16" t="str">
        <f>IFERROR(VLOOKUP(A1981,Sheet1!$E$3:$G$27,3,0),"")</f>
        <v>MCB trip/Power upnormal</v>
      </c>
      <c r="J1981" s="12" t="s">
        <v>112</v>
      </c>
      <c r="K1981" s="17">
        <v>46121.0</v>
      </c>
      <c r="L1981" s="17">
        <v>46121.0</v>
      </c>
      <c r="M1981" s="13"/>
      <c r="N1981" s="23"/>
      <c r="O1981" s="22"/>
      <c r="P1981" s="22"/>
    </row>
    <row r="1982" ht="22.5" customHeight="1">
      <c r="A1982" s="12" t="s">
        <v>70</v>
      </c>
      <c r="B1982" s="20" t="str">
        <f>IFERROR(VLOOKUP(A1982,Sheet1!$E$3:$H$27,4,0),"")</f>
        <v>P3</v>
      </c>
      <c r="C1982" s="15"/>
      <c r="D1982" s="12" t="s">
        <v>74</v>
      </c>
      <c r="E1982" s="13" t="str">
        <f>IFERROR(VLOOKUP(D1982,Sheet1!$B$1:$C$45,2,0),"")</f>
        <v>TE</v>
      </c>
      <c r="F1982" s="12" t="s">
        <v>108</v>
      </c>
      <c r="G1982" s="13" t="str">
        <f t="shared" si="8"/>
        <v>Barito Raya</v>
      </c>
      <c r="H1982" s="15" t="str">
        <f>IFERROR(VLOOKUP(A1982,Sheet1!$E$3:$F$27,2,),"")</f>
        <v>Sick</v>
      </c>
      <c r="I1982" s="16" t="str">
        <f>IFERROR(VLOOKUP(A1982,Sheet1!$E$3:$G$27,3,0),"")</f>
        <v>Sick</v>
      </c>
      <c r="J1982" s="20"/>
      <c r="K1982" s="17">
        <v>46121.0</v>
      </c>
      <c r="L1982" s="17">
        <v>46121.0</v>
      </c>
      <c r="M1982" s="13"/>
      <c r="N1982" s="23"/>
      <c r="O1982" s="22"/>
      <c r="P1982" s="22"/>
    </row>
    <row r="1983" ht="22.5" customHeight="1">
      <c r="A1983" s="12" t="s">
        <v>33</v>
      </c>
      <c r="B1983" s="20" t="str">
        <f>IFERROR(VLOOKUP(A1983,Sheet1!$E$3:$H$27,4,0),"")</f>
        <v>P2</v>
      </c>
      <c r="C1983" s="14" t="s">
        <v>641</v>
      </c>
      <c r="D1983" s="12" t="s">
        <v>60</v>
      </c>
      <c r="E1983" s="13" t="str">
        <f>IFERROR(VLOOKUP(D1983,Sheet1!$B$1:$C$45,2,0),"")</f>
        <v>TE</v>
      </c>
      <c r="F1983" s="12" t="s">
        <v>108</v>
      </c>
      <c r="G1983" s="13" t="str">
        <f t="shared" si="8"/>
        <v>Barito Raya</v>
      </c>
      <c r="H1983" s="15" t="str">
        <f>IFERROR(VLOOKUP(A1983,Sheet1!$E$3:$F$27,2,),"")</f>
        <v>Preventive</v>
      </c>
      <c r="I1983" s="16" t="str">
        <f>IFERROR(VLOOKUP(A1983,Sheet1!$E$3:$G$27,3,0),"")</f>
        <v>Pengukuran dan pengambilan data log serta input Gdoc BBT</v>
      </c>
      <c r="J1983" s="12" t="s">
        <v>112</v>
      </c>
      <c r="K1983" s="17">
        <v>46121.0</v>
      </c>
      <c r="L1983" s="17">
        <v>46121.0</v>
      </c>
      <c r="M1983" s="13"/>
      <c r="N1983" s="23"/>
      <c r="O1983" s="22"/>
      <c r="P1983" s="22"/>
    </row>
    <row r="1984" ht="22.5" customHeight="1">
      <c r="A1984" s="12" t="s">
        <v>14</v>
      </c>
      <c r="B1984" s="20" t="str">
        <f>IFERROR(VLOOKUP(A1984,Sheet1!$E$3:$H$27,4,0),"")</f>
        <v>P1</v>
      </c>
      <c r="C1984" s="14" t="s">
        <v>661</v>
      </c>
      <c r="D1984" s="12" t="s">
        <v>62</v>
      </c>
      <c r="E1984" s="13" t="str">
        <f>IFERROR(VLOOKUP(D1984,Sheet1!$B$1:$C$45,2,0),"")</f>
        <v>TE</v>
      </c>
      <c r="F1984" s="12" t="s">
        <v>108</v>
      </c>
      <c r="G1984" s="13" t="str">
        <f t="shared" si="8"/>
        <v>Barito Raya</v>
      </c>
      <c r="H1984" s="15" t="str">
        <f>IFERROR(VLOOKUP(A1984,Sheet1!$E$3:$F$27,2,),"")</f>
        <v>Corrective</v>
      </c>
      <c r="I1984" s="16" t="str">
        <f>IFERROR(VLOOKUP(A1984,Sheet1!$E$3:$G$27,3,0),"")</f>
        <v>Pemadaman,MCB Trip,Transmisi problem</v>
      </c>
      <c r="J1984" s="12" t="s">
        <v>112</v>
      </c>
      <c r="K1984" s="17">
        <v>46121.0</v>
      </c>
      <c r="L1984" s="17">
        <v>46121.0</v>
      </c>
      <c r="M1984" s="13"/>
      <c r="N1984" s="23"/>
      <c r="O1984" s="22"/>
      <c r="P1984" s="22"/>
    </row>
    <row r="1985" ht="22.5" customHeight="1">
      <c r="A1985" s="12" t="s">
        <v>65</v>
      </c>
      <c r="B1985" s="20" t="str">
        <f>IFERROR(VLOOKUP(A1985,Sheet1!$E$3:$H$27,4,0),"")</f>
        <v>P3</v>
      </c>
      <c r="C1985" s="15"/>
      <c r="D1985" s="12" t="s">
        <v>9</v>
      </c>
      <c r="E1985" s="13" t="str">
        <f>IFERROR(VLOOKUP(D1985,Sheet1!$B$1:$C$45,2,0),"")</f>
        <v>MBP</v>
      </c>
      <c r="F1985" s="12" t="s">
        <v>108</v>
      </c>
      <c r="G1985" s="13" t="str">
        <f t="shared" si="8"/>
        <v>Barito Raya</v>
      </c>
      <c r="H1985" s="15" t="str">
        <f>IFERROR(VLOOKUP(A1985,Sheet1!$E$3:$F$27,2,),"")</f>
        <v>Standby</v>
      </c>
      <c r="I1985" s="16" t="str">
        <f>IFERROR(VLOOKUP(A1985,Sheet1!$E$3:$G$27,3,0),"")</f>
        <v>Standby On Call</v>
      </c>
      <c r="J1985" s="12" t="s">
        <v>66</v>
      </c>
      <c r="K1985" s="17">
        <v>46121.0</v>
      </c>
      <c r="L1985" s="17">
        <v>46121.0</v>
      </c>
      <c r="M1985" s="13"/>
      <c r="N1985" s="23"/>
      <c r="O1985" s="22"/>
      <c r="P1985" s="22"/>
    </row>
    <row r="1986" ht="22.5" customHeight="1">
      <c r="A1986" s="12" t="s">
        <v>65</v>
      </c>
      <c r="B1986" s="20" t="str">
        <f>IFERROR(VLOOKUP(A1986,Sheet1!$E$3:$H$27,4,0),"")</f>
        <v>P3</v>
      </c>
      <c r="C1986" s="15"/>
      <c r="D1986" s="12" t="s">
        <v>4</v>
      </c>
      <c r="E1986" s="13" t="str">
        <f>IFERROR(VLOOKUP(D1986,Sheet1!$B$1:$C$45,2,0),"")</f>
        <v>CME</v>
      </c>
      <c r="F1986" s="12" t="s">
        <v>108</v>
      </c>
      <c r="G1986" s="13" t="str">
        <f t="shared" si="8"/>
        <v>Barito Raya</v>
      </c>
      <c r="H1986" s="15" t="str">
        <f>IFERROR(VLOOKUP(A1986,Sheet1!$E$3:$F$27,2,),"")</f>
        <v>Standby</v>
      </c>
      <c r="I1986" s="16" t="str">
        <f>IFERROR(VLOOKUP(A1986,Sheet1!$E$3:$G$27,3,0),"")</f>
        <v>Standby On Call</v>
      </c>
      <c r="J1986" s="12" t="s">
        <v>66</v>
      </c>
      <c r="K1986" s="17">
        <v>46121.0</v>
      </c>
      <c r="L1986" s="17">
        <v>46121.0</v>
      </c>
      <c r="M1986" s="13"/>
      <c r="N1986" s="23"/>
      <c r="O1986" s="22"/>
      <c r="P1986" s="22"/>
    </row>
    <row r="1987" ht="22.5" customHeight="1">
      <c r="A1987" s="12" t="s">
        <v>65</v>
      </c>
      <c r="B1987" s="20" t="str">
        <f>IFERROR(VLOOKUP(A1987,Sheet1!$E$3:$H$27,4,0),"")</f>
        <v>P3</v>
      </c>
      <c r="C1987" s="15"/>
      <c r="D1987" s="12" t="s">
        <v>87</v>
      </c>
      <c r="E1987" s="13" t="str">
        <f>IFERROR(VLOOKUP(D1987,Sheet1!$B$1:$C$45,2,0),"")</f>
        <v>MBP</v>
      </c>
      <c r="F1987" s="12" t="s">
        <v>108</v>
      </c>
      <c r="G1987" s="13" t="str">
        <f t="shared" si="8"/>
        <v>Barito Raya</v>
      </c>
      <c r="H1987" s="15" t="str">
        <f>IFERROR(VLOOKUP(A1987,Sheet1!$E$3:$F$27,2,),"")</f>
        <v>Standby</v>
      </c>
      <c r="I1987" s="16" t="str">
        <f>IFERROR(VLOOKUP(A1987,Sheet1!$E$3:$G$27,3,0),"")</f>
        <v>Standby On Call</v>
      </c>
      <c r="J1987" s="12" t="s">
        <v>66</v>
      </c>
      <c r="K1987" s="17">
        <v>46121.0</v>
      </c>
      <c r="L1987" s="17">
        <v>46121.0</v>
      </c>
      <c r="M1987" s="13"/>
      <c r="N1987" s="23"/>
      <c r="O1987" s="22"/>
      <c r="P1987" s="22"/>
    </row>
    <row r="1988" ht="22.5" customHeight="1">
      <c r="A1988" s="12" t="s">
        <v>65</v>
      </c>
      <c r="B1988" s="20" t="str">
        <f>IFERROR(VLOOKUP(A1988,Sheet1!$E$3:$H$27,4,0),"")</f>
        <v>P3</v>
      </c>
      <c r="C1988" s="15"/>
      <c r="D1988" s="12" t="s">
        <v>29</v>
      </c>
      <c r="E1988" s="13" t="str">
        <f>IFERROR(VLOOKUP(D1988,Sheet1!$B$1:$C$45,2,0),"")</f>
        <v>MBP</v>
      </c>
      <c r="F1988" s="12" t="s">
        <v>108</v>
      </c>
      <c r="G1988" s="13" t="str">
        <f t="shared" si="8"/>
        <v>Barito Raya</v>
      </c>
      <c r="H1988" s="15" t="str">
        <f>IFERROR(VLOOKUP(A1988,Sheet1!$E$3:$F$27,2,),"")</f>
        <v>Standby</v>
      </c>
      <c r="I1988" s="16" t="str">
        <f>IFERROR(VLOOKUP(A1988,Sheet1!$E$3:$G$27,3,0),"")</f>
        <v>Standby On Call</v>
      </c>
      <c r="J1988" s="12" t="s">
        <v>66</v>
      </c>
      <c r="K1988" s="17">
        <v>46121.0</v>
      </c>
      <c r="L1988" s="17">
        <v>46121.0</v>
      </c>
      <c r="M1988" s="13"/>
      <c r="N1988" s="23"/>
      <c r="O1988" s="22"/>
      <c r="P1988" s="22"/>
    </row>
    <row r="1989" ht="22.5" customHeight="1">
      <c r="A1989" s="12" t="s">
        <v>65</v>
      </c>
      <c r="B1989" s="20" t="str">
        <f>IFERROR(VLOOKUP(A1989,Sheet1!$E$3:$H$27,4,0),"")</f>
        <v>P3</v>
      </c>
      <c r="C1989" s="15"/>
      <c r="D1989" s="12" t="s">
        <v>2</v>
      </c>
      <c r="E1989" s="13" t="str">
        <f>IFERROR(VLOOKUP(D1989,Sheet1!$B$1:$C$45,2,0),"")</f>
        <v>CME</v>
      </c>
      <c r="F1989" s="12" t="s">
        <v>108</v>
      </c>
      <c r="G1989" s="13" t="str">
        <f t="shared" si="8"/>
        <v>Barito Raya</v>
      </c>
      <c r="H1989" s="15" t="str">
        <f>IFERROR(VLOOKUP(A1989,Sheet1!$E$3:$F$27,2,),"")</f>
        <v>Standby</v>
      </c>
      <c r="I1989" s="16" t="str">
        <f>IFERROR(VLOOKUP(A1989,Sheet1!$E$3:$G$27,3,0),"")</f>
        <v>Standby On Call</v>
      </c>
      <c r="J1989" s="12" t="s">
        <v>66</v>
      </c>
      <c r="K1989" s="17">
        <v>46121.0</v>
      </c>
      <c r="L1989" s="17">
        <v>46121.0</v>
      </c>
      <c r="M1989" s="13"/>
      <c r="N1989" s="23"/>
      <c r="O1989" s="22"/>
      <c r="P1989" s="22"/>
    </row>
    <row r="1990" ht="22.5" customHeight="1">
      <c r="A1990" s="12" t="s">
        <v>33</v>
      </c>
      <c r="B1990" s="20" t="str">
        <f>IFERROR(VLOOKUP(A1990,Sheet1!$E$3:$H$27,4,0),"")</f>
        <v>P2</v>
      </c>
      <c r="C1990" s="14" t="s">
        <v>641</v>
      </c>
      <c r="D1990" s="12" t="s">
        <v>0</v>
      </c>
      <c r="E1990" s="13" t="str">
        <f>IFERROR(VLOOKUP(D1990,Sheet1!$B$1:$C$45,2,0),"")</f>
        <v>MBP</v>
      </c>
      <c r="F1990" s="12" t="s">
        <v>108</v>
      </c>
      <c r="G1990" s="13" t="str">
        <f t="shared" si="8"/>
        <v>Barito Raya</v>
      </c>
      <c r="H1990" s="15" t="str">
        <f>IFERROR(VLOOKUP(A1990,Sheet1!$E$3:$F$27,2,),"")</f>
        <v>Preventive</v>
      </c>
      <c r="I1990" s="16" t="str">
        <f>IFERROR(VLOOKUP(A1990,Sheet1!$E$3:$G$27,3,0),"")</f>
        <v>Pengukuran dan pengambilan data log serta input Gdoc BBT</v>
      </c>
      <c r="J1990" s="12" t="s">
        <v>112</v>
      </c>
      <c r="K1990" s="17">
        <v>46121.0</v>
      </c>
      <c r="L1990" s="17">
        <v>46121.0</v>
      </c>
      <c r="M1990" s="13"/>
      <c r="N1990" s="23"/>
      <c r="O1990" s="22"/>
      <c r="P1990" s="22"/>
    </row>
    <row r="1991" ht="22.5" customHeight="1">
      <c r="A1991" s="12" t="s">
        <v>22</v>
      </c>
      <c r="B1991" s="20" t="str">
        <f>IFERROR(VLOOKUP(A1991,Sheet1!$E$3:$H$27,4,0),"")</f>
        <v>P2</v>
      </c>
      <c r="C1991" s="15"/>
      <c r="D1991" s="12" t="s">
        <v>85</v>
      </c>
      <c r="E1991" s="13" t="str">
        <f>IFERROR(VLOOKUP(D1991,Sheet1!$B$1:$C$45,2,0),"")</f>
        <v>PM</v>
      </c>
      <c r="F1991" s="12" t="s">
        <v>108</v>
      </c>
      <c r="G1991" s="13" t="str">
        <f t="shared" si="8"/>
        <v>Barito Raya</v>
      </c>
      <c r="H1991" s="15" t="str">
        <f>IFERROR(VLOOKUP(A1991,Sheet1!$E$3:$F$27,2,),"")</f>
        <v>Preventive</v>
      </c>
      <c r="I1991" s="16" t="str">
        <f>IFERROR(VLOOKUP(A1991,Sheet1!$E$3:$G$27,3,0),"")</f>
        <v>Preventive Maintenance</v>
      </c>
      <c r="J1991" s="12" t="s">
        <v>112</v>
      </c>
      <c r="K1991" s="17">
        <v>46121.0</v>
      </c>
      <c r="L1991" s="17">
        <v>46121.0</v>
      </c>
      <c r="M1991" s="13"/>
      <c r="N1991" s="23"/>
      <c r="O1991" s="22"/>
      <c r="P1991" s="22"/>
    </row>
    <row r="1992" ht="22.5" customHeight="1">
      <c r="A1992" s="12" t="s">
        <v>22</v>
      </c>
      <c r="B1992" s="20" t="str">
        <f>IFERROR(VLOOKUP(A1992,Sheet1!$E$3:$H$27,4,0),"")</f>
        <v>P2</v>
      </c>
      <c r="C1992" s="15"/>
      <c r="D1992" s="12" t="s">
        <v>84</v>
      </c>
      <c r="E1992" s="13" t="str">
        <f>IFERROR(VLOOKUP(D1992,Sheet1!$B$1:$C$45,2,0),"")</f>
        <v>MBP</v>
      </c>
      <c r="F1992" s="12" t="s">
        <v>108</v>
      </c>
      <c r="G1992" s="13" t="str">
        <f t="shared" si="8"/>
        <v>Barito Raya</v>
      </c>
      <c r="H1992" s="15" t="str">
        <f>IFERROR(VLOOKUP(A1992,Sheet1!$E$3:$F$27,2,),"")</f>
        <v>Preventive</v>
      </c>
      <c r="I1992" s="16" t="str">
        <f>IFERROR(VLOOKUP(A1992,Sheet1!$E$3:$G$27,3,0),"")</f>
        <v>Preventive Maintenance</v>
      </c>
      <c r="J1992" s="12" t="s">
        <v>112</v>
      </c>
      <c r="K1992" s="17">
        <v>46121.0</v>
      </c>
      <c r="L1992" s="17">
        <v>46121.0</v>
      </c>
      <c r="M1992" s="13"/>
      <c r="N1992" s="23"/>
      <c r="O1992" s="22"/>
      <c r="P1992" s="22"/>
    </row>
    <row r="1993" ht="22.5" customHeight="1">
      <c r="A1993" s="12" t="s">
        <v>22</v>
      </c>
      <c r="B1993" s="20" t="str">
        <f>IFERROR(VLOOKUP(A1993,Sheet1!$E$3:$H$27,4,0),"")</f>
        <v>P2</v>
      </c>
      <c r="C1993" s="14" t="s">
        <v>457</v>
      </c>
      <c r="D1993" s="12" t="s">
        <v>86</v>
      </c>
      <c r="E1993" s="13" t="str">
        <f>IFERROR(VLOOKUP(D1993,Sheet1!$B$1:$C$45,2,0),"")</f>
        <v>PM</v>
      </c>
      <c r="F1993" s="12" t="s">
        <v>108</v>
      </c>
      <c r="G1993" s="13" t="str">
        <f t="shared" si="8"/>
        <v>Barito Raya</v>
      </c>
      <c r="H1993" s="15" t="str">
        <f>IFERROR(VLOOKUP(A1993,Sheet1!$E$3:$F$27,2,),"")</f>
        <v>Preventive</v>
      </c>
      <c r="I1993" s="16" t="str">
        <f>IFERROR(VLOOKUP(A1993,Sheet1!$E$3:$G$27,3,0),"")</f>
        <v>Preventive Maintenance</v>
      </c>
      <c r="J1993" s="12" t="s">
        <v>112</v>
      </c>
      <c r="K1993" s="17">
        <v>46121.0</v>
      </c>
      <c r="L1993" s="17">
        <v>46121.0</v>
      </c>
      <c r="M1993" s="13"/>
      <c r="N1993" s="23"/>
      <c r="O1993" s="22"/>
      <c r="P1993" s="22"/>
    </row>
    <row r="1994" ht="22.5" customHeight="1">
      <c r="A1994" s="12" t="s">
        <v>5</v>
      </c>
      <c r="B1994" s="20" t="str">
        <f>IFERROR(VLOOKUP(A1994,Sheet1!$E$3:$H$27,4,0),"")</f>
        <v>P1</v>
      </c>
      <c r="C1994" s="14" t="s">
        <v>655</v>
      </c>
      <c r="D1994" s="12" t="s">
        <v>80</v>
      </c>
      <c r="E1994" s="13" t="str">
        <f>IFERROR(VLOOKUP(D1994,Sheet1!$B$1:$C$45,2,0),"")</f>
        <v>TE</v>
      </c>
      <c r="F1994" s="12" t="s">
        <v>179</v>
      </c>
      <c r="G1994" s="13" t="str">
        <f t="shared" si="8"/>
        <v>Palangkaraya</v>
      </c>
      <c r="H1994" s="15" t="str">
        <f>IFERROR(VLOOKUP(A1994,Sheet1!$E$3:$F$27,2,),"")</f>
        <v>Corrective</v>
      </c>
      <c r="I1994" s="16" t="str">
        <f>IFERROR(VLOOKUP(A1994,Sheet1!$E$3:$G$27,3,0),"")</f>
        <v>Replace Optik,RRU/Soket Power/Replace GPS</v>
      </c>
      <c r="J1994" s="12" t="s">
        <v>112</v>
      </c>
      <c r="K1994" s="17">
        <v>46121.0</v>
      </c>
      <c r="L1994" s="17"/>
      <c r="M1994" s="13"/>
      <c r="N1994" s="23"/>
      <c r="O1994" s="22"/>
      <c r="P1994" s="22"/>
    </row>
    <row r="1995" ht="22.5" customHeight="1">
      <c r="A1995" s="12" t="s">
        <v>5</v>
      </c>
      <c r="B1995" s="20" t="str">
        <f>IFERROR(VLOOKUP(A1995,Sheet1!$E$3:$H$27,4,0),"")</f>
        <v>P1</v>
      </c>
      <c r="C1995" s="14" t="s">
        <v>635</v>
      </c>
      <c r="D1995" s="12" t="s">
        <v>76</v>
      </c>
      <c r="E1995" s="13" t="str">
        <f>IFERROR(VLOOKUP(D1995,Sheet1!$B$1:$C$45,2,0),"")</f>
        <v>TE</v>
      </c>
      <c r="F1995" s="12" t="s">
        <v>179</v>
      </c>
      <c r="G1995" s="13" t="str">
        <f t="shared" si="8"/>
        <v>Palangkaraya</v>
      </c>
      <c r="H1995" s="15" t="str">
        <f>IFERROR(VLOOKUP(A1995,Sheet1!$E$3:$F$27,2,),"")</f>
        <v>Corrective</v>
      </c>
      <c r="I1995" s="16" t="str">
        <f>IFERROR(VLOOKUP(A1995,Sheet1!$E$3:$G$27,3,0),"")</f>
        <v>Replace Optik,RRU/Soket Power/Replace GPS</v>
      </c>
      <c r="J1995" s="12" t="s">
        <v>112</v>
      </c>
      <c r="K1995" s="17">
        <v>46121.0</v>
      </c>
      <c r="L1995" s="17"/>
      <c r="M1995" s="13"/>
      <c r="N1995" s="23"/>
      <c r="O1995" s="22"/>
      <c r="P1995" s="22"/>
    </row>
    <row r="1996" ht="22.5" customHeight="1">
      <c r="A1996" s="12" t="s">
        <v>5</v>
      </c>
      <c r="B1996" s="20" t="str">
        <f>IFERROR(VLOOKUP(A1996,Sheet1!$E$3:$H$27,4,0),"")</f>
        <v>P1</v>
      </c>
      <c r="C1996" s="14" t="s">
        <v>635</v>
      </c>
      <c r="D1996" s="12" t="s">
        <v>37</v>
      </c>
      <c r="E1996" s="13" t="str">
        <f>IFERROR(VLOOKUP(D1996,Sheet1!$B$1:$C$45,2,0),"")</f>
        <v>TE</v>
      </c>
      <c r="F1996" s="12" t="s">
        <v>179</v>
      </c>
      <c r="G1996" s="13" t="str">
        <f t="shared" si="8"/>
        <v>Palangkaraya</v>
      </c>
      <c r="H1996" s="15" t="str">
        <f>IFERROR(VLOOKUP(A1996,Sheet1!$E$3:$F$27,2,),"")</f>
        <v>Corrective</v>
      </c>
      <c r="I1996" s="16" t="str">
        <f>IFERROR(VLOOKUP(A1996,Sheet1!$E$3:$G$27,3,0),"")</f>
        <v>Replace Optik,RRU/Soket Power/Replace GPS</v>
      </c>
      <c r="J1996" s="12" t="s">
        <v>112</v>
      </c>
      <c r="K1996" s="17">
        <v>46121.0</v>
      </c>
      <c r="L1996" s="17"/>
      <c r="M1996" s="13"/>
      <c r="N1996" s="23"/>
      <c r="O1996" s="22"/>
      <c r="P1996" s="22"/>
    </row>
    <row r="1997" ht="22.5" customHeight="1">
      <c r="A1997" s="12" t="s">
        <v>5</v>
      </c>
      <c r="B1997" s="20" t="str">
        <f>IFERROR(VLOOKUP(A1997,Sheet1!$E$3:$H$27,4,0),"")</f>
        <v>P1</v>
      </c>
      <c r="C1997" s="14" t="s">
        <v>655</v>
      </c>
      <c r="D1997" s="12" t="s">
        <v>42</v>
      </c>
      <c r="E1997" s="13" t="str">
        <f>IFERROR(VLOOKUP(D1997,Sheet1!$B$1:$C$45,2,0),"")</f>
        <v>TE</v>
      </c>
      <c r="F1997" s="12" t="s">
        <v>179</v>
      </c>
      <c r="G1997" s="13" t="str">
        <f t="shared" si="8"/>
        <v>Palangkaraya</v>
      </c>
      <c r="H1997" s="15" t="str">
        <f>IFERROR(VLOOKUP(A1997,Sheet1!$E$3:$F$27,2,),"")</f>
        <v>Corrective</v>
      </c>
      <c r="I1997" s="16" t="str">
        <f>IFERROR(VLOOKUP(A1997,Sheet1!$E$3:$G$27,3,0),"")</f>
        <v>Replace Optik,RRU/Soket Power/Replace GPS</v>
      </c>
      <c r="J1997" s="12" t="s">
        <v>112</v>
      </c>
      <c r="K1997" s="17">
        <v>46121.0</v>
      </c>
      <c r="L1997" s="17"/>
      <c r="M1997" s="13"/>
      <c r="N1997" s="23"/>
      <c r="O1997" s="22"/>
      <c r="P1997" s="22"/>
    </row>
    <row r="1998" ht="22.5" customHeight="1">
      <c r="A1998" s="12" t="s">
        <v>14</v>
      </c>
      <c r="B1998" s="20" t="str">
        <f>IFERROR(VLOOKUP(A1998,Sheet1!$E$3:$H$27,4,0),"")</f>
        <v>P1</v>
      </c>
      <c r="C1998" s="14" t="s">
        <v>662</v>
      </c>
      <c r="D1998" s="12" t="s">
        <v>71</v>
      </c>
      <c r="E1998" s="13" t="str">
        <f>IFERROR(VLOOKUP(D1998,Sheet1!$B$1:$C$45,2,0),"")</f>
        <v>TE</v>
      </c>
      <c r="F1998" s="12" t="s">
        <v>179</v>
      </c>
      <c r="G1998" s="13" t="str">
        <f t="shared" si="8"/>
        <v>Palangkaraya</v>
      </c>
      <c r="H1998" s="15" t="str">
        <f>IFERROR(VLOOKUP(A1998,Sheet1!$E$3:$F$27,2,),"")</f>
        <v>Corrective</v>
      </c>
      <c r="I1998" s="16" t="str">
        <f>IFERROR(VLOOKUP(A1998,Sheet1!$E$3:$G$27,3,0),"")</f>
        <v>Pemadaman,MCB Trip,Transmisi problem</v>
      </c>
      <c r="J1998" s="12" t="s">
        <v>112</v>
      </c>
      <c r="K1998" s="17">
        <v>46121.0</v>
      </c>
      <c r="L1998" s="17"/>
      <c r="M1998" s="13"/>
      <c r="N1998" s="23"/>
      <c r="O1998" s="22"/>
      <c r="P1998" s="22"/>
    </row>
    <row r="1999" ht="22.5" customHeight="1">
      <c r="A1999" s="12" t="s">
        <v>5</v>
      </c>
      <c r="B1999" s="20" t="str">
        <f>IFERROR(VLOOKUP(A1999,Sheet1!$E$3:$H$27,4,0),"")</f>
        <v>P1</v>
      </c>
      <c r="C1999" s="14" t="s">
        <v>650</v>
      </c>
      <c r="D1999" s="12" t="s">
        <v>58</v>
      </c>
      <c r="E1999" s="13" t="str">
        <f>IFERROR(VLOOKUP(D1999,Sheet1!$B$1:$C$45,2,0),"")</f>
        <v>TE</v>
      </c>
      <c r="F1999" s="12" t="s">
        <v>179</v>
      </c>
      <c r="G1999" s="13" t="str">
        <f t="shared" si="8"/>
        <v>Palangkaraya</v>
      </c>
      <c r="H1999" s="15" t="str">
        <f>IFERROR(VLOOKUP(A1999,Sheet1!$E$3:$F$27,2,),"")</f>
        <v>Corrective</v>
      </c>
      <c r="I1999" s="16" t="str">
        <f>IFERROR(VLOOKUP(A1999,Sheet1!$E$3:$G$27,3,0),"")</f>
        <v>Replace Optik,RRU/Soket Power/Replace GPS</v>
      </c>
      <c r="J1999" s="12" t="s">
        <v>112</v>
      </c>
      <c r="K1999" s="17">
        <v>46121.0</v>
      </c>
      <c r="L1999" s="17"/>
      <c r="M1999" s="13"/>
      <c r="N1999" s="23"/>
      <c r="O1999" s="22"/>
      <c r="P1999" s="22"/>
    </row>
    <row r="2000" ht="22.5" customHeight="1">
      <c r="A2000" s="12" t="s">
        <v>5</v>
      </c>
      <c r="B2000" s="20" t="str">
        <f>IFERROR(VLOOKUP(A2000,Sheet1!$E$3:$H$27,4,0),"")</f>
        <v>P1</v>
      </c>
      <c r="C2000" s="14" t="s">
        <v>477</v>
      </c>
      <c r="D2000" s="12" t="s">
        <v>79</v>
      </c>
      <c r="E2000" s="13" t="str">
        <f>IFERROR(VLOOKUP(D2000,Sheet1!$B$1:$C$45,2,0),"")</f>
        <v>TE</v>
      </c>
      <c r="F2000" s="12" t="s">
        <v>179</v>
      </c>
      <c r="G2000" s="13" t="str">
        <f t="shared" si="8"/>
        <v>Palangkaraya</v>
      </c>
      <c r="H2000" s="15" t="str">
        <f>IFERROR(VLOOKUP(A2000,Sheet1!$E$3:$F$27,2,),"")</f>
        <v>Corrective</v>
      </c>
      <c r="I2000" s="16" t="str">
        <f>IFERROR(VLOOKUP(A2000,Sheet1!$E$3:$G$27,3,0),"")</f>
        <v>Replace Optik,RRU/Soket Power/Replace GPS</v>
      </c>
      <c r="J2000" s="12" t="s">
        <v>112</v>
      </c>
      <c r="K2000" s="17">
        <v>46121.0</v>
      </c>
      <c r="L2000" s="17"/>
      <c r="M2000" s="13"/>
      <c r="N2000" s="23"/>
      <c r="O2000" s="22"/>
      <c r="P2000" s="22"/>
    </row>
    <row r="2001" ht="22.5" customHeight="1">
      <c r="A2001" s="12" t="s">
        <v>49</v>
      </c>
      <c r="B2001" s="20" t="str">
        <f>IFERROR(VLOOKUP(A2001,Sheet1!$E$3:$H$27,4,0),"")</f>
        <v>P2</v>
      </c>
      <c r="C2001" s="14" t="s">
        <v>636</v>
      </c>
      <c r="D2001" s="12" t="s">
        <v>91</v>
      </c>
      <c r="E2001" s="13" t="str">
        <f>IFERROR(VLOOKUP(D2001,Sheet1!$B$1:$C$45,2,0),"")</f>
        <v>TE</v>
      </c>
      <c r="F2001" s="12" t="s">
        <v>179</v>
      </c>
      <c r="G2001" s="13" t="str">
        <f t="shared" si="8"/>
        <v>Palangkaraya</v>
      </c>
      <c r="H2001" s="15" t="str">
        <f>IFERROR(VLOOKUP(A2001,Sheet1!$E$3:$F$27,2,),"")</f>
        <v>Preventive</v>
      </c>
      <c r="I2001" s="16" t="str">
        <f>IFERROR(VLOOKUP(A2001,Sheet1!$E$3:$G$27,3,0),"")</f>
        <v>Bts High temp impact fliker</v>
      </c>
      <c r="J2001" s="12" t="s">
        <v>112</v>
      </c>
      <c r="K2001" s="17">
        <v>46121.0</v>
      </c>
      <c r="L2001" s="17"/>
      <c r="M2001" s="13"/>
      <c r="N2001" s="23"/>
      <c r="O2001" s="22"/>
      <c r="P2001" s="22"/>
    </row>
    <row r="2002" ht="22.5" customHeight="1">
      <c r="A2002" s="12" t="s">
        <v>14</v>
      </c>
      <c r="B2002" s="20" t="str">
        <f>IFERROR(VLOOKUP(A2002,Sheet1!$E$3:$H$27,4,0),"")</f>
        <v>P1</v>
      </c>
      <c r="C2002" s="14" t="s">
        <v>634</v>
      </c>
      <c r="D2002" s="12" t="s">
        <v>39</v>
      </c>
      <c r="E2002" s="13" t="str">
        <f>IFERROR(VLOOKUP(D2002,Sheet1!$B$1:$C$45,2,0),"")</f>
        <v>TE</v>
      </c>
      <c r="F2002" s="12" t="s">
        <v>179</v>
      </c>
      <c r="G2002" s="13" t="str">
        <f t="shared" si="8"/>
        <v>Palangkaraya</v>
      </c>
      <c r="H2002" s="15" t="str">
        <f>IFERROR(VLOOKUP(A2002,Sheet1!$E$3:$F$27,2,),"")</f>
        <v>Corrective</v>
      </c>
      <c r="I2002" s="16" t="str">
        <f>IFERROR(VLOOKUP(A2002,Sheet1!$E$3:$G$27,3,0),"")</f>
        <v>Pemadaman,MCB Trip,Transmisi problem</v>
      </c>
      <c r="J2002" s="12" t="s">
        <v>112</v>
      </c>
      <c r="K2002" s="17">
        <v>46121.0</v>
      </c>
      <c r="L2002" s="17"/>
      <c r="M2002" s="13"/>
      <c r="N2002" s="23"/>
      <c r="O2002" s="22"/>
      <c r="P2002" s="22"/>
    </row>
    <row r="2003" ht="22.5" customHeight="1">
      <c r="A2003" s="12" t="s">
        <v>14</v>
      </c>
      <c r="B2003" s="20" t="str">
        <f>IFERROR(VLOOKUP(A2003,Sheet1!$E$3:$H$27,4,0),"")</f>
        <v>P1</v>
      </c>
      <c r="C2003" s="14" t="s">
        <v>634</v>
      </c>
      <c r="D2003" s="12" t="s">
        <v>78</v>
      </c>
      <c r="E2003" s="13" t="str">
        <f>IFERROR(VLOOKUP(D2003,Sheet1!$B$1:$C$45,2,0),"")</f>
        <v>TE</v>
      </c>
      <c r="F2003" s="12" t="s">
        <v>179</v>
      </c>
      <c r="G2003" s="13" t="str">
        <f t="shared" si="8"/>
        <v>Palangkaraya</v>
      </c>
      <c r="H2003" s="15" t="str">
        <f>IFERROR(VLOOKUP(A2003,Sheet1!$E$3:$F$27,2,),"")</f>
        <v>Corrective</v>
      </c>
      <c r="I2003" s="16" t="str">
        <f>IFERROR(VLOOKUP(A2003,Sheet1!$E$3:$G$27,3,0),"")</f>
        <v>Pemadaman,MCB Trip,Transmisi problem</v>
      </c>
      <c r="J2003" s="12" t="s">
        <v>112</v>
      </c>
      <c r="K2003" s="17">
        <v>46121.0</v>
      </c>
      <c r="L2003" s="17"/>
      <c r="M2003" s="13"/>
      <c r="N2003" s="23"/>
      <c r="O2003" s="22"/>
      <c r="P2003" s="22"/>
    </row>
    <row r="2004" ht="22.5" customHeight="1">
      <c r="A2004" s="12" t="s">
        <v>22</v>
      </c>
      <c r="B2004" s="20" t="str">
        <f>IFERROR(VLOOKUP(A2004,Sheet1!$E$3:$H$27,4,0),"")</f>
        <v>P2</v>
      </c>
      <c r="C2004" s="14" t="s">
        <v>443</v>
      </c>
      <c r="D2004" s="12" t="s">
        <v>81</v>
      </c>
      <c r="E2004" s="13" t="str">
        <f>IFERROR(VLOOKUP(D2004,Sheet1!$B$1:$C$45,2,0),"")</f>
        <v>PM</v>
      </c>
      <c r="F2004" s="12" t="s">
        <v>179</v>
      </c>
      <c r="G2004" s="13" t="str">
        <f t="shared" si="8"/>
        <v>Palangkaraya</v>
      </c>
      <c r="H2004" s="15" t="str">
        <f>IFERROR(VLOOKUP(A2004,Sheet1!$E$3:$F$27,2,),"")</f>
        <v>Preventive</v>
      </c>
      <c r="I2004" s="16" t="str">
        <f>IFERROR(VLOOKUP(A2004,Sheet1!$E$3:$G$27,3,0),"")</f>
        <v>Preventive Maintenance</v>
      </c>
      <c r="J2004" s="12" t="s">
        <v>112</v>
      </c>
      <c r="K2004" s="17">
        <v>46121.0</v>
      </c>
      <c r="L2004" s="17"/>
      <c r="M2004" s="13"/>
      <c r="N2004" s="23"/>
      <c r="O2004" s="22"/>
      <c r="P2004" s="22"/>
    </row>
    <row r="2005" ht="22.5" customHeight="1">
      <c r="A2005" s="12" t="s">
        <v>22</v>
      </c>
      <c r="B2005" s="20" t="str">
        <f>IFERROR(VLOOKUP(A2005,Sheet1!$E$3:$H$27,4,0),"")</f>
        <v>P2</v>
      </c>
      <c r="C2005" s="15"/>
      <c r="D2005" s="12" t="s">
        <v>83</v>
      </c>
      <c r="E2005" s="13" t="str">
        <f>IFERROR(VLOOKUP(D2005,Sheet1!$B$1:$C$45,2,0),"")</f>
        <v>PM</v>
      </c>
      <c r="F2005" s="12" t="s">
        <v>179</v>
      </c>
      <c r="G2005" s="13" t="str">
        <f t="shared" si="8"/>
        <v>Palangkaraya</v>
      </c>
      <c r="H2005" s="15" t="str">
        <f>IFERROR(VLOOKUP(A2005,Sheet1!$E$3:$F$27,2,),"")</f>
        <v>Preventive</v>
      </c>
      <c r="I2005" s="16" t="str">
        <f>IFERROR(VLOOKUP(A2005,Sheet1!$E$3:$G$27,3,0),"")</f>
        <v>Preventive Maintenance</v>
      </c>
      <c r="J2005" s="12" t="s">
        <v>112</v>
      </c>
      <c r="K2005" s="17">
        <v>46121.0</v>
      </c>
      <c r="L2005" s="17"/>
      <c r="M2005" s="13"/>
      <c r="N2005" s="23"/>
      <c r="O2005" s="22"/>
      <c r="P2005" s="22"/>
    </row>
    <row r="2006" ht="22.5" customHeight="1">
      <c r="A2006" s="12" t="s">
        <v>22</v>
      </c>
      <c r="B2006" s="20" t="str">
        <f>IFERROR(VLOOKUP(A2006,Sheet1!$E$3:$H$27,4,0),"")</f>
        <v>P2</v>
      </c>
      <c r="C2006" s="15"/>
      <c r="D2006" s="12" t="s">
        <v>82</v>
      </c>
      <c r="E2006" s="13" t="str">
        <f>IFERROR(VLOOKUP(D2006,Sheet1!$B$1:$C$45,2,0),"")</f>
        <v>PM</v>
      </c>
      <c r="F2006" s="12" t="s">
        <v>179</v>
      </c>
      <c r="G2006" s="13" t="str">
        <f t="shared" si="8"/>
        <v>Palangkaraya</v>
      </c>
      <c r="H2006" s="15" t="str">
        <f>IFERROR(VLOOKUP(A2006,Sheet1!$E$3:$F$27,2,),"")</f>
        <v>Preventive</v>
      </c>
      <c r="I2006" s="16" t="str">
        <f>IFERROR(VLOOKUP(A2006,Sheet1!$E$3:$G$27,3,0),"")</f>
        <v>Preventive Maintenance</v>
      </c>
      <c r="J2006" s="12" t="s">
        <v>112</v>
      </c>
      <c r="K2006" s="17">
        <v>46121.0</v>
      </c>
      <c r="L2006" s="17"/>
      <c r="M2006" s="13"/>
      <c r="N2006" s="23"/>
      <c r="O2006" s="22"/>
      <c r="P2006" s="22"/>
    </row>
    <row r="2007" ht="22.5" customHeight="1">
      <c r="A2007" s="12" t="s">
        <v>65</v>
      </c>
      <c r="B2007" s="20" t="str">
        <f>IFERROR(VLOOKUP(A2007,Sheet1!$E$3:$H$27,4,0),"")</f>
        <v>P3</v>
      </c>
      <c r="C2007" s="15"/>
      <c r="D2007" s="12" t="s">
        <v>75</v>
      </c>
      <c r="E2007" s="13" t="str">
        <f>IFERROR(VLOOKUP(D2007,Sheet1!$B$1:$C$45,2,0),"")</f>
        <v>CME</v>
      </c>
      <c r="F2007" s="12" t="s">
        <v>179</v>
      </c>
      <c r="G2007" s="13" t="str">
        <f t="shared" si="8"/>
        <v>Palangkaraya</v>
      </c>
      <c r="H2007" s="15" t="str">
        <f>IFERROR(VLOOKUP(A2007,Sheet1!$E$3:$F$27,2,),"")</f>
        <v>Standby</v>
      </c>
      <c r="I2007" s="16" t="str">
        <f>IFERROR(VLOOKUP(A2007,Sheet1!$E$3:$G$27,3,0),"")</f>
        <v>Standby On Call</v>
      </c>
      <c r="J2007" s="12" t="s">
        <v>112</v>
      </c>
      <c r="K2007" s="17">
        <v>46121.0</v>
      </c>
      <c r="L2007" s="17"/>
      <c r="M2007" s="13"/>
      <c r="N2007" s="23"/>
      <c r="O2007" s="22"/>
      <c r="P2007" s="22"/>
    </row>
    <row r="2008" ht="22.5" customHeight="1">
      <c r="A2008" s="12" t="s">
        <v>65</v>
      </c>
      <c r="B2008" s="20" t="str">
        <f>IFERROR(VLOOKUP(A2008,Sheet1!$E$3:$H$27,4,0),"")</f>
        <v>P3</v>
      </c>
      <c r="C2008" s="15"/>
      <c r="D2008" s="12" t="s">
        <v>64</v>
      </c>
      <c r="E2008" s="13" t="str">
        <f>IFERROR(VLOOKUP(D2008,Sheet1!$B$1:$C$45,2,0),"")</f>
        <v>TE</v>
      </c>
      <c r="F2008" s="12" t="s">
        <v>179</v>
      </c>
      <c r="G2008" s="13" t="str">
        <f t="shared" si="8"/>
        <v>Palangkaraya</v>
      </c>
      <c r="H2008" s="15" t="str">
        <f>IFERROR(VLOOKUP(A2008,Sheet1!$E$3:$F$27,2,),"")</f>
        <v>Standby</v>
      </c>
      <c r="I2008" s="16" t="str">
        <f>IFERROR(VLOOKUP(A2008,Sheet1!$E$3:$G$27,3,0),"")</f>
        <v>Standby On Call</v>
      </c>
      <c r="J2008" s="12" t="s">
        <v>112</v>
      </c>
      <c r="K2008" s="17">
        <v>46121.0</v>
      </c>
      <c r="L2008" s="17"/>
      <c r="M2008" s="13"/>
      <c r="N2008" s="23"/>
      <c r="O2008" s="22"/>
      <c r="P2008" s="22"/>
    </row>
    <row r="2009" ht="22.5" customHeight="1">
      <c r="A2009" s="12" t="s">
        <v>65</v>
      </c>
      <c r="B2009" s="20" t="str">
        <f>IFERROR(VLOOKUP(A2009,Sheet1!$E$3:$H$27,4,0),"")</f>
        <v>P3</v>
      </c>
      <c r="C2009" s="15"/>
      <c r="D2009" s="12" t="s">
        <v>35</v>
      </c>
      <c r="E2009" s="13" t="str">
        <f>IFERROR(VLOOKUP(D2009,Sheet1!$B$1:$C$45,2,0),"")</f>
        <v>MBP</v>
      </c>
      <c r="F2009" s="12" t="s">
        <v>179</v>
      </c>
      <c r="G2009" s="13" t="str">
        <f t="shared" si="8"/>
        <v>Palangkaraya</v>
      </c>
      <c r="H2009" s="15" t="str">
        <f>IFERROR(VLOOKUP(A2009,Sheet1!$E$3:$F$27,2,),"")</f>
        <v>Standby</v>
      </c>
      <c r="I2009" s="16" t="str">
        <f>IFERROR(VLOOKUP(A2009,Sheet1!$E$3:$G$27,3,0),"")</f>
        <v>Standby On Call</v>
      </c>
      <c r="J2009" s="12" t="s">
        <v>112</v>
      </c>
      <c r="K2009" s="17">
        <v>46121.0</v>
      </c>
      <c r="L2009" s="17"/>
      <c r="M2009" s="13"/>
      <c r="N2009" s="23"/>
      <c r="O2009" s="22"/>
      <c r="P2009" s="22"/>
    </row>
    <row r="2010" ht="22.5" hidden="1" customHeight="1">
      <c r="A2010" s="12" t="s">
        <v>65</v>
      </c>
      <c r="B2010" s="20" t="str">
        <f>IFERROR(VLOOKUP(A2010,Sheet1!$E$3:$H$27,4,0),"")</f>
        <v>P3</v>
      </c>
      <c r="C2010" s="15"/>
      <c r="D2010" s="12" t="s">
        <v>54</v>
      </c>
      <c r="E2010" s="13" t="str">
        <f>IFERROR(VLOOKUP(D2010,Sheet1!$B$1:$C$45,2,0),"")</f>
        <v>MBP</v>
      </c>
      <c r="F2010" s="12" t="s">
        <v>179</v>
      </c>
      <c r="G2010" s="13" t="str">
        <f t="shared" si="8"/>
        <v>Palangkaraya</v>
      </c>
      <c r="H2010" s="15" t="str">
        <f>IFERROR(VLOOKUP(A2010,Sheet1!$E$3:$F$27,2,),"")</f>
        <v>Standby</v>
      </c>
      <c r="I2010" s="16" t="str">
        <f>IFERROR(VLOOKUP(A2010,Sheet1!$E$3:$G$27,3,0),"")</f>
        <v>Standby On Call</v>
      </c>
      <c r="J2010" s="12" t="s">
        <v>112</v>
      </c>
      <c r="K2010" s="17">
        <v>46121.0</v>
      </c>
      <c r="L2010" s="17"/>
      <c r="M2010" s="13"/>
      <c r="N2010" s="23"/>
      <c r="O2010" s="22"/>
      <c r="P2010" s="22"/>
    </row>
    <row r="2011" ht="22.5" customHeight="1">
      <c r="A2011" s="12" t="s">
        <v>52</v>
      </c>
      <c r="B2011" s="20" t="str">
        <f>IFERROR(VLOOKUP(A2011,Sheet1!$E$3:$H$27,4,0),"")</f>
        <v>P1</v>
      </c>
      <c r="C2011" s="14" t="s">
        <v>663</v>
      </c>
      <c r="D2011" s="12" t="s">
        <v>12</v>
      </c>
      <c r="E2011" s="13" t="str">
        <f>IFERROR(VLOOKUP(D2011,Sheet1!$B$1:$C$45,2,0),"")</f>
        <v>TE</v>
      </c>
      <c r="F2011" s="12" t="s">
        <v>108</v>
      </c>
      <c r="G2011" s="13" t="str">
        <f t="shared" si="8"/>
        <v>Barito Raya</v>
      </c>
      <c r="H2011" s="15" t="str">
        <f>IFERROR(VLOOKUP(A2011,Sheet1!$E$3:$F$27,2,),"")</f>
        <v>Preventive</v>
      </c>
      <c r="I2011" s="16" t="str">
        <f>IFERROR(VLOOKUP(A2011,Sheet1!$E$3:$G$27,3,0),"")</f>
        <v>MCB trip/Power upnormal</v>
      </c>
      <c r="J2011" s="12" t="s">
        <v>112</v>
      </c>
      <c r="K2011" s="17">
        <v>46122.0</v>
      </c>
      <c r="L2011" s="17">
        <v>46122.0</v>
      </c>
      <c r="M2011" s="13"/>
      <c r="N2011" s="23"/>
      <c r="O2011" s="22"/>
      <c r="P2011" s="22"/>
    </row>
    <row r="2012" ht="22.5" customHeight="1">
      <c r="A2012" s="12" t="s">
        <v>14</v>
      </c>
      <c r="B2012" s="20" t="str">
        <f>IFERROR(VLOOKUP(A2012,Sheet1!$E$3:$H$27,4,0),"")</f>
        <v>P1</v>
      </c>
      <c r="C2012" s="14" t="s">
        <v>275</v>
      </c>
      <c r="D2012" s="12" t="s">
        <v>16</v>
      </c>
      <c r="E2012" s="13" t="str">
        <f>IFERROR(VLOOKUP(D2012,Sheet1!$B$1:$C$45,2,0),"")</f>
        <v>TE</v>
      </c>
      <c r="F2012" s="12" t="s">
        <v>108</v>
      </c>
      <c r="G2012" s="13" t="str">
        <f t="shared" si="8"/>
        <v>Barito Raya</v>
      </c>
      <c r="H2012" s="15" t="str">
        <f>IFERROR(VLOOKUP(A2012,Sheet1!$E$3:$F$27,2,),"")</f>
        <v>Corrective</v>
      </c>
      <c r="I2012" s="16" t="str">
        <f>IFERROR(VLOOKUP(A2012,Sheet1!$E$3:$G$27,3,0),"")</f>
        <v>Pemadaman,MCB Trip,Transmisi problem</v>
      </c>
      <c r="J2012" s="12" t="s">
        <v>112</v>
      </c>
      <c r="K2012" s="17">
        <v>46122.0</v>
      </c>
      <c r="L2012" s="17">
        <v>46122.0</v>
      </c>
      <c r="M2012" s="13"/>
      <c r="N2012" s="23"/>
      <c r="O2012" s="22"/>
      <c r="P2012" s="22"/>
    </row>
    <row r="2013" ht="22.5" customHeight="1">
      <c r="A2013" s="12" t="s">
        <v>25</v>
      </c>
      <c r="B2013" s="20" t="str">
        <f>IFERROR(VLOOKUP(A2013,Sheet1!$E$3:$H$27,4,0),"")</f>
        <v>P2</v>
      </c>
      <c r="C2013" s="14" t="s">
        <v>664</v>
      </c>
      <c r="D2013" s="12" t="s">
        <v>21</v>
      </c>
      <c r="E2013" s="13" t="str">
        <f>IFERROR(VLOOKUP(D2013,Sheet1!$B$1:$C$45,2,0),"")</f>
        <v>TE</v>
      </c>
      <c r="F2013" s="12" t="s">
        <v>108</v>
      </c>
      <c r="G2013" s="13" t="str">
        <f t="shared" si="8"/>
        <v>Barito Raya</v>
      </c>
      <c r="H2013" s="15" t="str">
        <f>IFERROR(VLOOKUP(A2013,Sheet1!$E$3:$F$27,2,),"")</f>
        <v>Corrective</v>
      </c>
      <c r="I2013" s="16" t="str">
        <f>IFERROR(VLOOKUP(A2013,Sheet1!$E$3:$G$27,3,0),"")</f>
        <v>Support Event</v>
      </c>
      <c r="J2013" s="12" t="s">
        <v>112</v>
      </c>
      <c r="K2013" s="17">
        <v>46122.0</v>
      </c>
      <c r="L2013" s="17">
        <v>46122.0</v>
      </c>
      <c r="M2013" s="13"/>
      <c r="N2013" s="23"/>
      <c r="O2013" s="22"/>
      <c r="P2013" s="22"/>
    </row>
    <row r="2014" ht="22.5" customHeight="1">
      <c r="A2014" s="12" t="s">
        <v>52</v>
      </c>
      <c r="B2014" s="20" t="str">
        <f>IFERROR(VLOOKUP(A2014,Sheet1!$E$3:$H$27,4,0),"")</f>
        <v>P1</v>
      </c>
      <c r="C2014" s="14" t="s">
        <v>665</v>
      </c>
      <c r="D2014" s="12" t="s">
        <v>26</v>
      </c>
      <c r="E2014" s="13" t="str">
        <f>IFERROR(VLOOKUP(D2014,Sheet1!$B$1:$C$45,2,0),"")</f>
        <v>TE</v>
      </c>
      <c r="F2014" s="12" t="s">
        <v>108</v>
      </c>
      <c r="G2014" s="13" t="str">
        <f t="shared" si="8"/>
        <v>Barito Raya</v>
      </c>
      <c r="H2014" s="15" t="str">
        <f>IFERROR(VLOOKUP(A2014,Sheet1!$E$3:$F$27,2,),"")</f>
        <v>Preventive</v>
      </c>
      <c r="I2014" s="16" t="str">
        <f>IFERROR(VLOOKUP(A2014,Sheet1!$E$3:$G$27,3,0),"")</f>
        <v>MCB trip/Power upnormal</v>
      </c>
      <c r="J2014" s="12" t="s">
        <v>112</v>
      </c>
      <c r="K2014" s="17">
        <v>46122.0</v>
      </c>
      <c r="L2014" s="17">
        <v>46122.0</v>
      </c>
      <c r="M2014" s="13"/>
      <c r="N2014" s="23"/>
      <c r="O2014" s="22"/>
      <c r="P2014" s="22"/>
    </row>
    <row r="2015" ht="22.5" customHeight="1">
      <c r="A2015" s="12" t="s">
        <v>14</v>
      </c>
      <c r="B2015" s="20" t="str">
        <f>IFERROR(VLOOKUP(A2015,Sheet1!$E$3:$H$27,4,0),"")</f>
        <v>P1</v>
      </c>
      <c r="C2015" s="14" t="s">
        <v>259</v>
      </c>
      <c r="D2015" s="12" t="s">
        <v>32</v>
      </c>
      <c r="E2015" s="13" t="str">
        <f>IFERROR(VLOOKUP(D2015,Sheet1!$B$1:$C$45,2,0),"")</f>
        <v>TE</v>
      </c>
      <c r="F2015" s="12" t="s">
        <v>108</v>
      </c>
      <c r="G2015" s="13" t="str">
        <f t="shared" si="8"/>
        <v>Barito Raya</v>
      </c>
      <c r="H2015" s="15" t="str">
        <f>IFERROR(VLOOKUP(A2015,Sheet1!$E$3:$F$27,2,),"")</f>
        <v>Corrective</v>
      </c>
      <c r="I2015" s="16" t="str">
        <f>IFERROR(VLOOKUP(A2015,Sheet1!$E$3:$G$27,3,0),"")</f>
        <v>Pemadaman,MCB Trip,Transmisi problem</v>
      </c>
      <c r="J2015" s="12" t="s">
        <v>112</v>
      </c>
      <c r="K2015" s="17">
        <v>46122.0</v>
      </c>
      <c r="L2015" s="17">
        <v>46122.0</v>
      </c>
      <c r="M2015" s="13"/>
      <c r="N2015" s="23"/>
      <c r="O2015" s="22"/>
      <c r="P2015" s="22"/>
    </row>
    <row r="2016" ht="22.5" customHeight="1">
      <c r="A2016" s="12" t="s">
        <v>52</v>
      </c>
      <c r="B2016" s="20" t="str">
        <f>IFERROR(VLOOKUP(A2016,Sheet1!$E$3:$H$27,4,0),"")</f>
        <v>P1</v>
      </c>
      <c r="C2016" s="14" t="s">
        <v>263</v>
      </c>
      <c r="D2016" s="12" t="s">
        <v>74</v>
      </c>
      <c r="E2016" s="13" t="str">
        <f>IFERROR(VLOOKUP(D2016,Sheet1!$B$1:$C$45,2,0),"")</f>
        <v>TE</v>
      </c>
      <c r="F2016" s="12" t="s">
        <v>108</v>
      </c>
      <c r="G2016" s="13" t="str">
        <f t="shared" si="8"/>
        <v>Barito Raya</v>
      </c>
      <c r="H2016" s="15" t="str">
        <f>IFERROR(VLOOKUP(A2016,Sheet1!$E$3:$F$27,2,),"")</f>
        <v>Preventive</v>
      </c>
      <c r="I2016" s="16" t="str">
        <f>IFERROR(VLOOKUP(A2016,Sheet1!$E$3:$G$27,3,0),"")</f>
        <v>MCB trip/Power upnormal</v>
      </c>
      <c r="J2016" s="12" t="s">
        <v>112</v>
      </c>
      <c r="K2016" s="17">
        <v>46122.0</v>
      </c>
      <c r="L2016" s="17">
        <v>46122.0</v>
      </c>
      <c r="M2016" s="13"/>
      <c r="N2016" s="23"/>
      <c r="O2016" s="22"/>
      <c r="P2016" s="22"/>
    </row>
    <row r="2017" ht="22.5" customHeight="1">
      <c r="A2017" s="12" t="s">
        <v>14</v>
      </c>
      <c r="B2017" s="20" t="str">
        <f>IFERROR(VLOOKUP(A2017,Sheet1!$E$3:$H$27,4,0),"")</f>
        <v>P1</v>
      </c>
      <c r="C2017" s="14" t="s">
        <v>121</v>
      </c>
      <c r="D2017" s="12" t="s">
        <v>60</v>
      </c>
      <c r="E2017" s="13" t="str">
        <f>IFERROR(VLOOKUP(D2017,Sheet1!$B$1:$C$45,2,0),"")</f>
        <v>TE</v>
      </c>
      <c r="F2017" s="12" t="s">
        <v>108</v>
      </c>
      <c r="G2017" s="13" t="str">
        <f t="shared" si="8"/>
        <v>Barito Raya</v>
      </c>
      <c r="H2017" s="15" t="str">
        <f>IFERROR(VLOOKUP(A2017,Sheet1!$E$3:$F$27,2,),"")</f>
        <v>Corrective</v>
      </c>
      <c r="I2017" s="16" t="str">
        <f>IFERROR(VLOOKUP(A2017,Sheet1!$E$3:$G$27,3,0),"")</f>
        <v>Pemadaman,MCB Trip,Transmisi problem</v>
      </c>
      <c r="J2017" s="12" t="s">
        <v>112</v>
      </c>
      <c r="K2017" s="17">
        <v>46122.0</v>
      </c>
      <c r="L2017" s="17">
        <v>46122.0</v>
      </c>
      <c r="M2017" s="13"/>
      <c r="N2017" s="23"/>
      <c r="O2017" s="22"/>
      <c r="P2017" s="22"/>
    </row>
    <row r="2018" ht="22.5" customHeight="1">
      <c r="A2018" s="12" t="s">
        <v>14</v>
      </c>
      <c r="B2018" s="20" t="str">
        <f>IFERROR(VLOOKUP(A2018,Sheet1!$E$3:$H$27,4,0),"")</f>
        <v>P1</v>
      </c>
      <c r="C2018" s="14" t="s">
        <v>661</v>
      </c>
      <c r="D2018" s="12" t="s">
        <v>62</v>
      </c>
      <c r="E2018" s="13" t="str">
        <f>IFERROR(VLOOKUP(D2018,Sheet1!$B$1:$C$45,2,0),"")</f>
        <v>TE</v>
      </c>
      <c r="F2018" s="12" t="s">
        <v>108</v>
      </c>
      <c r="G2018" s="13" t="str">
        <f t="shared" si="8"/>
        <v>Barito Raya</v>
      </c>
      <c r="H2018" s="15" t="str">
        <f>IFERROR(VLOOKUP(A2018,Sheet1!$E$3:$F$27,2,),"")</f>
        <v>Corrective</v>
      </c>
      <c r="I2018" s="16" t="str">
        <f>IFERROR(VLOOKUP(A2018,Sheet1!$E$3:$G$27,3,0),"")</f>
        <v>Pemadaman,MCB Trip,Transmisi problem</v>
      </c>
      <c r="J2018" s="12" t="s">
        <v>112</v>
      </c>
      <c r="K2018" s="17">
        <v>46122.0</v>
      </c>
      <c r="L2018" s="17">
        <v>46122.0</v>
      </c>
      <c r="M2018" s="13"/>
      <c r="N2018" s="23"/>
      <c r="O2018" s="22"/>
      <c r="P2018" s="22"/>
    </row>
    <row r="2019" ht="22.5" customHeight="1">
      <c r="A2019" s="12" t="s">
        <v>52</v>
      </c>
      <c r="B2019" s="20" t="str">
        <f>IFERROR(VLOOKUP(A2019,Sheet1!$E$3:$H$27,4,0),"")</f>
        <v>P1</v>
      </c>
      <c r="C2019" s="14" t="s">
        <v>263</v>
      </c>
      <c r="D2019" s="12" t="s">
        <v>9</v>
      </c>
      <c r="E2019" s="13" t="str">
        <f>IFERROR(VLOOKUP(D2019,Sheet1!$B$1:$C$45,2,0),"")</f>
        <v>MBP</v>
      </c>
      <c r="F2019" s="12" t="s">
        <v>108</v>
      </c>
      <c r="G2019" s="13" t="str">
        <f t="shared" si="8"/>
        <v>Barito Raya</v>
      </c>
      <c r="H2019" s="15" t="str">
        <f>IFERROR(VLOOKUP(A2019,Sheet1!$E$3:$F$27,2,),"")</f>
        <v>Preventive</v>
      </c>
      <c r="I2019" s="16" t="str">
        <f>IFERROR(VLOOKUP(A2019,Sheet1!$E$3:$G$27,3,0),"")</f>
        <v>MCB trip/Power upnormal</v>
      </c>
      <c r="J2019" s="12" t="s">
        <v>112</v>
      </c>
      <c r="K2019" s="17">
        <v>46122.0</v>
      </c>
      <c r="L2019" s="17">
        <v>46122.0</v>
      </c>
      <c r="M2019" s="13"/>
      <c r="N2019" s="23"/>
      <c r="O2019" s="22"/>
      <c r="P2019" s="22"/>
    </row>
    <row r="2020" ht="22.5" customHeight="1">
      <c r="A2020" s="12" t="s">
        <v>65</v>
      </c>
      <c r="B2020" s="20" t="str">
        <f>IFERROR(VLOOKUP(A2020,Sheet1!$E$3:$H$27,4,0),"")</f>
        <v>P3</v>
      </c>
      <c r="C2020" s="15"/>
      <c r="D2020" s="12" t="s">
        <v>4</v>
      </c>
      <c r="E2020" s="13" t="str">
        <f>IFERROR(VLOOKUP(D2020,Sheet1!$B$1:$C$45,2,0),"")</f>
        <v>CME</v>
      </c>
      <c r="F2020" s="12" t="s">
        <v>108</v>
      </c>
      <c r="G2020" s="13" t="str">
        <f t="shared" si="8"/>
        <v>Barito Raya</v>
      </c>
      <c r="H2020" s="15" t="str">
        <f>IFERROR(VLOOKUP(A2020,Sheet1!$E$3:$F$27,2,),"")</f>
        <v>Standby</v>
      </c>
      <c r="I2020" s="16" t="str">
        <f>IFERROR(VLOOKUP(A2020,Sheet1!$E$3:$G$27,3,0),"")</f>
        <v>Standby On Call</v>
      </c>
      <c r="J2020" s="12" t="s">
        <v>66</v>
      </c>
      <c r="K2020" s="17">
        <v>46122.0</v>
      </c>
      <c r="L2020" s="17">
        <v>46122.0</v>
      </c>
      <c r="M2020" s="13"/>
      <c r="N2020" s="23"/>
      <c r="O2020" s="22"/>
      <c r="P2020" s="22"/>
    </row>
    <row r="2021" ht="22.5" customHeight="1">
      <c r="A2021" s="12" t="s">
        <v>65</v>
      </c>
      <c r="B2021" s="20" t="str">
        <f>IFERROR(VLOOKUP(A2021,Sheet1!$E$3:$H$27,4,0),"")</f>
        <v>P3</v>
      </c>
      <c r="C2021" s="15"/>
      <c r="D2021" s="12" t="s">
        <v>87</v>
      </c>
      <c r="E2021" s="13" t="str">
        <f>IFERROR(VLOOKUP(D2021,Sheet1!$B$1:$C$45,2,0),"")</f>
        <v>MBP</v>
      </c>
      <c r="F2021" s="12" t="s">
        <v>108</v>
      </c>
      <c r="G2021" s="13" t="str">
        <f t="shared" si="8"/>
        <v>Barito Raya</v>
      </c>
      <c r="H2021" s="15" t="str">
        <f>IFERROR(VLOOKUP(A2021,Sheet1!$E$3:$F$27,2,),"")</f>
        <v>Standby</v>
      </c>
      <c r="I2021" s="16" t="str">
        <f>IFERROR(VLOOKUP(A2021,Sheet1!$E$3:$G$27,3,0),"")</f>
        <v>Standby On Call</v>
      </c>
      <c r="J2021" s="12" t="s">
        <v>66</v>
      </c>
      <c r="K2021" s="17">
        <v>46122.0</v>
      </c>
      <c r="L2021" s="17">
        <v>46122.0</v>
      </c>
      <c r="M2021" s="13"/>
      <c r="N2021" s="23"/>
      <c r="O2021" s="22"/>
      <c r="P2021" s="22"/>
    </row>
    <row r="2022" ht="22.5" customHeight="1">
      <c r="A2022" s="12" t="s">
        <v>65</v>
      </c>
      <c r="B2022" s="20" t="str">
        <f>IFERROR(VLOOKUP(A2022,Sheet1!$E$3:$H$27,4,0),"")</f>
        <v>P3</v>
      </c>
      <c r="C2022" s="15"/>
      <c r="D2022" s="12" t="s">
        <v>29</v>
      </c>
      <c r="E2022" s="13" t="str">
        <f>IFERROR(VLOOKUP(D2022,Sheet1!$B$1:$C$45,2,0),"")</f>
        <v>MBP</v>
      </c>
      <c r="F2022" s="12" t="s">
        <v>108</v>
      </c>
      <c r="G2022" s="13" t="str">
        <f t="shared" si="8"/>
        <v>Barito Raya</v>
      </c>
      <c r="H2022" s="15" t="str">
        <f>IFERROR(VLOOKUP(A2022,Sheet1!$E$3:$F$27,2,),"")</f>
        <v>Standby</v>
      </c>
      <c r="I2022" s="16" t="str">
        <f>IFERROR(VLOOKUP(A2022,Sheet1!$E$3:$G$27,3,0),"")</f>
        <v>Standby On Call</v>
      </c>
      <c r="J2022" s="12" t="s">
        <v>66</v>
      </c>
      <c r="K2022" s="17">
        <v>46122.0</v>
      </c>
      <c r="L2022" s="17">
        <v>46122.0</v>
      </c>
      <c r="M2022" s="13"/>
      <c r="N2022" s="23"/>
      <c r="O2022" s="22"/>
      <c r="P2022" s="22"/>
    </row>
    <row r="2023" ht="22.5" customHeight="1">
      <c r="A2023" s="12" t="s">
        <v>14</v>
      </c>
      <c r="B2023" s="20" t="str">
        <f>IFERROR(VLOOKUP(A2023,Sheet1!$E$3:$H$27,4,0),"")</f>
        <v>P1</v>
      </c>
      <c r="C2023" s="14" t="s">
        <v>461</v>
      </c>
      <c r="D2023" s="12" t="s">
        <v>2</v>
      </c>
      <c r="E2023" s="13" t="str">
        <f>IFERROR(VLOOKUP(D2023,Sheet1!$B$1:$C$45,2,0),"")</f>
        <v>CME</v>
      </c>
      <c r="F2023" s="12" t="s">
        <v>108</v>
      </c>
      <c r="G2023" s="13" t="str">
        <f t="shared" si="8"/>
        <v>Barito Raya</v>
      </c>
      <c r="H2023" s="15" t="str">
        <f>IFERROR(VLOOKUP(A2023,Sheet1!$E$3:$F$27,2,),"")</f>
        <v>Corrective</v>
      </c>
      <c r="I2023" s="16" t="str">
        <f>IFERROR(VLOOKUP(A2023,Sheet1!$E$3:$G$27,3,0),"")</f>
        <v>Pemadaman,MCB Trip,Transmisi problem</v>
      </c>
      <c r="J2023" s="12" t="s">
        <v>112</v>
      </c>
      <c r="K2023" s="17">
        <v>46122.0</v>
      </c>
      <c r="L2023" s="17">
        <v>46122.0</v>
      </c>
      <c r="M2023" s="13"/>
      <c r="N2023" s="23"/>
      <c r="O2023" s="22"/>
      <c r="P2023" s="22"/>
    </row>
    <row r="2024" ht="22.5" customHeight="1">
      <c r="A2024" s="12" t="s">
        <v>65</v>
      </c>
      <c r="B2024" s="20" t="str">
        <f>IFERROR(VLOOKUP(A2024,Sheet1!$E$3:$H$27,4,0),"")</f>
        <v>P3</v>
      </c>
      <c r="C2024" s="15"/>
      <c r="D2024" s="12" t="s">
        <v>0</v>
      </c>
      <c r="E2024" s="13" t="str">
        <f>IFERROR(VLOOKUP(D2024,Sheet1!$B$1:$C$45,2,0),"")</f>
        <v>MBP</v>
      </c>
      <c r="F2024" s="12" t="s">
        <v>108</v>
      </c>
      <c r="G2024" s="13" t="str">
        <f t="shared" si="8"/>
        <v>Barito Raya</v>
      </c>
      <c r="H2024" s="15" t="str">
        <f>IFERROR(VLOOKUP(A2024,Sheet1!$E$3:$F$27,2,),"")</f>
        <v>Standby</v>
      </c>
      <c r="I2024" s="16" t="str">
        <f>IFERROR(VLOOKUP(A2024,Sheet1!$E$3:$G$27,3,0),"")</f>
        <v>Standby On Call</v>
      </c>
      <c r="J2024" s="12" t="s">
        <v>66</v>
      </c>
      <c r="K2024" s="17">
        <v>46122.0</v>
      </c>
      <c r="L2024" s="17">
        <v>46122.0</v>
      </c>
      <c r="M2024" s="13"/>
      <c r="N2024" s="23"/>
      <c r="O2024" s="22"/>
      <c r="P2024" s="22"/>
    </row>
    <row r="2025" ht="22.5" customHeight="1">
      <c r="A2025" s="12" t="s">
        <v>22</v>
      </c>
      <c r="B2025" s="20" t="str">
        <f>IFERROR(VLOOKUP(A2025,Sheet1!$E$3:$H$27,4,0),"")</f>
        <v>P2</v>
      </c>
      <c r="C2025" s="14" t="s">
        <v>134</v>
      </c>
      <c r="D2025" s="12" t="s">
        <v>85</v>
      </c>
      <c r="E2025" s="13" t="str">
        <f>IFERROR(VLOOKUP(D2025,Sheet1!$B$1:$C$45,2,0),"")</f>
        <v>PM</v>
      </c>
      <c r="F2025" s="12" t="s">
        <v>108</v>
      </c>
      <c r="G2025" s="13" t="str">
        <f t="shared" si="8"/>
        <v>Barito Raya</v>
      </c>
      <c r="H2025" s="15" t="str">
        <f>IFERROR(VLOOKUP(A2025,Sheet1!$E$3:$F$27,2,),"")</f>
        <v>Preventive</v>
      </c>
      <c r="I2025" s="16" t="str">
        <f>IFERROR(VLOOKUP(A2025,Sheet1!$E$3:$G$27,3,0),"")</f>
        <v>Preventive Maintenance</v>
      </c>
      <c r="J2025" s="12" t="s">
        <v>112</v>
      </c>
      <c r="K2025" s="17">
        <v>46122.0</v>
      </c>
      <c r="L2025" s="17">
        <v>46122.0</v>
      </c>
      <c r="M2025" s="13"/>
      <c r="N2025" s="23"/>
      <c r="O2025" s="22"/>
      <c r="P2025" s="22"/>
    </row>
    <row r="2026" ht="22.5" customHeight="1">
      <c r="A2026" s="12" t="s">
        <v>22</v>
      </c>
      <c r="B2026" s="20" t="str">
        <f>IFERROR(VLOOKUP(A2026,Sheet1!$E$3:$H$27,4,0),"")</f>
        <v>P2</v>
      </c>
      <c r="C2026" s="14" t="s">
        <v>487</v>
      </c>
      <c r="D2026" s="12" t="s">
        <v>84</v>
      </c>
      <c r="E2026" s="13" t="str">
        <f>IFERROR(VLOOKUP(D2026,Sheet1!$B$1:$C$45,2,0),"")</f>
        <v>MBP</v>
      </c>
      <c r="F2026" s="12" t="s">
        <v>108</v>
      </c>
      <c r="G2026" s="13" t="str">
        <f t="shared" si="8"/>
        <v>Barito Raya</v>
      </c>
      <c r="H2026" s="15" t="str">
        <f>IFERROR(VLOOKUP(A2026,Sheet1!$E$3:$F$27,2,),"")</f>
        <v>Preventive</v>
      </c>
      <c r="I2026" s="16" t="str">
        <f>IFERROR(VLOOKUP(A2026,Sheet1!$E$3:$G$27,3,0),"")</f>
        <v>Preventive Maintenance</v>
      </c>
      <c r="J2026" s="12" t="s">
        <v>112</v>
      </c>
      <c r="K2026" s="17">
        <v>46122.0</v>
      </c>
      <c r="L2026" s="17">
        <v>46122.0</v>
      </c>
      <c r="M2026" s="13"/>
      <c r="N2026" s="23"/>
      <c r="O2026" s="22"/>
      <c r="P2026" s="22"/>
    </row>
    <row r="2027" ht="22.5" customHeight="1">
      <c r="A2027" s="12" t="s">
        <v>22</v>
      </c>
      <c r="B2027" s="20" t="str">
        <f>IFERROR(VLOOKUP(A2027,Sheet1!$E$3:$H$27,4,0),"")</f>
        <v>P2</v>
      </c>
      <c r="C2027" s="14" t="s">
        <v>504</v>
      </c>
      <c r="D2027" s="12" t="s">
        <v>86</v>
      </c>
      <c r="E2027" s="13" t="str">
        <f>IFERROR(VLOOKUP(D2027,Sheet1!$B$1:$C$45,2,0),"")</f>
        <v>PM</v>
      </c>
      <c r="F2027" s="12" t="s">
        <v>108</v>
      </c>
      <c r="G2027" s="13" t="str">
        <f t="shared" si="8"/>
        <v>Barito Raya</v>
      </c>
      <c r="H2027" s="15" t="str">
        <f>IFERROR(VLOOKUP(A2027,Sheet1!$E$3:$F$27,2,),"")</f>
        <v>Preventive</v>
      </c>
      <c r="I2027" s="16" t="str">
        <f>IFERROR(VLOOKUP(A2027,Sheet1!$E$3:$G$27,3,0),"")</f>
        <v>Preventive Maintenance</v>
      </c>
      <c r="J2027" s="12" t="s">
        <v>112</v>
      </c>
      <c r="K2027" s="17">
        <v>46122.0</v>
      </c>
      <c r="L2027" s="17">
        <v>46122.0</v>
      </c>
      <c r="M2027" s="13"/>
      <c r="N2027" s="23"/>
      <c r="O2027" s="22"/>
      <c r="P2027" s="22"/>
    </row>
    <row r="2028" ht="22.5" customHeight="1">
      <c r="A2028" s="12" t="s">
        <v>5</v>
      </c>
      <c r="B2028" s="20" t="str">
        <f>IFERROR(VLOOKUP(A2028,Sheet1!$E$3:$H$27,4,0),"")</f>
        <v>P1</v>
      </c>
      <c r="C2028" s="14" t="s">
        <v>199</v>
      </c>
      <c r="D2028" s="12" t="s">
        <v>37</v>
      </c>
      <c r="E2028" s="13" t="str">
        <f>IFERROR(VLOOKUP(D2028,Sheet1!$B$1:$C$45,2,0),"")</f>
        <v>TE</v>
      </c>
      <c r="F2028" s="12" t="s">
        <v>179</v>
      </c>
      <c r="G2028" s="13" t="str">
        <f t="shared" si="8"/>
        <v>Palangkaraya</v>
      </c>
      <c r="H2028" s="15" t="str">
        <f>IFERROR(VLOOKUP(A2028,Sheet1!$E$3:$F$27,2,),"")</f>
        <v>Corrective</v>
      </c>
      <c r="I2028" s="16" t="str">
        <f>IFERROR(VLOOKUP(A2028,Sheet1!$E$3:$G$27,3,0),"")</f>
        <v>Replace Optik,RRU/Soket Power/Replace GPS</v>
      </c>
      <c r="J2028" s="12" t="s">
        <v>112</v>
      </c>
      <c r="K2028" s="17">
        <v>46129.0</v>
      </c>
      <c r="L2028" s="17"/>
      <c r="M2028" s="13"/>
      <c r="N2028" s="23"/>
      <c r="O2028" s="22"/>
      <c r="P2028" s="22"/>
    </row>
    <row r="2029" ht="22.5" customHeight="1">
      <c r="A2029" s="12" t="s">
        <v>5</v>
      </c>
      <c r="B2029" s="20" t="str">
        <f>IFERROR(VLOOKUP(A2029,Sheet1!$E$3:$H$27,4,0),"")</f>
        <v>P1</v>
      </c>
      <c r="C2029" s="14" t="s">
        <v>199</v>
      </c>
      <c r="D2029" s="12" t="s">
        <v>80</v>
      </c>
      <c r="E2029" s="13" t="str">
        <f>IFERROR(VLOOKUP(D2029,Sheet1!$B$1:$C$45,2,0),"")</f>
        <v>TE</v>
      </c>
      <c r="F2029" s="12" t="s">
        <v>179</v>
      </c>
      <c r="G2029" s="13" t="str">
        <f t="shared" si="8"/>
        <v>Palangkaraya</v>
      </c>
      <c r="H2029" s="15" t="str">
        <f>IFERROR(VLOOKUP(A2029,Sheet1!$E$3:$F$27,2,),"")</f>
        <v>Corrective</v>
      </c>
      <c r="I2029" s="16" t="str">
        <f>IFERROR(VLOOKUP(A2029,Sheet1!$E$3:$G$27,3,0),"")</f>
        <v>Replace Optik,RRU/Soket Power/Replace GPS</v>
      </c>
      <c r="J2029" s="12" t="s">
        <v>112</v>
      </c>
      <c r="K2029" s="17">
        <v>46129.0</v>
      </c>
      <c r="L2029" s="17"/>
      <c r="M2029" s="13"/>
      <c r="N2029" s="23"/>
      <c r="O2029" s="22"/>
      <c r="P2029" s="22"/>
    </row>
    <row r="2030" ht="22.5" customHeight="1">
      <c r="A2030" s="12" t="s">
        <v>666</v>
      </c>
      <c r="B2030" s="12" t="s">
        <v>31</v>
      </c>
      <c r="C2030" s="14" t="s">
        <v>652</v>
      </c>
      <c r="D2030" s="12" t="s">
        <v>76</v>
      </c>
      <c r="E2030" s="13" t="str">
        <f>IFERROR(VLOOKUP(D2030,Sheet1!$B$1:$C$45,2,0),"")</f>
        <v>TE</v>
      </c>
      <c r="F2030" s="12" t="s">
        <v>179</v>
      </c>
      <c r="G2030" s="13" t="str">
        <f t="shared" si="8"/>
        <v>Palangkaraya</v>
      </c>
      <c r="H2030" s="15" t="str">
        <f>IFERROR(VLOOKUP(A2030,Sheet1!$E$3:$F$27,2,),"")</f>
        <v/>
      </c>
      <c r="I2030" s="16" t="str">
        <f>IFERROR(VLOOKUP(A2030,Sheet1!$E$3:$G$27,3,0),"")</f>
        <v/>
      </c>
      <c r="J2030" s="12" t="s">
        <v>112</v>
      </c>
      <c r="K2030" s="17">
        <v>46129.0</v>
      </c>
      <c r="L2030" s="17"/>
      <c r="M2030" s="13"/>
      <c r="N2030" s="23"/>
      <c r="O2030" s="22"/>
      <c r="P2030" s="22"/>
    </row>
    <row r="2031" ht="22.5" customHeight="1">
      <c r="A2031" s="12" t="s">
        <v>666</v>
      </c>
      <c r="B2031" s="12" t="s">
        <v>31</v>
      </c>
      <c r="C2031" s="14" t="s">
        <v>652</v>
      </c>
      <c r="D2031" s="12" t="s">
        <v>39</v>
      </c>
      <c r="E2031" s="13" t="str">
        <f>IFERROR(VLOOKUP(D2031,Sheet1!$B$1:$C$45,2,0),"")</f>
        <v>TE</v>
      </c>
      <c r="F2031" s="12" t="s">
        <v>179</v>
      </c>
      <c r="G2031" s="13" t="str">
        <f t="shared" si="8"/>
        <v>Palangkaraya</v>
      </c>
      <c r="H2031" s="15" t="str">
        <f>IFERROR(VLOOKUP(A2031,Sheet1!$E$3:$F$27,2,),"")</f>
        <v/>
      </c>
      <c r="I2031" s="16" t="str">
        <f>IFERROR(VLOOKUP(A2031,Sheet1!$E$3:$G$27,3,0),"")</f>
        <v/>
      </c>
      <c r="J2031" s="12" t="s">
        <v>112</v>
      </c>
      <c r="K2031" s="17">
        <v>46129.0</v>
      </c>
      <c r="L2031" s="17"/>
      <c r="M2031" s="13"/>
      <c r="N2031" s="23"/>
      <c r="O2031" s="22"/>
      <c r="P2031" s="22"/>
    </row>
    <row r="2032" ht="22.5" customHeight="1">
      <c r="A2032" s="12" t="s">
        <v>17</v>
      </c>
      <c r="B2032" s="20" t="str">
        <f>IFERROR(VLOOKUP(A2032,Sheet1!$E$3:$H$27,4,0),"")</f>
        <v>P2</v>
      </c>
      <c r="C2032" s="14" t="s">
        <v>419</v>
      </c>
      <c r="D2032" s="12" t="s">
        <v>78</v>
      </c>
      <c r="E2032" s="13" t="str">
        <f>IFERROR(VLOOKUP(D2032,Sheet1!$B$1:$C$45,2,0),"")</f>
        <v>TE</v>
      </c>
      <c r="F2032" s="12" t="s">
        <v>179</v>
      </c>
      <c r="G2032" s="13" t="str">
        <f t="shared" si="8"/>
        <v>Palangkaraya</v>
      </c>
      <c r="H2032" s="15" t="str">
        <f>IFERROR(VLOOKUP(A2032,Sheet1!$E$3:$F$27,2,),"")</f>
        <v>Preventive</v>
      </c>
      <c r="I2032" s="16" t="str">
        <f>IFERROR(VLOOKUP(A2032,Sheet1!$E$3:$G$27,3,0),"")</f>
        <v>integrasi LAN dan validasi alarm</v>
      </c>
      <c r="J2032" s="12" t="s">
        <v>112</v>
      </c>
      <c r="K2032" s="17">
        <v>46129.0</v>
      </c>
      <c r="L2032" s="17"/>
      <c r="M2032" s="13"/>
      <c r="N2032" s="23"/>
      <c r="O2032" s="22"/>
      <c r="P2032" s="22"/>
    </row>
    <row r="2033" ht="22.5" customHeight="1">
      <c r="A2033" s="12" t="s">
        <v>666</v>
      </c>
      <c r="B2033" s="12" t="s">
        <v>31</v>
      </c>
      <c r="C2033" s="14" t="s">
        <v>667</v>
      </c>
      <c r="D2033" s="12" t="s">
        <v>71</v>
      </c>
      <c r="E2033" s="13" t="str">
        <f>IFERROR(VLOOKUP(D2033,Sheet1!$B$1:$C$45,2,0),"")</f>
        <v>TE</v>
      </c>
      <c r="F2033" s="12" t="s">
        <v>179</v>
      </c>
      <c r="G2033" s="13" t="str">
        <f t="shared" si="8"/>
        <v>Palangkaraya</v>
      </c>
      <c r="H2033" s="15" t="str">
        <f>IFERROR(VLOOKUP(A2033,Sheet1!$E$3:$F$27,2,),"")</f>
        <v/>
      </c>
      <c r="I2033" s="16" t="str">
        <f>IFERROR(VLOOKUP(A2033,Sheet1!$E$3:$G$27,3,0),"")</f>
        <v/>
      </c>
      <c r="J2033" s="12" t="s">
        <v>112</v>
      </c>
      <c r="K2033" s="17">
        <v>46129.0</v>
      </c>
      <c r="L2033" s="17"/>
      <c r="M2033" s="13"/>
      <c r="N2033" s="23"/>
      <c r="O2033" s="22"/>
      <c r="P2033" s="22"/>
    </row>
    <row r="2034" ht="22.5" customHeight="1">
      <c r="A2034" s="12" t="s">
        <v>666</v>
      </c>
      <c r="B2034" s="12" t="s">
        <v>31</v>
      </c>
      <c r="C2034" s="14" t="s">
        <v>305</v>
      </c>
      <c r="D2034" s="12" t="s">
        <v>69</v>
      </c>
      <c r="E2034" s="13" t="str">
        <f>IFERROR(VLOOKUP(D2034,Sheet1!$B$1:$C$45,2,0),"")</f>
        <v>TE</v>
      </c>
      <c r="F2034" s="12" t="s">
        <v>179</v>
      </c>
      <c r="G2034" s="13" t="str">
        <f t="shared" si="8"/>
        <v>Palangkaraya</v>
      </c>
      <c r="H2034" s="15" t="str">
        <f>IFERROR(VLOOKUP(A2034,Sheet1!$E$3:$F$27,2,),"")</f>
        <v/>
      </c>
      <c r="I2034" s="16" t="str">
        <f>IFERROR(VLOOKUP(A2034,Sheet1!$E$3:$G$27,3,0),"")</f>
        <v/>
      </c>
      <c r="J2034" s="12" t="s">
        <v>112</v>
      </c>
      <c r="K2034" s="17">
        <v>46129.0</v>
      </c>
      <c r="L2034" s="17"/>
      <c r="M2034" s="13"/>
      <c r="N2034" s="23"/>
      <c r="O2034" s="22"/>
      <c r="P2034" s="22"/>
    </row>
    <row r="2035" ht="22.5" customHeight="1">
      <c r="A2035" s="12" t="s">
        <v>14</v>
      </c>
      <c r="B2035" s="12" t="s">
        <v>8</v>
      </c>
      <c r="C2035" s="14" t="s">
        <v>453</v>
      </c>
      <c r="D2035" s="12" t="s">
        <v>79</v>
      </c>
      <c r="E2035" s="13" t="str">
        <f>IFERROR(VLOOKUP(D2035,Sheet1!$B$1:$C$45,2,0),"")</f>
        <v>TE</v>
      </c>
      <c r="F2035" s="12" t="s">
        <v>179</v>
      </c>
      <c r="G2035" s="13" t="str">
        <f t="shared" si="8"/>
        <v>Palangkaraya</v>
      </c>
      <c r="H2035" s="15" t="str">
        <f>IFERROR(VLOOKUP(A2035,Sheet1!$E$3:$F$27,2,),"")</f>
        <v>Corrective</v>
      </c>
      <c r="I2035" s="16" t="str">
        <f>IFERROR(VLOOKUP(A2035,Sheet1!$E$3:$G$27,3,0),"")</f>
        <v>Pemadaman,MCB Trip,Transmisi problem</v>
      </c>
      <c r="J2035" s="12" t="s">
        <v>112</v>
      </c>
      <c r="K2035" s="17">
        <v>46129.0</v>
      </c>
      <c r="L2035" s="17"/>
      <c r="M2035" s="13"/>
      <c r="N2035" s="23"/>
      <c r="O2035" s="22"/>
      <c r="P2035" s="22"/>
    </row>
    <row r="2036" ht="22.5" customHeight="1">
      <c r="A2036" s="12" t="s">
        <v>10</v>
      </c>
      <c r="B2036" s="20" t="str">
        <f>IFERROR(VLOOKUP(A2036,Sheet1!$E$3:$H$27,4,0),"")</f>
        <v>P1</v>
      </c>
      <c r="C2036" s="14" t="s">
        <v>650</v>
      </c>
      <c r="D2036" s="12" t="s">
        <v>58</v>
      </c>
      <c r="E2036" s="13" t="str">
        <f>IFERROR(VLOOKUP(D2036,Sheet1!$B$1:$C$45,2,0),"")</f>
        <v>TE</v>
      </c>
      <c r="F2036" s="12" t="s">
        <v>179</v>
      </c>
      <c r="G2036" s="13" t="str">
        <f t="shared" si="8"/>
        <v>Palangkaraya</v>
      </c>
      <c r="H2036" s="15" t="str">
        <f>IFERROR(VLOOKUP(A2036,Sheet1!$E$3:$F$27,2,),"")</f>
        <v>Corrective</v>
      </c>
      <c r="I2036" s="16" t="str">
        <f>IFERROR(VLOOKUP(A2036,Sheet1!$E$3:$G$27,3,0),"")</f>
        <v>Replace Jumper,antena/RRU</v>
      </c>
      <c r="J2036" s="12" t="s">
        <v>112</v>
      </c>
      <c r="K2036" s="17">
        <v>46129.0</v>
      </c>
      <c r="L2036" s="17"/>
      <c r="M2036" s="13"/>
      <c r="N2036" s="23"/>
      <c r="O2036" s="22"/>
      <c r="P2036" s="22"/>
    </row>
    <row r="2037" ht="22.5" customHeight="1">
      <c r="A2037" s="12" t="s">
        <v>5</v>
      </c>
      <c r="B2037" s="20" t="str">
        <f>IFERROR(VLOOKUP(A2037,Sheet1!$E$3:$H$27,4,0),"")</f>
        <v>P1</v>
      </c>
      <c r="C2037" s="14" t="s">
        <v>303</v>
      </c>
      <c r="D2037" s="12" t="s">
        <v>91</v>
      </c>
      <c r="E2037" s="13" t="str">
        <f>IFERROR(VLOOKUP(D2037,Sheet1!$B$1:$C$45,2,0),"")</f>
        <v>TE</v>
      </c>
      <c r="F2037" s="12" t="s">
        <v>179</v>
      </c>
      <c r="G2037" s="13" t="str">
        <f t="shared" si="8"/>
        <v>Palangkaraya</v>
      </c>
      <c r="H2037" s="15" t="str">
        <f>IFERROR(VLOOKUP(A2037,Sheet1!$E$3:$F$27,2,),"")</f>
        <v>Corrective</v>
      </c>
      <c r="I2037" s="16" t="str">
        <f>IFERROR(VLOOKUP(A2037,Sheet1!$E$3:$G$27,3,0),"")</f>
        <v>Replace Optik,RRU/Soket Power/Replace GPS</v>
      </c>
      <c r="J2037" s="12" t="s">
        <v>112</v>
      </c>
      <c r="K2037" s="17">
        <v>46129.0</v>
      </c>
      <c r="L2037" s="17"/>
      <c r="M2037" s="13"/>
      <c r="N2037" s="23"/>
      <c r="O2037" s="22"/>
      <c r="P2037" s="22"/>
    </row>
    <row r="2038" ht="22.5" customHeight="1">
      <c r="A2038" s="12" t="s">
        <v>65</v>
      </c>
      <c r="B2038" s="20" t="str">
        <f>IFERROR(VLOOKUP(A2038,Sheet1!$E$3:$H$27,4,0),"")</f>
        <v>P3</v>
      </c>
      <c r="C2038" s="14"/>
      <c r="D2038" s="12" t="s">
        <v>56</v>
      </c>
      <c r="E2038" s="13" t="str">
        <f>IFERROR(VLOOKUP(D2038,Sheet1!$B$1:$C$45,2,0),"")</f>
        <v>TE</v>
      </c>
      <c r="F2038" s="12" t="s">
        <v>179</v>
      </c>
      <c r="G2038" s="13" t="str">
        <f t="shared" si="8"/>
        <v>Palangkaraya</v>
      </c>
      <c r="H2038" s="15" t="str">
        <f>IFERROR(VLOOKUP(A2038,Sheet1!$E$3:$F$27,2,),"")</f>
        <v>Standby</v>
      </c>
      <c r="I2038" s="16" t="str">
        <f>IFERROR(VLOOKUP(A2038,Sheet1!$E$3:$G$27,3,0),"")</f>
        <v>Standby On Call</v>
      </c>
      <c r="J2038" s="12" t="s">
        <v>112</v>
      </c>
      <c r="K2038" s="17">
        <v>46129.0</v>
      </c>
      <c r="L2038" s="17"/>
      <c r="M2038" s="13"/>
      <c r="N2038" s="23"/>
      <c r="O2038" s="22"/>
      <c r="P2038" s="22"/>
    </row>
    <row r="2039" ht="22.5" customHeight="1">
      <c r="A2039" s="12" t="s">
        <v>22</v>
      </c>
      <c r="B2039" s="20" t="str">
        <f>IFERROR(VLOOKUP(A2039,Sheet1!$E$3:$H$27,4,0),"")</f>
        <v>P2</v>
      </c>
      <c r="C2039" s="15"/>
      <c r="D2039" s="12" t="s">
        <v>81</v>
      </c>
      <c r="E2039" s="13" t="str">
        <f>IFERROR(VLOOKUP(D2039,Sheet1!$B$1:$C$45,2,0),"")</f>
        <v>PM</v>
      </c>
      <c r="F2039" s="12" t="s">
        <v>179</v>
      </c>
      <c r="G2039" s="13" t="str">
        <f t="shared" si="8"/>
        <v>Palangkaraya</v>
      </c>
      <c r="H2039" s="15" t="str">
        <f>IFERROR(VLOOKUP(A2039,Sheet1!$E$3:$F$27,2,),"")</f>
        <v>Preventive</v>
      </c>
      <c r="I2039" s="16" t="str">
        <f>IFERROR(VLOOKUP(A2039,Sheet1!$E$3:$G$27,3,0),"")</f>
        <v>Preventive Maintenance</v>
      </c>
      <c r="J2039" s="12" t="s">
        <v>112</v>
      </c>
      <c r="K2039" s="17">
        <v>46129.0</v>
      </c>
      <c r="L2039" s="17"/>
      <c r="M2039" s="13"/>
      <c r="N2039" s="23"/>
      <c r="O2039" s="22"/>
      <c r="P2039" s="22"/>
    </row>
    <row r="2040" ht="22.5" customHeight="1">
      <c r="A2040" s="12" t="s">
        <v>22</v>
      </c>
      <c r="B2040" s="20" t="str">
        <f>IFERROR(VLOOKUP(A2040,Sheet1!$E$3:$H$27,4,0),"")</f>
        <v>P2</v>
      </c>
      <c r="C2040" s="15"/>
      <c r="D2040" s="12" t="s">
        <v>83</v>
      </c>
      <c r="E2040" s="13" t="str">
        <f>IFERROR(VLOOKUP(D2040,Sheet1!$B$1:$C$45,2,0),"")</f>
        <v>PM</v>
      </c>
      <c r="F2040" s="12" t="s">
        <v>179</v>
      </c>
      <c r="G2040" s="13" t="str">
        <f t="shared" si="8"/>
        <v>Palangkaraya</v>
      </c>
      <c r="H2040" s="15" t="str">
        <f>IFERROR(VLOOKUP(A2040,Sheet1!$E$3:$F$27,2,),"")</f>
        <v>Preventive</v>
      </c>
      <c r="I2040" s="16" t="str">
        <f>IFERROR(VLOOKUP(A2040,Sheet1!$E$3:$G$27,3,0),"")</f>
        <v>Preventive Maintenance</v>
      </c>
      <c r="J2040" s="12" t="s">
        <v>112</v>
      </c>
      <c r="K2040" s="17">
        <v>46129.0</v>
      </c>
      <c r="L2040" s="17"/>
      <c r="M2040" s="13"/>
      <c r="N2040" s="23"/>
      <c r="O2040" s="22"/>
      <c r="P2040" s="22"/>
    </row>
    <row r="2041" ht="22.5" customHeight="1">
      <c r="A2041" s="12" t="s">
        <v>22</v>
      </c>
      <c r="B2041" s="20" t="str">
        <f>IFERROR(VLOOKUP(A2041,Sheet1!$E$3:$H$27,4,0),"")</f>
        <v>P2</v>
      </c>
      <c r="C2041" s="15"/>
      <c r="D2041" s="12" t="s">
        <v>82</v>
      </c>
      <c r="E2041" s="13" t="str">
        <f>IFERROR(VLOOKUP(D2041,Sheet1!$B$1:$C$45,2,0),"")</f>
        <v>PM</v>
      </c>
      <c r="F2041" s="12" t="s">
        <v>179</v>
      </c>
      <c r="G2041" s="13" t="str">
        <f t="shared" si="8"/>
        <v>Palangkaraya</v>
      </c>
      <c r="H2041" s="15" t="str">
        <f>IFERROR(VLOOKUP(A2041,Sheet1!$E$3:$F$27,2,),"")</f>
        <v>Preventive</v>
      </c>
      <c r="I2041" s="16" t="str">
        <f>IFERROR(VLOOKUP(A2041,Sheet1!$E$3:$G$27,3,0),"")</f>
        <v>Preventive Maintenance</v>
      </c>
      <c r="J2041" s="12" t="s">
        <v>112</v>
      </c>
      <c r="K2041" s="17">
        <v>46129.0</v>
      </c>
      <c r="L2041" s="17"/>
      <c r="M2041" s="13"/>
      <c r="N2041" s="23"/>
      <c r="O2041" s="22"/>
      <c r="P2041" s="22"/>
    </row>
    <row r="2042" ht="22.5" customHeight="1">
      <c r="A2042" s="12" t="s">
        <v>65</v>
      </c>
      <c r="B2042" s="20" t="str">
        <f>IFERROR(VLOOKUP(A2042,Sheet1!$E$3:$H$27,4,0),"")</f>
        <v>P3</v>
      </c>
      <c r="C2042" s="15"/>
      <c r="D2042" s="12" t="s">
        <v>35</v>
      </c>
      <c r="E2042" s="13" t="str">
        <f>IFERROR(VLOOKUP(D2042,Sheet1!$B$1:$C$45,2,0),"")</f>
        <v>MBP</v>
      </c>
      <c r="F2042" s="12" t="s">
        <v>179</v>
      </c>
      <c r="G2042" s="13" t="str">
        <f t="shared" si="8"/>
        <v>Palangkaraya</v>
      </c>
      <c r="H2042" s="15" t="str">
        <f>IFERROR(VLOOKUP(A2042,Sheet1!$E$3:$F$27,2,),"")</f>
        <v>Standby</v>
      </c>
      <c r="I2042" s="16" t="str">
        <f>IFERROR(VLOOKUP(A2042,Sheet1!$E$3:$G$27,3,0),"")</f>
        <v>Standby On Call</v>
      </c>
      <c r="J2042" s="12" t="s">
        <v>112</v>
      </c>
      <c r="K2042" s="17">
        <v>46129.0</v>
      </c>
      <c r="L2042" s="17"/>
      <c r="M2042" s="13"/>
      <c r="N2042" s="23"/>
      <c r="O2042" s="22"/>
      <c r="P2042" s="22"/>
    </row>
    <row r="2043" ht="22.5" customHeight="1">
      <c r="A2043" s="12" t="s">
        <v>65</v>
      </c>
      <c r="B2043" s="20" t="str">
        <f>IFERROR(VLOOKUP(A2043,Sheet1!$E$3:$H$27,4,0),"")</f>
        <v>P3</v>
      </c>
      <c r="C2043" s="15"/>
      <c r="D2043" s="12" t="s">
        <v>75</v>
      </c>
      <c r="E2043" s="13" t="str">
        <f>IFERROR(VLOOKUP(D2043,Sheet1!$B$1:$C$45,2,0),"")</f>
        <v>CME</v>
      </c>
      <c r="F2043" s="12" t="s">
        <v>179</v>
      </c>
      <c r="G2043" s="13" t="str">
        <f t="shared" si="8"/>
        <v>Palangkaraya</v>
      </c>
      <c r="H2043" s="15" t="str">
        <f>IFERROR(VLOOKUP(A2043,Sheet1!$E$3:$F$27,2,),"")</f>
        <v>Standby</v>
      </c>
      <c r="I2043" s="16" t="str">
        <f>IFERROR(VLOOKUP(A2043,Sheet1!$E$3:$G$27,3,0),"")</f>
        <v>Standby On Call</v>
      </c>
      <c r="J2043" s="12" t="s">
        <v>112</v>
      </c>
      <c r="K2043" s="17">
        <v>46129.0</v>
      </c>
      <c r="L2043" s="17"/>
      <c r="M2043" s="13"/>
      <c r="N2043" s="23"/>
      <c r="O2043" s="22"/>
      <c r="P2043" s="22"/>
    </row>
    <row r="2044" ht="22.5" customHeight="1">
      <c r="A2044" s="12" t="s">
        <v>65</v>
      </c>
      <c r="B2044" s="20" t="str">
        <f>IFERROR(VLOOKUP(A2044,Sheet1!$E$3:$H$27,4,0),"")</f>
        <v>P3</v>
      </c>
      <c r="C2044" s="15"/>
      <c r="D2044" s="12" t="s">
        <v>64</v>
      </c>
      <c r="E2044" s="13" t="str">
        <f>IFERROR(VLOOKUP(D2044,Sheet1!$B$1:$C$45,2,0),"")</f>
        <v>TE</v>
      </c>
      <c r="F2044" s="12" t="s">
        <v>179</v>
      </c>
      <c r="G2044" s="13" t="str">
        <f t="shared" si="8"/>
        <v>Palangkaraya</v>
      </c>
      <c r="H2044" s="15" t="str">
        <f>IFERROR(VLOOKUP(A2044,Sheet1!$E$3:$F$27,2,),"")</f>
        <v>Standby</v>
      </c>
      <c r="I2044" s="16" t="str">
        <f>IFERROR(VLOOKUP(A2044,Sheet1!$E$3:$G$27,3,0),"")</f>
        <v>Standby On Call</v>
      </c>
      <c r="J2044" s="12" t="s">
        <v>112</v>
      </c>
      <c r="K2044" s="17">
        <v>46129.0</v>
      </c>
      <c r="L2044" s="17"/>
      <c r="M2044" s="13"/>
      <c r="N2044" s="23"/>
      <c r="O2044" s="22"/>
      <c r="P2044" s="22"/>
    </row>
    <row r="2045" ht="22.5" hidden="1" customHeight="1">
      <c r="A2045" s="12" t="s">
        <v>65</v>
      </c>
      <c r="B2045" s="20" t="str">
        <f>IFERROR(VLOOKUP(A2045,Sheet1!$E$3:$H$27,4,0),"")</f>
        <v>P3</v>
      </c>
      <c r="C2045" s="15"/>
      <c r="D2045" s="12" t="s">
        <v>54</v>
      </c>
      <c r="E2045" s="13" t="str">
        <f>IFERROR(VLOOKUP(D2045,Sheet1!$B$1:$C$45,2,0),"")</f>
        <v>MBP</v>
      </c>
      <c r="F2045" s="12" t="s">
        <v>179</v>
      </c>
      <c r="G2045" s="13" t="str">
        <f t="shared" si="8"/>
        <v>Palangkaraya</v>
      </c>
      <c r="H2045" s="15" t="str">
        <f>IFERROR(VLOOKUP(A2045,Sheet1!$E$3:$F$27,2,),"")</f>
        <v>Standby</v>
      </c>
      <c r="I2045" s="16" t="str">
        <f>IFERROR(VLOOKUP(A2045,Sheet1!$E$3:$G$27,3,0),"")</f>
        <v>Standby On Call</v>
      </c>
      <c r="J2045" s="12" t="s">
        <v>112</v>
      </c>
      <c r="K2045" s="17">
        <v>46128.0</v>
      </c>
      <c r="L2045" s="17"/>
      <c r="M2045" s="13"/>
      <c r="N2045" s="23"/>
      <c r="O2045" s="22"/>
      <c r="P2045" s="22"/>
    </row>
    <row r="2046" ht="22.5" customHeight="1">
      <c r="A2046" s="12" t="s">
        <v>65</v>
      </c>
      <c r="B2046" s="20" t="str">
        <f>IFERROR(VLOOKUP(A2046,Sheet1!$E$3:$H$27,4,0),"")</f>
        <v>P3</v>
      </c>
      <c r="C2046" s="15"/>
      <c r="D2046" s="12" t="s">
        <v>12</v>
      </c>
      <c r="E2046" s="13" t="str">
        <f>IFERROR(VLOOKUP(D2046,Sheet1!$B$1:$C$45,2,0),"")</f>
        <v>TE</v>
      </c>
      <c r="F2046" s="12" t="s">
        <v>108</v>
      </c>
      <c r="G2046" s="13" t="str">
        <f t="shared" si="8"/>
        <v>Barito Raya</v>
      </c>
      <c r="H2046" s="15" t="str">
        <f>IFERROR(VLOOKUP(A2046,Sheet1!$E$3:$F$27,2,),"")</f>
        <v>Standby</v>
      </c>
      <c r="I2046" s="16" t="str">
        <f>IFERROR(VLOOKUP(A2046,Sheet1!$E$3:$G$27,3,0),"")</f>
        <v>Standby On Call</v>
      </c>
      <c r="J2046" s="12" t="s">
        <v>66</v>
      </c>
      <c r="K2046" s="17">
        <v>46128.0</v>
      </c>
      <c r="L2046" s="17">
        <v>46125.0</v>
      </c>
      <c r="M2046" s="13"/>
      <c r="N2046" s="23"/>
      <c r="O2046" s="22"/>
      <c r="P2046" s="22"/>
    </row>
    <row r="2047" ht="22.5" customHeight="1">
      <c r="A2047" s="12" t="s">
        <v>22</v>
      </c>
      <c r="B2047" s="20" t="str">
        <f>IFERROR(VLOOKUP(A2047,Sheet1!$E$3:$H$27,4,0),"")</f>
        <v>P2</v>
      </c>
      <c r="C2047" s="14" t="s">
        <v>175</v>
      </c>
      <c r="D2047" s="12" t="s">
        <v>16</v>
      </c>
      <c r="E2047" s="13" t="str">
        <f>IFERROR(VLOOKUP(D2047,Sheet1!$B$1:$C$45,2,0),"")</f>
        <v>TE</v>
      </c>
      <c r="F2047" s="12" t="s">
        <v>108</v>
      </c>
      <c r="G2047" s="13" t="str">
        <f t="shared" si="8"/>
        <v>Barito Raya</v>
      </c>
      <c r="H2047" s="15" t="str">
        <f>IFERROR(VLOOKUP(A2047,Sheet1!$E$3:$F$27,2,),"")</f>
        <v>Preventive</v>
      </c>
      <c r="I2047" s="16" t="str">
        <f>IFERROR(VLOOKUP(A2047,Sheet1!$E$3:$G$27,3,0),"")</f>
        <v>Preventive Maintenance</v>
      </c>
      <c r="J2047" s="12" t="s">
        <v>112</v>
      </c>
      <c r="K2047" s="17">
        <v>46125.0</v>
      </c>
      <c r="L2047" s="17">
        <v>46125.0</v>
      </c>
      <c r="M2047" s="12" t="s">
        <v>137</v>
      </c>
      <c r="N2047" s="23"/>
      <c r="O2047" s="22"/>
      <c r="P2047" s="22"/>
    </row>
    <row r="2048" ht="22.5" customHeight="1">
      <c r="A2048" s="12" t="s">
        <v>14</v>
      </c>
      <c r="B2048" s="20" t="str">
        <f>IFERROR(VLOOKUP(A2048,Sheet1!$E$3:$H$27,4,0),"")</f>
        <v>P1</v>
      </c>
      <c r="C2048" s="14" t="s">
        <v>668</v>
      </c>
      <c r="D2048" s="12" t="s">
        <v>21</v>
      </c>
      <c r="E2048" s="13" t="str">
        <f>IFERROR(VLOOKUP(D2048,Sheet1!$B$1:$C$45,2,0),"")</f>
        <v>TE</v>
      </c>
      <c r="F2048" s="12" t="s">
        <v>108</v>
      </c>
      <c r="G2048" s="13" t="str">
        <f t="shared" si="8"/>
        <v>Barito Raya</v>
      </c>
      <c r="H2048" s="15" t="str">
        <f>IFERROR(VLOOKUP(A2048,Sheet1!$E$3:$F$27,2,),"")</f>
        <v>Corrective</v>
      </c>
      <c r="I2048" s="16" t="str">
        <f>IFERROR(VLOOKUP(A2048,Sheet1!$E$3:$G$27,3,0),"")</f>
        <v>Pemadaman,MCB Trip,Transmisi problem</v>
      </c>
      <c r="J2048" s="12" t="s">
        <v>112</v>
      </c>
      <c r="K2048" s="17">
        <v>46125.0</v>
      </c>
      <c r="L2048" s="17">
        <v>46125.0</v>
      </c>
      <c r="M2048" s="12" t="s">
        <v>109</v>
      </c>
      <c r="N2048" s="23"/>
      <c r="O2048" s="22"/>
      <c r="P2048" s="22"/>
    </row>
    <row r="2049" ht="22.5" customHeight="1">
      <c r="A2049" s="12" t="s">
        <v>14</v>
      </c>
      <c r="B2049" s="20" t="str">
        <f>IFERROR(VLOOKUP(A2049,Sheet1!$E$3:$H$27,4,0),"")</f>
        <v>P1</v>
      </c>
      <c r="C2049" s="14" t="s">
        <v>425</v>
      </c>
      <c r="D2049" s="12" t="s">
        <v>26</v>
      </c>
      <c r="E2049" s="13" t="str">
        <f>IFERROR(VLOOKUP(D2049,Sheet1!$B$1:$C$45,2,0),"")</f>
        <v>TE</v>
      </c>
      <c r="F2049" s="12" t="s">
        <v>108</v>
      </c>
      <c r="G2049" s="13" t="str">
        <f t="shared" si="8"/>
        <v>Barito Raya</v>
      </c>
      <c r="H2049" s="15" t="str">
        <f>IFERROR(VLOOKUP(A2049,Sheet1!$E$3:$F$27,2,),"")</f>
        <v>Corrective</v>
      </c>
      <c r="I2049" s="16" t="str">
        <f>IFERROR(VLOOKUP(A2049,Sheet1!$E$3:$G$27,3,0),"")</f>
        <v>Pemadaman,MCB Trip,Transmisi problem</v>
      </c>
      <c r="J2049" s="12" t="s">
        <v>112</v>
      </c>
      <c r="K2049" s="17">
        <v>46125.0</v>
      </c>
      <c r="L2049" s="17">
        <v>46125.0</v>
      </c>
      <c r="M2049" s="12" t="s">
        <v>137</v>
      </c>
      <c r="N2049" s="23"/>
      <c r="O2049" s="22"/>
      <c r="P2049" s="22"/>
    </row>
    <row r="2050" ht="22.5" customHeight="1">
      <c r="A2050" s="12" t="s">
        <v>14</v>
      </c>
      <c r="B2050" s="20" t="str">
        <f>IFERROR(VLOOKUP(A2050,Sheet1!$E$3:$H$27,4,0),"")</f>
        <v>P1</v>
      </c>
      <c r="C2050" s="14" t="s">
        <v>574</v>
      </c>
      <c r="D2050" s="12" t="s">
        <v>32</v>
      </c>
      <c r="E2050" s="13" t="str">
        <f>IFERROR(VLOOKUP(D2050,Sheet1!$B$1:$C$45,2,0),"")</f>
        <v>TE</v>
      </c>
      <c r="F2050" s="12" t="s">
        <v>108</v>
      </c>
      <c r="G2050" s="13" t="str">
        <f t="shared" si="8"/>
        <v>Barito Raya</v>
      </c>
      <c r="H2050" s="15" t="str">
        <f>IFERROR(VLOOKUP(A2050,Sheet1!$E$3:$F$27,2,),"")</f>
        <v>Corrective</v>
      </c>
      <c r="I2050" s="16" t="str">
        <f>IFERROR(VLOOKUP(A2050,Sheet1!$E$3:$G$27,3,0),"")</f>
        <v>Pemadaman,MCB Trip,Transmisi problem</v>
      </c>
      <c r="J2050" s="12" t="s">
        <v>112</v>
      </c>
      <c r="K2050" s="17">
        <v>46125.0</v>
      </c>
      <c r="L2050" s="17">
        <v>46125.0</v>
      </c>
      <c r="M2050" s="12" t="s">
        <v>137</v>
      </c>
      <c r="N2050" s="23"/>
      <c r="O2050" s="22"/>
      <c r="P2050" s="22"/>
    </row>
    <row r="2051" ht="22.5" customHeight="1">
      <c r="A2051" s="12" t="s">
        <v>55</v>
      </c>
      <c r="B2051" s="20" t="str">
        <f>IFERROR(VLOOKUP(A2051,Sheet1!$E$3:$H$27,4,0),"")</f>
        <v>P2</v>
      </c>
      <c r="C2051" s="14" t="s">
        <v>263</v>
      </c>
      <c r="D2051" s="12" t="s">
        <v>74</v>
      </c>
      <c r="E2051" s="13" t="str">
        <f>IFERROR(VLOOKUP(D2051,Sheet1!$B$1:$C$45,2,0),"")</f>
        <v>TE</v>
      </c>
      <c r="F2051" s="12" t="s">
        <v>108</v>
      </c>
      <c r="G2051" s="13" t="str">
        <f t="shared" si="8"/>
        <v>Barito Raya</v>
      </c>
      <c r="H2051" s="15" t="str">
        <f>IFERROR(VLOOKUP(A2051,Sheet1!$E$3:$F$27,2,),"")</f>
        <v>Corrective</v>
      </c>
      <c r="I2051" s="16" t="str">
        <f>IFERROR(VLOOKUP(A2051,Sheet1!$E$3:$G$27,3,0),"")</f>
        <v>Penambahan Modul Recti</v>
      </c>
      <c r="J2051" s="12" t="s">
        <v>112</v>
      </c>
      <c r="K2051" s="17">
        <v>46125.0</v>
      </c>
      <c r="L2051" s="17">
        <v>46125.0</v>
      </c>
      <c r="M2051" s="12" t="s">
        <v>137</v>
      </c>
      <c r="N2051" s="23"/>
      <c r="O2051" s="22"/>
      <c r="P2051" s="22"/>
    </row>
    <row r="2052" ht="22.5" customHeight="1">
      <c r="A2052" s="12" t="s">
        <v>5</v>
      </c>
      <c r="B2052" s="20" t="str">
        <f>IFERROR(VLOOKUP(A2052,Sheet1!$E$3:$H$27,4,0),"")</f>
        <v>P1</v>
      </c>
      <c r="C2052" s="14" t="s">
        <v>164</v>
      </c>
      <c r="D2052" s="12" t="s">
        <v>60</v>
      </c>
      <c r="E2052" s="13" t="str">
        <f>IFERROR(VLOOKUP(D2052,Sheet1!$B$1:$C$45,2,0),"")</f>
        <v>TE</v>
      </c>
      <c r="F2052" s="12" t="s">
        <v>108</v>
      </c>
      <c r="G2052" s="13" t="str">
        <f t="shared" si="8"/>
        <v>Barito Raya</v>
      </c>
      <c r="H2052" s="15" t="str">
        <f>IFERROR(VLOOKUP(A2052,Sheet1!$E$3:$F$27,2,),"")</f>
        <v>Corrective</v>
      </c>
      <c r="I2052" s="16" t="str">
        <f>IFERROR(VLOOKUP(A2052,Sheet1!$E$3:$G$27,3,0),"")</f>
        <v>Replace Optik,RRU/Soket Power/Replace GPS</v>
      </c>
      <c r="J2052" s="12" t="s">
        <v>112</v>
      </c>
      <c r="K2052" s="17">
        <v>46125.0</v>
      </c>
      <c r="L2052" s="17">
        <v>46125.0</v>
      </c>
      <c r="M2052" s="12" t="s">
        <v>137</v>
      </c>
      <c r="N2052" s="23"/>
      <c r="O2052" s="22"/>
      <c r="P2052" s="22"/>
    </row>
    <row r="2053" ht="22.5" customHeight="1">
      <c r="A2053" s="12" t="s">
        <v>5</v>
      </c>
      <c r="B2053" s="20" t="str">
        <f>IFERROR(VLOOKUP(A2053,Sheet1!$E$3:$H$27,4,0),"")</f>
        <v>P1</v>
      </c>
      <c r="C2053" s="14" t="s">
        <v>164</v>
      </c>
      <c r="D2053" s="12" t="s">
        <v>62</v>
      </c>
      <c r="E2053" s="13" t="str">
        <f>IFERROR(VLOOKUP(D2053,Sheet1!$B$1:$C$45,2,0),"")</f>
        <v>TE</v>
      </c>
      <c r="F2053" s="12" t="s">
        <v>108</v>
      </c>
      <c r="G2053" s="13" t="str">
        <f t="shared" si="8"/>
        <v>Barito Raya</v>
      </c>
      <c r="H2053" s="15" t="str">
        <f>IFERROR(VLOOKUP(A2053,Sheet1!$E$3:$F$27,2,),"")</f>
        <v>Corrective</v>
      </c>
      <c r="I2053" s="16" t="str">
        <f>IFERROR(VLOOKUP(A2053,Sheet1!$E$3:$G$27,3,0),"")</f>
        <v>Replace Optik,RRU/Soket Power/Replace GPS</v>
      </c>
      <c r="J2053" s="12" t="s">
        <v>112</v>
      </c>
      <c r="K2053" s="17">
        <v>46125.0</v>
      </c>
      <c r="L2053" s="17">
        <v>46125.0</v>
      </c>
      <c r="M2053" s="12" t="s">
        <v>137</v>
      </c>
      <c r="N2053" s="23"/>
      <c r="O2053" s="22"/>
      <c r="P2053" s="22"/>
    </row>
    <row r="2054" ht="22.5" customHeight="1">
      <c r="A2054" s="12" t="s">
        <v>52</v>
      </c>
      <c r="B2054" s="20" t="str">
        <f>IFERROR(VLOOKUP(A2054,Sheet1!$E$3:$H$27,4,0),"")</f>
        <v>P1</v>
      </c>
      <c r="C2054" s="14" t="s">
        <v>263</v>
      </c>
      <c r="D2054" s="12" t="s">
        <v>9</v>
      </c>
      <c r="E2054" s="13" t="str">
        <f>IFERROR(VLOOKUP(D2054,Sheet1!$B$1:$C$45,2,0),"")</f>
        <v>MBP</v>
      </c>
      <c r="F2054" s="12" t="s">
        <v>108</v>
      </c>
      <c r="G2054" s="13" t="str">
        <f t="shared" si="8"/>
        <v>Barito Raya</v>
      </c>
      <c r="H2054" s="15" t="str">
        <f>IFERROR(VLOOKUP(A2054,Sheet1!$E$3:$F$27,2,),"")</f>
        <v>Preventive</v>
      </c>
      <c r="I2054" s="16" t="str">
        <f>IFERROR(VLOOKUP(A2054,Sheet1!$E$3:$G$27,3,0),"")</f>
        <v>MCB trip/Power upnormal</v>
      </c>
      <c r="J2054" s="12" t="s">
        <v>112</v>
      </c>
      <c r="K2054" s="17">
        <v>46125.0</v>
      </c>
      <c r="L2054" s="17">
        <v>46125.0</v>
      </c>
      <c r="M2054" s="12" t="s">
        <v>137</v>
      </c>
      <c r="N2054" s="23"/>
      <c r="O2054" s="22"/>
      <c r="P2054" s="22"/>
    </row>
    <row r="2055" ht="22.5" customHeight="1">
      <c r="A2055" s="12" t="s">
        <v>14</v>
      </c>
      <c r="B2055" s="20" t="str">
        <f>IFERROR(VLOOKUP(A2055,Sheet1!$E$3:$H$27,4,0),"")</f>
        <v>P1</v>
      </c>
      <c r="C2055" s="14" t="s">
        <v>668</v>
      </c>
      <c r="D2055" s="12" t="s">
        <v>4</v>
      </c>
      <c r="E2055" s="13" t="str">
        <f>IFERROR(VLOOKUP(D2055,Sheet1!$B$1:$C$45,2,0),"")</f>
        <v>CME</v>
      </c>
      <c r="F2055" s="12" t="s">
        <v>108</v>
      </c>
      <c r="G2055" s="13" t="str">
        <f t="shared" si="8"/>
        <v>Barito Raya</v>
      </c>
      <c r="H2055" s="15" t="str">
        <f>IFERROR(VLOOKUP(A2055,Sheet1!$E$3:$F$27,2,),"")</f>
        <v>Corrective</v>
      </c>
      <c r="I2055" s="16" t="str">
        <f>IFERROR(VLOOKUP(A2055,Sheet1!$E$3:$G$27,3,0),"")</f>
        <v>Pemadaman,MCB Trip,Transmisi problem</v>
      </c>
      <c r="J2055" s="12" t="s">
        <v>112</v>
      </c>
      <c r="K2055" s="17">
        <v>46125.0</v>
      </c>
      <c r="L2055" s="17">
        <v>46125.0</v>
      </c>
      <c r="M2055" s="12" t="s">
        <v>109</v>
      </c>
      <c r="N2055" s="23"/>
      <c r="O2055" s="22"/>
      <c r="P2055" s="22"/>
    </row>
    <row r="2056" ht="22.5" customHeight="1">
      <c r="A2056" s="12" t="s">
        <v>14</v>
      </c>
      <c r="B2056" s="20" t="str">
        <f>IFERROR(VLOOKUP(A2056,Sheet1!$E$3:$H$27,4,0),"")</f>
        <v>P1</v>
      </c>
      <c r="C2056" s="14" t="s">
        <v>425</v>
      </c>
      <c r="D2056" s="12" t="s">
        <v>87</v>
      </c>
      <c r="E2056" s="13" t="str">
        <f>IFERROR(VLOOKUP(D2056,Sheet1!$B$1:$C$45,2,0),"")</f>
        <v>MBP</v>
      </c>
      <c r="F2056" s="12" t="s">
        <v>108</v>
      </c>
      <c r="G2056" s="13" t="str">
        <f t="shared" si="8"/>
        <v>Barito Raya</v>
      </c>
      <c r="H2056" s="15" t="str">
        <f>IFERROR(VLOOKUP(A2056,Sheet1!$E$3:$F$27,2,),"")</f>
        <v>Corrective</v>
      </c>
      <c r="I2056" s="16" t="str">
        <f>IFERROR(VLOOKUP(A2056,Sheet1!$E$3:$G$27,3,0),"")</f>
        <v>Pemadaman,MCB Trip,Transmisi problem</v>
      </c>
      <c r="J2056" s="12" t="s">
        <v>112</v>
      </c>
      <c r="K2056" s="17">
        <v>46125.0</v>
      </c>
      <c r="L2056" s="17">
        <v>46125.0</v>
      </c>
      <c r="M2056" s="12" t="s">
        <v>137</v>
      </c>
      <c r="N2056" s="23"/>
      <c r="O2056" s="22"/>
      <c r="P2056" s="22"/>
    </row>
    <row r="2057" ht="22.5" customHeight="1">
      <c r="A2057" s="12" t="s">
        <v>14</v>
      </c>
      <c r="B2057" s="20" t="str">
        <f>IFERROR(VLOOKUP(A2057,Sheet1!$E$3:$H$27,4,0),"")</f>
        <v>P1</v>
      </c>
      <c r="C2057" s="14" t="s">
        <v>289</v>
      </c>
      <c r="D2057" s="12" t="s">
        <v>29</v>
      </c>
      <c r="E2057" s="13" t="str">
        <f>IFERROR(VLOOKUP(D2057,Sheet1!$B$1:$C$45,2,0),"")</f>
        <v>MBP</v>
      </c>
      <c r="F2057" s="12" t="s">
        <v>108</v>
      </c>
      <c r="G2057" s="13" t="str">
        <f t="shared" si="8"/>
        <v>Barito Raya</v>
      </c>
      <c r="H2057" s="15" t="str">
        <f>IFERROR(VLOOKUP(A2057,Sheet1!$E$3:$F$27,2,),"")</f>
        <v>Corrective</v>
      </c>
      <c r="I2057" s="16" t="str">
        <f>IFERROR(VLOOKUP(A2057,Sheet1!$E$3:$G$27,3,0),"")</f>
        <v>Pemadaman,MCB Trip,Transmisi problem</v>
      </c>
      <c r="J2057" s="12" t="s">
        <v>112</v>
      </c>
      <c r="K2057" s="17">
        <v>46125.0</v>
      </c>
      <c r="L2057" s="17">
        <v>46125.0</v>
      </c>
      <c r="M2057" s="12" t="s">
        <v>137</v>
      </c>
      <c r="N2057" s="23"/>
      <c r="O2057" s="22"/>
      <c r="P2057" s="22"/>
    </row>
    <row r="2058" ht="22.5" customHeight="1">
      <c r="A2058" s="12" t="s">
        <v>65</v>
      </c>
      <c r="B2058" s="20" t="str">
        <f>IFERROR(VLOOKUP(A2058,Sheet1!$E$3:$H$27,4,0),"")</f>
        <v>P3</v>
      </c>
      <c r="C2058" s="15"/>
      <c r="D2058" s="12" t="s">
        <v>2</v>
      </c>
      <c r="E2058" s="13" t="str">
        <f>IFERROR(VLOOKUP(D2058,Sheet1!$B$1:$C$45,2,0),"")</f>
        <v>CME</v>
      </c>
      <c r="F2058" s="12" t="s">
        <v>108</v>
      </c>
      <c r="G2058" s="13" t="str">
        <f t="shared" si="8"/>
        <v>Barito Raya</v>
      </c>
      <c r="H2058" s="15" t="str">
        <f>IFERROR(VLOOKUP(A2058,Sheet1!$E$3:$F$27,2,),"")</f>
        <v>Standby</v>
      </c>
      <c r="I2058" s="16" t="str">
        <f>IFERROR(VLOOKUP(A2058,Sheet1!$E$3:$G$27,3,0),"")</f>
        <v>Standby On Call</v>
      </c>
      <c r="J2058" s="12" t="s">
        <v>66</v>
      </c>
      <c r="K2058" s="17">
        <v>46125.0</v>
      </c>
      <c r="L2058" s="17">
        <v>46125.0</v>
      </c>
      <c r="M2058" s="13"/>
      <c r="N2058" s="23"/>
      <c r="O2058" s="22"/>
      <c r="P2058" s="22"/>
    </row>
    <row r="2059" ht="22.5" customHeight="1">
      <c r="A2059" s="12" t="s">
        <v>65</v>
      </c>
      <c r="B2059" s="20" t="str">
        <f>IFERROR(VLOOKUP(A2059,Sheet1!$E$3:$H$27,4,0),"")</f>
        <v>P3</v>
      </c>
      <c r="C2059" s="14"/>
      <c r="D2059" s="12" t="s">
        <v>0</v>
      </c>
      <c r="E2059" s="13" t="str">
        <f>IFERROR(VLOOKUP(D2059,Sheet1!$B$1:$C$45,2,0),"")</f>
        <v>MBP</v>
      </c>
      <c r="F2059" s="12" t="s">
        <v>108</v>
      </c>
      <c r="G2059" s="13" t="str">
        <f t="shared" si="8"/>
        <v>Barito Raya</v>
      </c>
      <c r="H2059" s="15" t="str">
        <f>IFERROR(VLOOKUP(A2059,Sheet1!$E$3:$F$27,2,),"")</f>
        <v>Standby</v>
      </c>
      <c r="I2059" s="16" t="str">
        <f>IFERROR(VLOOKUP(A2059,Sheet1!$E$3:$G$27,3,0),"")</f>
        <v>Standby On Call</v>
      </c>
      <c r="J2059" s="12" t="s">
        <v>66</v>
      </c>
      <c r="K2059" s="17">
        <v>46125.0</v>
      </c>
      <c r="L2059" s="17">
        <v>46125.0</v>
      </c>
      <c r="M2059" s="12" t="s">
        <v>137</v>
      </c>
      <c r="N2059" s="23"/>
      <c r="O2059" s="22"/>
      <c r="P2059" s="22"/>
    </row>
    <row r="2060" ht="22.5" customHeight="1">
      <c r="A2060" s="12" t="s">
        <v>22</v>
      </c>
      <c r="B2060" s="20" t="str">
        <f>IFERROR(VLOOKUP(A2060,Sheet1!$E$3:$H$27,4,0),"")</f>
        <v>P2</v>
      </c>
      <c r="C2060" s="14" t="s">
        <v>185</v>
      </c>
      <c r="D2060" s="12" t="s">
        <v>85</v>
      </c>
      <c r="E2060" s="13" t="str">
        <f>IFERROR(VLOOKUP(D2060,Sheet1!$B$1:$C$45,2,0),"")</f>
        <v>PM</v>
      </c>
      <c r="F2060" s="12" t="s">
        <v>108</v>
      </c>
      <c r="G2060" s="13" t="str">
        <f t="shared" si="8"/>
        <v>Barito Raya</v>
      </c>
      <c r="H2060" s="15" t="str">
        <f>IFERROR(VLOOKUP(A2060,Sheet1!$E$3:$F$27,2,),"")</f>
        <v>Preventive</v>
      </c>
      <c r="I2060" s="16" t="str">
        <f>IFERROR(VLOOKUP(A2060,Sheet1!$E$3:$G$27,3,0),"")</f>
        <v>Preventive Maintenance</v>
      </c>
      <c r="J2060" s="12" t="s">
        <v>112</v>
      </c>
      <c r="K2060" s="17">
        <v>46125.0</v>
      </c>
      <c r="L2060" s="17">
        <v>46125.0</v>
      </c>
      <c r="M2060" s="12" t="s">
        <v>137</v>
      </c>
      <c r="N2060" s="23"/>
      <c r="O2060" s="22"/>
      <c r="P2060" s="22"/>
    </row>
    <row r="2061" ht="22.5" customHeight="1">
      <c r="A2061" s="12" t="s">
        <v>22</v>
      </c>
      <c r="B2061" s="20" t="str">
        <f>IFERROR(VLOOKUP(A2061,Sheet1!$E$3:$H$27,4,0),"")</f>
        <v>P2</v>
      </c>
      <c r="C2061" s="14" t="s">
        <v>208</v>
      </c>
      <c r="D2061" s="12" t="s">
        <v>84</v>
      </c>
      <c r="E2061" s="13" t="str">
        <f>IFERROR(VLOOKUP(D2061,Sheet1!$B$1:$C$45,2,0),"")</f>
        <v>MBP</v>
      </c>
      <c r="F2061" s="12" t="s">
        <v>108</v>
      </c>
      <c r="G2061" s="13" t="str">
        <f t="shared" si="8"/>
        <v>Barito Raya</v>
      </c>
      <c r="H2061" s="15" t="str">
        <f>IFERROR(VLOOKUP(A2061,Sheet1!$E$3:$F$27,2,),"")</f>
        <v>Preventive</v>
      </c>
      <c r="I2061" s="16" t="str">
        <f>IFERROR(VLOOKUP(A2061,Sheet1!$E$3:$G$27,3,0),"")</f>
        <v>Preventive Maintenance</v>
      </c>
      <c r="J2061" s="12" t="s">
        <v>112</v>
      </c>
      <c r="K2061" s="17">
        <v>46125.0</v>
      </c>
      <c r="L2061" s="17">
        <v>46125.0</v>
      </c>
      <c r="M2061" s="12" t="s">
        <v>137</v>
      </c>
      <c r="N2061" s="23"/>
      <c r="O2061" s="22"/>
      <c r="P2061" s="22"/>
    </row>
    <row r="2062" ht="22.5" customHeight="1">
      <c r="A2062" s="12" t="s">
        <v>22</v>
      </c>
      <c r="B2062" s="20" t="str">
        <f>IFERROR(VLOOKUP(A2062,Sheet1!$E$3:$H$27,4,0),"")</f>
        <v>P2</v>
      </c>
      <c r="C2062" s="14" t="s">
        <v>209</v>
      </c>
      <c r="D2062" s="12" t="s">
        <v>86</v>
      </c>
      <c r="E2062" s="13" t="str">
        <f>IFERROR(VLOOKUP(D2062,Sheet1!$B$1:$C$45,2,0),"")</f>
        <v>PM</v>
      </c>
      <c r="F2062" s="12" t="s">
        <v>108</v>
      </c>
      <c r="G2062" s="13" t="str">
        <f t="shared" si="8"/>
        <v>Barito Raya</v>
      </c>
      <c r="H2062" s="15" t="str">
        <f>IFERROR(VLOOKUP(A2062,Sheet1!$E$3:$F$27,2,),"")</f>
        <v>Preventive</v>
      </c>
      <c r="I2062" s="16" t="str">
        <f>IFERROR(VLOOKUP(A2062,Sheet1!$E$3:$G$27,3,0),"")</f>
        <v>Preventive Maintenance</v>
      </c>
      <c r="J2062" s="12" t="s">
        <v>112</v>
      </c>
      <c r="K2062" s="17">
        <v>46125.0</v>
      </c>
      <c r="L2062" s="17">
        <v>46125.0</v>
      </c>
      <c r="M2062" s="12" t="s">
        <v>137</v>
      </c>
      <c r="N2062" s="23"/>
      <c r="O2062" s="22"/>
      <c r="P2062" s="22"/>
    </row>
    <row r="2063" ht="22.5" customHeight="1">
      <c r="A2063" s="12" t="s">
        <v>52</v>
      </c>
      <c r="B2063" s="20" t="str">
        <f>IFERROR(VLOOKUP(A2063,Sheet1!$E$3:$H$27,4,0),"")</f>
        <v>P1</v>
      </c>
      <c r="C2063" s="14" t="s">
        <v>403</v>
      </c>
      <c r="D2063" s="12" t="s">
        <v>12</v>
      </c>
      <c r="E2063" s="13" t="str">
        <f>IFERROR(VLOOKUP(D2063,Sheet1!$B$1:$C$45,2,0),"")</f>
        <v>TE</v>
      </c>
      <c r="F2063" s="12" t="s">
        <v>108</v>
      </c>
      <c r="G2063" s="13" t="str">
        <f t="shared" si="8"/>
        <v>Barito Raya</v>
      </c>
      <c r="H2063" s="15" t="str">
        <f>IFERROR(VLOOKUP(A2063,Sheet1!$E$3:$F$27,2,),"")</f>
        <v>Preventive</v>
      </c>
      <c r="I2063" s="16" t="str">
        <f>IFERROR(VLOOKUP(A2063,Sheet1!$E$3:$G$27,3,0),"")</f>
        <v>MCB trip/Power upnormal</v>
      </c>
      <c r="J2063" s="12" t="s">
        <v>112</v>
      </c>
      <c r="K2063" s="17">
        <v>46126.0</v>
      </c>
      <c r="L2063" s="17">
        <v>46126.0</v>
      </c>
      <c r="M2063" s="12" t="s">
        <v>137</v>
      </c>
      <c r="N2063" s="23"/>
      <c r="O2063" s="22"/>
      <c r="P2063" s="22"/>
    </row>
    <row r="2064" ht="22.5" customHeight="1">
      <c r="A2064" s="12" t="s">
        <v>22</v>
      </c>
      <c r="B2064" s="20" t="str">
        <f>IFERROR(VLOOKUP(A2064,Sheet1!$E$3:$H$27,4,0),"")</f>
        <v>P2</v>
      </c>
      <c r="C2064" s="14" t="s">
        <v>175</v>
      </c>
      <c r="D2064" s="12" t="s">
        <v>16</v>
      </c>
      <c r="E2064" s="13" t="str">
        <f>IFERROR(VLOOKUP(D2064,Sheet1!$B$1:$C$45,2,0),"")</f>
        <v>TE</v>
      </c>
      <c r="F2064" s="12" t="s">
        <v>108</v>
      </c>
      <c r="G2064" s="13" t="str">
        <f t="shared" si="8"/>
        <v>Barito Raya</v>
      </c>
      <c r="H2064" s="15" t="str">
        <f>IFERROR(VLOOKUP(A2064,Sheet1!$E$3:$F$27,2,),"")</f>
        <v>Preventive</v>
      </c>
      <c r="I2064" s="16" t="str">
        <f>IFERROR(VLOOKUP(A2064,Sheet1!$E$3:$G$27,3,0),"")</f>
        <v>Preventive Maintenance</v>
      </c>
      <c r="J2064" s="12" t="s">
        <v>112</v>
      </c>
      <c r="K2064" s="17">
        <v>46126.0</v>
      </c>
      <c r="L2064" s="17">
        <v>46126.0</v>
      </c>
      <c r="M2064" s="12" t="s">
        <v>137</v>
      </c>
      <c r="N2064" s="23"/>
      <c r="O2064" s="22"/>
      <c r="P2064" s="22"/>
    </row>
    <row r="2065" ht="22.5" customHeight="1">
      <c r="A2065" s="12" t="s">
        <v>52</v>
      </c>
      <c r="B2065" s="20" t="str">
        <f>IFERROR(VLOOKUP(A2065,Sheet1!$E$3:$H$27,4,0),"")</f>
        <v>P1</v>
      </c>
      <c r="C2065" s="14" t="s">
        <v>407</v>
      </c>
      <c r="D2065" s="12" t="s">
        <v>21</v>
      </c>
      <c r="E2065" s="13" t="str">
        <f>IFERROR(VLOOKUP(D2065,Sheet1!$B$1:$C$45,2,0),"")</f>
        <v>TE</v>
      </c>
      <c r="F2065" s="12" t="s">
        <v>108</v>
      </c>
      <c r="G2065" s="13" t="str">
        <f t="shared" si="8"/>
        <v>Barito Raya</v>
      </c>
      <c r="H2065" s="15" t="str">
        <f>IFERROR(VLOOKUP(A2065,Sheet1!$E$3:$F$27,2,),"")</f>
        <v>Preventive</v>
      </c>
      <c r="I2065" s="16" t="str">
        <f>IFERROR(VLOOKUP(A2065,Sheet1!$E$3:$G$27,3,0),"")</f>
        <v>MCB trip/Power upnormal</v>
      </c>
      <c r="J2065" s="12" t="s">
        <v>112</v>
      </c>
      <c r="K2065" s="17">
        <v>46126.0</v>
      </c>
      <c r="L2065" s="17">
        <v>46126.0</v>
      </c>
      <c r="M2065" s="12" t="s">
        <v>109</v>
      </c>
      <c r="N2065" s="23"/>
      <c r="O2065" s="22"/>
      <c r="P2065" s="22"/>
    </row>
    <row r="2066" ht="22.5" customHeight="1">
      <c r="A2066" s="12" t="s">
        <v>14</v>
      </c>
      <c r="B2066" s="20" t="str">
        <f>IFERROR(VLOOKUP(A2066,Sheet1!$E$3:$H$27,4,0),"")</f>
        <v>P1</v>
      </c>
      <c r="C2066" s="14" t="s">
        <v>669</v>
      </c>
      <c r="D2066" s="12" t="s">
        <v>26</v>
      </c>
      <c r="E2066" s="13" t="str">
        <f>IFERROR(VLOOKUP(D2066,Sheet1!$B$1:$C$45,2,0),"")</f>
        <v>TE</v>
      </c>
      <c r="F2066" s="12" t="s">
        <v>108</v>
      </c>
      <c r="G2066" s="13" t="str">
        <f t="shared" si="8"/>
        <v>Barito Raya</v>
      </c>
      <c r="H2066" s="15" t="str">
        <f>IFERROR(VLOOKUP(A2066,Sheet1!$E$3:$F$27,2,),"")</f>
        <v>Corrective</v>
      </c>
      <c r="I2066" s="16" t="str">
        <f>IFERROR(VLOOKUP(A2066,Sheet1!$E$3:$G$27,3,0),"")</f>
        <v>Pemadaman,MCB Trip,Transmisi problem</v>
      </c>
      <c r="J2066" s="12" t="s">
        <v>112</v>
      </c>
      <c r="K2066" s="17">
        <v>46126.0</v>
      </c>
      <c r="L2066" s="17">
        <v>46126.0</v>
      </c>
      <c r="M2066" s="12" t="s">
        <v>109</v>
      </c>
      <c r="N2066" s="23"/>
      <c r="O2066" s="22"/>
      <c r="P2066" s="22"/>
    </row>
    <row r="2067" ht="22.5" customHeight="1">
      <c r="A2067" s="12" t="s">
        <v>5</v>
      </c>
      <c r="B2067" s="20" t="str">
        <f>IFERROR(VLOOKUP(A2067,Sheet1!$E$3:$H$27,4,0),"")</f>
        <v>P1</v>
      </c>
      <c r="C2067" s="14" t="s">
        <v>670</v>
      </c>
      <c r="D2067" s="12" t="s">
        <v>32</v>
      </c>
      <c r="E2067" s="13" t="str">
        <f>IFERROR(VLOOKUP(D2067,Sheet1!$B$1:$C$45,2,0),"")</f>
        <v>TE</v>
      </c>
      <c r="F2067" s="12" t="s">
        <v>108</v>
      </c>
      <c r="G2067" s="13" t="str">
        <f t="shared" si="8"/>
        <v>Barito Raya</v>
      </c>
      <c r="H2067" s="15" t="str">
        <f>IFERROR(VLOOKUP(A2067,Sheet1!$E$3:$F$27,2,),"")</f>
        <v>Corrective</v>
      </c>
      <c r="I2067" s="16" t="str">
        <f>IFERROR(VLOOKUP(A2067,Sheet1!$E$3:$G$27,3,0),"")</f>
        <v>Replace Optik,RRU/Soket Power/Replace GPS</v>
      </c>
      <c r="J2067" s="12" t="s">
        <v>112</v>
      </c>
      <c r="K2067" s="17">
        <v>46126.0</v>
      </c>
      <c r="L2067" s="17">
        <v>46126.0</v>
      </c>
      <c r="M2067" s="12" t="s">
        <v>109</v>
      </c>
      <c r="N2067" s="23"/>
      <c r="O2067" s="22"/>
      <c r="P2067" s="22"/>
    </row>
    <row r="2068" ht="22.5" customHeight="1">
      <c r="A2068" s="12" t="s">
        <v>5</v>
      </c>
      <c r="B2068" s="20" t="str">
        <f>IFERROR(VLOOKUP(A2068,Sheet1!$E$3:$H$27,4,0),"")</f>
        <v>P1</v>
      </c>
      <c r="C2068" s="14" t="s">
        <v>516</v>
      </c>
      <c r="D2068" s="12" t="s">
        <v>74</v>
      </c>
      <c r="E2068" s="13" t="str">
        <f>IFERROR(VLOOKUP(D2068,Sheet1!$B$1:$C$45,2,0),"")</f>
        <v>TE</v>
      </c>
      <c r="F2068" s="12" t="s">
        <v>108</v>
      </c>
      <c r="G2068" s="13" t="str">
        <f t="shared" si="8"/>
        <v>Barito Raya</v>
      </c>
      <c r="H2068" s="15" t="str">
        <f>IFERROR(VLOOKUP(A2068,Sheet1!$E$3:$F$27,2,),"")</f>
        <v>Corrective</v>
      </c>
      <c r="I2068" s="16" t="str">
        <f>IFERROR(VLOOKUP(A2068,Sheet1!$E$3:$G$27,3,0),"")</f>
        <v>Replace Optik,RRU/Soket Power/Replace GPS</v>
      </c>
      <c r="J2068" s="12" t="s">
        <v>112</v>
      </c>
      <c r="K2068" s="17">
        <v>46126.0</v>
      </c>
      <c r="L2068" s="17">
        <v>46126.0</v>
      </c>
      <c r="M2068" s="12" t="s">
        <v>109</v>
      </c>
      <c r="N2068" s="23"/>
      <c r="O2068" s="22"/>
      <c r="P2068" s="22"/>
    </row>
    <row r="2069" ht="22.5" customHeight="1">
      <c r="A2069" s="12" t="s">
        <v>65</v>
      </c>
      <c r="B2069" s="20" t="str">
        <f>IFERROR(VLOOKUP(A2069,Sheet1!$E$3:$H$27,4,0),"")</f>
        <v>P3</v>
      </c>
      <c r="C2069" s="14" t="s">
        <v>473</v>
      </c>
      <c r="D2069" s="12" t="s">
        <v>60</v>
      </c>
      <c r="E2069" s="13" t="str">
        <f>IFERROR(VLOOKUP(D2069,Sheet1!$B$1:$C$45,2,0),"")</f>
        <v>TE</v>
      </c>
      <c r="F2069" s="12" t="s">
        <v>108</v>
      </c>
      <c r="G2069" s="13" t="str">
        <f t="shared" si="8"/>
        <v>Barito Raya</v>
      </c>
      <c r="H2069" s="15" t="str">
        <f>IFERROR(VLOOKUP(A2069,Sheet1!$E$3:$F$27,2,),"")</f>
        <v>Standby</v>
      </c>
      <c r="I2069" s="16" t="str">
        <f>IFERROR(VLOOKUP(A2069,Sheet1!$E$3:$G$27,3,0),"")</f>
        <v>Standby On Call</v>
      </c>
      <c r="J2069" s="20"/>
      <c r="K2069" s="17">
        <v>46126.0</v>
      </c>
      <c r="L2069" s="17">
        <v>46126.0</v>
      </c>
      <c r="M2069" s="13"/>
      <c r="N2069" s="23"/>
      <c r="O2069" s="22"/>
      <c r="P2069" s="22"/>
    </row>
    <row r="2070" ht="22.5" customHeight="1">
      <c r="A2070" s="12" t="s">
        <v>52</v>
      </c>
      <c r="B2070" s="20" t="str">
        <f>IFERROR(VLOOKUP(A2070,Sheet1!$E$3:$H$27,4,0),"")</f>
        <v>P1</v>
      </c>
      <c r="C2070" s="14" t="s">
        <v>412</v>
      </c>
      <c r="D2070" s="12" t="s">
        <v>62</v>
      </c>
      <c r="E2070" s="13" t="str">
        <f>IFERROR(VLOOKUP(D2070,Sheet1!$B$1:$C$45,2,0),"")</f>
        <v>TE</v>
      </c>
      <c r="F2070" s="12" t="s">
        <v>108</v>
      </c>
      <c r="G2070" s="13" t="str">
        <f t="shared" si="8"/>
        <v>Barito Raya</v>
      </c>
      <c r="H2070" s="15" t="str">
        <f>IFERROR(VLOOKUP(A2070,Sheet1!$E$3:$F$27,2,),"")</f>
        <v>Preventive</v>
      </c>
      <c r="I2070" s="16" t="str">
        <f>IFERROR(VLOOKUP(A2070,Sheet1!$E$3:$G$27,3,0),"")</f>
        <v>MCB trip/Power upnormal</v>
      </c>
      <c r="J2070" s="12" t="s">
        <v>112</v>
      </c>
      <c r="K2070" s="17">
        <v>46126.0</v>
      </c>
      <c r="L2070" s="17">
        <v>46126.0</v>
      </c>
      <c r="M2070" s="13"/>
      <c r="N2070" s="23"/>
      <c r="O2070" s="22"/>
      <c r="P2070" s="22"/>
    </row>
    <row r="2071" ht="22.5" customHeight="1">
      <c r="A2071" s="12" t="s">
        <v>52</v>
      </c>
      <c r="B2071" s="20" t="str">
        <f>IFERROR(VLOOKUP(A2071,Sheet1!$E$3:$H$27,4,0),"")</f>
        <v>P1</v>
      </c>
      <c r="C2071" s="14" t="s">
        <v>185</v>
      </c>
      <c r="D2071" s="12" t="s">
        <v>9</v>
      </c>
      <c r="E2071" s="13" t="str">
        <f>IFERROR(VLOOKUP(D2071,Sheet1!$B$1:$C$45,2,0),"")</f>
        <v>MBP</v>
      </c>
      <c r="F2071" s="12" t="s">
        <v>108</v>
      </c>
      <c r="G2071" s="13" t="str">
        <f t="shared" si="8"/>
        <v>Barito Raya</v>
      </c>
      <c r="H2071" s="15" t="str">
        <f>IFERROR(VLOOKUP(A2071,Sheet1!$E$3:$F$27,2,),"")</f>
        <v>Preventive</v>
      </c>
      <c r="I2071" s="16" t="str">
        <f>IFERROR(VLOOKUP(A2071,Sheet1!$E$3:$G$27,3,0),"")</f>
        <v>MCB trip/Power upnormal</v>
      </c>
      <c r="J2071" s="12" t="s">
        <v>112</v>
      </c>
      <c r="K2071" s="17">
        <v>46126.0</v>
      </c>
      <c r="L2071" s="17">
        <v>46126.0</v>
      </c>
      <c r="M2071" s="12" t="s">
        <v>109</v>
      </c>
      <c r="N2071" s="23"/>
      <c r="O2071" s="22"/>
      <c r="P2071" s="22"/>
    </row>
    <row r="2072" ht="22.5" customHeight="1">
      <c r="A2072" s="12" t="s">
        <v>65</v>
      </c>
      <c r="B2072" s="20" t="str">
        <f>IFERROR(VLOOKUP(A2072,Sheet1!$E$3:$H$27,4,0),"")</f>
        <v>P3</v>
      </c>
      <c r="C2072" s="15"/>
      <c r="D2072" s="12" t="s">
        <v>4</v>
      </c>
      <c r="E2072" s="13" t="str">
        <f>IFERROR(VLOOKUP(D2072,Sheet1!$B$1:$C$45,2,0),"")</f>
        <v>CME</v>
      </c>
      <c r="F2072" s="12" t="s">
        <v>108</v>
      </c>
      <c r="G2072" s="13" t="str">
        <f t="shared" si="8"/>
        <v>Barito Raya</v>
      </c>
      <c r="H2072" s="15" t="str">
        <f>IFERROR(VLOOKUP(A2072,Sheet1!$E$3:$F$27,2,),"")</f>
        <v>Standby</v>
      </c>
      <c r="I2072" s="16" t="str">
        <f>IFERROR(VLOOKUP(A2072,Sheet1!$E$3:$G$27,3,0),"")</f>
        <v>Standby On Call</v>
      </c>
      <c r="J2072" s="12" t="s">
        <v>66</v>
      </c>
      <c r="K2072" s="17">
        <v>46126.0</v>
      </c>
      <c r="L2072" s="17">
        <v>46126.0</v>
      </c>
      <c r="M2072" s="13"/>
      <c r="N2072" s="23"/>
      <c r="O2072" s="22"/>
      <c r="P2072" s="22"/>
    </row>
    <row r="2073" ht="22.5" customHeight="1">
      <c r="A2073" s="12" t="s">
        <v>14</v>
      </c>
      <c r="B2073" s="20" t="str">
        <f>IFERROR(VLOOKUP(A2073,Sheet1!$E$3:$H$27,4,0),"")</f>
        <v>P1</v>
      </c>
      <c r="C2073" s="14" t="s">
        <v>669</v>
      </c>
      <c r="D2073" s="12" t="s">
        <v>87</v>
      </c>
      <c r="E2073" s="13" t="str">
        <f>IFERROR(VLOOKUP(D2073,Sheet1!$B$1:$C$45,2,0),"")</f>
        <v>MBP</v>
      </c>
      <c r="F2073" s="12" t="s">
        <v>108</v>
      </c>
      <c r="G2073" s="13" t="str">
        <f t="shared" si="8"/>
        <v>Barito Raya</v>
      </c>
      <c r="H2073" s="15" t="str">
        <f>IFERROR(VLOOKUP(A2073,Sheet1!$E$3:$F$27,2,),"")</f>
        <v>Corrective</v>
      </c>
      <c r="I2073" s="16" t="str">
        <f>IFERROR(VLOOKUP(A2073,Sheet1!$E$3:$G$27,3,0),"")</f>
        <v>Pemadaman,MCB Trip,Transmisi problem</v>
      </c>
      <c r="J2073" s="12" t="s">
        <v>112</v>
      </c>
      <c r="K2073" s="17">
        <v>46126.0</v>
      </c>
      <c r="L2073" s="17">
        <v>46126.0</v>
      </c>
      <c r="M2073" s="12" t="s">
        <v>109</v>
      </c>
      <c r="N2073" s="23"/>
      <c r="O2073" s="22"/>
      <c r="P2073" s="22"/>
    </row>
    <row r="2074" ht="22.5" customHeight="1">
      <c r="A2074" s="12" t="s">
        <v>5</v>
      </c>
      <c r="B2074" s="20" t="str">
        <f>IFERROR(VLOOKUP(A2074,Sheet1!$E$3:$H$27,4,0),"")</f>
        <v>P1</v>
      </c>
      <c r="C2074" s="14" t="s">
        <v>670</v>
      </c>
      <c r="D2074" s="12" t="s">
        <v>29</v>
      </c>
      <c r="E2074" s="13" t="str">
        <f>IFERROR(VLOOKUP(D2074,Sheet1!$B$1:$C$45,2,0),"")</f>
        <v>MBP</v>
      </c>
      <c r="F2074" s="12" t="s">
        <v>108</v>
      </c>
      <c r="G2074" s="13" t="str">
        <f t="shared" si="8"/>
        <v>Barito Raya</v>
      </c>
      <c r="H2074" s="15" t="str">
        <f>IFERROR(VLOOKUP(A2074,Sheet1!$E$3:$F$27,2,),"")</f>
        <v>Corrective</v>
      </c>
      <c r="I2074" s="16" t="str">
        <f>IFERROR(VLOOKUP(A2074,Sheet1!$E$3:$G$27,3,0),"")</f>
        <v>Replace Optik,RRU/Soket Power/Replace GPS</v>
      </c>
      <c r="J2074" s="12" t="s">
        <v>112</v>
      </c>
      <c r="K2074" s="17">
        <v>46126.0</v>
      </c>
      <c r="L2074" s="17">
        <v>46126.0</v>
      </c>
      <c r="M2074" s="12" t="s">
        <v>109</v>
      </c>
      <c r="N2074" s="23"/>
      <c r="O2074" s="22"/>
      <c r="P2074" s="22"/>
    </row>
    <row r="2075" ht="22.5" customHeight="1">
      <c r="A2075" s="12" t="s">
        <v>52</v>
      </c>
      <c r="B2075" s="20" t="str">
        <f>IFERROR(VLOOKUP(A2075,Sheet1!$E$3:$H$27,4,0),"")</f>
        <v>P1</v>
      </c>
      <c r="C2075" s="14" t="s">
        <v>134</v>
      </c>
      <c r="D2075" s="12" t="s">
        <v>2</v>
      </c>
      <c r="E2075" s="13" t="str">
        <f>IFERROR(VLOOKUP(D2075,Sheet1!$B$1:$C$45,2,0),"")</f>
        <v>CME</v>
      </c>
      <c r="F2075" s="12" t="s">
        <v>108</v>
      </c>
      <c r="G2075" s="13" t="str">
        <f t="shared" si="8"/>
        <v>Barito Raya</v>
      </c>
      <c r="H2075" s="15" t="str">
        <f>IFERROR(VLOOKUP(A2075,Sheet1!$E$3:$F$27,2,),"")</f>
        <v>Preventive</v>
      </c>
      <c r="I2075" s="16" t="str">
        <f>IFERROR(VLOOKUP(A2075,Sheet1!$E$3:$G$27,3,0),"")</f>
        <v>MCB trip/Power upnormal</v>
      </c>
      <c r="J2075" s="12" t="s">
        <v>112</v>
      </c>
      <c r="K2075" s="17">
        <v>46126.0</v>
      </c>
      <c r="L2075" s="17">
        <v>46126.0</v>
      </c>
      <c r="M2075" s="12" t="s">
        <v>109</v>
      </c>
      <c r="N2075" s="23"/>
      <c r="O2075" s="22"/>
      <c r="P2075" s="22"/>
    </row>
    <row r="2076" ht="22.5" customHeight="1">
      <c r="A2076" s="12" t="s">
        <v>65</v>
      </c>
      <c r="B2076" s="20" t="str">
        <f>IFERROR(VLOOKUP(A2076,Sheet1!$E$3:$H$27,4,0),"")</f>
        <v>P3</v>
      </c>
      <c r="C2076" s="15"/>
      <c r="D2076" s="12" t="s">
        <v>0</v>
      </c>
      <c r="E2076" s="13" t="str">
        <f>IFERROR(VLOOKUP(D2076,Sheet1!$B$1:$C$45,2,0),"")</f>
        <v>MBP</v>
      </c>
      <c r="F2076" s="12" t="s">
        <v>108</v>
      </c>
      <c r="G2076" s="13" t="str">
        <f t="shared" si="8"/>
        <v>Barito Raya</v>
      </c>
      <c r="H2076" s="15" t="str">
        <f>IFERROR(VLOOKUP(A2076,Sheet1!$E$3:$F$27,2,),"")</f>
        <v>Standby</v>
      </c>
      <c r="I2076" s="16" t="str">
        <f>IFERROR(VLOOKUP(A2076,Sheet1!$E$3:$G$27,3,0),"")</f>
        <v>Standby On Call</v>
      </c>
      <c r="J2076" s="12" t="s">
        <v>66</v>
      </c>
      <c r="K2076" s="17">
        <v>46126.0</v>
      </c>
      <c r="L2076" s="17">
        <v>46126.0</v>
      </c>
      <c r="M2076" s="13"/>
      <c r="N2076" s="23"/>
      <c r="O2076" s="22"/>
      <c r="P2076" s="22"/>
    </row>
    <row r="2077" ht="22.5" customHeight="1">
      <c r="A2077" s="12" t="s">
        <v>22</v>
      </c>
      <c r="B2077" s="20" t="str">
        <f>IFERROR(VLOOKUP(A2077,Sheet1!$E$3:$H$27,4,0),"")</f>
        <v>P2</v>
      </c>
      <c r="C2077" s="14" t="s">
        <v>671</v>
      </c>
      <c r="D2077" s="12" t="s">
        <v>85</v>
      </c>
      <c r="E2077" s="13" t="str">
        <f>IFERROR(VLOOKUP(D2077,Sheet1!$B$1:$C$45,2,0),"")</f>
        <v>PM</v>
      </c>
      <c r="F2077" s="12" t="s">
        <v>108</v>
      </c>
      <c r="G2077" s="13" t="str">
        <f t="shared" si="8"/>
        <v>Barito Raya</v>
      </c>
      <c r="H2077" s="15" t="str">
        <f>IFERROR(VLOOKUP(A2077,Sheet1!$E$3:$F$27,2,),"")</f>
        <v>Preventive</v>
      </c>
      <c r="I2077" s="16" t="str">
        <f>IFERROR(VLOOKUP(A2077,Sheet1!$E$3:$G$27,3,0),"")</f>
        <v>Preventive Maintenance</v>
      </c>
      <c r="J2077" s="12" t="s">
        <v>112</v>
      </c>
      <c r="K2077" s="17">
        <v>46126.0</v>
      </c>
      <c r="L2077" s="17">
        <v>46126.0</v>
      </c>
      <c r="M2077" s="12" t="s">
        <v>137</v>
      </c>
      <c r="N2077" s="23"/>
      <c r="O2077" s="22"/>
      <c r="P2077" s="22"/>
    </row>
    <row r="2078" ht="22.5" customHeight="1">
      <c r="A2078" s="12" t="s">
        <v>22</v>
      </c>
      <c r="B2078" s="20" t="str">
        <f>IFERROR(VLOOKUP(A2078,Sheet1!$E$3:$H$27,4,0),"")</f>
        <v>P2</v>
      </c>
      <c r="C2078" s="14" t="s">
        <v>671</v>
      </c>
      <c r="D2078" s="12" t="s">
        <v>84</v>
      </c>
      <c r="E2078" s="13" t="str">
        <f>IFERROR(VLOOKUP(D2078,Sheet1!$B$1:$C$45,2,0),"")</f>
        <v>MBP</v>
      </c>
      <c r="F2078" s="12" t="s">
        <v>108</v>
      </c>
      <c r="G2078" s="13" t="str">
        <f t="shared" si="8"/>
        <v>Barito Raya</v>
      </c>
      <c r="H2078" s="15" t="str">
        <f>IFERROR(VLOOKUP(A2078,Sheet1!$E$3:$F$27,2,),"")</f>
        <v>Preventive</v>
      </c>
      <c r="I2078" s="16" t="str">
        <f>IFERROR(VLOOKUP(A2078,Sheet1!$E$3:$G$27,3,0),"")</f>
        <v>Preventive Maintenance</v>
      </c>
      <c r="J2078" s="12" t="s">
        <v>112</v>
      </c>
      <c r="K2078" s="17">
        <v>46126.0</v>
      </c>
      <c r="L2078" s="17">
        <v>46126.0</v>
      </c>
      <c r="M2078" s="12" t="s">
        <v>137</v>
      </c>
      <c r="N2078" s="23"/>
      <c r="O2078" s="22"/>
      <c r="P2078" s="22"/>
    </row>
    <row r="2079" ht="22.5" hidden="1" customHeight="1">
      <c r="A2079" s="12" t="s">
        <v>22</v>
      </c>
      <c r="B2079" s="20" t="str">
        <f>IFERROR(VLOOKUP(A2079,Sheet1!$E$3:$H$27,4,0),"")</f>
        <v>P2</v>
      </c>
      <c r="C2079" s="14" t="s">
        <v>672</v>
      </c>
      <c r="D2079" s="12" t="s">
        <v>86</v>
      </c>
      <c r="E2079" s="13" t="str">
        <f>IFERROR(VLOOKUP(D2079,Sheet1!$B$1:$C$45,2,0),"")</f>
        <v>PM</v>
      </c>
      <c r="F2079" s="12" t="s">
        <v>108</v>
      </c>
      <c r="G2079" s="13" t="str">
        <f t="shared" si="8"/>
        <v>Barito Raya</v>
      </c>
      <c r="H2079" s="15" t="str">
        <f>IFERROR(VLOOKUP(A2079,Sheet1!$E$3:$F$27,2,),"")</f>
        <v>Preventive</v>
      </c>
      <c r="I2079" s="16" t="str">
        <f>IFERROR(VLOOKUP(A2079,Sheet1!$E$3:$G$27,3,0),"")</f>
        <v>Preventive Maintenance</v>
      </c>
      <c r="J2079" s="12" t="s">
        <v>112</v>
      </c>
      <c r="K2079" s="17">
        <v>46126.0</v>
      </c>
      <c r="L2079" s="17">
        <v>46126.0</v>
      </c>
      <c r="M2079" s="12" t="s">
        <v>137</v>
      </c>
      <c r="N2079" s="23"/>
      <c r="O2079" s="22"/>
      <c r="P2079" s="22"/>
    </row>
    <row r="2080" ht="22.5" customHeight="1">
      <c r="A2080" s="12" t="s">
        <v>5</v>
      </c>
      <c r="B2080" s="20" t="str">
        <f>IFERROR(VLOOKUP(A2080,Sheet1!$E$3:$H$27,4,0),"")</f>
        <v>P1</v>
      </c>
      <c r="C2080" s="14" t="s">
        <v>139</v>
      </c>
      <c r="D2080" s="12" t="s">
        <v>12</v>
      </c>
      <c r="E2080" s="13" t="str">
        <f>IFERROR(VLOOKUP(D2080,Sheet1!$B$1:$C$45,2,0),"")</f>
        <v>TE</v>
      </c>
      <c r="F2080" s="12" t="s">
        <v>108</v>
      </c>
      <c r="G2080" s="13" t="str">
        <f t="shared" si="8"/>
        <v>Barito Raya</v>
      </c>
      <c r="H2080" s="15" t="str">
        <f>IFERROR(VLOOKUP(A2080,Sheet1!$E$3:$F$27,2,),"")</f>
        <v>Corrective</v>
      </c>
      <c r="I2080" s="16" t="str">
        <f>IFERROR(VLOOKUP(A2080,Sheet1!$E$3:$G$27,3,0),"")</f>
        <v>Replace Optik,RRU/Soket Power/Replace GPS</v>
      </c>
      <c r="J2080" s="12" t="s">
        <v>112</v>
      </c>
      <c r="K2080" s="17">
        <v>46127.0</v>
      </c>
      <c r="L2080" s="17">
        <v>46127.0</v>
      </c>
      <c r="M2080" s="13"/>
      <c r="N2080" s="23"/>
      <c r="O2080" s="22"/>
      <c r="P2080" s="22"/>
    </row>
    <row r="2081" ht="22.5" customHeight="1">
      <c r="A2081" s="12" t="s">
        <v>52</v>
      </c>
      <c r="B2081" s="20" t="str">
        <f>IFERROR(VLOOKUP(A2081,Sheet1!$E$3:$H$27,4,0),"")</f>
        <v>P1</v>
      </c>
      <c r="C2081" s="14" t="s">
        <v>286</v>
      </c>
      <c r="D2081" s="12" t="s">
        <v>16</v>
      </c>
      <c r="E2081" s="13" t="str">
        <f>IFERROR(VLOOKUP(D2081,Sheet1!$B$1:$C$45,2,0),"")</f>
        <v>TE</v>
      </c>
      <c r="F2081" s="12" t="s">
        <v>108</v>
      </c>
      <c r="G2081" s="13" t="str">
        <f t="shared" si="8"/>
        <v>Barito Raya</v>
      </c>
      <c r="H2081" s="15" t="str">
        <f>IFERROR(VLOOKUP(A2081,Sheet1!$E$3:$F$27,2,),"")</f>
        <v>Preventive</v>
      </c>
      <c r="I2081" s="16" t="str">
        <f>IFERROR(VLOOKUP(A2081,Sheet1!$E$3:$G$27,3,0),"")</f>
        <v>MCB trip/Power upnormal</v>
      </c>
      <c r="J2081" s="12" t="s">
        <v>112</v>
      </c>
      <c r="K2081" s="17">
        <v>46127.0</v>
      </c>
      <c r="L2081" s="17">
        <v>46127.0</v>
      </c>
      <c r="M2081" s="12" t="s">
        <v>137</v>
      </c>
      <c r="N2081" s="23"/>
      <c r="O2081" s="22"/>
      <c r="P2081" s="22"/>
    </row>
    <row r="2082" ht="22.5" customHeight="1">
      <c r="A2082" s="12" t="s">
        <v>5</v>
      </c>
      <c r="B2082" s="20" t="str">
        <f>IFERROR(VLOOKUP(A2082,Sheet1!$E$3:$H$27,4,0),"")</f>
        <v>P1</v>
      </c>
      <c r="C2082" s="14" t="s">
        <v>161</v>
      </c>
      <c r="D2082" s="12" t="s">
        <v>21</v>
      </c>
      <c r="E2082" s="13" t="str">
        <f>IFERROR(VLOOKUP(D2082,Sheet1!$B$1:$C$45,2,0),"")</f>
        <v>TE</v>
      </c>
      <c r="F2082" s="12" t="s">
        <v>108</v>
      </c>
      <c r="G2082" s="13" t="str">
        <f t="shared" si="8"/>
        <v>Barito Raya</v>
      </c>
      <c r="H2082" s="15" t="str">
        <f>IFERROR(VLOOKUP(A2082,Sheet1!$E$3:$F$27,2,),"")</f>
        <v>Corrective</v>
      </c>
      <c r="I2082" s="16" t="str">
        <f>IFERROR(VLOOKUP(A2082,Sheet1!$E$3:$G$27,3,0),"")</f>
        <v>Replace Optik,RRU/Soket Power/Replace GPS</v>
      </c>
      <c r="J2082" s="12" t="s">
        <v>112</v>
      </c>
      <c r="K2082" s="17">
        <v>46127.0</v>
      </c>
      <c r="L2082" s="17">
        <v>46127.0</v>
      </c>
      <c r="M2082" s="12" t="s">
        <v>137</v>
      </c>
      <c r="N2082" s="23"/>
      <c r="O2082" s="22"/>
      <c r="P2082" s="22"/>
    </row>
    <row r="2083" ht="22.5" customHeight="1">
      <c r="A2083" s="12" t="s">
        <v>5</v>
      </c>
      <c r="B2083" s="20" t="str">
        <f>IFERROR(VLOOKUP(A2083,Sheet1!$E$3:$H$27,4,0),"")</f>
        <v>P1</v>
      </c>
      <c r="C2083" s="14" t="s">
        <v>514</v>
      </c>
      <c r="D2083" s="12" t="s">
        <v>26</v>
      </c>
      <c r="E2083" s="13" t="str">
        <f>IFERROR(VLOOKUP(D2083,Sheet1!$B$1:$C$45,2,0),"")</f>
        <v>TE</v>
      </c>
      <c r="F2083" s="12" t="s">
        <v>108</v>
      </c>
      <c r="G2083" s="13" t="str">
        <f t="shared" si="8"/>
        <v>Barito Raya</v>
      </c>
      <c r="H2083" s="15" t="str">
        <f>IFERROR(VLOOKUP(A2083,Sheet1!$E$3:$F$27,2,),"")</f>
        <v>Corrective</v>
      </c>
      <c r="I2083" s="16" t="str">
        <f>IFERROR(VLOOKUP(A2083,Sheet1!$E$3:$G$27,3,0),"")</f>
        <v>Replace Optik,RRU/Soket Power/Replace GPS</v>
      </c>
      <c r="J2083" s="12" t="s">
        <v>112</v>
      </c>
      <c r="K2083" s="17">
        <v>46127.0</v>
      </c>
      <c r="L2083" s="17">
        <v>46127.0</v>
      </c>
      <c r="M2083" s="12" t="s">
        <v>137</v>
      </c>
      <c r="N2083" s="23"/>
      <c r="O2083" s="22"/>
      <c r="P2083" s="22"/>
    </row>
    <row r="2084" ht="22.5" customHeight="1">
      <c r="A2084" s="12" t="s">
        <v>5</v>
      </c>
      <c r="B2084" s="20" t="str">
        <f>IFERROR(VLOOKUP(A2084,Sheet1!$E$3:$H$27,4,0),"")</f>
        <v>P1</v>
      </c>
      <c r="C2084" s="14" t="s">
        <v>289</v>
      </c>
      <c r="D2084" s="12" t="s">
        <v>32</v>
      </c>
      <c r="E2084" s="13" t="str">
        <f>IFERROR(VLOOKUP(D2084,Sheet1!$B$1:$C$45,2,0),"")</f>
        <v>TE</v>
      </c>
      <c r="F2084" s="12" t="s">
        <v>108</v>
      </c>
      <c r="G2084" s="13" t="str">
        <f t="shared" si="8"/>
        <v>Barito Raya</v>
      </c>
      <c r="H2084" s="15" t="str">
        <f>IFERROR(VLOOKUP(A2084,Sheet1!$E$3:$F$27,2,),"")</f>
        <v>Corrective</v>
      </c>
      <c r="I2084" s="16" t="str">
        <f>IFERROR(VLOOKUP(A2084,Sheet1!$E$3:$G$27,3,0),"")</f>
        <v>Replace Optik,RRU/Soket Power/Replace GPS</v>
      </c>
      <c r="J2084" s="12" t="s">
        <v>112</v>
      </c>
      <c r="K2084" s="17">
        <v>46127.0</v>
      </c>
      <c r="L2084" s="17">
        <v>46127.0</v>
      </c>
      <c r="M2084" s="12" t="s">
        <v>137</v>
      </c>
      <c r="N2084" s="23"/>
      <c r="O2084" s="22"/>
      <c r="P2084" s="22"/>
    </row>
    <row r="2085" ht="22.5" customHeight="1">
      <c r="A2085" s="12" t="s">
        <v>52</v>
      </c>
      <c r="B2085" s="20" t="str">
        <f>IFERROR(VLOOKUP(A2085,Sheet1!$E$3:$H$27,4,0),"")</f>
        <v>P1</v>
      </c>
      <c r="C2085" s="14" t="s">
        <v>263</v>
      </c>
      <c r="D2085" s="12" t="s">
        <v>74</v>
      </c>
      <c r="E2085" s="13" t="str">
        <f>IFERROR(VLOOKUP(D2085,Sheet1!$B$1:$C$45,2,0),"")</f>
        <v>TE</v>
      </c>
      <c r="F2085" s="12" t="s">
        <v>108</v>
      </c>
      <c r="G2085" s="13" t="str">
        <f t="shared" si="8"/>
        <v>Barito Raya</v>
      </c>
      <c r="H2085" s="15" t="str">
        <f>IFERROR(VLOOKUP(A2085,Sheet1!$E$3:$F$27,2,),"")</f>
        <v>Preventive</v>
      </c>
      <c r="I2085" s="16" t="str">
        <f>IFERROR(VLOOKUP(A2085,Sheet1!$E$3:$G$27,3,0),"")</f>
        <v>MCB trip/Power upnormal</v>
      </c>
      <c r="J2085" s="12" t="s">
        <v>112</v>
      </c>
      <c r="K2085" s="17">
        <v>46127.0</v>
      </c>
      <c r="L2085" s="17">
        <v>46127.0</v>
      </c>
      <c r="M2085" s="12" t="s">
        <v>137</v>
      </c>
      <c r="N2085" s="23"/>
      <c r="O2085" s="22"/>
      <c r="P2085" s="22"/>
    </row>
    <row r="2086" ht="22.5" customHeight="1">
      <c r="A2086" s="12" t="s">
        <v>5</v>
      </c>
      <c r="B2086" s="20" t="str">
        <f>IFERROR(VLOOKUP(A2086,Sheet1!$E$3:$H$27,4,0),"")</f>
        <v>P1</v>
      </c>
      <c r="C2086" s="14" t="s">
        <v>329</v>
      </c>
      <c r="D2086" s="12" t="s">
        <v>60</v>
      </c>
      <c r="E2086" s="13" t="str">
        <f>IFERROR(VLOOKUP(D2086,Sheet1!$B$1:$C$45,2,0),"")</f>
        <v>TE</v>
      </c>
      <c r="F2086" s="12" t="s">
        <v>108</v>
      </c>
      <c r="G2086" s="13" t="str">
        <f t="shared" si="8"/>
        <v>Barito Raya</v>
      </c>
      <c r="H2086" s="15" t="str">
        <f>IFERROR(VLOOKUP(A2086,Sheet1!$E$3:$F$27,2,),"")</f>
        <v>Corrective</v>
      </c>
      <c r="I2086" s="16" t="str">
        <f>IFERROR(VLOOKUP(A2086,Sheet1!$E$3:$G$27,3,0),"")</f>
        <v>Replace Optik,RRU/Soket Power/Replace GPS</v>
      </c>
      <c r="J2086" s="12" t="s">
        <v>112</v>
      </c>
      <c r="K2086" s="17">
        <v>46127.0</v>
      </c>
      <c r="L2086" s="17">
        <v>46127.0</v>
      </c>
      <c r="M2086" s="13"/>
      <c r="N2086" s="23"/>
      <c r="O2086" s="22"/>
      <c r="P2086" s="22"/>
    </row>
    <row r="2087" ht="22.5" customHeight="1">
      <c r="A2087" s="12" t="s">
        <v>5</v>
      </c>
      <c r="B2087" s="20" t="str">
        <f>IFERROR(VLOOKUP(A2087,Sheet1!$E$3:$H$27,4,0),"")</f>
        <v>P1</v>
      </c>
      <c r="C2087" s="14" t="s">
        <v>329</v>
      </c>
      <c r="D2087" s="12" t="s">
        <v>62</v>
      </c>
      <c r="E2087" s="13" t="str">
        <f>IFERROR(VLOOKUP(D2087,Sheet1!$B$1:$C$45,2,0),"")</f>
        <v>TE</v>
      </c>
      <c r="F2087" s="12" t="s">
        <v>108</v>
      </c>
      <c r="G2087" s="13" t="str">
        <f t="shared" si="8"/>
        <v>Barito Raya</v>
      </c>
      <c r="H2087" s="15" t="str">
        <f>IFERROR(VLOOKUP(A2087,Sheet1!$E$3:$F$27,2,),"")</f>
        <v>Corrective</v>
      </c>
      <c r="I2087" s="16" t="str">
        <f>IFERROR(VLOOKUP(A2087,Sheet1!$E$3:$G$27,3,0),"")</f>
        <v>Replace Optik,RRU/Soket Power/Replace GPS</v>
      </c>
      <c r="J2087" s="12" t="s">
        <v>112</v>
      </c>
      <c r="K2087" s="17">
        <v>46127.0</v>
      </c>
      <c r="L2087" s="17">
        <v>46127.0</v>
      </c>
      <c r="M2087" s="13"/>
      <c r="N2087" s="23"/>
      <c r="O2087" s="22"/>
      <c r="P2087" s="22"/>
    </row>
    <row r="2088" ht="22.5" customHeight="1">
      <c r="A2088" s="12" t="s">
        <v>65</v>
      </c>
      <c r="B2088" s="20" t="str">
        <f>IFERROR(VLOOKUP(A2088,Sheet1!$E$3:$H$27,4,0),"")</f>
        <v>P3</v>
      </c>
      <c r="C2088" s="15"/>
      <c r="D2088" s="12" t="s">
        <v>9</v>
      </c>
      <c r="E2088" s="13" t="str">
        <f>IFERROR(VLOOKUP(D2088,Sheet1!$B$1:$C$45,2,0),"")</f>
        <v>MBP</v>
      </c>
      <c r="F2088" s="12" t="s">
        <v>108</v>
      </c>
      <c r="G2088" s="13" t="str">
        <f t="shared" si="8"/>
        <v>Barito Raya</v>
      </c>
      <c r="H2088" s="15" t="str">
        <f>IFERROR(VLOOKUP(A2088,Sheet1!$E$3:$F$27,2,),"")</f>
        <v>Standby</v>
      </c>
      <c r="I2088" s="16" t="str">
        <f>IFERROR(VLOOKUP(A2088,Sheet1!$E$3:$G$27,3,0),"")</f>
        <v>Standby On Call</v>
      </c>
      <c r="J2088" s="12" t="s">
        <v>66</v>
      </c>
      <c r="K2088" s="17">
        <v>46127.0</v>
      </c>
      <c r="L2088" s="17">
        <v>46127.0</v>
      </c>
      <c r="M2088" s="13"/>
      <c r="N2088" s="23"/>
      <c r="O2088" s="22"/>
      <c r="P2088" s="22"/>
    </row>
    <row r="2089" ht="22.5" customHeight="1">
      <c r="A2089" s="12" t="s">
        <v>5</v>
      </c>
      <c r="B2089" s="20" t="str">
        <f>IFERROR(VLOOKUP(A2089,Sheet1!$E$3:$H$27,4,0),"")</f>
        <v>P1</v>
      </c>
      <c r="C2089" s="14" t="s">
        <v>161</v>
      </c>
      <c r="D2089" s="12" t="s">
        <v>4</v>
      </c>
      <c r="E2089" s="13" t="str">
        <f>IFERROR(VLOOKUP(D2089,Sheet1!$B$1:$C$45,2,0),"")</f>
        <v>CME</v>
      </c>
      <c r="F2089" s="12" t="s">
        <v>108</v>
      </c>
      <c r="G2089" s="13" t="str">
        <f t="shared" si="8"/>
        <v>Barito Raya</v>
      </c>
      <c r="H2089" s="15" t="str">
        <f>IFERROR(VLOOKUP(A2089,Sheet1!$E$3:$F$27,2,),"")</f>
        <v>Corrective</v>
      </c>
      <c r="I2089" s="16" t="str">
        <f>IFERROR(VLOOKUP(A2089,Sheet1!$E$3:$G$27,3,0),"")</f>
        <v>Replace Optik,RRU/Soket Power/Replace GPS</v>
      </c>
      <c r="J2089" s="12" t="s">
        <v>112</v>
      </c>
      <c r="K2089" s="17">
        <v>46127.0</v>
      </c>
      <c r="L2089" s="17">
        <v>46127.0</v>
      </c>
      <c r="M2089" s="12" t="s">
        <v>137</v>
      </c>
      <c r="N2089" s="23"/>
      <c r="O2089" s="22"/>
      <c r="P2089" s="22"/>
    </row>
    <row r="2090" ht="22.5" customHeight="1">
      <c r="A2090" s="12" t="s">
        <v>5</v>
      </c>
      <c r="B2090" s="20" t="str">
        <f>IFERROR(VLOOKUP(A2090,Sheet1!$E$3:$H$27,4,0),"")</f>
        <v>P1</v>
      </c>
      <c r="C2090" s="14" t="s">
        <v>514</v>
      </c>
      <c r="D2090" s="12" t="s">
        <v>87</v>
      </c>
      <c r="E2090" s="13" t="str">
        <f>IFERROR(VLOOKUP(D2090,Sheet1!$B$1:$C$45,2,0),"")</f>
        <v>MBP</v>
      </c>
      <c r="F2090" s="12" t="s">
        <v>108</v>
      </c>
      <c r="G2090" s="13" t="str">
        <f t="shared" si="8"/>
        <v>Barito Raya</v>
      </c>
      <c r="H2090" s="15" t="str">
        <f>IFERROR(VLOOKUP(A2090,Sheet1!$E$3:$F$27,2,),"")</f>
        <v>Corrective</v>
      </c>
      <c r="I2090" s="16" t="str">
        <f>IFERROR(VLOOKUP(A2090,Sheet1!$E$3:$G$27,3,0),"")</f>
        <v>Replace Optik,RRU/Soket Power/Replace GPS</v>
      </c>
      <c r="J2090" s="12" t="s">
        <v>112</v>
      </c>
      <c r="K2090" s="17">
        <v>46127.0</v>
      </c>
      <c r="L2090" s="17">
        <v>46127.0</v>
      </c>
      <c r="M2090" s="12" t="s">
        <v>137</v>
      </c>
      <c r="N2090" s="23"/>
      <c r="O2090" s="22"/>
      <c r="P2090" s="22"/>
    </row>
    <row r="2091" ht="22.5" customHeight="1">
      <c r="A2091" s="12" t="s">
        <v>65</v>
      </c>
      <c r="B2091" s="20" t="str">
        <f>IFERROR(VLOOKUP(A2091,Sheet1!$E$3:$H$27,4,0),"")</f>
        <v>P3</v>
      </c>
      <c r="C2091" s="15"/>
      <c r="D2091" s="12" t="s">
        <v>29</v>
      </c>
      <c r="E2091" s="13" t="str">
        <f>IFERROR(VLOOKUP(D2091,Sheet1!$B$1:$C$45,2,0),"")</f>
        <v>MBP</v>
      </c>
      <c r="F2091" s="12" t="s">
        <v>108</v>
      </c>
      <c r="G2091" s="13" t="str">
        <f t="shared" si="8"/>
        <v>Barito Raya</v>
      </c>
      <c r="H2091" s="15" t="str">
        <f>IFERROR(VLOOKUP(A2091,Sheet1!$E$3:$F$27,2,),"")</f>
        <v>Standby</v>
      </c>
      <c r="I2091" s="16" t="str">
        <f>IFERROR(VLOOKUP(A2091,Sheet1!$E$3:$G$27,3,0),"")</f>
        <v>Standby On Call</v>
      </c>
      <c r="J2091" s="12" t="s">
        <v>66</v>
      </c>
      <c r="K2091" s="17">
        <v>46127.0</v>
      </c>
      <c r="L2091" s="17">
        <v>46127.0</v>
      </c>
      <c r="M2091" s="13"/>
      <c r="N2091" s="23"/>
      <c r="O2091" s="22"/>
      <c r="P2091" s="22"/>
    </row>
    <row r="2092" ht="22.5" customHeight="1">
      <c r="A2092" s="12" t="s">
        <v>52</v>
      </c>
      <c r="B2092" s="20" t="str">
        <f>IFERROR(VLOOKUP(A2092,Sheet1!$E$3:$H$27,4,0),"")</f>
        <v>P1</v>
      </c>
      <c r="C2092" s="14" t="s">
        <v>312</v>
      </c>
      <c r="D2092" s="12" t="s">
        <v>2</v>
      </c>
      <c r="E2092" s="13" t="str">
        <f>IFERROR(VLOOKUP(D2092,Sheet1!$B$1:$C$45,2,0),"")</f>
        <v>CME</v>
      </c>
      <c r="F2092" s="12" t="s">
        <v>108</v>
      </c>
      <c r="G2092" s="13" t="str">
        <f t="shared" si="8"/>
        <v>Barito Raya</v>
      </c>
      <c r="H2092" s="15" t="str">
        <f>IFERROR(VLOOKUP(A2092,Sheet1!$E$3:$F$27,2,),"")</f>
        <v>Preventive</v>
      </c>
      <c r="I2092" s="16" t="str">
        <f>IFERROR(VLOOKUP(A2092,Sheet1!$E$3:$G$27,3,0),"")</f>
        <v>MCB trip/Power upnormal</v>
      </c>
      <c r="J2092" s="12" t="s">
        <v>112</v>
      </c>
      <c r="K2092" s="17">
        <v>46127.0</v>
      </c>
      <c r="L2092" s="17">
        <v>46127.0</v>
      </c>
      <c r="M2092" s="12" t="s">
        <v>137</v>
      </c>
      <c r="N2092" s="23"/>
      <c r="O2092" s="22"/>
      <c r="P2092" s="22"/>
    </row>
    <row r="2093" ht="22.5" customHeight="1">
      <c r="A2093" s="12" t="s">
        <v>65</v>
      </c>
      <c r="B2093" s="20" t="str">
        <f>IFERROR(VLOOKUP(A2093,Sheet1!$E$3:$H$27,4,0),"")</f>
        <v>P3</v>
      </c>
      <c r="C2093" s="15"/>
      <c r="D2093" s="12" t="s">
        <v>0</v>
      </c>
      <c r="E2093" s="13" t="str">
        <f>IFERROR(VLOOKUP(D2093,Sheet1!$B$1:$C$45,2,0),"")</f>
        <v>MBP</v>
      </c>
      <c r="F2093" s="12" t="s">
        <v>108</v>
      </c>
      <c r="G2093" s="13" t="str">
        <f t="shared" si="8"/>
        <v>Barito Raya</v>
      </c>
      <c r="H2093" s="15" t="str">
        <f>IFERROR(VLOOKUP(A2093,Sheet1!$E$3:$F$27,2,),"")</f>
        <v>Standby</v>
      </c>
      <c r="I2093" s="16" t="str">
        <f>IFERROR(VLOOKUP(A2093,Sheet1!$E$3:$G$27,3,0),"")</f>
        <v>Standby On Call</v>
      </c>
      <c r="J2093" s="12" t="s">
        <v>66</v>
      </c>
      <c r="K2093" s="17">
        <v>46127.0</v>
      </c>
      <c r="L2093" s="17">
        <v>46127.0</v>
      </c>
      <c r="M2093" s="13"/>
      <c r="N2093" s="23"/>
      <c r="O2093" s="22"/>
      <c r="P2093" s="22"/>
    </row>
    <row r="2094" ht="22.5" customHeight="1">
      <c r="A2094" s="12" t="s">
        <v>22</v>
      </c>
      <c r="B2094" s="20" t="str">
        <f>IFERROR(VLOOKUP(A2094,Sheet1!$E$3:$H$27,4,0),"")</f>
        <v>P2</v>
      </c>
      <c r="C2094" s="15"/>
      <c r="D2094" s="12" t="s">
        <v>85</v>
      </c>
      <c r="E2094" s="13" t="str">
        <f>IFERROR(VLOOKUP(D2094,Sheet1!$B$1:$C$45,2,0),"")</f>
        <v>PM</v>
      </c>
      <c r="F2094" s="12" t="s">
        <v>108</v>
      </c>
      <c r="G2094" s="13" t="str">
        <f t="shared" si="8"/>
        <v>Barito Raya</v>
      </c>
      <c r="H2094" s="15" t="str">
        <f>IFERROR(VLOOKUP(A2094,Sheet1!$E$3:$F$27,2,),"")</f>
        <v>Preventive</v>
      </c>
      <c r="I2094" s="16" t="str">
        <f>IFERROR(VLOOKUP(A2094,Sheet1!$E$3:$G$27,3,0),"")</f>
        <v>Preventive Maintenance</v>
      </c>
      <c r="J2094" s="12" t="s">
        <v>112</v>
      </c>
      <c r="K2094" s="17">
        <v>46127.0</v>
      </c>
      <c r="L2094" s="17">
        <v>46127.0</v>
      </c>
      <c r="M2094" s="12" t="s">
        <v>137</v>
      </c>
      <c r="N2094" s="23"/>
      <c r="O2094" s="22"/>
      <c r="P2094" s="22"/>
    </row>
    <row r="2095" ht="22.5" customHeight="1">
      <c r="A2095" s="12" t="s">
        <v>22</v>
      </c>
      <c r="B2095" s="20" t="str">
        <f>IFERROR(VLOOKUP(A2095,Sheet1!$E$3:$H$27,4,0),"")</f>
        <v>P2</v>
      </c>
      <c r="C2095" s="15"/>
      <c r="D2095" s="12" t="s">
        <v>84</v>
      </c>
      <c r="E2095" s="13" t="str">
        <f>IFERROR(VLOOKUP(D2095,Sheet1!$B$1:$C$45,2,0),"")</f>
        <v>MBP</v>
      </c>
      <c r="F2095" s="12" t="s">
        <v>108</v>
      </c>
      <c r="G2095" s="13" t="str">
        <f t="shared" si="8"/>
        <v>Barito Raya</v>
      </c>
      <c r="H2095" s="15" t="str">
        <f>IFERROR(VLOOKUP(A2095,Sheet1!$E$3:$F$27,2,),"")</f>
        <v>Preventive</v>
      </c>
      <c r="I2095" s="16" t="str">
        <f>IFERROR(VLOOKUP(A2095,Sheet1!$E$3:$G$27,3,0),"")</f>
        <v>Preventive Maintenance</v>
      </c>
      <c r="J2095" s="12" t="s">
        <v>112</v>
      </c>
      <c r="K2095" s="17">
        <v>46127.0</v>
      </c>
      <c r="L2095" s="17">
        <v>46127.0</v>
      </c>
      <c r="M2095" s="12" t="s">
        <v>137</v>
      </c>
      <c r="N2095" s="23"/>
      <c r="O2095" s="22"/>
      <c r="P2095" s="22"/>
    </row>
    <row r="2096" ht="22.5" customHeight="1">
      <c r="A2096" s="12" t="s">
        <v>22</v>
      </c>
      <c r="B2096" s="20" t="str">
        <f>IFERROR(VLOOKUP(A2096,Sheet1!$E$3:$H$27,4,0),"")</f>
        <v>P2</v>
      </c>
      <c r="C2096" s="14" t="s">
        <v>551</v>
      </c>
      <c r="D2096" s="12" t="s">
        <v>86</v>
      </c>
      <c r="E2096" s="13" t="str">
        <f>IFERROR(VLOOKUP(D2096,Sheet1!$B$1:$C$45,2,0),"")</f>
        <v>PM</v>
      </c>
      <c r="F2096" s="12" t="s">
        <v>108</v>
      </c>
      <c r="G2096" s="13" t="str">
        <f t="shared" si="8"/>
        <v>Barito Raya</v>
      </c>
      <c r="H2096" s="15" t="str">
        <f>IFERROR(VLOOKUP(A2096,Sheet1!$E$3:$F$27,2,),"")</f>
        <v>Preventive</v>
      </c>
      <c r="I2096" s="16" t="str">
        <f>IFERROR(VLOOKUP(A2096,Sheet1!$E$3:$G$27,3,0),"")</f>
        <v>Preventive Maintenance</v>
      </c>
      <c r="J2096" s="12" t="s">
        <v>112</v>
      </c>
      <c r="K2096" s="17">
        <v>46127.0</v>
      </c>
      <c r="L2096" s="17">
        <v>46127.0</v>
      </c>
      <c r="M2096" s="12" t="s">
        <v>137</v>
      </c>
      <c r="N2096" s="23"/>
      <c r="O2096" s="22"/>
      <c r="P2096" s="22"/>
    </row>
    <row r="2097" ht="22.5" customHeight="1">
      <c r="A2097" s="12" t="s">
        <v>55</v>
      </c>
      <c r="B2097" s="20" t="str">
        <f>IFERROR(VLOOKUP(A2097,Sheet1!$E$3:$H$27,4,0),"")</f>
        <v>P2</v>
      </c>
      <c r="C2097" s="14" t="s">
        <v>139</v>
      </c>
      <c r="D2097" s="12" t="s">
        <v>12</v>
      </c>
      <c r="E2097" s="13" t="str">
        <f>IFERROR(VLOOKUP(D2097,Sheet1!$B$1:$C$45,2,0),"")</f>
        <v>TE</v>
      </c>
      <c r="F2097" s="12" t="s">
        <v>108</v>
      </c>
      <c r="G2097" s="13" t="str">
        <f t="shared" si="8"/>
        <v>Barito Raya</v>
      </c>
      <c r="H2097" s="15" t="str">
        <f>IFERROR(VLOOKUP(A2097,Sheet1!$E$3:$F$27,2,),"")</f>
        <v>Corrective</v>
      </c>
      <c r="I2097" s="16" t="str">
        <f>IFERROR(VLOOKUP(A2097,Sheet1!$E$3:$G$27,3,0),"")</f>
        <v>Penambahan Modul Recti</v>
      </c>
      <c r="J2097" s="12" t="s">
        <v>112</v>
      </c>
      <c r="K2097" s="17">
        <v>46128.0</v>
      </c>
      <c r="L2097" s="17">
        <v>46128.0</v>
      </c>
      <c r="M2097" s="13"/>
      <c r="N2097" s="23"/>
      <c r="O2097" s="22"/>
      <c r="P2097" s="22"/>
    </row>
    <row r="2098" ht="22.5" customHeight="1">
      <c r="A2098" s="12" t="s">
        <v>14</v>
      </c>
      <c r="B2098" s="20" t="str">
        <f>IFERROR(VLOOKUP(A2098,Sheet1!$E$3:$H$27,4,0),"")</f>
        <v>P1</v>
      </c>
      <c r="C2098" s="14" t="s">
        <v>561</v>
      </c>
      <c r="D2098" s="12" t="s">
        <v>16</v>
      </c>
      <c r="E2098" s="13" t="str">
        <f>IFERROR(VLOOKUP(D2098,Sheet1!$B$1:$C$45,2,0),"")</f>
        <v>TE</v>
      </c>
      <c r="F2098" s="12" t="s">
        <v>108</v>
      </c>
      <c r="G2098" s="13" t="str">
        <f t="shared" si="8"/>
        <v>Barito Raya</v>
      </c>
      <c r="H2098" s="15" t="str">
        <f>IFERROR(VLOOKUP(A2098,Sheet1!$E$3:$F$27,2,),"")</f>
        <v>Corrective</v>
      </c>
      <c r="I2098" s="16" t="str">
        <f>IFERROR(VLOOKUP(A2098,Sheet1!$E$3:$G$27,3,0),"")</f>
        <v>Pemadaman,MCB Trip,Transmisi problem</v>
      </c>
      <c r="J2098" s="12" t="s">
        <v>112</v>
      </c>
      <c r="K2098" s="17">
        <v>46128.0</v>
      </c>
      <c r="L2098" s="17">
        <v>46128.0</v>
      </c>
      <c r="M2098" s="13"/>
      <c r="N2098" s="23"/>
      <c r="O2098" s="22"/>
      <c r="P2098" s="22"/>
    </row>
    <row r="2099" ht="22.5" customHeight="1">
      <c r="A2099" s="12" t="s">
        <v>14</v>
      </c>
      <c r="B2099" s="20" t="str">
        <f>IFERROR(VLOOKUP(A2099,Sheet1!$E$3:$H$27,4,0),"")</f>
        <v>P1</v>
      </c>
      <c r="C2099" s="14" t="s">
        <v>673</v>
      </c>
      <c r="D2099" s="12" t="s">
        <v>21</v>
      </c>
      <c r="E2099" s="13" t="str">
        <f>IFERROR(VLOOKUP(D2099,Sheet1!$B$1:$C$45,2,0),"")</f>
        <v>TE</v>
      </c>
      <c r="F2099" s="12" t="s">
        <v>108</v>
      </c>
      <c r="G2099" s="13" t="str">
        <f t="shared" si="8"/>
        <v>Barito Raya</v>
      </c>
      <c r="H2099" s="15" t="str">
        <f>IFERROR(VLOOKUP(A2099,Sheet1!$E$3:$F$27,2,),"")</f>
        <v>Corrective</v>
      </c>
      <c r="I2099" s="16" t="str">
        <f>IFERROR(VLOOKUP(A2099,Sheet1!$E$3:$G$27,3,0),"")</f>
        <v>Pemadaman,MCB Trip,Transmisi problem</v>
      </c>
      <c r="J2099" s="12" t="s">
        <v>112</v>
      </c>
      <c r="K2099" s="17">
        <v>46128.0</v>
      </c>
      <c r="L2099" s="17">
        <v>46128.0</v>
      </c>
      <c r="M2099" s="13"/>
      <c r="N2099" s="23"/>
      <c r="O2099" s="22"/>
      <c r="P2099" s="22"/>
    </row>
    <row r="2100" ht="22.5" customHeight="1">
      <c r="A2100" s="12" t="s">
        <v>14</v>
      </c>
      <c r="B2100" s="20" t="str">
        <f>IFERROR(VLOOKUP(A2100,Sheet1!$E$3:$H$27,4,0),"")</f>
        <v>P1</v>
      </c>
      <c r="C2100" s="14" t="s">
        <v>115</v>
      </c>
      <c r="D2100" s="12" t="s">
        <v>26</v>
      </c>
      <c r="E2100" s="13" t="str">
        <f>IFERROR(VLOOKUP(D2100,Sheet1!$B$1:$C$45,2,0),"")</f>
        <v>TE</v>
      </c>
      <c r="F2100" s="12" t="s">
        <v>108</v>
      </c>
      <c r="G2100" s="13" t="str">
        <f t="shared" si="8"/>
        <v>Barito Raya</v>
      </c>
      <c r="H2100" s="15" t="str">
        <f>IFERROR(VLOOKUP(A2100,Sheet1!$E$3:$F$27,2,),"")</f>
        <v>Corrective</v>
      </c>
      <c r="I2100" s="16" t="str">
        <f>IFERROR(VLOOKUP(A2100,Sheet1!$E$3:$G$27,3,0),"")</f>
        <v>Pemadaman,MCB Trip,Transmisi problem</v>
      </c>
      <c r="J2100" s="12" t="s">
        <v>112</v>
      </c>
      <c r="K2100" s="17">
        <v>46128.0</v>
      </c>
      <c r="L2100" s="17">
        <v>46128.0</v>
      </c>
      <c r="M2100" s="13"/>
      <c r="N2100" s="23"/>
      <c r="O2100" s="22"/>
      <c r="P2100" s="22"/>
    </row>
    <row r="2101" ht="22.5" customHeight="1">
      <c r="A2101" s="12" t="s">
        <v>14</v>
      </c>
      <c r="B2101" s="20" t="str">
        <f>IFERROR(VLOOKUP(A2101,Sheet1!$E$3:$H$27,4,0),"")</f>
        <v>P1</v>
      </c>
      <c r="C2101" s="14" t="s">
        <v>243</v>
      </c>
      <c r="D2101" s="12" t="s">
        <v>32</v>
      </c>
      <c r="E2101" s="13" t="str">
        <f>IFERROR(VLOOKUP(D2101,Sheet1!$B$1:$C$45,2,0),"")</f>
        <v>TE</v>
      </c>
      <c r="F2101" s="12" t="s">
        <v>108</v>
      </c>
      <c r="G2101" s="13" t="str">
        <f t="shared" si="8"/>
        <v>Barito Raya</v>
      </c>
      <c r="H2101" s="15" t="str">
        <f>IFERROR(VLOOKUP(A2101,Sheet1!$E$3:$F$27,2,),"")</f>
        <v>Corrective</v>
      </c>
      <c r="I2101" s="16" t="str">
        <f>IFERROR(VLOOKUP(A2101,Sheet1!$E$3:$G$27,3,0),"")</f>
        <v>Pemadaman,MCB Trip,Transmisi problem</v>
      </c>
      <c r="J2101" s="12" t="s">
        <v>112</v>
      </c>
      <c r="K2101" s="17">
        <v>46128.0</v>
      </c>
      <c r="L2101" s="17">
        <v>46128.0</v>
      </c>
      <c r="M2101" s="13"/>
      <c r="N2101" s="23"/>
      <c r="O2101" s="22"/>
      <c r="P2101" s="22"/>
    </row>
    <row r="2102" ht="22.5" customHeight="1">
      <c r="A2102" s="12" t="s">
        <v>65</v>
      </c>
      <c r="B2102" s="20" t="str">
        <f>IFERROR(VLOOKUP(A2102,Sheet1!$E$3:$H$27,4,0),"")</f>
        <v>P3</v>
      </c>
      <c r="C2102" s="15"/>
      <c r="D2102" s="12" t="s">
        <v>74</v>
      </c>
      <c r="E2102" s="13" t="str">
        <f>IFERROR(VLOOKUP(D2102,Sheet1!$B$1:$C$45,2,0),"")</f>
        <v>TE</v>
      </c>
      <c r="F2102" s="12" t="s">
        <v>108</v>
      </c>
      <c r="G2102" s="13" t="str">
        <f t="shared" si="8"/>
        <v>Barito Raya</v>
      </c>
      <c r="H2102" s="15" t="str">
        <f>IFERROR(VLOOKUP(A2102,Sheet1!$E$3:$F$27,2,),"")</f>
        <v>Standby</v>
      </c>
      <c r="I2102" s="16" t="str">
        <f>IFERROR(VLOOKUP(A2102,Sheet1!$E$3:$G$27,3,0),"")</f>
        <v>Standby On Call</v>
      </c>
      <c r="J2102" s="12" t="s">
        <v>66</v>
      </c>
      <c r="K2102" s="17">
        <v>46128.0</v>
      </c>
      <c r="L2102" s="17">
        <v>46128.0</v>
      </c>
      <c r="M2102" s="13"/>
      <c r="N2102" s="23"/>
      <c r="O2102" s="22"/>
      <c r="P2102" s="22"/>
    </row>
    <row r="2103" ht="22.5" customHeight="1">
      <c r="A2103" s="12" t="s">
        <v>22</v>
      </c>
      <c r="B2103" s="20" t="str">
        <f>IFERROR(VLOOKUP(A2103,Sheet1!$E$3:$H$27,4,0),"")</f>
        <v>P2</v>
      </c>
      <c r="C2103" s="14" t="s">
        <v>674</v>
      </c>
      <c r="D2103" s="12" t="s">
        <v>60</v>
      </c>
      <c r="E2103" s="13" t="str">
        <f>IFERROR(VLOOKUP(D2103,Sheet1!$B$1:$C$45,2,0),"")</f>
        <v>TE</v>
      </c>
      <c r="F2103" s="12" t="s">
        <v>108</v>
      </c>
      <c r="G2103" s="13" t="str">
        <f t="shared" si="8"/>
        <v>Barito Raya</v>
      </c>
      <c r="H2103" s="15" t="str">
        <f>IFERROR(VLOOKUP(A2103,Sheet1!$E$3:$F$27,2,),"")</f>
        <v>Preventive</v>
      </c>
      <c r="I2103" s="16" t="str">
        <f>IFERROR(VLOOKUP(A2103,Sheet1!$E$3:$G$27,3,0),"")</f>
        <v>Preventive Maintenance</v>
      </c>
      <c r="J2103" s="12" t="s">
        <v>112</v>
      </c>
      <c r="K2103" s="17">
        <v>46128.0</v>
      </c>
      <c r="L2103" s="17">
        <v>46128.0</v>
      </c>
      <c r="M2103" s="13"/>
      <c r="N2103" s="23"/>
      <c r="O2103" s="22"/>
      <c r="P2103" s="22"/>
    </row>
    <row r="2104" ht="22.5" customHeight="1">
      <c r="A2104" s="12" t="s">
        <v>22</v>
      </c>
      <c r="B2104" s="20" t="str">
        <f>IFERROR(VLOOKUP(A2104,Sheet1!$E$3:$H$27,4,0),"")</f>
        <v>P2</v>
      </c>
      <c r="C2104" s="14" t="s">
        <v>406</v>
      </c>
      <c r="D2104" s="12" t="s">
        <v>62</v>
      </c>
      <c r="E2104" s="13" t="str">
        <f>IFERROR(VLOOKUP(D2104,Sheet1!$B$1:$C$45,2,0),"")</f>
        <v>TE</v>
      </c>
      <c r="F2104" s="12" t="s">
        <v>108</v>
      </c>
      <c r="G2104" s="13" t="str">
        <f t="shared" si="8"/>
        <v>Barito Raya</v>
      </c>
      <c r="H2104" s="15" t="str">
        <f>IFERROR(VLOOKUP(A2104,Sheet1!$E$3:$F$27,2,),"")</f>
        <v>Preventive</v>
      </c>
      <c r="I2104" s="16" t="str">
        <f>IFERROR(VLOOKUP(A2104,Sheet1!$E$3:$G$27,3,0),"")</f>
        <v>Preventive Maintenance</v>
      </c>
      <c r="J2104" s="12" t="s">
        <v>112</v>
      </c>
      <c r="K2104" s="17">
        <v>46128.0</v>
      </c>
      <c r="L2104" s="17">
        <v>46128.0</v>
      </c>
      <c r="M2104" s="13"/>
      <c r="N2104" s="23"/>
      <c r="O2104" s="22"/>
      <c r="P2104" s="22"/>
    </row>
    <row r="2105" ht="22.5" customHeight="1">
      <c r="A2105" s="12" t="s">
        <v>65</v>
      </c>
      <c r="B2105" s="20" t="str">
        <f>IFERROR(VLOOKUP(A2105,Sheet1!$E$3:$H$27,4,0),"")</f>
        <v>P3</v>
      </c>
      <c r="C2105" s="15"/>
      <c r="D2105" s="12" t="s">
        <v>9</v>
      </c>
      <c r="E2105" s="13" t="str">
        <f>IFERROR(VLOOKUP(D2105,Sheet1!$B$1:$C$45,2,0),"")</f>
        <v>MBP</v>
      </c>
      <c r="F2105" s="12" t="s">
        <v>108</v>
      </c>
      <c r="G2105" s="13" t="str">
        <f t="shared" si="8"/>
        <v>Barito Raya</v>
      </c>
      <c r="H2105" s="15" t="str">
        <f>IFERROR(VLOOKUP(A2105,Sheet1!$E$3:$F$27,2,),"")</f>
        <v>Standby</v>
      </c>
      <c r="I2105" s="16" t="str">
        <f>IFERROR(VLOOKUP(A2105,Sheet1!$E$3:$G$27,3,0),"")</f>
        <v>Standby On Call</v>
      </c>
      <c r="J2105" s="12" t="s">
        <v>66</v>
      </c>
      <c r="K2105" s="17">
        <v>46128.0</v>
      </c>
      <c r="L2105" s="17">
        <v>46128.0</v>
      </c>
      <c r="M2105" s="13"/>
      <c r="N2105" s="23"/>
      <c r="O2105" s="22"/>
      <c r="P2105" s="22"/>
    </row>
    <row r="2106" ht="22.5" customHeight="1">
      <c r="A2106" s="12" t="s">
        <v>14</v>
      </c>
      <c r="B2106" s="20" t="str">
        <f>IFERROR(VLOOKUP(A2106,Sheet1!$E$3:$H$27,4,0),"")</f>
        <v>P1</v>
      </c>
      <c r="C2106" s="14" t="s">
        <v>673</v>
      </c>
      <c r="D2106" s="12" t="s">
        <v>4</v>
      </c>
      <c r="E2106" s="13" t="str">
        <f>IFERROR(VLOOKUP(D2106,Sheet1!$B$1:$C$45,2,0),"")</f>
        <v>CME</v>
      </c>
      <c r="F2106" s="12" t="s">
        <v>108</v>
      </c>
      <c r="G2106" s="13" t="str">
        <f t="shared" si="8"/>
        <v>Barito Raya</v>
      </c>
      <c r="H2106" s="15" t="str">
        <f>IFERROR(VLOOKUP(A2106,Sheet1!$E$3:$F$27,2,),"")</f>
        <v>Corrective</v>
      </c>
      <c r="I2106" s="16" t="str">
        <f>IFERROR(VLOOKUP(A2106,Sheet1!$E$3:$G$27,3,0),"")</f>
        <v>Pemadaman,MCB Trip,Transmisi problem</v>
      </c>
      <c r="J2106" s="12" t="s">
        <v>112</v>
      </c>
      <c r="K2106" s="17">
        <v>46128.0</v>
      </c>
      <c r="L2106" s="17">
        <v>46128.0</v>
      </c>
      <c r="M2106" s="13"/>
      <c r="N2106" s="23"/>
      <c r="O2106" s="22"/>
      <c r="P2106" s="22"/>
    </row>
    <row r="2107" ht="22.5" customHeight="1">
      <c r="A2107" s="12" t="s">
        <v>14</v>
      </c>
      <c r="B2107" s="20" t="str">
        <f>IFERROR(VLOOKUP(A2107,Sheet1!$E$3:$H$27,4,0),"")</f>
        <v>P1</v>
      </c>
      <c r="C2107" s="14" t="s">
        <v>660</v>
      </c>
      <c r="D2107" s="12" t="s">
        <v>87</v>
      </c>
      <c r="E2107" s="13" t="str">
        <f>IFERROR(VLOOKUP(D2107,Sheet1!$B$1:$C$45,2,0),"")</f>
        <v>MBP</v>
      </c>
      <c r="F2107" s="12" t="s">
        <v>108</v>
      </c>
      <c r="G2107" s="13" t="str">
        <f t="shared" si="8"/>
        <v>Barito Raya</v>
      </c>
      <c r="H2107" s="15" t="str">
        <f>IFERROR(VLOOKUP(A2107,Sheet1!$E$3:$F$27,2,),"")</f>
        <v>Corrective</v>
      </c>
      <c r="I2107" s="16" t="str">
        <f>IFERROR(VLOOKUP(A2107,Sheet1!$E$3:$G$27,3,0),"")</f>
        <v>Pemadaman,MCB Trip,Transmisi problem</v>
      </c>
      <c r="J2107" s="12" t="s">
        <v>112</v>
      </c>
      <c r="K2107" s="17">
        <v>46128.0</v>
      </c>
      <c r="L2107" s="17">
        <v>46128.0</v>
      </c>
      <c r="M2107" s="13"/>
      <c r="N2107" s="23"/>
      <c r="O2107" s="22"/>
      <c r="P2107" s="22"/>
    </row>
    <row r="2108" ht="22.5" customHeight="1">
      <c r="A2108" s="12" t="s">
        <v>14</v>
      </c>
      <c r="B2108" s="20" t="str">
        <f>IFERROR(VLOOKUP(A2108,Sheet1!$E$3:$H$27,4,0),"")</f>
        <v>P1</v>
      </c>
      <c r="C2108" s="14" t="s">
        <v>313</v>
      </c>
      <c r="D2108" s="12" t="s">
        <v>29</v>
      </c>
      <c r="E2108" s="13" t="str">
        <f>IFERROR(VLOOKUP(D2108,Sheet1!$B$1:$C$45,2,0),"")</f>
        <v>MBP</v>
      </c>
      <c r="F2108" s="12" t="s">
        <v>108</v>
      </c>
      <c r="G2108" s="13" t="str">
        <f t="shared" si="8"/>
        <v>Barito Raya</v>
      </c>
      <c r="H2108" s="15" t="str">
        <f>IFERROR(VLOOKUP(A2108,Sheet1!$E$3:$F$27,2,),"")</f>
        <v>Corrective</v>
      </c>
      <c r="I2108" s="16" t="str">
        <f>IFERROR(VLOOKUP(A2108,Sheet1!$E$3:$G$27,3,0),"")</f>
        <v>Pemadaman,MCB Trip,Transmisi problem</v>
      </c>
      <c r="J2108" s="12" t="s">
        <v>112</v>
      </c>
      <c r="K2108" s="17">
        <v>46128.0</v>
      </c>
      <c r="L2108" s="17">
        <v>46128.0</v>
      </c>
      <c r="M2108" s="13"/>
      <c r="N2108" s="23"/>
      <c r="O2108" s="22"/>
      <c r="P2108" s="22"/>
    </row>
    <row r="2109" ht="22.5" customHeight="1">
      <c r="A2109" s="12" t="s">
        <v>65</v>
      </c>
      <c r="B2109" s="20" t="str">
        <f>IFERROR(VLOOKUP(A2109,Sheet1!$E$3:$H$27,4,0),"")</f>
        <v>P3</v>
      </c>
      <c r="C2109" s="15"/>
      <c r="D2109" s="12" t="s">
        <v>2</v>
      </c>
      <c r="E2109" s="13" t="str">
        <f>IFERROR(VLOOKUP(D2109,Sheet1!$B$1:$C$45,2,0),"")</f>
        <v>CME</v>
      </c>
      <c r="F2109" s="12" t="s">
        <v>108</v>
      </c>
      <c r="G2109" s="13" t="str">
        <f t="shared" si="8"/>
        <v>Barito Raya</v>
      </c>
      <c r="H2109" s="15" t="str">
        <f>IFERROR(VLOOKUP(A2109,Sheet1!$E$3:$F$27,2,),"")</f>
        <v>Standby</v>
      </c>
      <c r="I2109" s="16" t="str">
        <f>IFERROR(VLOOKUP(A2109,Sheet1!$E$3:$G$27,3,0),"")</f>
        <v>Standby On Call</v>
      </c>
      <c r="J2109" s="12" t="s">
        <v>66</v>
      </c>
      <c r="K2109" s="17">
        <v>46128.0</v>
      </c>
      <c r="L2109" s="17">
        <v>46128.0</v>
      </c>
      <c r="M2109" s="13"/>
      <c r="N2109" s="23"/>
      <c r="O2109" s="22"/>
      <c r="P2109" s="22"/>
    </row>
    <row r="2110" ht="22.5" customHeight="1">
      <c r="A2110" s="12" t="s">
        <v>65</v>
      </c>
      <c r="B2110" s="20" t="str">
        <f>IFERROR(VLOOKUP(A2110,Sheet1!$E$3:$H$27,4,0),"")</f>
        <v>P3</v>
      </c>
      <c r="C2110" s="15"/>
      <c r="D2110" s="12" t="s">
        <v>0</v>
      </c>
      <c r="E2110" s="13" t="str">
        <f>IFERROR(VLOOKUP(D2110,Sheet1!$B$1:$C$45,2,0),"")</f>
        <v>MBP</v>
      </c>
      <c r="F2110" s="12" t="s">
        <v>108</v>
      </c>
      <c r="G2110" s="13" t="str">
        <f t="shared" si="8"/>
        <v>Barito Raya</v>
      </c>
      <c r="H2110" s="15" t="str">
        <f>IFERROR(VLOOKUP(A2110,Sheet1!$E$3:$F$27,2,),"")</f>
        <v>Standby</v>
      </c>
      <c r="I2110" s="16" t="str">
        <f>IFERROR(VLOOKUP(A2110,Sheet1!$E$3:$G$27,3,0),"")</f>
        <v>Standby On Call</v>
      </c>
      <c r="J2110" s="12" t="s">
        <v>66</v>
      </c>
      <c r="K2110" s="17">
        <v>46128.0</v>
      </c>
      <c r="L2110" s="17">
        <v>46128.0</v>
      </c>
      <c r="M2110" s="13"/>
      <c r="N2110" s="23"/>
      <c r="O2110" s="22"/>
      <c r="P2110" s="22"/>
    </row>
    <row r="2111" ht="22.5" customHeight="1">
      <c r="A2111" s="12" t="s">
        <v>22</v>
      </c>
      <c r="B2111" s="20" t="str">
        <f>IFERROR(VLOOKUP(A2111,Sheet1!$E$3:$H$27,4,0),"")</f>
        <v>P2</v>
      </c>
      <c r="C2111" s="14" t="s">
        <v>212</v>
      </c>
      <c r="D2111" s="12" t="s">
        <v>85</v>
      </c>
      <c r="E2111" s="13" t="str">
        <f>IFERROR(VLOOKUP(D2111,Sheet1!$B$1:$C$45,2,0),"")</f>
        <v>PM</v>
      </c>
      <c r="F2111" s="12" t="s">
        <v>108</v>
      </c>
      <c r="G2111" s="13" t="str">
        <f t="shared" si="8"/>
        <v>Barito Raya</v>
      </c>
      <c r="H2111" s="15" t="str">
        <f>IFERROR(VLOOKUP(A2111,Sheet1!$E$3:$F$27,2,),"")</f>
        <v>Preventive</v>
      </c>
      <c r="I2111" s="16" t="str">
        <f>IFERROR(VLOOKUP(A2111,Sheet1!$E$3:$G$27,3,0),"")</f>
        <v>Preventive Maintenance</v>
      </c>
      <c r="J2111" s="12" t="s">
        <v>112</v>
      </c>
      <c r="K2111" s="17">
        <v>46128.0</v>
      </c>
      <c r="L2111" s="17">
        <v>46128.0</v>
      </c>
      <c r="M2111" s="13"/>
      <c r="N2111" s="23"/>
      <c r="O2111" s="22"/>
      <c r="P2111" s="22"/>
    </row>
    <row r="2112" ht="22.5" customHeight="1">
      <c r="A2112" s="12" t="s">
        <v>22</v>
      </c>
      <c r="B2112" s="20" t="str">
        <f>IFERROR(VLOOKUP(A2112,Sheet1!$E$3:$H$27,4,0),"")</f>
        <v>P2</v>
      </c>
      <c r="C2112" s="14" t="s">
        <v>212</v>
      </c>
      <c r="D2112" s="12" t="s">
        <v>84</v>
      </c>
      <c r="E2112" s="13" t="str">
        <f>IFERROR(VLOOKUP(D2112,Sheet1!$B$1:$C$45,2,0),"")</f>
        <v>MBP</v>
      </c>
      <c r="F2112" s="12" t="s">
        <v>108</v>
      </c>
      <c r="G2112" s="13" t="str">
        <f t="shared" si="8"/>
        <v>Barito Raya</v>
      </c>
      <c r="H2112" s="15" t="str">
        <f>IFERROR(VLOOKUP(A2112,Sheet1!$E$3:$F$27,2,),"")</f>
        <v>Preventive</v>
      </c>
      <c r="I2112" s="16" t="str">
        <f>IFERROR(VLOOKUP(A2112,Sheet1!$E$3:$G$27,3,0),"")</f>
        <v>Preventive Maintenance</v>
      </c>
      <c r="J2112" s="12" t="s">
        <v>112</v>
      </c>
      <c r="K2112" s="17">
        <v>46128.0</v>
      </c>
      <c r="L2112" s="17">
        <v>46128.0</v>
      </c>
      <c r="M2112" s="13"/>
      <c r="N2112" s="23"/>
      <c r="O2112" s="22"/>
      <c r="P2112" s="22"/>
    </row>
    <row r="2113" ht="22.5" hidden="1" customHeight="1">
      <c r="A2113" s="12" t="s">
        <v>22</v>
      </c>
      <c r="B2113" s="20" t="str">
        <f>IFERROR(VLOOKUP(A2113,Sheet1!$E$3:$H$27,4,0),"")</f>
        <v>P2</v>
      </c>
      <c r="C2113" s="14" t="s">
        <v>672</v>
      </c>
      <c r="D2113" s="12" t="s">
        <v>86</v>
      </c>
      <c r="E2113" s="13" t="str">
        <f>IFERROR(VLOOKUP(D2113,Sheet1!$B$1:$C$45,2,0),"")</f>
        <v>PM</v>
      </c>
      <c r="F2113" s="12" t="s">
        <v>108</v>
      </c>
      <c r="G2113" s="13" t="str">
        <f t="shared" si="8"/>
        <v>Barito Raya</v>
      </c>
      <c r="H2113" s="15" t="str">
        <f>IFERROR(VLOOKUP(A2113,Sheet1!$E$3:$F$27,2,),"")</f>
        <v>Preventive</v>
      </c>
      <c r="I2113" s="16" t="str">
        <f>IFERROR(VLOOKUP(A2113,Sheet1!$E$3:$G$27,3,0),"")</f>
        <v>Preventive Maintenance</v>
      </c>
      <c r="J2113" s="12" t="s">
        <v>112</v>
      </c>
      <c r="K2113" s="17">
        <v>46128.0</v>
      </c>
      <c r="L2113" s="17">
        <v>46128.0</v>
      </c>
      <c r="M2113" s="13"/>
      <c r="N2113" s="23"/>
      <c r="O2113" s="22"/>
      <c r="P2113" s="22"/>
    </row>
    <row r="2114" ht="22.5" customHeight="1">
      <c r="A2114" s="12" t="s">
        <v>52</v>
      </c>
      <c r="B2114" s="20" t="str">
        <f>IFERROR(VLOOKUP(A2114,Sheet1!$E$3:$H$27,4,0),"")</f>
        <v>P1</v>
      </c>
      <c r="C2114" s="14" t="s">
        <v>351</v>
      </c>
      <c r="D2114" s="12" t="s">
        <v>12</v>
      </c>
      <c r="E2114" s="13" t="str">
        <f>IFERROR(VLOOKUP(D2114,Sheet1!$B$1:$C$45,2,0),"")</f>
        <v>TE</v>
      </c>
      <c r="F2114" s="12" t="s">
        <v>108</v>
      </c>
      <c r="G2114" s="13" t="str">
        <f t="shared" si="8"/>
        <v>Barito Raya</v>
      </c>
      <c r="H2114" s="15" t="str">
        <f>IFERROR(VLOOKUP(A2114,Sheet1!$E$3:$F$27,2,),"")</f>
        <v>Preventive</v>
      </c>
      <c r="I2114" s="16" t="str">
        <f>IFERROR(VLOOKUP(A2114,Sheet1!$E$3:$G$27,3,0),"")</f>
        <v>MCB trip/Power upnormal</v>
      </c>
      <c r="J2114" s="12" t="s">
        <v>112</v>
      </c>
      <c r="K2114" s="17">
        <v>46129.0</v>
      </c>
      <c r="L2114" s="17">
        <v>46129.0</v>
      </c>
      <c r="M2114" s="13"/>
      <c r="N2114" s="23"/>
      <c r="O2114" s="22"/>
      <c r="P2114" s="22"/>
    </row>
    <row r="2115" ht="22.5" customHeight="1">
      <c r="A2115" s="12" t="s">
        <v>22</v>
      </c>
      <c r="B2115" s="20" t="str">
        <f>IFERROR(VLOOKUP(A2115,Sheet1!$E$3:$H$27,4,0),"")</f>
        <v>P2</v>
      </c>
      <c r="C2115" s="14" t="s">
        <v>175</v>
      </c>
      <c r="D2115" s="12" t="s">
        <v>16</v>
      </c>
      <c r="E2115" s="13" t="str">
        <f>IFERROR(VLOOKUP(D2115,Sheet1!$B$1:$C$45,2,0),"")</f>
        <v>TE</v>
      </c>
      <c r="F2115" s="12" t="s">
        <v>108</v>
      </c>
      <c r="G2115" s="13" t="str">
        <f t="shared" si="8"/>
        <v>Barito Raya</v>
      </c>
      <c r="H2115" s="15" t="str">
        <f>IFERROR(VLOOKUP(A2115,Sheet1!$E$3:$F$27,2,),"")</f>
        <v>Preventive</v>
      </c>
      <c r="I2115" s="16" t="str">
        <f>IFERROR(VLOOKUP(A2115,Sheet1!$E$3:$G$27,3,0),"")</f>
        <v>Preventive Maintenance</v>
      </c>
      <c r="J2115" s="12" t="s">
        <v>112</v>
      </c>
      <c r="K2115" s="17">
        <v>46129.0</v>
      </c>
      <c r="L2115" s="17">
        <v>46129.0</v>
      </c>
      <c r="M2115" s="13"/>
      <c r="N2115" s="23"/>
      <c r="O2115" s="22"/>
      <c r="P2115" s="22"/>
    </row>
    <row r="2116" ht="22.5" customHeight="1">
      <c r="A2116" s="12" t="s">
        <v>52</v>
      </c>
      <c r="B2116" s="20" t="str">
        <f>IFERROR(VLOOKUP(A2116,Sheet1!$E$3:$H$27,4,0),"")</f>
        <v>P1</v>
      </c>
      <c r="C2116" s="14" t="s">
        <v>509</v>
      </c>
      <c r="D2116" s="12" t="s">
        <v>21</v>
      </c>
      <c r="E2116" s="13" t="str">
        <f>IFERROR(VLOOKUP(D2116,Sheet1!$B$1:$C$45,2,0),"")</f>
        <v>TE</v>
      </c>
      <c r="F2116" s="12" t="s">
        <v>108</v>
      </c>
      <c r="G2116" s="13" t="str">
        <f t="shared" si="8"/>
        <v>Barito Raya</v>
      </c>
      <c r="H2116" s="15" t="str">
        <f>IFERROR(VLOOKUP(A2116,Sheet1!$E$3:$F$27,2,),"")</f>
        <v>Preventive</v>
      </c>
      <c r="I2116" s="16" t="str">
        <f>IFERROR(VLOOKUP(A2116,Sheet1!$E$3:$G$27,3,0),"")</f>
        <v>MCB trip/Power upnormal</v>
      </c>
      <c r="J2116" s="12" t="s">
        <v>112</v>
      </c>
      <c r="K2116" s="17">
        <v>46129.0</v>
      </c>
      <c r="L2116" s="17">
        <v>46129.0</v>
      </c>
      <c r="M2116" s="13"/>
      <c r="N2116" s="23"/>
      <c r="O2116" s="22"/>
      <c r="P2116" s="22"/>
    </row>
    <row r="2117" ht="22.5" customHeight="1">
      <c r="A2117" s="12" t="s">
        <v>52</v>
      </c>
      <c r="B2117" s="20" t="str">
        <f>IFERROR(VLOOKUP(A2117,Sheet1!$E$3:$H$27,4,0),"")</f>
        <v>P1</v>
      </c>
      <c r="C2117" s="14" t="s">
        <v>277</v>
      </c>
      <c r="D2117" s="12" t="s">
        <v>26</v>
      </c>
      <c r="E2117" s="13" t="str">
        <f>IFERROR(VLOOKUP(D2117,Sheet1!$B$1:$C$45,2,0),"")</f>
        <v>TE</v>
      </c>
      <c r="F2117" s="12" t="s">
        <v>108</v>
      </c>
      <c r="G2117" s="13" t="str">
        <f t="shared" si="8"/>
        <v>Barito Raya</v>
      </c>
      <c r="H2117" s="15" t="str">
        <f>IFERROR(VLOOKUP(A2117,Sheet1!$E$3:$F$27,2,),"")</f>
        <v>Preventive</v>
      </c>
      <c r="I2117" s="16" t="str">
        <f>IFERROR(VLOOKUP(A2117,Sheet1!$E$3:$G$27,3,0),"")</f>
        <v>MCB trip/Power upnormal</v>
      </c>
      <c r="J2117" s="12" t="s">
        <v>112</v>
      </c>
      <c r="K2117" s="17">
        <v>46129.0</v>
      </c>
      <c r="L2117" s="17">
        <v>46129.0</v>
      </c>
      <c r="M2117" s="13"/>
      <c r="N2117" s="23"/>
      <c r="O2117" s="22"/>
      <c r="P2117" s="22"/>
    </row>
    <row r="2118" ht="22.5" customHeight="1">
      <c r="A2118" s="12" t="s">
        <v>25</v>
      </c>
      <c r="B2118" s="20" t="str">
        <f>IFERROR(VLOOKUP(A2118,Sheet1!$E$3:$H$27,4,0),"")</f>
        <v>P2</v>
      </c>
      <c r="C2118" s="14" t="s">
        <v>587</v>
      </c>
      <c r="D2118" s="12" t="s">
        <v>32</v>
      </c>
      <c r="E2118" s="13" t="str">
        <f>IFERROR(VLOOKUP(D2118,Sheet1!$B$1:$C$45,2,0),"")</f>
        <v>TE</v>
      </c>
      <c r="F2118" s="12" t="s">
        <v>108</v>
      </c>
      <c r="G2118" s="13" t="str">
        <f t="shared" si="8"/>
        <v>Barito Raya</v>
      </c>
      <c r="H2118" s="15" t="str">
        <f>IFERROR(VLOOKUP(A2118,Sheet1!$E$3:$F$27,2,),"")</f>
        <v>Corrective</v>
      </c>
      <c r="I2118" s="16" t="str">
        <f>IFERROR(VLOOKUP(A2118,Sheet1!$E$3:$G$27,3,0),"")</f>
        <v>Support Event</v>
      </c>
      <c r="J2118" s="12" t="s">
        <v>112</v>
      </c>
      <c r="K2118" s="17">
        <v>46129.0</v>
      </c>
      <c r="L2118" s="17">
        <v>46129.0</v>
      </c>
      <c r="M2118" s="13"/>
      <c r="N2118" s="23"/>
      <c r="O2118" s="22"/>
      <c r="P2118" s="22"/>
    </row>
    <row r="2119" ht="22.5" customHeight="1">
      <c r="A2119" s="12" t="s">
        <v>52</v>
      </c>
      <c r="B2119" s="20" t="str">
        <f>IFERROR(VLOOKUP(A2119,Sheet1!$E$3:$H$27,4,0),"")</f>
        <v>P1</v>
      </c>
      <c r="C2119" s="14" t="s">
        <v>448</v>
      </c>
      <c r="D2119" s="12" t="s">
        <v>74</v>
      </c>
      <c r="E2119" s="13" t="str">
        <f>IFERROR(VLOOKUP(D2119,Sheet1!$B$1:$C$45,2,0),"")</f>
        <v>TE</v>
      </c>
      <c r="F2119" s="12" t="s">
        <v>108</v>
      </c>
      <c r="G2119" s="13" t="str">
        <f t="shared" si="8"/>
        <v>Barito Raya</v>
      </c>
      <c r="H2119" s="15" t="str">
        <f>IFERROR(VLOOKUP(A2119,Sheet1!$E$3:$F$27,2,),"")</f>
        <v>Preventive</v>
      </c>
      <c r="I2119" s="16" t="str">
        <f>IFERROR(VLOOKUP(A2119,Sheet1!$E$3:$G$27,3,0),"")</f>
        <v>MCB trip/Power upnormal</v>
      </c>
      <c r="J2119" s="12" t="s">
        <v>112</v>
      </c>
      <c r="K2119" s="17">
        <v>46129.0</v>
      </c>
      <c r="L2119" s="17">
        <v>46129.0</v>
      </c>
      <c r="M2119" s="13"/>
      <c r="N2119" s="23"/>
      <c r="O2119" s="22"/>
      <c r="P2119" s="22"/>
    </row>
    <row r="2120" ht="22.5" customHeight="1">
      <c r="A2120" s="12" t="s">
        <v>5</v>
      </c>
      <c r="B2120" s="20" t="str">
        <f>IFERROR(VLOOKUP(A2120,Sheet1!$E$3:$H$27,4,0),"")</f>
        <v>P1</v>
      </c>
      <c r="C2120" s="14" t="s">
        <v>329</v>
      </c>
      <c r="D2120" s="12" t="s">
        <v>60</v>
      </c>
      <c r="E2120" s="13" t="str">
        <f>IFERROR(VLOOKUP(D2120,Sheet1!$B$1:$C$45,2,0),"")</f>
        <v>TE</v>
      </c>
      <c r="F2120" s="12" t="s">
        <v>108</v>
      </c>
      <c r="G2120" s="13" t="str">
        <f t="shared" si="8"/>
        <v>Barito Raya</v>
      </c>
      <c r="H2120" s="15" t="str">
        <f>IFERROR(VLOOKUP(A2120,Sheet1!$E$3:$F$27,2,),"")</f>
        <v>Corrective</v>
      </c>
      <c r="I2120" s="16" t="str">
        <f>IFERROR(VLOOKUP(A2120,Sheet1!$E$3:$G$27,3,0),"")</f>
        <v>Replace Optik,RRU/Soket Power/Replace GPS</v>
      </c>
      <c r="J2120" s="12" t="s">
        <v>112</v>
      </c>
      <c r="K2120" s="17">
        <v>46129.0</v>
      </c>
      <c r="L2120" s="17">
        <v>46129.0</v>
      </c>
      <c r="M2120" s="13"/>
      <c r="N2120" s="23"/>
      <c r="O2120" s="22"/>
      <c r="P2120" s="22"/>
    </row>
    <row r="2121" ht="22.5" customHeight="1">
      <c r="A2121" s="12" t="s">
        <v>5</v>
      </c>
      <c r="B2121" s="20" t="str">
        <f>IFERROR(VLOOKUP(A2121,Sheet1!$E$3:$H$27,4,0),"")</f>
        <v>P1</v>
      </c>
      <c r="C2121" s="14" t="s">
        <v>329</v>
      </c>
      <c r="D2121" s="12" t="s">
        <v>62</v>
      </c>
      <c r="E2121" s="13" t="str">
        <f>IFERROR(VLOOKUP(D2121,Sheet1!$B$1:$C$45,2,0),"")</f>
        <v>TE</v>
      </c>
      <c r="F2121" s="12" t="s">
        <v>108</v>
      </c>
      <c r="G2121" s="13" t="str">
        <f t="shared" si="8"/>
        <v>Barito Raya</v>
      </c>
      <c r="H2121" s="15" t="str">
        <f>IFERROR(VLOOKUP(A2121,Sheet1!$E$3:$F$27,2,),"")</f>
        <v>Corrective</v>
      </c>
      <c r="I2121" s="16" t="str">
        <f>IFERROR(VLOOKUP(A2121,Sheet1!$E$3:$G$27,3,0),"")</f>
        <v>Replace Optik,RRU/Soket Power/Replace GPS</v>
      </c>
      <c r="J2121" s="12" t="s">
        <v>112</v>
      </c>
      <c r="K2121" s="17">
        <v>46129.0</v>
      </c>
      <c r="L2121" s="17">
        <v>46129.0</v>
      </c>
      <c r="M2121" s="13"/>
      <c r="N2121" s="23"/>
      <c r="O2121" s="22"/>
      <c r="P2121" s="22"/>
    </row>
    <row r="2122" ht="22.5" customHeight="1">
      <c r="A2122" s="12" t="s">
        <v>52</v>
      </c>
      <c r="B2122" s="20" t="str">
        <f>IFERROR(VLOOKUP(A2122,Sheet1!$E$3:$H$27,4,0),"")</f>
        <v>P1</v>
      </c>
      <c r="C2122" s="14" t="s">
        <v>263</v>
      </c>
      <c r="D2122" s="12" t="s">
        <v>9</v>
      </c>
      <c r="E2122" s="13" t="str">
        <f>IFERROR(VLOOKUP(D2122,Sheet1!$B$1:$C$45,2,0),"")</f>
        <v>MBP</v>
      </c>
      <c r="F2122" s="12" t="s">
        <v>108</v>
      </c>
      <c r="G2122" s="13" t="str">
        <f t="shared" si="8"/>
        <v>Barito Raya</v>
      </c>
      <c r="H2122" s="15" t="str">
        <f>IFERROR(VLOOKUP(A2122,Sheet1!$E$3:$F$27,2,),"")</f>
        <v>Preventive</v>
      </c>
      <c r="I2122" s="16" t="str">
        <f>IFERROR(VLOOKUP(A2122,Sheet1!$E$3:$G$27,3,0),"")</f>
        <v>MCB trip/Power upnormal</v>
      </c>
      <c r="J2122" s="12" t="s">
        <v>112</v>
      </c>
      <c r="K2122" s="17">
        <v>46129.0</v>
      </c>
      <c r="L2122" s="17">
        <v>46129.0</v>
      </c>
      <c r="M2122" s="13"/>
      <c r="N2122" s="23"/>
      <c r="O2122" s="22"/>
      <c r="P2122" s="22"/>
    </row>
    <row r="2123" ht="22.5" customHeight="1">
      <c r="A2123" s="12" t="s">
        <v>65</v>
      </c>
      <c r="B2123" s="20" t="str">
        <f>IFERROR(VLOOKUP(A2123,Sheet1!$E$3:$H$27,4,0),"")</f>
        <v>P3</v>
      </c>
      <c r="C2123" s="15"/>
      <c r="D2123" s="12" t="s">
        <v>4</v>
      </c>
      <c r="E2123" s="13" t="str">
        <f>IFERROR(VLOOKUP(D2123,Sheet1!$B$1:$C$45,2,0),"")</f>
        <v>CME</v>
      </c>
      <c r="F2123" s="12" t="s">
        <v>108</v>
      </c>
      <c r="G2123" s="13" t="str">
        <f t="shared" si="8"/>
        <v>Barito Raya</v>
      </c>
      <c r="H2123" s="15" t="str">
        <f>IFERROR(VLOOKUP(A2123,Sheet1!$E$3:$F$27,2,),"")</f>
        <v>Standby</v>
      </c>
      <c r="I2123" s="16" t="str">
        <f>IFERROR(VLOOKUP(A2123,Sheet1!$E$3:$G$27,3,0),"")</f>
        <v>Standby On Call</v>
      </c>
      <c r="J2123" s="20"/>
      <c r="K2123" s="17">
        <v>46129.0</v>
      </c>
      <c r="L2123" s="17">
        <v>46129.0</v>
      </c>
      <c r="M2123" s="13"/>
      <c r="N2123" s="23"/>
      <c r="O2123" s="22"/>
      <c r="P2123" s="22"/>
    </row>
    <row r="2124" ht="22.5" customHeight="1">
      <c r="A2124" s="12" t="s">
        <v>65</v>
      </c>
      <c r="B2124" s="20" t="str">
        <f>IFERROR(VLOOKUP(A2124,Sheet1!$E$3:$H$27,4,0),"")</f>
        <v>P3</v>
      </c>
      <c r="C2124" s="15"/>
      <c r="D2124" s="12" t="s">
        <v>87</v>
      </c>
      <c r="E2124" s="13" t="str">
        <f>IFERROR(VLOOKUP(D2124,Sheet1!$B$1:$C$45,2,0),"")</f>
        <v>MBP</v>
      </c>
      <c r="F2124" s="12" t="s">
        <v>108</v>
      </c>
      <c r="G2124" s="13" t="str">
        <f t="shared" si="8"/>
        <v>Barito Raya</v>
      </c>
      <c r="H2124" s="15" t="str">
        <f>IFERROR(VLOOKUP(A2124,Sheet1!$E$3:$F$27,2,),"")</f>
        <v>Standby</v>
      </c>
      <c r="I2124" s="16" t="str">
        <f>IFERROR(VLOOKUP(A2124,Sheet1!$E$3:$G$27,3,0),"")</f>
        <v>Standby On Call</v>
      </c>
      <c r="J2124" s="20"/>
      <c r="K2124" s="17">
        <v>46129.0</v>
      </c>
      <c r="L2124" s="17">
        <v>46129.0</v>
      </c>
      <c r="M2124" s="13"/>
      <c r="N2124" s="23"/>
      <c r="O2124" s="22"/>
      <c r="P2124" s="22"/>
    </row>
    <row r="2125" ht="22.5" customHeight="1">
      <c r="A2125" s="12" t="s">
        <v>14</v>
      </c>
      <c r="B2125" s="20" t="str">
        <f>IFERROR(VLOOKUP(A2125,Sheet1!$E$3:$H$27,4,0),"")</f>
        <v>P1</v>
      </c>
      <c r="C2125" s="14" t="s">
        <v>313</v>
      </c>
      <c r="D2125" s="12" t="s">
        <v>29</v>
      </c>
      <c r="E2125" s="13" t="str">
        <f>IFERROR(VLOOKUP(D2125,Sheet1!$B$1:$C$45,2,0),"")</f>
        <v>MBP</v>
      </c>
      <c r="F2125" s="12" t="s">
        <v>108</v>
      </c>
      <c r="G2125" s="13" t="str">
        <f t="shared" si="8"/>
        <v>Barito Raya</v>
      </c>
      <c r="H2125" s="15" t="str">
        <f>IFERROR(VLOOKUP(A2125,Sheet1!$E$3:$F$27,2,),"")</f>
        <v>Corrective</v>
      </c>
      <c r="I2125" s="16" t="str">
        <f>IFERROR(VLOOKUP(A2125,Sheet1!$E$3:$G$27,3,0),"")</f>
        <v>Pemadaman,MCB Trip,Transmisi problem</v>
      </c>
      <c r="J2125" s="12" t="s">
        <v>112</v>
      </c>
      <c r="K2125" s="17">
        <v>46129.0</v>
      </c>
      <c r="L2125" s="17">
        <v>46129.0</v>
      </c>
      <c r="M2125" s="13"/>
      <c r="N2125" s="23"/>
      <c r="O2125" s="22"/>
      <c r="P2125" s="22"/>
    </row>
    <row r="2126" ht="22.5" customHeight="1">
      <c r="A2126" s="12" t="s">
        <v>52</v>
      </c>
      <c r="B2126" s="20" t="str">
        <f>IFERROR(VLOOKUP(A2126,Sheet1!$E$3:$H$27,4,0),"")</f>
        <v>P1</v>
      </c>
      <c r="C2126" s="14" t="s">
        <v>134</v>
      </c>
      <c r="D2126" s="12" t="s">
        <v>2</v>
      </c>
      <c r="E2126" s="13" t="str">
        <f>IFERROR(VLOOKUP(D2126,Sheet1!$B$1:$C$45,2,0),"")</f>
        <v>CME</v>
      </c>
      <c r="F2126" s="12" t="s">
        <v>108</v>
      </c>
      <c r="G2126" s="13" t="str">
        <f t="shared" si="8"/>
        <v>Barito Raya</v>
      </c>
      <c r="H2126" s="15" t="str">
        <f>IFERROR(VLOOKUP(A2126,Sheet1!$E$3:$F$27,2,),"")</f>
        <v>Preventive</v>
      </c>
      <c r="I2126" s="16" t="str">
        <f>IFERROR(VLOOKUP(A2126,Sheet1!$E$3:$G$27,3,0),"")</f>
        <v>MCB trip/Power upnormal</v>
      </c>
      <c r="J2126" s="12" t="s">
        <v>112</v>
      </c>
      <c r="K2126" s="17">
        <v>46129.0</v>
      </c>
      <c r="L2126" s="17">
        <v>46129.0</v>
      </c>
      <c r="M2126" s="13"/>
      <c r="N2126" s="23"/>
      <c r="O2126" s="22"/>
      <c r="P2126" s="22"/>
    </row>
    <row r="2127" ht="22.5" customHeight="1">
      <c r="A2127" s="12" t="s">
        <v>65</v>
      </c>
      <c r="B2127" s="20" t="str">
        <f>IFERROR(VLOOKUP(A2127,Sheet1!$E$3:$H$27,4,0),"")</f>
        <v>P3</v>
      </c>
      <c r="C2127" s="15"/>
      <c r="D2127" s="12" t="s">
        <v>0</v>
      </c>
      <c r="E2127" s="13" t="str">
        <f>IFERROR(VLOOKUP(D2127,Sheet1!$B$1:$C$45,2,0),"")</f>
        <v>MBP</v>
      </c>
      <c r="F2127" s="12" t="s">
        <v>108</v>
      </c>
      <c r="G2127" s="13" t="str">
        <f t="shared" si="8"/>
        <v>Barito Raya</v>
      </c>
      <c r="H2127" s="15" t="str">
        <f>IFERROR(VLOOKUP(A2127,Sheet1!$E$3:$F$27,2,),"")</f>
        <v>Standby</v>
      </c>
      <c r="I2127" s="16" t="str">
        <f>IFERROR(VLOOKUP(A2127,Sheet1!$E$3:$G$27,3,0),"")</f>
        <v>Standby On Call</v>
      </c>
      <c r="J2127" s="20"/>
      <c r="K2127" s="17">
        <v>46129.0</v>
      </c>
      <c r="L2127" s="17">
        <v>46129.0</v>
      </c>
      <c r="M2127" s="13"/>
      <c r="N2127" s="23"/>
      <c r="O2127" s="22"/>
      <c r="P2127" s="22"/>
    </row>
    <row r="2128" ht="22.5" customHeight="1">
      <c r="A2128" s="12" t="s">
        <v>22</v>
      </c>
      <c r="B2128" s="20" t="str">
        <f>IFERROR(VLOOKUP(A2128,Sheet1!$E$3:$H$27,4,0),"")</f>
        <v>P2</v>
      </c>
      <c r="C2128" s="14" t="s">
        <v>273</v>
      </c>
      <c r="D2128" s="12" t="s">
        <v>85</v>
      </c>
      <c r="E2128" s="13" t="str">
        <f>IFERROR(VLOOKUP(D2128,Sheet1!$B$1:$C$45,2,0),"")</f>
        <v>PM</v>
      </c>
      <c r="F2128" s="12" t="s">
        <v>108</v>
      </c>
      <c r="G2128" s="13" t="str">
        <f t="shared" si="8"/>
        <v>Barito Raya</v>
      </c>
      <c r="H2128" s="15" t="str">
        <f>IFERROR(VLOOKUP(A2128,Sheet1!$E$3:$F$27,2,),"")</f>
        <v>Preventive</v>
      </c>
      <c r="I2128" s="16" t="str">
        <f>IFERROR(VLOOKUP(A2128,Sheet1!$E$3:$G$27,3,0),"")</f>
        <v>Preventive Maintenance</v>
      </c>
      <c r="J2128" s="12" t="s">
        <v>112</v>
      </c>
      <c r="K2128" s="17">
        <v>46129.0</v>
      </c>
      <c r="L2128" s="17">
        <v>46129.0</v>
      </c>
      <c r="M2128" s="13"/>
      <c r="N2128" s="23"/>
      <c r="O2128" s="22"/>
      <c r="P2128" s="22"/>
    </row>
    <row r="2129" ht="22.5" customHeight="1">
      <c r="A2129" s="12" t="s">
        <v>22</v>
      </c>
      <c r="B2129" s="20" t="str">
        <f>IFERROR(VLOOKUP(A2129,Sheet1!$E$3:$H$27,4,0),"")</f>
        <v>P2</v>
      </c>
      <c r="C2129" s="14" t="s">
        <v>273</v>
      </c>
      <c r="D2129" s="12" t="s">
        <v>84</v>
      </c>
      <c r="E2129" s="13" t="str">
        <f>IFERROR(VLOOKUP(D2129,Sheet1!$B$1:$C$45,2,0),"")</f>
        <v>MBP</v>
      </c>
      <c r="F2129" s="12" t="s">
        <v>108</v>
      </c>
      <c r="G2129" s="13" t="str">
        <f t="shared" si="8"/>
        <v>Barito Raya</v>
      </c>
      <c r="H2129" s="15" t="str">
        <f>IFERROR(VLOOKUP(A2129,Sheet1!$E$3:$F$27,2,),"")</f>
        <v>Preventive</v>
      </c>
      <c r="I2129" s="16" t="str">
        <f>IFERROR(VLOOKUP(A2129,Sheet1!$E$3:$G$27,3,0),"")</f>
        <v>Preventive Maintenance</v>
      </c>
      <c r="J2129" s="12" t="s">
        <v>112</v>
      </c>
      <c r="K2129" s="17">
        <v>46129.0</v>
      </c>
      <c r="L2129" s="17">
        <v>46129.0</v>
      </c>
      <c r="M2129" s="13"/>
      <c r="N2129" s="23"/>
      <c r="O2129" s="22"/>
      <c r="P2129" s="22"/>
    </row>
    <row r="2130" ht="22.5" customHeight="1">
      <c r="A2130" s="12" t="s">
        <v>22</v>
      </c>
      <c r="B2130" s="20" t="str">
        <f>IFERROR(VLOOKUP(A2130,Sheet1!$E$3:$H$27,4,0),"")</f>
        <v>P2</v>
      </c>
      <c r="C2130" s="14" t="s">
        <v>675</v>
      </c>
      <c r="D2130" s="12" t="s">
        <v>86</v>
      </c>
      <c r="E2130" s="13" t="str">
        <f>IFERROR(VLOOKUP(D2130,Sheet1!$B$1:$C$45,2,0),"")</f>
        <v>PM</v>
      </c>
      <c r="F2130" s="12" t="s">
        <v>108</v>
      </c>
      <c r="G2130" s="13" t="str">
        <f t="shared" si="8"/>
        <v>Barito Raya</v>
      </c>
      <c r="H2130" s="15" t="str">
        <f>IFERROR(VLOOKUP(A2130,Sheet1!$E$3:$F$27,2,),"")</f>
        <v>Preventive</v>
      </c>
      <c r="I2130" s="16" t="str">
        <f>IFERROR(VLOOKUP(A2130,Sheet1!$E$3:$G$27,3,0),"")</f>
        <v>Preventive Maintenance</v>
      </c>
      <c r="J2130" s="12" t="s">
        <v>112</v>
      </c>
      <c r="K2130" s="17">
        <v>46147.0</v>
      </c>
      <c r="L2130" s="17">
        <v>46129.0</v>
      </c>
      <c r="M2130" s="13"/>
      <c r="N2130" s="23"/>
      <c r="O2130" s="22"/>
      <c r="P2130" s="22"/>
    </row>
    <row r="2131" ht="22.5" customHeight="1">
      <c r="A2131" s="12" t="s">
        <v>14</v>
      </c>
      <c r="B2131" s="20" t="str">
        <f>IFERROR(VLOOKUP(A2131,Sheet1!$E$3:$H$27,4,0),"")</f>
        <v>P1</v>
      </c>
      <c r="C2131" s="14" t="s">
        <v>535</v>
      </c>
      <c r="D2131" s="12" t="s">
        <v>37</v>
      </c>
      <c r="E2131" s="13" t="str">
        <f>IFERROR(VLOOKUP(D2131,Sheet1!$B$1:$C$45,2,0),"")</f>
        <v>TE</v>
      </c>
      <c r="F2131" s="12" t="s">
        <v>179</v>
      </c>
      <c r="G2131" s="13" t="str">
        <f t="shared" si="8"/>
        <v>Palangkaraya</v>
      </c>
      <c r="H2131" s="15" t="str">
        <f>IFERROR(VLOOKUP(A2131,Sheet1!$E$3:$F$27,2,),"")</f>
        <v>Corrective</v>
      </c>
      <c r="I2131" s="16" t="str">
        <f>IFERROR(VLOOKUP(A2131,Sheet1!$E$3:$G$27,3,0),"")</f>
        <v>Pemadaman,MCB Trip,Transmisi problem</v>
      </c>
      <c r="J2131" s="12" t="s">
        <v>112</v>
      </c>
      <c r="K2131" s="17">
        <v>46147.0</v>
      </c>
      <c r="L2131" s="17"/>
      <c r="M2131" s="13"/>
      <c r="N2131" s="23"/>
      <c r="O2131" s="22"/>
      <c r="P2131" s="22"/>
    </row>
    <row r="2132" ht="22.5" customHeight="1">
      <c r="A2132" s="12" t="s">
        <v>14</v>
      </c>
      <c r="B2132" s="20" t="str">
        <f>IFERROR(VLOOKUP(A2132,Sheet1!$E$3:$H$27,4,0),"")</f>
        <v>P1</v>
      </c>
      <c r="C2132" s="14" t="s">
        <v>363</v>
      </c>
      <c r="D2132" s="12" t="s">
        <v>76</v>
      </c>
      <c r="E2132" s="13" t="str">
        <f>IFERROR(VLOOKUP(D2132,Sheet1!$B$1:$C$45,2,0),"")</f>
        <v>TE</v>
      </c>
      <c r="F2132" s="12" t="s">
        <v>179</v>
      </c>
      <c r="G2132" s="13" t="str">
        <f t="shared" si="8"/>
        <v>Palangkaraya</v>
      </c>
      <c r="H2132" s="15" t="str">
        <f>IFERROR(VLOOKUP(A2132,Sheet1!$E$3:$F$27,2,),"")</f>
        <v>Corrective</v>
      </c>
      <c r="I2132" s="16" t="str">
        <f>IFERROR(VLOOKUP(A2132,Sheet1!$E$3:$G$27,3,0),"")</f>
        <v>Pemadaman,MCB Trip,Transmisi problem</v>
      </c>
      <c r="J2132" s="12" t="s">
        <v>112</v>
      </c>
      <c r="K2132" s="17">
        <v>46147.0</v>
      </c>
      <c r="L2132" s="17"/>
      <c r="M2132" s="13"/>
      <c r="N2132" s="23"/>
      <c r="O2132" s="22"/>
      <c r="P2132" s="22"/>
    </row>
    <row r="2133" ht="22.5" customHeight="1">
      <c r="A2133" s="12" t="s">
        <v>33</v>
      </c>
      <c r="B2133" s="20" t="str">
        <f>IFERROR(VLOOKUP(A2133,Sheet1!$E$3:$H$27,4,0),"")</f>
        <v>P2</v>
      </c>
      <c r="C2133" s="14" t="s">
        <v>601</v>
      </c>
      <c r="D2133" s="12" t="s">
        <v>51</v>
      </c>
      <c r="E2133" s="13" t="str">
        <f>IFERROR(VLOOKUP(D2133,Sheet1!$B$1:$C$45,2,0),"")</f>
        <v>TE</v>
      </c>
      <c r="F2133" s="12" t="s">
        <v>179</v>
      </c>
      <c r="G2133" s="13" t="str">
        <f t="shared" si="8"/>
        <v>Palangkaraya</v>
      </c>
      <c r="H2133" s="15" t="str">
        <f>IFERROR(VLOOKUP(A2133,Sheet1!$E$3:$F$27,2,),"")</f>
        <v>Preventive</v>
      </c>
      <c r="I2133" s="16" t="str">
        <f>IFERROR(VLOOKUP(A2133,Sheet1!$E$3:$G$27,3,0),"")</f>
        <v>Pengukuran dan pengambilan data log serta input Gdoc BBT</v>
      </c>
      <c r="J2133" s="12" t="s">
        <v>112</v>
      </c>
      <c r="K2133" s="17">
        <v>46147.0</v>
      </c>
      <c r="L2133" s="17"/>
      <c r="M2133" s="13"/>
      <c r="N2133" s="23"/>
      <c r="O2133" s="22"/>
      <c r="P2133" s="22"/>
    </row>
    <row r="2134" ht="22.5" customHeight="1">
      <c r="A2134" s="12" t="s">
        <v>5</v>
      </c>
      <c r="B2134" s="20" t="str">
        <f>IFERROR(VLOOKUP(A2134,Sheet1!$E$3:$H$27,4,0),"")</f>
        <v>P1</v>
      </c>
      <c r="C2134" s="14" t="s">
        <v>676</v>
      </c>
      <c r="D2134" s="12" t="s">
        <v>79</v>
      </c>
      <c r="E2134" s="13" t="str">
        <f>IFERROR(VLOOKUP(D2134,Sheet1!$B$1:$C$45,2,0),"")</f>
        <v>TE</v>
      </c>
      <c r="F2134" s="12" t="s">
        <v>179</v>
      </c>
      <c r="G2134" s="13" t="str">
        <f t="shared" si="8"/>
        <v>Palangkaraya</v>
      </c>
      <c r="H2134" s="15" t="str">
        <f>IFERROR(VLOOKUP(A2134,Sheet1!$E$3:$F$27,2,),"")</f>
        <v>Corrective</v>
      </c>
      <c r="I2134" s="16" t="str">
        <f>IFERROR(VLOOKUP(A2134,Sheet1!$E$3:$G$27,3,0),"")</f>
        <v>Replace Optik,RRU/Soket Power/Replace GPS</v>
      </c>
      <c r="J2134" s="12" t="s">
        <v>112</v>
      </c>
      <c r="K2134" s="17">
        <v>46147.0</v>
      </c>
      <c r="L2134" s="17"/>
      <c r="M2134" s="13"/>
      <c r="N2134" s="23"/>
      <c r="O2134" s="22"/>
      <c r="P2134" s="22"/>
    </row>
    <row r="2135" ht="22.5" customHeight="1">
      <c r="A2135" s="12" t="s">
        <v>14</v>
      </c>
      <c r="B2135" s="20" t="str">
        <f>IFERROR(VLOOKUP(A2135,Sheet1!$E$3:$H$27,4,0),"")</f>
        <v>P1</v>
      </c>
      <c r="C2135" s="14" t="s">
        <v>304</v>
      </c>
      <c r="D2135" s="12" t="s">
        <v>58</v>
      </c>
      <c r="E2135" s="13" t="str">
        <f>IFERROR(VLOOKUP(D2135,Sheet1!$B$1:$C$45,2,0),"")</f>
        <v>TE</v>
      </c>
      <c r="F2135" s="12" t="s">
        <v>179</v>
      </c>
      <c r="G2135" s="13" t="str">
        <f t="shared" si="8"/>
        <v>Palangkaraya</v>
      </c>
      <c r="H2135" s="15" t="str">
        <f>IFERROR(VLOOKUP(A2135,Sheet1!$E$3:$F$27,2,),"")</f>
        <v>Corrective</v>
      </c>
      <c r="I2135" s="16" t="str">
        <f>IFERROR(VLOOKUP(A2135,Sheet1!$E$3:$G$27,3,0),"")</f>
        <v>Pemadaman,MCB Trip,Transmisi problem</v>
      </c>
      <c r="J2135" s="12" t="s">
        <v>112</v>
      </c>
      <c r="K2135" s="17">
        <v>46147.0</v>
      </c>
      <c r="L2135" s="17"/>
      <c r="M2135" s="13"/>
      <c r="N2135" s="23"/>
      <c r="O2135" s="22"/>
      <c r="P2135" s="22"/>
    </row>
    <row r="2136" ht="22.5" customHeight="1">
      <c r="A2136" s="12" t="s">
        <v>65</v>
      </c>
      <c r="B2136" s="20" t="str">
        <f>IFERROR(VLOOKUP(A2136,Sheet1!$E$3:$H$27,4,0),"")</f>
        <v>P3</v>
      </c>
      <c r="C2136" s="14"/>
      <c r="D2136" s="12" t="s">
        <v>42</v>
      </c>
      <c r="E2136" s="13" t="str">
        <f>IFERROR(VLOOKUP(D2136,Sheet1!$B$1:$C$45,2,0),"")</f>
        <v>TE</v>
      </c>
      <c r="F2136" s="12" t="s">
        <v>179</v>
      </c>
      <c r="G2136" s="13" t="str">
        <f t="shared" si="8"/>
        <v>Palangkaraya</v>
      </c>
      <c r="H2136" s="15" t="str">
        <f>IFERROR(VLOOKUP(A2136,Sheet1!$E$3:$F$27,2,),"")</f>
        <v>Standby</v>
      </c>
      <c r="I2136" s="16" t="str">
        <f>IFERROR(VLOOKUP(A2136,Sheet1!$E$3:$G$27,3,0),"")</f>
        <v>Standby On Call</v>
      </c>
      <c r="J2136" s="12" t="s">
        <v>66</v>
      </c>
      <c r="K2136" s="17">
        <v>46147.0</v>
      </c>
      <c r="L2136" s="17"/>
      <c r="M2136" s="13"/>
      <c r="N2136" s="23"/>
      <c r="O2136" s="22"/>
      <c r="P2136" s="22"/>
    </row>
    <row r="2137" ht="22.5" customHeight="1">
      <c r="A2137" s="12" t="s">
        <v>33</v>
      </c>
      <c r="B2137" s="20" t="str">
        <f>IFERROR(VLOOKUP(A2137,Sheet1!$E$3:$H$27,4,0),"")</f>
        <v>P2</v>
      </c>
      <c r="C2137" s="14" t="s">
        <v>463</v>
      </c>
      <c r="D2137" s="12" t="s">
        <v>91</v>
      </c>
      <c r="E2137" s="13" t="str">
        <f>IFERROR(VLOOKUP(D2137,Sheet1!$B$1:$C$45,2,0),"")</f>
        <v>TE</v>
      </c>
      <c r="F2137" s="12" t="s">
        <v>179</v>
      </c>
      <c r="G2137" s="13" t="str">
        <f t="shared" si="8"/>
        <v>Palangkaraya</v>
      </c>
      <c r="H2137" s="15" t="str">
        <f>IFERROR(VLOOKUP(A2137,Sheet1!$E$3:$F$27,2,),"")</f>
        <v>Preventive</v>
      </c>
      <c r="I2137" s="16" t="str">
        <f>IFERROR(VLOOKUP(A2137,Sheet1!$E$3:$G$27,3,0),"")</f>
        <v>Pengukuran dan pengambilan data log serta input Gdoc BBT</v>
      </c>
      <c r="J2137" s="12" t="s">
        <v>112</v>
      </c>
      <c r="K2137" s="17">
        <v>46147.0</v>
      </c>
      <c r="L2137" s="17"/>
      <c r="M2137" s="13"/>
      <c r="N2137" s="23"/>
      <c r="O2137" s="22"/>
      <c r="P2137" s="22"/>
    </row>
    <row r="2138" ht="22.5" customHeight="1">
      <c r="A2138" s="12" t="s">
        <v>22</v>
      </c>
      <c r="B2138" s="20" t="str">
        <f>IFERROR(VLOOKUP(A2138,Sheet1!$E$3:$H$27,4,0),"")</f>
        <v>P2</v>
      </c>
      <c r="C2138" s="15"/>
      <c r="D2138" s="12" t="s">
        <v>83</v>
      </c>
      <c r="E2138" s="13" t="str">
        <f>IFERROR(VLOOKUP(D2138,Sheet1!$B$1:$C$45,2,0),"")</f>
        <v>PM</v>
      </c>
      <c r="F2138" s="12" t="s">
        <v>179</v>
      </c>
      <c r="G2138" s="13" t="str">
        <f t="shared" si="8"/>
        <v>Palangkaraya</v>
      </c>
      <c r="H2138" s="15" t="str">
        <f>IFERROR(VLOOKUP(A2138,Sheet1!$E$3:$F$27,2,),"")</f>
        <v>Preventive</v>
      </c>
      <c r="I2138" s="16" t="str">
        <f>IFERROR(VLOOKUP(A2138,Sheet1!$E$3:$G$27,3,0),"")</f>
        <v>Preventive Maintenance</v>
      </c>
      <c r="J2138" s="12" t="s">
        <v>112</v>
      </c>
      <c r="K2138" s="17">
        <v>46147.0</v>
      </c>
      <c r="L2138" s="17"/>
      <c r="M2138" s="13"/>
      <c r="N2138" s="23"/>
      <c r="O2138" s="22"/>
      <c r="P2138" s="22"/>
    </row>
    <row r="2139" ht="22.5" customHeight="1">
      <c r="A2139" s="12" t="s">
        <v>22</v>
      </c>
      <c r="B2139" s="20" t="str">
        <f>IFERROR(VLOOKUP(A2139,Sheet1!$E$3:$H$27,4,0),"")</f>
        <v>P2</v>
      </c>
      <c r="C2139" s="15"/>
      <c r="D2139" s="12" t="s">
        <v>82</v>
      </c>
      <c r="E2139" s="13" t="str">
        <f>IFERROR(VLOOKUP(D2139,Sheet1!$B$1:$C$45,2,0),"")</f>
        <v>PM</v>
      </c>
      <c r="F2139" s="12" t="s">
        <v>179</v>
      </c>
      <c r="G2139" s="13" t="str">
        <f t="shared" si="8"/>
        <v>Palangkaraya</v>
      </c>
      <c r="H2139" s="15" t="str">
        <f>IFERROR(VLOOKUP(A2139,Sheet1!$E$3:$F$27,2,),"")</f>
        <v>Preventive</v>
      </c>
      <c r="I2139" s="16" t="str">
        <f>IFERROR(VLOOKUP(A2139,Sheet1!$E$3:$G$27,3,0),"")</f>
        <v>Preventive Maintenance</v>
      </c>
      <c r="J2139" s="12" t="s">
        <v>112</v>
      </c>
      <c r="K2139" s="17">
        <v>46147.0</v>
      </c>
      <c r="L2139" s="17"/>
      <c r="M2139" s="13"/>
      <c r="N2139" s="23"/>
      <c r="O2139" s="22"/>
      <c r="P2139" s="22"/>
    </row>
    <row r="2140" ht="22.5" customHeight="1">
      <c r="A2140" s="12" t="s">
        <v>65</v>
      </c>
      <c r="B2140" s="20" t="str">
        <f>IFERROR(VLOOKUP(A2140,Sheet1!$E$3:$H$27,4,0),"")</f>
        <v>P3</v>
      </c>
      <c r="C2140" s="14"/>
      <c r="D2140" s="12" t="s">
        <v>75</v>
      </c>
      <c r="E2140" s="13" t="str">
        <f>IFERROR(VLOOKUP(D2140,Sheet1!$B$1:$C$45,2,0),"")</f>
        <v>CME</v>
      </c>
      <c r="F2140" s="12" t="s">
        <v>179</v>
      </c>
      <c r="G2140" s="13" t="str">
        <f t="shared" si="8"/>
        <v>Palangkaraya</v>
      </c>
      <c r="H2140" s="15" t="str">
        <f>IFERROR(VLOOKUP(A2140,Sheet1!$E$3:$F$27,2,),"")</f>
        <v>Standby</v>
      </c>
      <c r="I2140" s="16" t="str">
        <f>IFERROR(VLOOKUP(A2140,Sheet1!$E$3:$G$27,3,0),"")</f>
        <v>Standby On Call</v>
      </c>
      <c r="J2140" s="12" t="s">
        <v>66</v>
      </c>
      <c r="K2140" s="17">
        <v>46147.0</v>
      </c>
      <c r="L2140" s="17"/>
      <c r="M2140" s="13"/>
      <c r="N2140" s="23"/>
      <c r="O2140" s="22"/>
      <c r="P2140" s="22"/>
    </row>
    <row r="2141" ht="22.5" customHeight="1">
      <c r="A2141" s="12" t="s">
        <v>14</v>
      </c>
      <c r="B2141" s="20" t="str">
        <f>IFERROR(VLOOKUP(A2141,Sheet1!$E$3:$H$27,4,0),"")</f>
        <v>P1</v>
      </c>
      <c r="C2141" s="14" t="s">
        <v>304</v>
      </c>
      <c r="D2141" s="12" t="s">
        <v>54</v>
      </c>
      <c r="E2141" s="13" t="str">
        <f>IFERROR(VLOOKUP(D2141,Sheet1!$B$1:$C$45,2,0),"")</f>
        <v>MBP</v>
      </c>
      <c r="F2141" s="12" t="s">
        <v>179</v>
      </c>
      <c r="G2141" s="13" t="str">
        <f t="shared" si="8"/>
        <v>Palangkaraya</v>
      </c>
      <c r="H2141" s="15" t="str">
        <f>IFERROR(VLOOKUP(A2141,Sheet1!$E$3:$F$27,2,),"")</f>
        <v>Corrective</v>
      </c>
      <c r="I2141" s="16" t="str">
        <f>IFERROR(VLOOKUP(A2141,Sheet1!$E$3:$G$27,3,0),"")</f>
        <v>Pemadaman,MCB Trip,Transmisi problem</v>
      </c>
      <c r="J2141" s="12" t="s">
        <v>112</v>
      </c>
      <c r="K2141" s="17">
        <v>46147.0</v>
      </c>
      <c r="L2141" s="17"/>
      <c r="M2141" s="13"/>
      <c r="N2141" s="23"/>
      <c r="O2141" s="22"/>
      <c r="P2141" s="22"/>
    </row>
    <row r="2142" ht="22.5" customHeight="1">
      <c r="A2142" s="12" t="s">
        <v>65</v>
      </c>
      <c r="B2142" s="20" t="str">
        <f>IFERROR(VLOOKUP(A2142,Sheet1!$E$3:$H$27,4,0),"")</f>
        <v>P3</v>
      </c>
      <c r="C2142" s="15"/>
      <c r="D2142" s="12" t="s">
        <v>64</v>
      </c>
      <c r="E2142" s="13" t="str">
        <f>IFERROR(VLOOKUP(D2142,Sheet1!$B$1:$C$45,2,0),"")</f>
        <v>TE</v>
      </c>
      <c r="F2142" s="12" t="s">
        <v>179</v>
      </c>
      <c r="G2142" s="13" t="str">
        <f t="shared" si="8"/>
        <v>Palangkaraya</v>
      </c>
      <c r="H2142" s="15" t="str">
        <f>IFERROR(VLOOKUP(A2142,Sheet1!$E$3:$F$27,2,),"")</f>
        <v>Standby</v>
      </c>
      <c r="I2142" s="16" t="str">
        <f>IFERROR(VLOOKUP(A2142,Sheet1!$E$3:$G$27,3,0),"")</f>
        <v>Standby On Call</v>
      </c>
      <c r="J2142" s="12" t="s">
        <v>66</v>
      </c>
      <c r="K2142" s="17">
        <v>46147.0</v>
      </c>
      <c r="L2142" s="17"/>
      <c r="M2142" s="13"/>
      <c r="N2142" s="23"/>
      <c r="O2142" s="22"/>
      <c r="P2142" s="22"/>
    </row>
    <row r="2143" ht="22.5" customHeight="1">
      <c r="A2143" s="12" t="s">
        <v>33</v>
      </c>
      <c r="B2143" s="20" t="str">
        <f>IFERROR(VLOOKUP(A2143,Sheet1!$E$3:$H$27,4,0),"")</f>
        <v>P2</v>
      </c>
      <c r="C2143" s="14" t="s">
        <v>452</v>
      </c>
      <c r="D2143" s="12" t="s">
        <v>39</v>
      </c>
      <c r="E2143" s="13" t="str">
        <f>IFERROR(VLOOKUP(D2143,Sheet1!$B$1:$C$45,2,0),"")</f>
        <v>TE</v>
      </c>
      <c r="F2143" s="12" t="s">
        <v>179</v>
      </c>
      <c r="G2143" s="13" t="str">
        <f t="shared" si="8"/>
        <v>Palangkaraya</v>
      </c>
      <c r="H2143" s="15" t="str">
        <f>IFERROR(VLOOKUP(A2143,Sheet1!$E$3:$F$27,2,),"")</f>
        <v>Preventive</v>
      </c>
      <c r="I2143" s="16" t="str">
        <f>IFERROR(VLOOKUP(A2143,Sheet1!$E$3:$G$27,3,0),"")</f>
        <v>Pengukuran dan pengambilan data log serta input Gdoc BBT</v>
      </c>
      <c r="J2143" s="12" t="s">
        <v>112</v>
      </c>
      <c r="K2143" s="17">
        <v>46147.0</v>
      </c>
      <c r="L2143" s="17"/>
      <c r="M2143" s="13"/>
      <c r="N2143" s="23"/>
      <c r="O2143" s="22"/>
      <c r="P2143" s="22"/>
    </row>
    <row r="2144" ht="22.5" customHeight="1">
      <c r="A2144" s="12" t="s">
        <v>33</v>
      </c>
      <c r="B2144" s="20" t="str">
        <f>IFERROR(VLOOKUP(A2144,Sheet1!$E$3:$H$27,4,0),"")</f>
        <v>P2</v>
      </c>
      <c r="C2144" s="14" t="s">
        <v>363</v>
      </c>
      <c r="D2144" s="12" t="s">
        <v>80</v>
      </c>
      <c r="E2144" s="13" t="str">
        <f>IFERROR(VLOOKUP(D2144,Sheet1!$B$1:$C$45,2,0),"")</f>
        <v>TE</v>
      </c>
      <c r="F2144" s="12" t="s">
        <v>179</v>
      </c>
      <c r="G2144" s="13" t="str">
        <f t="shared" si="8"/>
        <v>Palangkaraya</v>
      </c>
      <c r="H2144" s="15" t="str">
        <f>IFERROR(VLOOKUP(A2144,Sheet1!$E$3:$F$27,2,),"")</f>
        <v>Preventive</v>
      </c>
      <c r="I2144" s="16" t="str">
        <f>IFERROR(VLOOKUP(A2144,Sheet1!$E$3:$G$27,3,0),"")</f>
        <v>Pengukuran dan pengambilan data log serta input Gdoc BBT</v>
      </c>
      <c r="J2144" s="12" t="s">
        <v>112</v>
      </c>
      <c r="K2144" s="17">
        <v>46147.0</v>
      </c>
      <c r="L2144" s="17"/>
      <c r="M2144" s="13"/>
      <c r="N2144" s="23"/>
      <c r="O2144" s="22"/>
      <c r="P2144" s="22"/>
    </row>
    <row r="2145" ht="22.5" customHeight="1">
      <c r="A2145" s="12" t="s">
        <v>65</v>
      </c>
      <c r="B2145" s="20" t="str">
        <f>IFERROR(VLOOKUP(A2145,Sheet1!$E$3:$H$27,4,0),"")</f>
        <v>P3</v>
      </c>
      <c r="C2145" s="14"/>
      <c r="D2145" s="12" t="s">
        <v>56</v>
      </c>
      <c r="E2145" s="13" t="str">
        <f>IFERROR(VLOOKUP(D2145,Sheet1!$B$1:$C$45,2,0),"")</f>
        <v>TE</v>
      </c>
      <c r="F2145" s="12" t="s">
        <v>179</v>
      </c>
      <c r="G2145" s="13" t="str">
        <f t="shared" si="8"/>
        <v>Palangkaraya</v>
      </c>
      <c r="H2145" s="15" t="str">
        <f>IFERROR(VLOOKUP(A2145,Sheet1!$E$3:$F$27,2,),"")</f>
        <v>Standby</v>
      </c>
      <c r="I2145" s="16" t="str">
        <f>IFERROR(VLOOKUP(A2145,Sheet1!$E$3:$G$27,3,0),"")</f>
        <v>Standby On Call</v>
      </c>
      <c r="J2145" s="12" t="s">
        <v>66</v>
      </c>
      <c r="K2145" s="17">
        <v>46147.0</v>
      </c>
      <c r="L2145" s="17"/>
      <c r="M2145" s="13"/>
      <c r="N2145" s="23"/>
      <c r="O2145" s="22"/>
      <c r="P2145" s="22"/>
    </row>
    <row r="2146" ht="22.5" customHeight="1">
      <c r="A2146" s="12" t="s">
        <v>14</v>
      </c>
      <c r="B2146" s="20" t="str">
        <f>IFERROR(VLOOKUP(A2146,Sheet1!$E$3:$H$27,4,0),"")</f>
        <v>P1</v>
      </c>
      <c r="C2146" s="14" t="s">
        <v>201</v>
      </c>
      <c r="D2146" s="12" t="s">
        <v>69</v>
      </c>
      <c r="E2146" s="13" t="str">
        <f>IFERROR(VLOOKUP(D2146,Sheet1!$B$1:$C$45,2,0),"")</f>
        <v>TE</v>
      </c>
      <c r="F2146" s="12" t="s">
        <v>179</v>
      </c>
      <c r="G2146" s="13" t="str">
        <f t="shared" si="8"/>
        <v>Palangkaraya</v>
      </c>
      <c r="H2146" s="15" t="str">
        <f>IFERROR(VLOOKUP(A2146,Sheet1!$E$3:$F$27,2,),"")</f>
        <v>Corrective</v>
      </c>
      <c r="I2146" s="16" t="str">
        <f>IFERROR(VLOOKUP(A2146,Sheet1!$E$3:$G$27,3,0),"")</f>
        <v>Pemadaman,MCB Trip,Transmisi problem</v>
      </c>
      <c r="J2146" s="12" t="s">
        <v>112</v>
      </c>
      <c r="K2146" s="17">
        <v>46147.0</v>
      </c>
      <c r="L2146" s="17"/>
      <c r="M2146" s="13"/>
      <c r="N2146" s="23"/>
      <c r="O2146" s="22"/>
      <c r="P2146" s="22"/>
    </row>
    <row r="2147" ht="22.5" customHeight="1">
      <c r="A2147" s="12" t="s">
        <v>14</v>
      </c>
      <c r="B2147" s="20" t="str">
        <f>IFERROR(VLOOKUP(A2147,Sheet1!$E$3:$H$27,4,0),"")</f>
        <v>P1</v>
      </c>
      <c r="C2147" s="14" t="s">
        <v>455</v>
      </c>
      <c r="D2147" s="12" t="s">
        <v>71</v>
      </c>
      <c r="E2147" s="13" t="str">
        <f>IFERROR(VLOOKUP(D2147,Sheet1!$B$1:$C$45,2,0),"")</f>
        <v>TE</v>
      </c>
      <c r="F2147" s="12" t="s">
        <v>179</v>
      </c>
      <c r="G2147" s="13" t="str">
        <f t="shared" si="8"/>
        <v>Palangkaraya</v>
      </c>
      <c r="H2147" s="15" t="str">
        <f>IFERROR(VLOOKUP(A2147,Sheet1!$E$3:$F$27,2,),"")</f>
        <v>Corrective</v>
      </c>
      <c r="I2147" s="16" t="str">
        <f>IFERROR(VLOOKUP(A2147,Sheet1!$E$3:$G$27,3,0),"")</f>
        <v>Pemadaman,MCB Trip,Transmisi problem</v>
      </c>
      <c r="J2147" s="12" t="s">
        <v>112</v>
      </c>
      <c r="K2147" s="17">
        <v>46147.0</v>
      </c>
      <c r="L2147" s="17"/>
      <c r="M2147" s="13"/>
      <c r="N2147" s="23"/>
      <c r="O2147" s="22"/>
      <c r="P2147" s="22"/>
    </row>
    <row r="2148" ht="22.5" customHeight="1">
      <c r="A2148" s="12" t="s">
        <v>33</v>
      </c>
      <c r="B2148" s="20" t="str">
        <f>IFERROR(VLOOKUP(A2148,Sheet1!$E$3:$H$27,4,0),"")</f>
        <v>P2</v>
      </c>
      <c r="C2148" s="14" t="s">
        <v>677</v>
      </c>
      <c r="D2148" s="12" t="s">
        <v>37</v>
      </c>
      <c r="E2148" s="13" t="str">
        <f>IFERROR(VLOOKUP(D2148,Sheet1!$B$1:$C$45,2,0),"")</f>
        <v>TE</v>
      </c>
      <c r="F2148" s="12" t="s">
        <v>179</v>
      </c>
      <c r="G2148" s="13" t="str">
        <f t="shared" si="8"/>
        <v>Palangkaraya</v>
      </c>
      <c r="H2148" s="15" t="str">
        <f>IFERROR(VLOOKUP(A2148,Sheet1!$E$3:$F$27,2,),"")</f>
        <v>Preventive</v>
      </c>
      <c r="I2148" s="16" t="str">
        <f>IFERROR(VLOOKUP(A2148,Sheet1!$E$3:$G$27,3,0),"")</f>
        <v>Pengukuran dan pengambilan data log serta input Gdoc BBT</v>
      </c>
      <c r="J2148" s="12" t="s">
        <v>112</v>
      </c>
      <c r="K2148" s="17">
        <v>46185.0</v>
      </c>
      <c r="L2148" s="17"/>
      <c r="M2148" s="13"/>
      <c r="N2148" s="23"/>
      <c r="O2148" s="22"/>
      <c r="P2148" s="22"/>
    </row>
    <row r="2149" ht="22.5" customHeight="1">
      <c r="A2149" s="12" t="s">
        <v>33</v>
      </c>
      <c r="B2149" s="20" t="str">
        <f>IFERROR(VLOOKUP(A2149,Sheet1!$E$3:$H$27,4,0),"")</f>
        <v>P2</v>
      </c>
      <c r="C2149" s="14" t="s">
        <v>630</v>
      </c>
      <c r="D2149" s="12" t="s">
        <v>78</v>
      </c>
      <c r="E2149" s="13" t="str">
        <f>IFERROR(VLOOKUP(D2149,Sheet1!$B$1:$C$45,2,0),"")</f>
        <v>TE</v>
      </c>
      <c r="F2149" s="12" t="s">
        <v>179</v>
      </c>
      <c r="G2149" s="13" t="str">
        <f t="shared" si="8"/>
        <v>Palangkaraya</v>
      </c>
      <c r="H2149" s="15" t="str">
        <f>IFERROR(VLOOKUP(A2149,Sheet1!$E$3:$F$27,2,),"")</f>
        <v>Preventive</v>
      </c>
      <c r="I2149" s="16" t="str">
        <f>IFERROR(VLOOKUP(A2149,Sheet1!$E$3:$G$27,3,0),"")</f>
        <v>Pengukuran dan pengambilan data log serta input Gdoc BBT</v>
      </c>
      <c r="J2149" s="12" t="s">
        <v>112</v>
      </c>
      <c r="K2149" s="17">
        <v>46185.0</v>
      </c>
      <c r="L2149" s="17"/>
      <c r="M2149" s="13"/>
      <c r="N2149" s="23"/>
      <c r="O2149" s="22"/>
      <c r="P2149" s="22"/>
    </row>
    <row r="2150" ht="22.5" customHeight="1">
      <c r="A2150" s="12" t="s">
        <v>33</v>
      </c>
      <c r="B2150" s="20" t="str">
        <f>IFERROR(VLOOKUP(A2150,Sheet1!$E$3:$H$27,4,0),"")</f>
        <v>P2</v>
      </c>
      <c r="C2150" s="14" t="s">
        <v>204</v>
      </c>
      <c r="D2150" s="12" t="s">
        <v>42</v>
      </c>
      <c r="E2150" s="13" t="str">
        <f>IFERROR(VLOOKUP(D2150,Sheet1!$B$1:$C$45,2,0),"")</f>
        <v>TE</v>
      </c>
      <c r="F2150" s="12" t="s">
        <v>179</v>
      </c>
      <c r="G2150" s="13" t="str">
        <f t="shared" si="8"/>
        <v>Palangkaraya</v>
      </c>
      <c r="H2150" s="15" t="str">
        <f>IFERROR(VLOOKUP(A2150,Sheet1!$E$3:$F$27,2,),"")</f>
        <v>Preventive</v>
      </c>
      <c r="I2150" s="16" t="str">
        <f>IFERROR(VLOOKUP(A2150,Sheet1!$E$3:$G$27,3,0),"")</f>
        <v>Pengukuran dan pengambilan data log serta input Gdoc BBT</v>
      </c>
      <c r="J2150" s="12" t="s">
        <v>112</v>
      </c>
      <c r="K2150" s="17">
        <v>46185.0</v>
      </c>
      <c r="L2150" s="17"/>
      <c r="M2150" s="13"/>
      <c r="N2150" s="23"/>
      <c r="O2150" s="22"/>
      <c r="P2150" s="22"/>
    </row>
    <row r="2151" ht="22.5" customHeight="1">
      <c r="A2151" s="12" t="s">
        <v>33</v>
      </c>
      <c r="B2151" s="20" t="str">
        <f>IFERROR(VLOOKUP(A2151,Sheet1!$E$3:$H$27,4,0),"")</f>
        <v>P2</v>
      </c>
      <c r="C2151" s="14" t="s">
        <v>678</v>
      </c>
      <c r="D2151" s="12" t="s">
        <v>80</v>
      </c>
      <c r="E2151" s="13" t="str">
        <f>IFERROR(VLOOKUP(D2151,Sheet1!$B$1:$C$45,2,0),"")</f>
        <v>TE</v>
      </c>
      <c r="F2151" s="12" t="s">
        <v>179</v>
      </c>
      <c r="G2151" s="13" t="str">
        <f t="shared" si="8"/>
        <v>Palangkaraya</v>
      </c>
      <c r="H2151" s="15" t="str">
        <f>IFERROR(VLOOKUP(A2151,Sheet1!$E$3:$F$27,2,),"")</f>
        <v>Preventive</v>
      </c>
      <c r="I2151" s="16" t="str">
        <f>IFERROR(VLOOKUP(A2151,Sheet1!$E$3:$G$27,3,0),"")</f>
        <v>Pengukuran dan pengambilan data log serta input Gdoc BBT</v>
      </c>
      <c r="J2151" s="12" t="s">
        <v>112</v>
      </c>
      <c r="K2151" s="17">
        <v>46185.0</v>
      </c>
      <c r="L2151" s="17"/>
      <c r="M2151" s="13"/>
      <c r="N2151" s="23"/>
      <c r="O2151" s="22"/>
      <c r="P2151" s="22"/>
    </row>
    <row r="2152" ht="22.5" customHeight="1">
      <c r="A2152" s="12" t="s">
        <v>22</v>
      </c>
      <c r="B2152" s="20" t="str">
        <f>IFERROR(VLOOKUP(A2152,Sheet1!$E$3:$H$27,4,0),"")</f>
        <v>P2</v>
      </c>
      <c r="C2152" s="14" t="s">
        <v>679</v>
      </c>
      <c r="D2152" s="12" t="s">
        <v>76</v>
      </c>
      <c r="E2152" s="13" t="str">
        <f>IFERROR(VLOOKUP(D2152,Sheet1!$B$1:$C$45,2,0),"")</f>
        <v>TE</v>
      </c>
      <c r="F2152" s="12" t="s">
        <v>179</v>
      </c>
      <c r="G2152" s="13" t="str">
        <f t="shared" si="8"/>
        <v>Palangkaraya</v>
      </c>
      <c r="H2152" s="15" t="str">
        <f>IFERROR(VLOOKUP(A2152,Sheet1!$E$3:$F$27,2,),"")</f>
        <v>Preventive</v>
      </c>
      <c r="I2152" s="16" t="str">
        <f>IFERROR(VLOOKUP(A2152,Sheet1!$E$3:$G$27,3,0),"")</f>
        <v>Preventive Maintenance</v>
      </c>
      <c r="J2152" s="12" t="s">
        <v>112</v>
      </c>
      <c r="K2152" s="17">
        <v>46185.0</v>
      </c>
      <c r="L2152" s="17"/>
      <c r="M2152" s="13"/>
      <c r="N2152" s="23"/>
      <c r="O2152" s="22"/>
      <c r="P2152" s="22"/>
    </row>
    <row r="2153" ht="22.5" customHeight="1">
      <c r="A2153" s="12" t="s">
        <v>33</v>
      </c>
      <c r="B2153" s="20" t="str">
        <f>IFERROR(VLOOKUP(A2153,Sheet1!$E$3:$H$27,4,0),"")</f>
        <v>P2</v>
      </c>
      <c r="C2153" s="14" t="s">
        <v>295</v>
      </c>
      <c r="D2153" s="12" t="s">
        <v>77</v>
      </c>
      <c r="E2153" s="13" t="str">
        <f>IFERROR(VLOOKUP(D2153,Sheet1!$B$1:$C$45,2,0),"")</f>
        <v>TE</v>
      </c>
      <c r="F2153" s="12" t="s">
        <v>179</v>
      </c>
      <c r="G2153" s="13" t="str">
        <f t="shared" si="8"/>
        <v>Palangkaraya</v>
      </c>
      <c r="H2153" s="15" t="str">
        <f>IFERROR(VLOOKUP(A2153,Sheet1!$E$3:$F$27,2,),"")</f>
        <v>Preventive</v>
      </c>
      <c r="I2153" s="16" t="str">
        <f>IFERROR(VLOOKUP(A2153,Sheet1!$E$3:$G$27,3,0),"")</f>
        <v>Pengukuran dan pengambilan data log serta input Gdoc BBT</v>
      </c>
      <c r="J2153" s="12" t="s">
        <v>112</v>
      </c>
      <c r="K2153" s="17">
        <v>46185.0</v>
      </c>
      <c r="L2153" s="17"/>
      <c r="M2153" s="13"/>
      <c r="N2153" s="23"/>
      <c r="O2153" s="22"/>
      <c r="P2153" s="22"/>
    </row>
    <row r="2154" ht="22.5" customHeight="1">
      <c r="A2154" s="12" t="s">
        <v>5</v>
      </c>
      <c r="B2154" s="20" t="str">
        <f>IFERROR(VLOOKUP(A2154,Sheet1!$E$3:$H$27,4,0),"")</f>
        <v>P1</v>
      </c>
      <c r="C2154" s="14" t="s">
        <v>401</v>
      </c>
      <c r="D2154" s="12" t="s">
        <v>39</v>
      </c>
      <c r="E2154" s="13" t="str">
        <f>IFERROR(VLOOKUP(D2154,Sheet1!$B$1:$C$45,2,0),"")</f>
        <v>TE</v>
      </c>
      <c r="F2154" s="12" t="s">
        <v>179</v>
      </c>
      <c r="G2154" s="13" t="str">
        <f t="shared" si="8"/>
        <v>Palangkaraya</v>
      </c>
      <c r="H2154" s="15" t="str">
        <f>IFERROR(VLOOKUP(A2154,Sheet1!$E$3:$F$27,2,),"")</f>
        <v>Corrective</v>
      </c>
      <c r="I2154" s="16" t="str">
        <f>IFERROR(VLOOKUP(A2154,Sheet1!$E$3:$G$27,3,0),"")</f>
        <v>Replace Optik,RRU/Soket Power/Replace GPS</v>
      </c>
      <c r="J2154" s="12" t="s">
        <v>112</v>
      </c>
      <c r="K2154" s="17">
        <v>46185.0</v>
      </c>
      <c r="L2154" s="17"/>
      <c r="M2154" s="13"/>
      <c r="N2154" s="23"/>
      <c r="O2154" s="22"/>
      <c r="P2154" s="22"/>
    </row>
    <row r="2155" ht="22.5" customHeight="1">
      <c r="A2155" s="12" t="s">
        <v>33</v>
      </c>
      <c r="B2155" s="20" t="str">
        <f>IFERROR(VLOOKUP(A2155,Sheet1!$E$3:$H$27,4,0),"")</f>
        <v>P2</v>
      </c>
      <c r="C2155" s="14" t="s">
        <v>233</v>
      </c>
      <c r="D2155" s="12" t="s">
        <v>91</v>
      </c>
      <c r="E2155" s="13" t="str">
        <f>IFERROR(VLOOKUP(D2155,Sheet1!$B$1:$C$45,2,0),"")</f>
        <v>TE</v>
      </c>
      <c r="F2155" s="12" t="s">
        <v>179</v>
      </c>
      <c r="G2155" s="13" t="str">
        <f t="shared" si="8"/>
        <v>Palangkaraya</v>
      </c>
      <c r="H2155" s="15" t="str">
        <f>IFERROR(VLOOKUP(A2155,Sheet1!$E$3:$F$27,2,),"")</f>
        <v>Preventive</v>
      </c>
      <c r="I2155" s="16" t="str">
        <f>IFERROR(VLOOKUP(A2155,Sheet1!$E$3:$G$27,3,0),"")</f>
        <v>Pengukuran dan pengambilan data log serta input Gdoc BBT</v>
      </c>
      <c r="J2155" s="12" t="s">
        <v>112</v>
      </c>
      <c r="K2155" s="17">
        <v>46185.0</v>
      </c>
      <c r="L2155" s="17"/>
      <c r="M2155" s="13"/>
      <c r="N2155" s="23"/>
      <c r="O2155" s="22"/>
      <c r="P2155" s="22"/>
    </row>
    <row r="2156" ht="22.5" customHeight="1">
      <c r="A2156" s="12" t="s">
        <v>10</v>
      </c>
      <c r="B2156" s="20" t="str">
        <f>IFERROR(VLOOKUP(A2156,Sheet1!$E$3:$H$27,4,0),"")</f>
        <v>P1</v>
      </c>
      <c r="C2156" s="14" t="s">
        <v>680</v>
      </c>
      <c r="D2156" s="12" t="s">
        <v>79</v>
      </c>
      <c r="E2156" s="13" t="str">
        <f>IFERROR(VLOOKUP(D2156,Sheet1!$B$1:$C$45,2,0),"")</f>
        <v>TE</v>
      </c>
      <c r="F2156" s="12" t="s">
        <v>179</v>
      </c>
      <c r="G2156" s="13" t="str">
        <f t="shared" si="8"/>
        <v>Palangkaraya</v>
      </c>
      <c r="H2156" s="15" t="str">
        <f>IFERROR(VLOOKUP(A2156,Sheet1!$E$3:$F$27,2,),"")</f>
        <v>Corrective</v>
      </c>
      <c r="I2156" s="16" t="str">
        <f>IFERROR(VLOOKUP(A2156,Sheet1!$E$3:$G$27,3,0),"")</f>
        <v>Replace Jumper,antena/RRU</v>
      </c>
      <c r="J2156" s="12" t="s">
        <v>112</v>
      </c>
      <c r="K2156" s="17">
        <v>46185.0</v>
      </c>
      <c r="L2156" s="17"/>
      <c r="M2156" s="13"/>
      <c r="N2156" s="23"/>
      <c r="O2156" s="22"/>
      <c r="P2156" s="22"/>
    </row>
    <row r="2157" ht="22.5" customHeight="1">
      <c r="A2157" s="12" t="s">
        <v>5</v>
      </c>
      <c r="B2157" s="20" t="str">
        <f>IFERROR(VLOOKUP(A2157,Sheet1!$E$3:$H$27,4,0),"")</f>
        <v>P1</v>
      </c>
      <c r="C2157" s="14" t="s">
        <v>681</v>
      </c>
      <c r="D2157" s="12" t="s">
        <v>51</v>
      </c>
      <c r="E2157" s="13" t="str">
        <f>IFERROR(VLOOKUP(D2157,Sheet1!$B$1:$C$45,2,0),"")</f>
        <v>TE</v>
      </c>
      <c r="F2157" s="12" t="s">
        <v>179</v>
      </c>
      <c r="G2157" s="13" t="str">
        <f t="shared" si="8"/>
        <v>Palangkaraya</v>
      </c>
      <c r="H2157" s="15" t="str">
        <f>IFERROR(VLOOKUP(A2157,Sheet1!$E$3:$F$27,2,),"")</f>
        <v>Corrective</v>
      </c>
      <c r="I2157" s="16" t="str">
        <f>IFERROR(VLOOKUP(A2157,Sheet1!$E$3:$G$27,3,0),"")</f>
        <v>Replace Optik,RRU/Soket Power/Replace GPS</v>
      </c>
      <c r="J2157" s="12" t="s">
        <v>112</v>
      </c>
      <c r="K2157" s="17">
        <v>46185.0</v>
      </c>
      <c r="L2157" s="17"/>
      <c r="M2157" s="13"/>
      <c r="N2157" s="23"/>
      <c r="O2157" s="22"/>
      <c r="P2157" s="22"/>
    </row>
    <row r="2158" ht="22.5" customHeight="1">
      <c r="A2158" s="12" t="s">
        <v>5</v>
      </c>
      <c r="B2158" s="20" t="str">
        <f>IFERROR(VLOOKUP(A2158,Sheet1!$E$3:$H$27,4,0),"")</f>
        <v>P1</v>
      </c>
      <c r="C2158" s="14" t="s">
        <v>667</v>
      </c>
      <c r="D2158" s="12" t="s">
        <v>69</v>
      </c>
      <c r="E2158" s="13" t="str">
        <f>IFERROR(VLOOKUP(D2158,Sheet1!$B$1:$C$45,2,0),"")</f>
        <v>TE</v>
      </c>
      <c r="F2158" s="12" t="s">
        <v>179</v>
      </c>
      <c r="G2158" s="13" t="str">
        <f t="shared" si="8"/>
        <v>Palangkaraya</v>
      </c>
      <c r="H2158" s="15" t="str">
        <f>IFERROR(VLOOKUP(A2158,Sheet1!$E$3:$F$27,2,),"")</f>
        <v>Corrective</v>
      </c>
      <c r="I2158" s="16"/>
      <c r="J2158" s="12" t="s">
        <v>112</v>
      </c>
      <c r="K2158" s="17">
        <v>46185.0</v>
      </c>
      <c r="L2158" s="17"/>
      <c r="M2158" s="13"/>
      <c r="N2158" s="23"/>
      <c r="O2158" s="22"/>
      <c r="P2158" s="22"/>
    </row>
    <row r="2159" ht="22.5" customHeight="1">
      <c r="A2159" s="12" t="s">
        <v>5</v>
      </c>
      <c r="B2159" s="20" t="str">
        <f>IFERROR(VLOOKUP(A2159,Sheet1!$E$3:$H$27,4,0),"")</f>
        <v>P1</v>
      </c>
      <c r="C2159" s="14" t="s">
        <v>667</v>
      </c>
      <c r="D2159" s="12" t="s">
        <v>71</v>
      </c>
      <c r="E2159" s="13" t="str">
        <f>IFERROR(VLOOKUP(D2159,Sheet1!$B$1:$C$45,2,0),"")</f>
        <v>TE</v>
      </c>
      <c r="F2159" s="12" t="s">
        <v>179</v>
      </c>
      <c r="G2159" s="13" t="str">
        <f t="shared" si="8"/>
        <v>Palangkaraya</v>
      </c>
      <c r="H2159" s="15" t="str">
        <f>IFERROR(VLOOKUP(A2159,Sheet1!$E$3:$F$27,2,),"")</f>
        <v>Corrective</v>
      </c>
      <c r="I2159" s="16" t="str">
        <f>IFERROR(VLOOKUP(A2159,Sheet1!$E$3:$G$27,3,0),"")</f>
        <v>Replace Optik,RRU/Soket Power/Replace GPS</v>
      </c>
      <c r="J2159" s="12" t="s">
        <v>112</v>
      </c>
      <c r="K2159" s="17">
        <v>46185.0</v>
      </c>
      <c r="L2159" s="17"/>
      <c r="M2159" s="13"/>
      <c r="N2159" s="23"/>
      <c r="O2159" s="22"/>
      <c r="P2159" s="22"/>
    </row>
    <row r="2160" ht="22.5" customHeight="1">
      <c r="A2160" s="12" t="s">
        <v>65</v>
      </c>
      <c r="B2160" s="20" t="str">
        <f>IFERROR(VLOOKUP(A2160,Sheet1!$E$3:$H$27,4,0),"")</f>
        <v>P3</v>
      </c>
      <c r="C2160" s="14"/>
      <c r="D2160" s="12" t="s">
        <v>56</v>
      </c>
      <c r="E2160" s="13" t="str">
        <f>IFERROR(VLOOKUP(D2160,Sheet1!$B$1:$C$45,2,0),"")</f>
        <v>TE</v>
      </c>
      <c r="F2160" s="12" t="s">
        <v>179</v>
      </c>
      <c r="G2160" s="13" t="str">
        <f t="shared" si="8"/>
        <v>Palangkaraya</v>
      </c>
      <c r="H2160" s="15" t="str">
        <f>IFERROR(VLOOKUP(A2160,Sheet1!$E$3:$F$27,2,),"")</f>
        <v>Standby</v>
      </c>
      <c r="I2160" s="16" t="str">
        <f>IFERROR(VLOOKUP(A2160,Sheet1!$E$3:$G$27,3,0),"")</f>
        <v>Standby On Call</v>
      </c>
      <c r="J2160" s="12" t="s">
        <v>66</v>
      </c>
      <c r="K2160" s="17">
        <v>46185.0</v>
      </c>
      <c r="L2160" s="17"/>
      <c r="M2160" s="13"/>
      <c r="N2160" s="23"/>
      <c r="O2160" s="22"/>
      <c r="P2160" s="22"/>
    </row>
    <row r="2161" ht="22.5" customHeight="1">
      <c r="A2161" s="12" t="s">
        <v>22</v>
      </c>
      <c r="B2161" s="20" t="str">
        <f>IFERROR(VLOOKUP(A2161,Sheet1!$E$3:$H$27,4,0),"")</f>
        <v>P2</v>
      </c>
      <c r="C2161" s="14"/>
      <c r="D2161" s="12" t="s">
        <v>75</v>
      </c>
      <c r="E2161" s="13" t="str">
        <f>IFERROR(VLOOKUP(D2161,Sheet1!$B$1:$C$45,2,0),"")</f>
        <v>CME</v>
      </c>
      <c r="F2161" s="12" t="s">
        <v>179</v>
      </c>
      <c r="G2161" s="13" t="str">
        <f t="shared" si="8"/>
        <v>Palangkaraya</v>
      </c>
      <c r="H2161" s="15" t="str">
        <f>IFERROR(VLOOKUP(A2161,Sheet1!$E$3:$F$27,2,),"")</f>
        <v>Preventive</v>
      </c>
      <c r="I2161" s="16" t="str">
        <f>IFERROR(VLOOKUP(A2161,Sheet1!$E$3:$G$27,3,0),"")</f>
        <v>Preventive Maintenance</v>
      </c>
      <c r="J2161" s="12" t="s">
        <v>112</v>
      </c>
      <c r="K2161" s="17">
        <v>46185.0</v>
      </c>
      <c r="L2161" s="17"/>
      <c r="M2161" s="13"/>
      <c r="N2161" s="23"/>
      <c r="O2161" s="22"/>
      <c r="P2161" s="22"/>
    </row>
    <row r="2162" ht="22.5" customHeight="1">
      <c r="A2162" s="12" t="s">
        <v>65</v>
      </c>
      <c r="B2162" s="20" t="str">
        <f>IFERROR(VLOOKUP(A2162,Sheet1!$E$3:$H$27,4,0),"")</f>
        <v>P3</v>
      </c>
      <c r="C2162" s="15"/>
      <c r="D2162" s="12" t="s">
        <v>64</v>
      </c>
      <c r="E2162" s="13" t="str">
        <f>IFERROR(VLOOKUP(D2162,Sheet1!$B$1:$C$45,2,0),"")</f>
        <v>TE</v>
      </c>
      <c r="F2162" s="12" t="s">
        <v>179</v>
      </c>
      <c r="G2162" s="13" t="str">
        <f t="shared" si="8"/>
        <v>Palangkaraya</v>
      </c>
      <c r="H2162" s="15" t="str">
        <f>IFERROR(VLOOKUP(A2162,Sheet1!$E$3:$F$27,2,),"")</f>
        <v>Standby</v>
      </c>
      <c r="I2162" s="16" t="str">
        <f>IFERROR(VLOOKUP(A2162,Sheet1!$E$3:$G$27,3,0),"")</f>
        <v>Standby On Call</v>
      </c>
      <c r="J2162" s="12" t="s">
        <v>66</v>
      </c>
      <c r="K2162" s="17">
        <v>46185.0</v>
      </c>
      <c r="L2162" s="17"/>
      <c r="M2162" s="13"/>
      <c r="N2162" s="23"/>
      <c r="O2162" s="22"/>
      <c r="P2162" s="22"/>
    </row>
    <row r="2163" ht="22.5" customHeight="1">
      <c r="A2163" s="12" t="s">
        <v>65</v>
      </c>
      <c r="B2163" s="20" t="str">
        <f>IFERROR(VLOOKUP(A2163,Sheet1!$E$3:$H$27,4,0),"")</f>
        <v>P3</v>
      </c>
      <c r="C2163" s="15"/>
      <c r="D2163" s="12" t="s">
        <v>54</v>
      </c>
      <c r="E2163" s="13" t="str">
        <f>IFERROR(VLOOKUP(D2163,Sheet1!$B$1:$C$45,2,0),"")</f>
        <v>MBP</v>
      </c>
      <c r="F2163" s="12" t="s">
        <v>179</v>
      </c>
      <c r="G2163" s="13" t="str">
        <f t="shared" si="8"/>
        <v>Palangkaraya</v>
      </c>
      <c r="H2163" s="15" t="str">
        <f>IFERROR(VLOOKUP(A2163,Sheet1!$E$3:$F$27,2,),"")</f>
        <v>Standby</v>
      </c>
      <c r="I2163" s="16" t="str">
        <f>IFERROR(VLOOKUP(A2163,Sheet1!$E$3:$G$27,3,0),"")</f>
        <v>Standby On Call</v>
      </c>
      <c r="J2163" s="12" t="s">
        <v>66</v>
      </c>
      <c r="K2163" s="17">
        <v>46185.0</v>
      </c>
      <c r="L2163" s="17"/>
      <c r="M2163" s="13"/>
      <c r="N2163" s="23"/>
      <c r="O2163" s="22"/>
      <c r="P2163" s="22"/>
    </row>
    <row r="2164" ht="22.5" customHeight="1">
      <c r="A2164" s="12" t="s">
        <v>22</v>
      </c>
      <c r="B2164" s="20" t="str">
        <f>IFERROR(VLOOKUP(A2164,Sheet1!$E$3:$H$27,4,0),"")</f>
        <v>P2</v>
      </c>
      <c r="C2164" s="15"/>
      <c r="D2164" s="12" t="s">
        <v>82</v>
      </c>
      <c r="E2164" s="13" t="str">
        <f>IFERROR(VLOOKUP(D2164,Sheet1!$B$1:$C$45,2,0),"")</f>
        <v>PM</v>
      </c>
      <c r="F2164" s="12" t="s">
        <v>179</v>
      </c>
      <c r="G2164" s="13" t="str">
        <f t="shared" si="8"/>
        <v>Palangkaraya</v>
      </c>
      <c r="H2164" s="15" t="str">
        <f>IFERROR(VLOOKUP(A2164,Sheet1!$E$3:$F$27,2,),"")</f>
        <v>Preventive</v>
      </c>
      <c r="I2164" s="16" t="str">
        <f>IFERROR(VLOOKUP(A2164,Sheet1!$E$3:$G$27,3,0),"")</f>
        <v>Preventive Maintenance</v>
      </c>
      <c r="J2164" s="12" t="s">
        <v>112</v>
      </c>
      <c r="K2164" s="17">
        <v>46185.0</v>
      </c>
      <c r="L2164" s="17"/>
      <c r="M2164" s="13"/>
      <c r="N2164" s="23"/>
      <c r="O2164" s="22"/>
      <c r="P2164" s="22"/>
    </row>
    <row r="2165" ht="22.5" customHeight="1">
      <c r="A2165" s="12" t="s">
        <v>22</v>
      </c>
      <c r="B2165" s="20" t="str">
        <f>IFERROR(VLOOKUP(A2165,Sheet1!$E$3:$H$27,4,0),"")</f>
        <v>P2</v>
      </c>
      <c r="C2165" s="15"/>
      <c r="D2165" s="12" t="s">
        <v>83</v>
      </c>
      <c r="E2165" s="13" t="str">
        <f>IFERROR(VLOOKUP(D2165,Sheet1!$B$1:$C$45,2,0),"")</f>
        <v>PM</v>
      </c>
      <c r="F2165" s="12" t="s">
        <v>179</v>
      </c>
      <c r="G2165" s="13" t="str">
        <f t="shared" si="8"/>
        <v>Palangkaraya</v>
      </c>
      <c r="H2165" s="15" t="str">
        <f>IFERROR(VLOOKUP(A2165,Sheet1!$E$3:$F$27,2,),"")</f>
        <v>Preventive</v>
      </c>
      <c r="I2165" s="16" t="str">
        <f>IFERROR(VLOOKUP(A2165,Sheet1!$E$3:$G$27,3,0),"")</f>
        <v>Preventive Maintenance</v>
      </c>
      <c r="J2165" s="12" t="s">
        <v>112</v>
      </c>
      <c r="K2165" s="17">
        <v>46185.0</v>
      </c>
      <c r="L2165" s="17"/>
      <c r="M2165" s="13"/>
      <c r="N2165" s="23"/>
      <c r="O2165" s="22"/>
      <c r="P2165" s="22"/>
    </row>
    <row r="2166" ht="22.5" customHeight="1">
      <c r="A2166" s="12" t="s">
        <v>10</v>
      </c>
      <c r="B2166" s="20" t="str">
        <f>IFERROR(VLOOKUP(A2166,Sheet1!$E$3:$H$27,4,0),"")</f>
        <v>P1</v>
      </c>
      <c r="C2166" s="14" t="s">
        <v>426</v>
      </c>
      <c r="D2166" s="12" t="s">
        <v>58</v>
      </c>
      <c r="E2166" s="13" t="str">
        <f>IFERROR(VLOOKUP(D2166,Sheet1!$B$1:$C$45,2,0),"")</f>
        <v>TE</v>
      </c>
      <c r="F2166" s="12" t="s">
        <v>179</v>
      </c>
      <c r="G2166" s="13" t="str">
        <f t="shared" si="8"/>
        <v>Palangkaraya</v>
      </c>
      <c r="H2166" s="15" t="str">
        <f>IFERROR(VLOOKUP(A2166,Sheet1!$E$3:$F$27,2,),"")</f>
        <v>Corrective</v>
      </c>
      <c r="I2166" s="16" t="str">
        <f>IFERROR(VLOOKUP(A2166,Sheet1!$E$3:$G$27,3,0),"")</f>
        <v>Replace Jumper,antena/RRU</v>
      </c>
      <c r="J2166" s="12" t="s">
        <v>112</v>
      </c>
      <c r="K2166" s="17">
        <v>46185.0</v>
      </c>
      <c r="L2166" s="17"/>
      <c r="M2166" s="13"/>
      <c r="N2166" s="23"/>
      <c r="O2166" s="22"/>
      <c r="P2166" s="22"/>
    </row>
    <row r="2167" ht="22.5" customHeight="1">
      <c r="A2167" s="12" t="s">
        <v>33</v>
      </c>
      <c r="B2167" s="20" t="str">
        <f>IFERROR(VLOOKUP(A2167,Sheet1!$E$3:$H$27,4,0),"")</f>
        <v>P2</v>
      </c>
      <c r="C2167" s="14" t="s">
        <v>349</v>
      </c>
      <c r="D2167" s="12" t="s">
        <v>39</v>
      </c>
      <c r="E2167" s="13" t="str">
        <f>IFERROR(VLOOKUP(D2167,Sheet1!$B$1:$C$45,2,0),"")</f>
        <v>TE</v>
      </c>
      <c r="F2167" s="12" t="s">
        <v>179</v>
      </c>
      <c r="G2167" s="13" t="str">
        <f t="shared" si="8"/>
        <v>Palangkaraya</v>
      </c>
      <c r="H2167" s="15" t="str">
        <f>IFERROR(VLOOKUP(A2167,Sheet1!$E$3:$F$27,2,),"")</f>
        <v>Preventive</v>
      </c>
      <c r="I2167" s="16" t="str">
        <f>IFERROR(VLOOKUP(A2167,Sheet1!$E$3:$G$27,3,0),"")</f>
        <v>Pengukuran dan pengambilan data log serta input Gdoc BBT</v>
      </c>
      <c r="J2167" s="12" t="s">
        <v>112</v>
      </c>
      <c r="K2167" s="17">
        <v>46182.0</v>
      </c>
      <c r="L2167" s="17"/>
      <c r="M2167" s="12" t="s">
        <v>109</v>
      </c>
      <c r="N2167" s="23"/>
      <c r="O2167" s="22"/>
      <c r="P2167" s="22"/>
    </row>
    <row r="2168" ht="22.5" customHeight="1">
      <c r="A2168" s="12" t="s">
        <v>14</v>
      </c>
      <c r="B2168" s="12" t="s">
        <v>20</v>
      </c>
      <c r="C2168" s="25" t="s">
        <v>682</v>
      </c>
      <c r="D2168" s="12" t="s">
        <v>80</v>
      </c>
      <c r="E2168" s="13" t="str">
        <f>IFERROR(VLOOKUP(D2168,Sheet1!$B$1:$C$45,2,0),"")</f>
        <v>TE</v>
      </c>
      <c r="F2168" s="12" t="s">
        <v>179</v>
      </c>
      <c r="G2168" s="13" t="str">
        <f t="shared" si="8"/>
        <v>Palangkaraya</v>
      </c>
      <c r="H2168" s="15" t="str">
        <f>IFERROR(VLOOKUP(#REF!,Sheet1!$E$3:$F$27,2,),"")</f>
        <v/>
      </c>
      <c r="I2168" s="16" t="str">
        <f>IFERROR(VLOOKUP(#REF!,Sheet1!$E$3:$G$27,3,0),"")</f>
        <v/>
      </c>
      <c r="J2168" s="12" t="s">
        <v>112</v>
      </c>
      <c r="K2168" s="17">
        <v>46182.0</v>
      </c>
      <c r="L2168" s="17"/>
      <c r="M2168" s="12" t="s">
        <v>109</v>
      </c>
      <c r="N2168" s="23"/>
      <c r="O2168" s="22"/>
      <c r="P2168" s="22"/>
    </row>
    <row r="2169" ht="22.5" customHeight="1">
      <c r="A2169" s="12" t="s">
        <v>14</v>
      </c>
      <c r="B2169" s="20" t="str">
        <f>IFERROR(VLOOKUP(A2169,Sheet1!$E$3:$H$27,4,0),"")</f>
        <v>P1</v>
      </c>
      <c r="C2169" s="14" t="s">
        <v>683</v>
      </c>
      <c r="D2169" s="12" t="s">
        <v>42</v>
      </c>
      <c r="E2169" s="13" t="str">
        <f>IFERROR(VLOOKUP(D2169,Sheet1!$B$1:$C$45,2,0),"")</f>
        <v>TE</v>
      </c>
      <c r="F2169" s="12" t="s">
        <v>179</v>
      </c>
      <c r="G2169" s="13" t="str">
        <f t="shared" si="8"/>
        <v>Palangkaraya</v>
      </c>
      <c r="H2169" s="15" t="str">
        <f>IFERROR(VLOOKUP(A2169,Sheet1!$E$3:$F$27,2,),"")</f>
        <v>Corrective</v>
      </c>
      <c r="I2169" s="16" t="str">
        <f>IFERROR(VLOOKUP(A2169,Sheet1!$E$3:$G$27,3,0),"")</f>
        <v>Pemadaman,MCB Trip,Transmisi problem</v>
      </c>
      <c r="J2169" s="12" t="s">
        <v>112</v>
      </c>
      <c r="K2169" s="17">
        <v>46182.0</v>
      </c>
      <c r="L2169" s="17"/>
      <c r="M2169" s="12" t="s">
        <v>109</v>
      </c>
      <c r="N2169" s="23"/>
      <c r="O2169" s="22"/>
      <c r="P2169" s="22"/>
    </row>
    <row r="2170" ht="22.5" customHeight="1">
      <c r="A2170" s="12" t="s">
        <v>5</v>
      </c>
      <c r="B2170" s="20" t="str">
        <f>IFERROR(VLOOKUP(A2170,Sheet1!$E$3:$H$27,4,0),"")</f>
        <v>P1</v>
      </c>
      <c r="C2170" s="14" t="s">
        <v>365</v>
      </c>
      <c r="D2170" s="12" t="s">
        <v>78</v>
      </c>
      <c r="E2170" s="13" t="str">
        <f>IFERROR(VLOOKUP(D2170,Sheet1!$B$1:$C$45,2,0),"")</f>
        <v>TE</v>
      </c>
      <c r="F2170" s="12" t="s">
        <v>179</v>
      </c>
      <c r="G2170" s="13" t="str">
        <f t="shared" si="8"/>
        <v>Palangkaraya</v>
      </c>
      <c r="H2170" s="15" t="str">
        <f>IFERROR(VLOOKUP(A2170,Sheet1!$E$3:$F$27,2,),"")</f>
        <v>Corrective</v>
      </c>
      <c r="I2170" s="16" t="str">
        <f>IFERROR(VLOOKUP(A2170,Sheet1!$E$3:$G$27,3,0),"")</f>
        <v>Replace Optik,RRU/Soket Power/Replace GPS</v>
      </c>
      <c r="J2170" s="12" t="s">
        <v>112</v>
      </c>
      <c r="K2170" s="17">
        <v>46182.0</v>
      </c>
      <c r="L2170" s="17"/>
      <c r="M2170" s="12" t="s">
        <v>109</v>
      </c>
      <c r="N2170" s="23"/>
      <c r="O2170" s="22"/>
      <c r="P2170" s="22"/>
    </row>
    <row r="2171" ht="22.5" customHeight="1">
      <c r="A2171" s="12" t="s">
        <v>5</v>
      </c>
      <c r="B2171" s="20" t="str">
        <f>IFERROR(VLOOKUP(A2171,Sheet1!$E$3:$H$27,4,0),"")</f>
        <v>P1</v>
      </c>
      <c r="C2171" s="14" t="s">
        <v>365</v>
      </c>
      <c r="D2171" s="12" t="s">
        <v>77</v>
      </c>
      <c r="E2171" s="13" t="str">
        <f>IFERROR(VLOOKUP(D2171,Sheet1!$B$1:$C$45,2,0),"")</f>
        <v>TE</v>
      </c>
      <c r="F2171" s="12" t="s">
        <v>179</v>
      </c>
      <c r="G2171" s="13" t="str">
        <f t="shared" si="8"/>
        <v>Palangkaraya</v>
      </c>
      <c r="H2171" s="15" t="str">
        <f>IFERROR(VLOOKUP(A2171,Sheet1!$E$3:$F$27,2,),"")</f>
        <v>Corrective</v>
      </c>
      <c r="I2171" s="16" t="str">
        <f>IFERROR(VLOOKUP(A2171,Sheet1!$E$3:$G$27,3,0),"")</f>
        <v>Replace Optik,RRU/Soket Power/Replace GPS</v>
      </c>
      <c r="J2171" s="12" t="s">
        <v>112</v>
      </c>
      <c r="K2171" s="17">
        <v>46182.0</v>
      </c>
      <c r="L2171" s="17"/>
      <c r="M2171" s="12" t="s">
        <v>109</v>
      </c>
      <c r="N2171" s="23"/>
      <c r="O2171" s="22"/>
      <c r="P2171" s="22"/>
    </row>
    <row r="2172" ht="22.5" customHeight="1">
      <c r="A2172" s="12" t="s">
        <v>22</v>
      </c>
      <c r="B2172" s="20" t="str">
        <f>IFERROR(VLOOKUP(A2172,Sheet1!$E$3:$H$27,4,0),"")</f>
        <v>P2</v>
      </c>
      <c r="C2172" s="14" t="s">
        <v>684</v>
      </c>
      <c r="D2172" s="12" t="s">
        <v>76</v>
      </c>
      <c r="E2172" s="13" t="str">
        <f>IFERROR(VLOOKUP(D2172,Sheet1!$B$1:$C$45,2,0),"")</f>
        <v>TE</v>
      </c>
      <c r="F2172" s="12" t="s">
        <v>179</v>
      </c>
      <c r="G2172" s="13" t="str">
        <f t="shared" si="8"/>
        <v>Palangkaraya</v>
      </c>
      <c r="H2172" s="15" t="str">
        <f>IFERROR(VLOOKUP(A2172,Sheet1!$E$3:$F$27,2,),"")</f>
        <v>Preventive</v>
      </c>
      <c r="I2172" s="16" t="str">
        <f>IFERROR(VLOOKUP(A2172,Sheet1!$E$3:$G$27,3,0),"")</f>
        <v>Preventive Maintenance</v>
      </c>
      <c r="J2172" s="12" t="s">
        <v>112</v>
      </c>
      <c r="K2172" s="17">
        <v>46182.0</v>
      </c>
      <c r="L2172" s="17"/>
      <c r="M2172" s="12" t="s">
        <v>109</v>
      </c>
      <c r="N2172" s="23"/>
      <c r="O2172" s="22"/>
      <c r="P2172" s="22"/>
    </row>
    <row r="2173" ht="22.5" customHeight="1">
      <c r="A2173" s="12" t="s">
        <v>5</v>
      </c>
      <c r="B2173" s="20" t="str">
        <f>IFERROR(VLOOKUP(A2173,Sheet1!$E$3:$H$27,4,0),"")</f>
        <v>P1</v>
      </c>
      <c r="C2173" s="14" t="s">
        <v>375</v>
      </c>
      <c r="D2173" s="12" t="s">
        <v>37</v>
      </c>
      <c r="E2173" s="13" t="str">
        <f>IFERROR(VLOOKUP(D2173,Sheet1!$B$1:$C$45,2,0),"")</f>
        <v>TE</v>
      </c>
      <c r="F2173" s="12" t="s">
        <v>179</v>
      </c>
      <c r="G2173" s="13" t="str">
        <f t="shared" si="8"/>
        <v>Palangkaraya</v>
      </c>
      <c r="H2173" s="15" t="str">
        <f>IFERROR(VLOOKUP(A2173,Sheet1!$E$3:$F$27,2,),"")</f>
        <v>Corrective</v>
      </c>
      <c r="I2173" s="16" t="str">
        <f>IFERROR(VLOOKUP(A2173,Sheet1!$E$3:$G$27,3,0),"")</f>
        <v>Replace Optik,RRU/Soket Power/Replace GPS</v>
      </c>
      <c r="J2173" s="12" t="s">
        <v>112</v>
      </c>
      <c r="K2173" s="17">
        <v>46182.0</v>
      </c>
      <c r="L2173" s="17"/>
      <c r="M2173" s="12" t="s">
        <v>109</v>
      </c>
      <c r="N2173" s="23"/>
      <c r="O2173" s="22"/>
      <c r="P2173" s="22"/>
    </row>
    <row r="2174" ht="22.5" customHeight="1">
      <c r="A2174" s="12" t="s">
        <v>5</v>
      </c>
      <c r="B2174" s="20" t="str">
        <f>IFERROR(VLOOKUP(A2174,Sheet1!$E$3:$H$27,4,0),"")</f>
        <v>P1</v>
      </c>
      <c r="C2174" s="14" t="s">
        <v>685</v>
      </c>
      <c r="D2174" s="12" t="s">
        <v>79</v>
      </c>
      <c r="E2174" s="13" t="str">
        <f>IFERROR(VLOOKUP(D2174,Sheet1!$B$1:$C$45,2,0),"")</f>
        <v>TE</v>
      </c>
      <c r="F2174" s="12" t="s">
        <v>179</v>
      </c>
      <c r="G2174" s="13" t="str">
        <f t="shared" si="8"/>
        <v>Palangkaraya</v>
      </c>
      <c r="H2174" s="15" t="str">
        <f>IFERROR(VLOOKUP(A2174,Sheet1!$E$3:$F$27,2,),"")</f>
        <v>Corrective</v>
      </c>
      <c r="I2174" s="16" t="str">
        <f>IFERROR(VLOOKUP(A2174,Sheet1!$E$3:$G$27,3,0),"")</f>
        <v>Replace Optik,RRU/Soket Power/Replace GPS</v>
      </c>
      <c r="J2174" s="12" t="s">
        <v>112</v>
      </c>
      <c r="K2174" s="17">
        <v>46182.0</v>
      </c>
      <c r="L2174" s="17"/>
      <c r="M2174" s="12" t="s">
        <v>109</v>
      </c>
      <c r="N2174" s="23"/>
      <c r="O2174" s="22"/>
      <c r="P2174" s="22"/>
    </row>
    <row r="2175" ht="22.5" customHeight="1">
      <c r="A2175" s="12" t="s">
        <v>5</v>
      </c>
      <c r="B2175" s="20" t="str">
        <f>IFERROR(VLOOKUP(A2175,Sheet1!$E$3:$H$27,4,0),"")</f>
        <v>P1</v>
      </c>
      <c r="C2175" s="14" t="s">
        <v>685</v>
      </c>
      <c r="D2175" s="12" t="s">
        <v>51</v>
      </c>
      <c r="E2175" s="13" t="str">
        <f>IFERROR(VLOOKUP(D2175,Sheet1!$B$1:$C$45,2,0),"")</f>
        <v>TE</v>
      </c>
      <c r="F2175" s="12" t="s">
        <v>179</v>
      </c>
      <c r="G2175" s="13" t="str">
        <f t="shared" si="8"/>
        <v>Palangkaraya</v>
      </c>
      <c r="H2175" s="15" t="str">
        <f>IFERROR(VLOOKUP(A2175,Sheet1!$E$3:$F$27,2,),"")</f>
        <v>Corrective</v>
      </c>
      <c r="I2175" s="16" t="str">
        <f>IFERROR(VLOOKUP(A2175,Sheet1!$E$3:$G$27,3,0),"")</f>
        <v>Replace Optik,RRU/Soket Power/Replace GPS</v>
      </c>
      <c r="J2175" s="12" t="s">
        <v>112</v>
      </c>
      <c r="K2175" s="17">
        <v>46182.0</v>
      </c>
      <c r="L2175" s="17"/>
      <c r="M2175" s="12" t="s">
        <v>109</v>
      </c>
      <c r="N2175" s="23"/>
      <c r="O2175" s="22"/>
      <c r="P2175" s="22"/>
    </row>
    <row r="2176" ht="22.5" customHeight="1">
      <c r="A2176" s="12" t="s">
        <v>33</v>
      </c>
      <c r="B2176" s="20" t="str">
        <f>IFERROR(VLOOKUP(A2176,Sheet1!$E$3:$H$27,4,0),"")</f>
        <v>P2</v>
      </c>
      <c r="C2176" s="14" t="s">
        <v>686</v>
      </c>
      <c r="D2176" s="12" t="s">
        <v>71</v>
      </c>
      <c r="E2176" s="13" t="str">
        <f>IFERROR(VLOOKUP(D2176,Sheet1!$B$1:$C$45,2,0),"")</f>
        <v>TE</v>
      </c>
      <c r="F2176" s="12" t="s">
        <v>179</v>
      </c>
      <c r="G2176" s="13" t="str">
        <f t="shared" si="8"/>
        <v>Palangkaraya</v>
      </c>
      <c r="H2176" s="15" t="str">
        <f>IFERROR(VLOOKUP(A2176,Sheet1!$E$3:$F$27,2,),"")</f>
        <v>Preventive</v>
      </c>
      <c r="I2176" s="16" t="str">
        <f>IFERROR(VLOOKUP(A2176,Sheet1!$E$3:$G$27,3,0),"")</f>
        <v>Pengukuran dan pengambilan data log serta input Gdoc BBT</v>
      </c>
      <c r="J2176" s="12" t="s">
        <v>112</v>
      </c>
      <c r="K2176" s="17">
        <v>46182.0</v>
      </c>
      <c r="L2176" s="17"/>
      <c r="M2176" s="12" t="s">
        <v>109</v>
      </c>
      <c r="N2176" s="23"/>
      <c r="O2176" s="22"/>
      <c r="P2176" s="22"/>
    </row>
    <row r="2177" ht="22.5" customHeight="1">
      <c r="A2177" s="12" t="s">
        <v>33</v>
      </c>
      <c r="B2177" s="20" t="str">
        <f>IFERROR(VLOOKUP(A2177,Sheet1!$E$3:$H$27,4,0),"")</f>
        <v>P2</v>
      </c>
      <c r="C2177" s="14" t="s">
        <v>687</v>
      </c>
      <c r="D2177" s="12" t="s">
        <v>69</v>
      </c>
      <c r="E2177" s="13" t="str">
        <f>IFERROR(VLOOKUP(D2177,Sheet1!$B$1:$C$45,2,0),"")</f>
        <v>TE</v>
      </c>
      <c r="F2177" s="12" t="s">
        <v>179</v>
      </c>
      <c r="G2177" s="13" t="str">
        <f t="shared" si="8"/>
        <v>Palangkaraya</v>
      </c>
      <c r="H2177" s="15" t="str">
        <f>IFERROR(VLOOKUP(A2177,Sheet1!$E$3:$F$27,2,),"")</f>
        <v>Preventive</v>
      </c>
      <c r="I2177" s="16" t="str">
        <f>IFERROR(VLOOKUP(A2177,Sheet1!$E$3:$G$27,3,0),"")</f>
        <v>Pengukuran dan pengambilan data log serta input Gdoc BBT</v>
      </c>
      <c r="J2177" s="12" t="s">
        <v>112</v>
      </c>
      <c r="K2177" s="17">
        <v>46182.0</v>
      </c>
      <c r="L2177" s="17"/>
      <c r="M2177" s="12" t="s">
        <v>109</v>
      </c>
      <c r="N2177" s="23"/>
      <c r="O2177" s="22"/>
      <c r="P2177" s="22"/>
    </row>
    <row r="2178" ht="22.5" customHeight="1">
      <c r="A2178" s="12" t="s">
        <v>14</v>
      </c>
      <c r="B2178" s="20" t="str">
        <f>IFERROR(VLOOKUP(A2178,Sheet1!$E$3:$H$27,4,0),"")</f>
        <v>P1</v>
      </c>
      <c r="C2178" s="14" t="s">
        <v>214</v>
      </c>
      <c r="D2178" s="12" t="s">
        <v>91</v>
      </c>
      <c r="E2178" s="13" t="str">
        <f>IFERROR(VLOOKUP(D2178,Sheet1!$B$1:$C$45,2,0),"")</f>
        <v>TE</v>
      </c>
      <c r="F2178" s="12" t="s">
        <v>179</v>
      </c>
      <c r="G2178" s="13" t="str">
        <f t="shared" si="8"/>
        <v>Palangkaraya</v>
      </c>
      <c r="H2178" s="15" t="str">
        <f>IFERROR(VLOOKUP(A2178,Sheet1!$E$3:$F$27,2,),"")</f>
        <v>Corrective</v>
      </c>
      <c r="I2178" s="16" t="str">
        <f>IFERROR(VLOOKUP(A2178,Sheet1!$E$3:$G$27,3,0),"")</f>
        <v>Pemadaman,MCB Trip,Transmisi problem</v>
      </c>
      <c r="J2178" s="12" t="s">
        <v>112</v>
      </c>
      <c r="K2178" s="17">
        <v>46182.0</v>
      </c>
      <c r="L2178" s="17"/>
      <c r="M2178" s="12" t="s">
        <v>109</v>
      </c>
      <c r="N2178" s="23"/>
      <c r="O2178" s="22"/>
      <c r="P2178" s="22"/>
    </row>
    <row r="2179" ht="22.5" customHeight="1">
      <c r="A2179" s="12" t="s">
        <v>5</v>
      </c>
      <c r="B2179" s="20" t="str">
        <f>IFERROR(VLOOKUP(A2179,Sheet1!$E$3:$H$27,4,0),"")</f>
        <v>P1</v>
      </c>
      <c r="C2179" s="14" t="s">
        <v>478</v>
      </c>
      <c r="D2179" s="12" t="s">
        <v>58</v>
      </c>
      <c r="E2179" s="13" t="str">
        <f>IFERROR(VLOOKUP(D2179,Sheet1!$B$1:$C$45,2,0),"")</f>
        <v>TE</v>
      </c>
      <c r="F2179" s="12" t="s">
        <v>179</v>
      </c>
      <c r="G2179" s="13" t="str">
        <f t="shared" si="8"/>
        <v>Palangkaraya</v>
      </c>
      <c r="H2179" s="15" t="str">
        <f>IFERROR(VLOOKUP(A2179,Sheet1!$E$3:$F$27,2,),"")</f>
        <v>Corrective</v>
      </c>
      <c r="I2179" s="16" t="str">
        <f>IFERROR(VLOOKUP(A2179,Sheet1!$E$3:$G$27,3,0),"")</f>
        <v>Replace Optik,RRU/Soket Power/Replace GPS</v>
      </c>
      <c r="J2179" s="12" t="s">
        <v>112</v>
      </c>
      <c r="K2179" s="17">
        <v>46182.0</v>
      </c>
      <c r="L2179" s="17"/>
      <c r="M2179" s="12" t="s">
        <v>109</v>
      </c>
      <c r="N2179" s="23"/>
      <c r="O2179" s="22"/>
      <c r="P2179" s="22"/>
    </row>
    <row r="2180" ht="22.5" customHeight="1">
      <c r="A2180" s="12" t="s">
        <v>22</v>
      </c>
      <c r="B2180" s="20" t="str">
        <f>IFERROR(VLOOKUP(A2180,Sheet1!$E$3:$H$27,4,0),"")</f>
        <v>P2</v>
      </c>
      <c r="C2180" s="15"/>
      <c r="D2180" s="12" t="s">
        <v>75</v>
      </c>
      <c r="E2180" s="13" t="str">
        <f>IFERROR(VLOOKUP(D2180,Sheet1!$B$1:$C$45,2,0),"")</f>
        <v>CME</v>
      </c>
      <c r="F2180" s="12" t="s">
        <v>179</v>
      </c>
      <c r="G2180" s="13" t="str">
        <f t="shared" si="8"/>
        <v>Palangkaraya</v>
      </c>
      <c r="H2180" s="15" t="str">
        <f>IFERROR(VLOOKUP(A2180,Sheet1!$E$3:$F$27,2,),"")</f>
        <v>Preventive</v>
      </c>
      <c r="I2180" s="16" t="str">
        <f>IFERROR(VLOOKUP(A2180,Sheet1!$E$3:$G$27,3,0),"")</f>
        <v>Preventive Maintenance</v>
      </c>
      <c r="J2180" s="12" t="s">
        <v>112</v>
      </c>
      <c r="K2180" s="17">
        <v>46182.0</v>
      </c>
      <c r="L2180" s="17"/>
      <c r="M2180" s="12" t="s">
        <v>109</v>
      </c>
      <c r="N2180" s="23"/>
      <c r="O2180" s="22"/>
      <c r="P2180" s="22"/>
    </row>
    <row r="2181" ht="22.5" customHeight="1">
      <c r="A2181" s="12" t="s">
        <v>22</v>
      </c>
      <c r="B2181" s="20" t="str">
        <f>IFERROR(VLOOKUP(A2181,Sheet1!$E$3:$H$27,4,0),"")</f>
        <v>P2</v>
      </c>
      <c r="C2181" s="15"/>
      <c r="D2181" s="12" t="s">
        <v>83</v>
      </c>
      <c r="E2181" s="13" t="str">
        <f>IFERROR(VLOOKUP(D2181,Sheet1!$B$1:$C$45,2,0),"")</f>
        <v>PM</v>
      </c>
      <c r="F2181" s="12" t="s">
        <v>179</v>
      </c>
      <c r="G2181" s="13" t="str">
        <f t="shared" si="8"/>
        <v>Palangkaraya</v>
      </c>
      <c r="H2181" s="15" t="str">
        <f>IFERROR(VLOOKUP(A2181,Sheet1!$E$3:$F$27,2,),"")</f>
        <v>Preventive</v>
      </c>
      <c r="I2181" s="16" t="str">
        <f>IFERROR(VLOOKUP(A2181,Sheet1!$E$3:$G$27,3,0),"")</f>
        <v>Preventive Maintenance</v>
      </c>
      <c r="J2181" s="12" t="s">
        <v>112</v>
      </c>
      <c r="K2181" s="17">
        <v>46182.0</v>
      </c>
      <c r="L2181" s="17"/>
      <c r="M2181" s="12" t="s">
        <v>109</v>
      </c>
      <c r="N2181" s="23"/>
      <c r="O2181" s="22"/>
      <c r="P2181" s="22"/>
    </row>
    <row r="2182" ht="22.5" customHeight="1">
      <c r="A2182" s="12" t="s">
        <v>22</v>
      </c>
      <c r="B2182" s="20" t="str">
        <f>IFERROR(VLOOKUP(A2182,Sheet1!$E$3:$H$27,4,0),"")</f>
        <v>P2</v>
      </c>
      <c r="C2182" s="15"/>
      <c r="D2182" s="12" t="s">
        <v>82</v>
      </c>
      <c r="E2182" s="13" t="str">
        <f>IFERROR(VLOOKUP(D2182,Sheet1!$B$1:$C$45,2,0),"")</f>
        <v>PM</v>
      </c>
      <c r="F2182" s="12" t="s">
        <v>179</v>
      </c>
      <c r="G2182" s="13" t="str">
        <f t="shared" si="8"/>
        <v>Palangkaraya</v>
      </c>
      <c r="H2182" s="15" t="str">
        <f>IFERROR(VLOOKUP(A2182,Sheet1!$E$3:$F$27,2,),"")</f>
        <v>Preventive</v>
      </c>
      <c r="I2182" s="16" t="str">
        <f>IFERROR(VLOOKUP(A2182,Sheet1!$E$3:$G$27,3,0),"")</f>
        <v>Preventive Maintenance</v>
      </c>
      <c r="J2182" s="12" t="s">
        <v>112</v>
      </c>
      <c r="K2182" s="17">
        <v>46182.0</v>
      </c>
      <c r="L2182" s="17"/>
      <c r="M2182" s="12" t="s">
        <v>109</v>
      </c>
      <c r="N2182" s="23"/>
      <c r="O2182" s="22"/>
      <c r="P2182" s="22"/>
    </row>
    <row r="2183" ht="22.5" customHeight="1">
      <c r="A2183" s="12" t="s">
        <v>65</v>
      </c>
      <c r="B2183" s="20" t="str">
        <f>IFERROR(VLOOKUP(A2183,Sheet1!$E$3:$H$27,4,0),"")</f>
        <v>P3</v>
      </c>
      <c r="C2183" s="15"/>
      <c r="D2183" s="12" t="s">
        <v>54</v>
      </c>
      <c r="E2183" s="13" t="str">
        <f>IFERROR(VLOOKUP(D2183,Sheet1!$B$1:$C$45,2,0),"")</f>
        <v>MBP</v>
      </c>
      <c r="F2183" s="12" t="s">
        <v>179</v>
      </c>
      <c r="G2183" s="13" t="str">
        <f t="shared" si="8"/>
        <v>Palangkaraya</v>
      </c>
      <c r="H2183" s="15" t="str">
        <f>IFERROR(VLOOKUP(A2183,Sheet1!$E$3:$F$27,2,),"")</f>
        <v>Standby</v>
      </c>
      <c r="I2183" s="16" t="str">
        <f>IFERROR(VLOOKUP(A2183,Sheet1!$E$3:$G$27,3,0),"")</f>
        <v>Standby On Call</v>
      </c>
      <c r="J2183" s="12" t="s">
        <v>66</v>
      </c>
      <c r="K2183" s="17">
        <v>46182.0</v>
      </c>
      <c r="L2183" s="17"/>
      <c r="M2183" s="12" t="s">
        <v>109</v>
      </c>
      <c r="N2183" s="23"/>
      <c r="O2183" s="22"/>
      <c r="P2183" s="22"/>
    </row>
    <row r="2184" ht="22.5" customHeight="1">
      <c r="A2184" s="12" t="s">
        <v>14</v>
      </c>
      <c r="B2184" s="20" t="str">
        <f>IFERROR(VLOOKUP(A2184,Sheet1!$E$3:$H$27,4,0),"")</f>
        <v>P1</v>
      </c>
      <c r="C2184" s="14" t="s">
        <v>688</v>
      </c>
      <c r="D2184" s="12" t="s">
        <v>56</v>
      </c>
      <c r="E2184" s="13" t="str">
        <f>IFERROR(VLOOKUP(D2184,Sheet1!$B$1:$C$45,2,0),"")</f>
        <v>TE</v>
      </c>
      <c r="F2184" s="12" t="s">
        <v>179</v>
      </c>
      <c r="G2184" s="13" t="str">
        <f t="shared" si="8"/>
        <v>Palangkaraya</v>
      </c>
      <c r="H2184" s="15" t="str">
        <f>IFERROR(VLOOKUP(A2184,Sheet1!$E$3:$F$27,2,),"")</f>
        <v>Corrective</v>
      </c>
      <c r="I2184" s="16" t="str">
        <f>IFERROR(VLOOKUP(A2184,Sheet1!$E$3:$G$27,3,0),"")</f>
        <v>Pemadaman,MCB Trip,Transmisi problem</v>
      </c>
      <c r="J2184" s="12" t="s">
        <v>112</v>
      </c>
      <c r="K2184" s="17">
        <v>46182.0</v>
      </c>
      <c r="L2184" s="17"/>
      <c r="M2184" s="12" t="s">
        <v>109</v>
      </c>
      <c r="N2184" s="23"/>
      <c r="O2184" s="22"/>
      <c r="P2184" s="22"/>
    </row>
    <row r="2185" ht="22.5" customHeight="1">
      <c r="A2185" s="12"/>
      <c r="B2185" s="20" t="str">
        <f>IFERROR(VLOOKUP(A2185,Sheet1!$E$3:$H$27,4,0),"")</f>
        <v/>
      </c>
      <c r="C2185" s="15"/>
      <c r="D2185" s="12"/>
      <c r="E2185" s="13" t="str">
        <f>IFERROR(VLOOKUP(D2185,Sheet1!$B$1:$C$45,2,0),"")</f>
        <v/>
      </c>
      <c r="F2185" s="12"/>
      <c r="G2185" s="13" t="str">
        <f t="shared" si="8"/>
        <v/>
      </c>
      <c r="H2185" s="15" t="str">
        <f>IFERROR(VLOOKUP(A2185,Sheet1!$E$3:$F$27,2,),"")</f>
        <v/>
      </c>
      <c r="I2185" s="16" t="str">
        <f>IFERROR(VLOOKUP(A2185,Sheet1!$E$3:$G$27,3,0),"")</f>
        <v/>
      </c>
      <c r="J2185" s="20"/>
      <c r="K2185" s="17">
        <v>46295.0</v>
      </c>
      <c r="L2185" s="17"/>
      <c r="M2185" s="12" t="s">
        <v>109</v>
      </c>
      <c r="N2185" s="23"/>
      <c r="O2185" s="22"/>
      <c r="P2185" s="22"/>
    </row>
    <row r="2186" ht="22.5" customHeight="1">
      <c r="A2186" s="12" t="s">
        <v>14</v>
      </c>
      <c r="B2186" s="12" t="s">
        <v>8</v>
      </c>
      <c r="C2186" s="14" t="s">
        <v>363</v>
      </c>
      <c r="D2186" s="12" t="s">
        <v>80</v>
      </c>
      <c r="E2186" s="13" t="str">
        <f>IFERROR(VLOOKUP(D2186,Sheet1!$B$1:$C$45,2,0),"")</f>
        <v>TE</v>
      </c>
      <c r="F2186" s="12" t="s">
        <v>179</v>
      </c>
      <c r="G2186" s="13" t="str">
        <f t="shared" si="8"/>
        <v>Palangkaraya</v>
      </c>
      <c r="H2186" s="15" t="str">
        <f>IFERROR(VLOOKUP(A2186,Sheet1!$E$3:$F$27,2,),"")</f>
        <v>Corrective</v>
      </c>
      <c r="I2186" s="16" t="str">
        <f>IFERROR(VLOOKUP(A2186,Sheet1!$E$3:$G$27,3,0),"")</f>
        <v>Pemadaman,MCB Trip,Transmisi problem</v>
      </c>
      <c r="J2186" s="12" t="s">
        <v>112</v>
      </c>
      <c r="K2186" s="17">
        <v>46307.0</v>
      </c>
      <c r="L2186" s="17"/>
      <c r="M2186" s="12" t="s">
        <v>137</v>
      </c>
      <c r="N2186" s="18" t="s">
        <v>689</v>
      </c>
      <c r="O2186" s="19"/>
      <c r="P2186" s="19"/>
    </row>
    <row r="2187" ht="22.5" customHeight="1">
      <c r="A2187" s="12" t="s">
        <v>33</v>
      </c>
      <c r="B2187" s="20" t="str">
        <f>IFERROR(VLOOKUP(A2187,Sheet1!$E$3:$H$27,4,0),"")</f>
        <v>P2</v>
      </c>
      <c r="C2187" s="14" t="s">
        <v>690</v>
      </c>
      <c r="D2187" s="12" t="s">
        <v>37</v>
      </c>
      <c r="E2187" s="13" t="str">
        <f>IFERROR(VLOOKUP(D2187,Sheet1!$B$1:$C$45,2,0),"")</f>
        <v>TE</v>
      </c>
      <c r="F2187" s="12" t="s">
        <v>179</v>
      </c>
      <c r="G2187" s="13" t="str">
        <f t="shared" si="8"/>
        <v>Palangkaraya</v>
      </c>
      <c r="H2187" s="15" t="str">
        <f>IFERROR(VLOOKUP(A2187,Sheet1!$E$3:$F$27,2,),"")</f>
        <v>Preventive</v>
      </c>
      <c r="I2187" s="16" t="str">
        <f>IFERROR(VLOOKUP(A2187,Sheet1!$E$3:$G$27,3,0),"")</f>
        <v>Pengukuran dan pengambilan data log serta input Gdoc BBT</v>
      </c>
      <c r="J2187" s="12" t="s">
        <v>112</v>
      </c>
      <c r="K2187" s="17">
        <v>46307.0</v>
      </c>
      <c r="L2187" s="17"/>
      <c r="M2187" s="12" t="s">
        <v>137</v>
      </c>
      <c r="N2187" s="18" t="s">
        <v>691</v>
      </c>
      <c r="O2187" s="19"/>
      <c r="P2187" s="19"/>
    </row>
    <row r="2188" ht="22.5" customHeight="1">
      <c r="A2188" s="12" t="s">
        <v>22</v>
      </c>
      <c r="B2188" s="20" t="str">
        <f>IFERROR(VLOOKUP(A2188,Sheet1!$E$3:$H$27,4,0),"")</f>
        <v>P2</v>
      </c>
      <c r="C2188" s="14" t="s">
        <v>692</v>
      </c>
      <c r="D2188" s="12" t="s">
        <v>39</v>
      </c>
      <c r="E2188" s="13" t="str">
        <f>IFERROR(VLOOKUP(D2188,Sheet1!$B$1:$C$45,2,0),"")</f>
        <v>TE</v>
      </c>
      <c r="F2188" s="12" t="s">
        <v>179</v>
      </c>
      <c r="G2188" s="13" t="str">
        <f t="shared" si="8"/>
        <v>Palangkaraya</v>
      </c>
      <c r="H2188" s="15" t="str">
        <f>IFERROR(VLOOKUP(A2188,Sheet1!$E$3:$F$27,2,),"")</f>
        <v>Preventive</v>
      </c>
      <c r="I2188" s="16" t="str">
        <f>IFERROR(VLOOKUP(A2188,Sheet1!$E$3:$G$27,3,0),"")</f>
        <v>Preventive Maintenance</v>
      </c>
      <c r="J2188" s="12" t="s">
        <v>112</v>
      </c>
      <c r="K2188" s="17">
        <v>46307.0</v>
      </c>
      <c r="L2188" s="17"/>
      <c r="M2188" s="12" t="s">
        <v>137</v>
      </c>
      <c r="N2188" s="18" t="s">
        <v>693</v>
      </c>
      <c r="O2188" s="19"/>
      <c r="P2188" s="19"/>
    </row>
    <row r="2189" ht="22.5" customHeight="1">
      <c r="A2189" s="12" t="s">
        <v>14</v>
      </c>
      <c r="B2189" s="20" t="str">
        <f>IFERROR(VLOOKUP(A2189,Sheet1!$E$3:$H$27,4,0),"")</f>
        <v>P1</v>
      </c>
      <c r="C2189" s="14" t="s">
        <v>363</v>
      </c>
      <c r="D2189" s="12" t="s">
        <v>77</v>
      </c>
      <c r="E2189" s="13" t="str">
        <f>IFERROR(VLOOKUP(D2189,Sheet1!$B$1:$C$45,2,0),"")</f>
        <v>TE</v>
      </c>
      <c r="F2189" s="12" t="s">
        <v>179</v>
      </c>
      <c r="G2189" s="13" t="str">
        <f t="shared" si="8"/>
        <v>Palangkaraya</v>
      </c>
      <c r="H2189" s="15" t="str">
        <f>IFERROR(VLOOKUP(A2189,Sheet1!$E$3:$F$27,2,),"")</f>
        <v>Corrective</v>
      </c>
      <c r="I2189" s="16" t="str">
        <f>IFERROR(VLOOKUP(A2189,Sheet1!$E$3:$G$27,3,0),"")</f>
        <v>Pemadaman,MCB Trip,Transmisi problem</v>
      </c>
      <c r="J2189" s="12" t="s">
        <v>112</v>
      </c>
      <c r="K2189" s="17">
        <v>46307.0</v>
      </c>
      <c r="L2189" s="17"/>
      <c r="M2189" s="12" t="s">
        <v>137</v>
      </c>
      <c r="N2189" s="18" t="s">
        <v>689</v>
      </c>
      <c r="O2189" s="19"/>
      <c r="P2189" s="19"/>
    </row>
    <row r="2190" ht="22.5" customHeight="1">
      <c r="A2190" s="12" t="s">
        <v>22</v>
      </c>
      <c r="B2190" s="20" t="str">
        <f>IFERROR(VLOOKUP(A2190,Sheet1!$E$3:$H$27,4,0),"")</f>
        <v>P2</v>
      </c>
      <c r="C2190" s="14" t="s">
        <v>178</v>
      </c>
      <c r="D2190" s="12" t="s">
        <v>78</v>
      </c>
      <c r="E2190" s="13" t="str">
        <f>IFERROR(VLOOKUP(D2190,Sheet1!$B$1:$C$45,2,0),"")</f>
        <v>TE</v>
      </c>
      <c r="F2190" s="12" t="s">
        <v>179</v>
      </c>
      <c r="G2190" s="13" t="str">
        <f t="shared" si="8"/>
        <v>Palangkaraya</v>
      </c>
      <c r="H2190" s="15" t="str">
        <f>IFERROR(VLOOKUP(A2190,Sheet1!$E$3:$F$27,2,),"")</f>
        <v>Preventive</v>
      </c>
      <c r="I2190" s="16" t="str">
        <f>IFERROR(VLOOKUP(A2190,Sheet1!$E$3:$G$27,3,0),"")</f>
        <v>Preventive Maintenance</v>
      </c>
      <c r="J2190" s="12" t="s">
        <v>112</v>
      </c>
      <c r="K2190" s="17">
        <v>46307.0</v>
      </c>
      <c r="L2190" s="17"/>
      <c r="M2190" s="12" t="s">
        <v>137</v>
      </c>
      <c r="N2190" s="18" t="s">
        <v>693</v>
      </c>
      <c r="O2190" s="19"/>
      <c r="P2190" s="19"/>
    </row>
    <row r="2191" ht="22.5" customHeight="1">
      <c r="A2191" s="12" t="s">
        <v>14</v>
      </c>
      <c r="B2191" s="20" t="str">
        <f>IFERROR(VLOOKUP(A2191,Sheet1!$E$3:$H$27,4,0),"")</f>
        <v>P1</v>
      </c>
      <c r="C2191" s="14" t="s">
        <v>591</v>
      </c>
      <c r="D2191" s="12" t="s">
        <v>42</v>
      </c>
      <c r="E2191" s="13" t="str">
        <f>IFERROR(VLOOKUP(D2191,Sheet1!$B$1:$C$45,2,0),"")</f>
        <v>TE</v>
      </c>
      <c r="F2191" s="12" t="s">
        <v>179</v>
      </c>
      <c r="G2191" s="13" t="str">
        <f t="shared" si="8"/>
        <v>Palangkaraya</v>
      </c>
      <c r="H2191" s="15" t="str">
        <f>IFERROR(VLOOKUP(A2191,Sheet1!$E$3:$F$27,2,),"")</f>
        <v>Corrective</v>
      </c>
      <c r="I2191" s="16" t="str">
        <f>IFERROR(VLOOKUP(A2191,Sheet1!$E$3:$G$27,3,0),"")</f>
        <v>Pemadaman,MCB Trip,Transmisi problem</v>
      </c>
      <c r="J2191" s="12" t="s">
        <v>112</v>
      </c>
      <c r="K2191" s="17">
        <v>46307.0</v>
      </c>
      <c r="L2191" s="17"/>
      <c r="M2191" s="12" t="s">
        <v>137</v>
      </c>
      <c r="N2191" s="18" t="s">
        <v>694</v>
      </c>
      <c r="O2191" s="19"/>
      <c r="P2191" s="19"/>
    </row>
    <row r="2192" ht="22.5" customHeight="1">
      <c r="A2192" s="12" t="s">
        <v>55</v>
      </c>
      <c r="B2192" s="20" t="str">
        <f>IFERROR(VLOOKUP(A2192,Sheet1!$E$3:$H$27,4,0),"")</f>
        <v>P2</v>
      </c>
      <c r="C2192" s="14" t="s">
        <v>695</v>
      </c>
      <c r="D2192" s="12" t="s">
        <v>76</v>
      </c>
      <c r="E2192" s="13" t="str">
        <f>IFERROR(VLOOKUP(D2192,Sheet1!$B$1:$C$45,2,0),"")</f>
        <v>TE</v>
      </c>
      <c r="F2192" s="12" t="s">
        <v>179</v>
      </c>
      <c r="G2192" s="13" t="str">
        <f t="shared" si="8"/>
        <v>Palangkaraya</v>
      </c>
      <c r="H2192" s="15" t="str">
        <f>IFERROR(VLOOKUP(A2192,Sheet1!$E$3:$F$27,2,),"")</f>
        <v>Corrective</v>
      </c>
      <c r="I2192" s="16" t="str">
        <f>IFERROR(VLOOKUP(A2192,Sheet1!$E$3:$G$27,3,0),"")</f>
        <v>Penambahan Modul Recti</v>
      </c>
      <c r="J2192" s="12" t="s">
        <v>112</v>
      </c>
      <c r="K2192" s="17">
        <v>46307.0</v>
      </c>
      <c r="L2192" s="17"/>
      <c r="M2192" s="12" t="s">
        <v>137</v>
      </c>
      <c r="N2192" s="18" t="s">
        <v>696</v>
      </c>
      <c r="O2192" s="19"/>
      <c r="P2192" s="19"/>
    </row>
    <row r="2193" ht="22.5" customHeight="1">
      <c r="A2193" s="12" t="s">
        <v>5</v>
      </c>
      <c r="B2193" s="20" t="str">
        <f>IFERROR(VLOOKUP(A2193,Sheet1!$E$3:$H$27,4,0),"")</f>
        <v>P1</v>
      </c>
      <c r="C2193" s="14" t="s">
        <v>697</v>
      </c>
      <c r="D2193" s="12" t="s">
        <v>698</v>
      </c>
      <c r="E2193" s="12" t="s">
        <v>13</v>
      </c>
      <c r="F2193" s="12" t="s">
        <v>179</v>
      </c>
      <c r="G2193" s="13" t="str">
        <f t="shared" si="8"/>
        <v>Palangkaraya</v>
      </c>
      <c r="H2193" s="15" t="str">
        <f>IFERROR(VLOOKUP(A2193,Sheet1!$E$3:$F$27,2,),"")</f>
        <v>Corrective</v>
      </c>
      <c r="I2193" s="16" t="str">
        <f>IFERROR(VLOOKUP(A2193,Sheet1!$E$3:$G$27,3,0),"")</f>
        <v>Replace Optik,RRU/Soket Power/Replace GPS</v>
      </c>
      <c r="J2193" s="12" t="s">
        <v>112</v>
      </c>
      <c r="K2193" s="17">
        <v>46307.0</v>
      </c>
      <c r="L2193" s="17"/>
      <c r="M2193" s="12" t="s">
        <v>137</v>
      </c>
      <c r="N2193" s="18" t="s">
        <v>699</v>
      </c>
      <c r="O2193" s="19"/>
      <c r="P2193" s="19"/>
    </row>
    <row r="2194" ht="22.5" customHeight="1">
      <c r="A2194" s="12" t="s">
        <v>33</v>
      </c>
      <c r="B2194" s="20" t="str">
        <f>IFERROR(VLOOKUP(A2194,Sheet1!$E$3:$H$27,4,0),"")</f>
        <v>P2</v>
      </c>
      <c r="C2194" s="14" t="s">
        <v>700</v>
      </c>
      <c r="D2194" s="12" t="s">
        <v>51</v>
      </c>
      <c r="E2194" s="13" t="str">
        <f>IFERROR(VLOOKUP(D2194,Sheet1!$B$1:$C$45,2,0),"")</f>
        <v>TE</v>
      </c>
      <c r="F2194" s="12" t="s">
        <v>179</v>
      </c>
      <c r="G2194" s="13" t="str">
        <f t="shared" si="8"/>
        <v>Palangkaraya</v>
      </c>
      <c r="H2194" s="15" t="str">
        <f>IFERROR(VLOOKUP(A2194,Sheet1!$E$3:$F$27,2,),"")</f>
        <v>Preventive</v>
      </c>
      <c r="I2194" s="16" t="str">
        <f>IFERROR(VLOOKUP(A2194,Sheet1!$E$3:$G$27,3,0),"")</f>
        <v>Pengukuran dan pengambilan data log serta input Gdoc BBT</v>
      </c>
      <c r="J2194" s="12" t="s">
        <v>112</v>
      </c>
      <c r="K2194" s="17">
        <v>46307.0</v>
      </c>
      <c r="L2194" s="17"/>
      <c r="M2194" s="12" t="s">
        <v>137</v>
      </c>
      <c r="N2194" s="23"/>
      <c r="O2194" s="22"/>
      <c r="P2194" s="22"/>
    </row>
    <row r="2195" ht="22.5" customHeight="1">
      <c r="A2195" s="12" t="s">
        <v>14</v>
      </c>
      <c r="B2195" s="20" t="str">
        <f>IFERROR(VLOOKUP(A2195,Sheet1!$E$3:$H$27,4,0),"")</f>
        <v>P1</v>
      </c>
      <c r="C2195" s="14" t="s">
        <v>701</v>
      </c>
      <c r="D2195" s="12" t="s">
        <v>91</v>
      </c>
      <c r="E2195" s="13" t="str">
        <f>IFERROR(VLOOKUP(D2195,Sheet1!$B$1:$C$45,2,0),"")</f>
        <v>TE</v>
      </c>
      <c r="F2195" s="12" t="s">
        <v>179</v>
      </c>
      <c r="G2195" s="13" t="str">
        <f t="shared" si="8"/>
        <v>Palangkaraya</v>
      </c>
      <c r="H2195" s="15" t="str">
        <f>IFERROR(VLOOKUP(A2195,Sheet1!$E$3:$F$27,2,),"")</f>
        <v>Corrective</v>
      </c>
      <c r="I2195" s="16" t="str">
        <f>IFERROR(VLOOKUP(A2195,Sheet1!$E$3:$G$27,3,0),"")</f>
        <v>Pemadaman,MCB Trip,Transmisi problem</v>
      </c>
      <c r="J2195" s="12" t="s">
        <v>112</v>
      </c>
      <c r="K2195" s="17">
        <v>46307.0</v>
      </c>
      <c r="L2195" s="17"/>
      <c r="M2195" s="12" t="s">
        <v>137</v>
      </c>
      <c r="N2195" s="23"/>
      <c r="O2195" s="22"/>
      <c r="P2195" s="22"/>
    </row>
    <row r="2196" ht="22.5" customHeight="1">
      <c r="A2196" s="12" t="s">
        <v>68</v>
      </c>
      <c r="B2196" s="20" t="str">
        <f>IFERROR(VLOOKUP(A2196,Sheet1!$E$3:$H$27,4,0),"")</f>
        <v>P3</v>
      </c>
      <c r="C2196" s="14" t="s">
        <v>702</v>
      </c>
      <c r="D2196" s="12" t="s">
        <v>58</v>
      </c>
      <c r="E2196" s="13" t="str">
        <f>IFERROR(VLOOKUP(D2196,Sheet1!$B$1:$C$45,2,0),"")</f>
        <v>TE</v>
      </c>
      <c r="F2196" s="12" t="s">
        <v>179</v>
      </c>
      <c r="G2196" s="13" t="str">
        <f t="shared" si="8"/>
        <v>Palangkaraya</v>
      </c>
      <c r="H2196" s="15" t="str">
        <f>IFERROR(VLOOKUP(A2196,Sheet1!$E$3:$F$27,2,),"")</f>
        <v>On Leave</v>
      </c>
      <c r="I2196" s="16" t="str">
        <f>IFERROR(VLOOKUP(A2196,Sheet1!$E$3:$G$27,3,0),"")</f>
        <v>On Leave</v>
      </c>
      <c r="J2196" s="12" t="s">
        <v>66</v>
      </c>
      <c r="K2196" s="17">
        <v>46307.0</v>
      </c>
      <c r="L2196" s="17"/>
      <c r="M2196" s="12" t="s">
        <v>137</v>
      </c>
      <c r="N2196" s="18"/>
      <c r="O2196" s="19"/>
      <c r="P2196" s="19"/>
    </row>
    <row r="2197" ht="22.5" customHeight="1">
      <c r="A2197" s="12" t="s">
        <v>33</v>
      </c>
      <c r="B2197" s="20" t="str">
        <f>IFERROR(VLOOKUP(A2197,Sheet1!$E$3:$H$27,4,0),"")</f>
        <v>P2</v>
      </c>
      <c r="C2197" s="14" t="s">
        <v>703</v>
      </c>
      <c r="D2197" s="12" t="s">
        <v>71</v>
      </c>
      <c r="E2197" s="13" t="str">
        <f>IFERROR(VLOOKUP(D2197,Sheet1!$B$1:$C$45,2,0),"")</f>
        <v>TE</v>
      </c>
      <c r="F2197" s="12" t="s">
        <v>179</v>
      </c>
      <c r="G2197" s="13" t="str">
        <f t="shared" si="8"/>
        <v>Palangkaraya</v>
      </c>
      <c r="H2197" s="15" t="str">
        <f>IFERROR(VLOOKUP(A2197,Sheet1!$E$3:$F$27,2,),"")</f>
        <v>Preventive</v>
      </c>
      <c r="I2197" s="16" t="str">
        <f>IFERROR(VLOOKUP(A2197,Sheet1!$E$3:$G$27,3,0),"")</f>
        <v>Pengukuran dan pengambilan data log serta input Gdoc BBT</v>
      </c>
      <c r="J2197" s="12" t="s">
        <v>112</v>
      </c>
      <c r="K2197" s="17">
        <v>46307.0</v>
      </c>
      <c r="L2197" s="17"/>
      <c r="M2197" s="12" t="s">
        <v>137</v>
      </c>
      <c r="N2197" s="18" t="s">
        <v>691</v>
      </c>
      <c r="O2197" s="19"/>
      <c r="P2197" s="19"/>
    </row>
    <row r="2198" ht="22.5" customHeight="1">
      <c r="A2198" s="12" t="s">
        <v>70</v>
      </c>
      <c r="B2198" s="20" t="str">
        <f>IFERROR(VLOOKUP(A2198,Sheet1!$E$3:$H$27,4,0),"")</f>
        <v>P3</v>
      </c>
      <c r="C2198" s="14"/>
      <c r="D2198" s="12" t="s">
        <v>69</v>
      </c>
      <c r="E2198" s="13" t="str">
        <f>IFERROR(VLOOKUP(D2198,Sheet1!$B$1:$C$45,2,0),"")</f>
        <v>TE</v>
      </c>
      <c r="F2198" s="12" t="s">
        <v>179</v>
      </c>
      <c r="G2198" s="13" t="str">
        <f t="shared" si="8"/>
        <v>Palangkaraya</v>
      </c>
      <c r="H2198" s="15" t="str">
        <f>IFERROR(VLOOKUP(A2198,Sheet1!$E$3:$F$27,2,),"")</f>
        <v>Sick</v>
      </c>
      <c r="I2198" s="16" t="str">
        <f>IFERROR(VLOOKUP(A2198,Sheet1!$E$3:$G$27,3,0),"")</f>
        <v>Sick</v>
      </c>
      <c r="J2198" s="12" t="s">
        <v>66</v>
      </c>
      <c r="K2198" s="17">
        <v>46307.0</v>
      </c>
      <c r="L2198" s="17"/>
      <c r="M2198" s="12" t="s">
        <v>137</v>
      </c>
      <c r="N2198" s="18" t="s">
        <v>704</v>
      </c>
      <c r="O2198" s="19"/>
      <c r="P2198" s="19"/>
    </row>
    <row r="2199" ht="22.5" customHeight="1">
      <c r="A2199" s="12" t="s">
        <v>14</v>
      </c>
      <c r="B2199" s="20" t="str">
        <f>IFERROR(VLOOKUP(A2199,Sheet1!$E$3:$H$27,4,0),"")</f>
        <v>P1</v>
      </c>
      <c r="C2199" s="14" t="s">
        <v>705</v>
      </c>
      <c r="D2199" s="12" t="s">
        <v>706</v>
      </c>
      <c r="E2199" s="12" t="s">
        <v>13</v>
      </c>
      <c r="F2199" s="12" t="s">
        <v>179</v>
      </c>
      <c r="G2199" s="13" t="str">
        <f t="shared" si="8"/>
        <v>Palangkaraya</v>
      </c>
      <c r="H2199" s="15" t="str">
        <f>IFERROR(VLOOKUP(A2199,Sheet1!$E$3:$F$27,2,),"")</f>
        <v>Corrective</v>
      </c>
      <c r="I2199" s="16" t="str">
        <f>IFERROR(VLOOKUP(A2199,Sheet1!$E$3:$G$27,3,0),"")</f>
        <v>Pemadaman,MCB Trip,Transmisi problem</v>
      </c>
      <c r="J2199" s="12" t="s">
        <v>112</v>
      </c>
      <c r="K2199" s="17">
        <v>46307.0</v>
      </c>
      <c r="L2199" s="17"/>
      <c r="M2199" s="12" t="s">
        <v>137</v>
      </c>
      <c r="N2199" s="18" t="s">
        <v>707</v>
      </c>
      <c r="O2199" s="19"/>
      <c r="P2199" s="19"/>
    </row>
    <row r="2200" ht="22.5" customHeight="1">
      <c r="A2200" s="12" t="s">
        <v>65</v>
      </c>
      <c r="B2200" s="20" t="str">
        <f>IFERROR(VLOOKUP(A2200,Sheet1!$E$3:$H$27,4,0),"")</f>
        <v>P3</v>
      </c>
      <c r="C2200" s="14"/>
      <c r="D2200" s="12" t="s">
        <v>75</v>
      </c>
      <c r="E2200" s="13" t="str">
        <f>IFERROR(VLOOKUP(D2200,Sheet1!$B$1:$C$45,2,0),"")</f>
        <v>CME</v>
      </c>
      <c r="F2200" s="12" t="s">
        <v>179</v>
      </c>
      <c r="G2200" s="13" t="str">
        <f t="shared" si="8"/>
        <v>Palangkaraya</v>
      </c>
      <c r="H2200" s="15" t="str">
        <f>IFERROR(VLOOKUP(A2200,Sheet1!$E$3:$F$27,2,),"")</f>
        <v>Standby</v>
      </c>
      <c r="I2200" s="16" t="str">
        <f>IFERROR(VLOOKUP(A2200,Sheet1!$E$3:$G$27,3,0),"")</f>
        <v>Standby On Call</v>
      </c>
      <c r="J2200" s="12" t="s">
        <v>112</v>
      </c>
      <c r="K2200" s="17">
        <v>46307.0</v>
      </c>
      <c r="L2200" s="17"/>
      <c r="M2200" s="12" t="s">
        <v>137</v>
      </c>
      <c r="N2200" s="18"/>
      <c r="O2200" s="19"/>
      <c r="P2200" s="19"/>
    </row>
    <row r="2201" ht="22.5" customHeight="1">
      <c r="A2201" s="12" t="s">
        <v>65</v>
      </c>
      <c r="B2201" s="20" t="str">
        <f>IFERROR(VLOOKUP(A2201,Sheet1!$E$3:$H$27,4,0),"")</f>
        <v>P3</v>
      </c>
      <c r="C2201" s="14"/>
      <c r="D2201" s="12" t="s">
        <v>89</v>
      </c>
      <c r="E2201" s="13" t="str">
        <f>IFERROR(VLOOKUP(D2201,Sheet1!$B$1:$C$45,2,0),"")</f>
        <v>TE</v>
      </c>
      <c r="F2201" s="12" t="s">
        <v>179</v>
      </c>
      <c r="G2201" s="13" t="str">
        <f t="shared" si="8"/>
        <v>Palangkaraya</v>
      </c>
      <c r="H2201" s="15" t="str">
        <f>IFERROR(VLOOKUP(A2201,Sheet1!$E$3:$F$27,2,),"")</f>
        <v>Standby</v>
      </c>
      <c r="I2201" s="16" t="str">
        <f>IFERROR(VLOOKUP(A2201,Sheet1!$E$3:$G$27,3,0),"")</f>
        <v>Standby On Call</v>
      </c>
      <c r="J2201" s="12" t="s">
        <v>112</v>
      </c>
      <c r="K2201" s="17">
        <v>46307.0</v>
      </c>
      <c r="L2201" s="17"/>
      <c r="M2201" s="12" t="s">
        <v>137</v>
      </c>
      <c r="N2201" s="23"/>
      <c r="O2201" s="22"/>
      <c r="P2201" s="22"/>
    </row>
    <row r="2202" ht="22.5" customHeight="1">
      <c r="A2202" s="12" t="s">
        <v>65</v>
      </c>
      <c r="B2202" s="20" t="str">
        <f>IFERROR(VLOOKUP(A2202,Sheet1!$E$3:$H$27,4,0),"")</f>
        <v>P3</v>
      </c>
      <c r="C2202" s="14"/>
      <c r="D2202" s="12" t="s">
        <v>54</v>
      </c>
      <c r="E2202" s="13" t="str">
        <f>IFERROR(VLOOKUP(D2202,Sheet1!$B$1:$C$45,2,0),"")</f>
        <v>MBP</v>
      </c>
      <c r="F2202" s="12" t="s">
        <v>179</v>
      </c>
      <c r="G2202" s="13" t="str">
        <f t="shared" si="8"/>
        <v>Palangkaraya</v>
      </c>
      <c r="H2202" s="15" t="str">
        <f>IFERROR(VLOOKUP(A2202,Sheet1!$E$3:$F$27,2,),"")</f>
        <v>Standby</v>
      </c>
      <c r="I2202" s="16" t="str">
        <f>IFERROR(VLOOKUP(A2202,Sheet1!$E$3:$G$27,3,0),"")</f>
        <v>Standby On Call</v>
      </c>
      <c r="J2202" s="12" t="s">
        <v>112</v>
      </c>
      <c r="K2202" s="17">
        <v>46307.0</v>
      </c>
      <c r="L2202" s="17"/>
      <c r="M2202" s="12" t="s">
        <v>137</v>
      </c>
      <c r="N2202" s="23"/>
      <c r="O2202" s="22"/>
      <c r="P2202" s="22"/>
    </row>
    <row r="2203" ht="22.5" customHeight="1">
      <c r="A2203" s="12" t="s">
        <v>22</v>
      </c>
      <c r="B2203" s="20" t="str">
        <f>IFERROR(VLOOKUP(A2203,Sheet1!$E$3:$H$27,4,0),"")</f>
        <v>P2</v>
      </c>
      <c r="C2203" s="15"/>
      <c r="D2203" s="12" t="s">
        <v>82</v>
      </c>
      <c r="E2203" s="13" t="str">
        <f>IFERROR(VLOOKUP(D2203,Sheet1!$B$1:$C$45,2,0),"")</f>
        <v>PM</v>
      </c>
      <c r="F2203" s="12" t="s">
        <v>179</v>
      </c>
      <c r="G2203" s="13" t="str">
        <f t="shared" si="8"/>
        <v>Palangkaraya</v>
      </c>
      <c r="H2203" s="15" t="str">
        <f>IFERROR(VLOOKUP(A2203,Sheet1!$E$3:$F$27,2,),"")</f>
        <v>Preventive</v>
      </c>
      <c r="I2203" s="16" t="str">
        <f>IFERROR(VLOOKUP(A2203,Sheet1!$E$3:$G$27,3,0),"")</f>
        <v>Preventive Maintenance</v>
      </c>
      <c r="J2203" s="12" t="s">
        <v>112</v>
      </c>
      <c r="K2203" s="17">
        <v>46307.0</v>
      </c>
      <c r="L2203" s="17"/>
      <c r="M2203" s="12" t="s">
        <v>137</v>
      </c>
      <c r="N2203" s="18" t="s">
        <v>708</v>
      </c>
      <c r="O2203" s="19"/>
      <c r="P2203" s="19"/>
    </row>
    <row r="2204" ht="22.5" customHeight="1">
      <c r="A2204" s="12" t="s">
        <v>22</v>
      </c>
      <c r="B2204" s="20" t="str">
        <f>IFERROR(VLOOKUP(A2204,Sheet1!$E$3:$H$27,4,0),"")</f>
        <v>P2</v>
      </c>
      <c r="C2204" s="15"/>
      <c r="D2204" s="12" t="s">
        <v>83</v>
      </c>
      <c r="E2204" s="13" t="str">
        <f>IFERROR(VLOOKUP(D2204,Sheet1!$B$1:$C$45,2,0),"")</f>
        <v>PM</v>
      </c>
      <c r="F2204" s="12" t="s">
        <v>179</v>
      </c>
      <c r="G2204" s="13" t="str">
        <f t="shared" si="8"/>
        <v>Palangkaraya</v>
      </c>
      <c r="H2204" s="15" t="str">
        <f>IFERROR(VLOOKUP(A2204,Sheet1!$E$3:$F$27,2,),"")</f>
        <v>Preventive</v>
      </c>
      <c r="I2204" s="16" t="str">
        <f>IFERROR(VLOOKUP(A2204,Sheet1!$E$3:$G$27,3,0),"")</f>
        <v>Preventive Maintenance</v>
      </c>
      <c r="J2204" s="12" t="s">
        <v>112</v>
      </c>
      <c r="K2204" s="17">
        <v>46307.0</v>
      </c>
      <c r="L2204" s="17"/>
      <c r="M2204" s="12" t="s">
        <v>137</v>
      </c>
      <c r="N2204" s="18" t="s">
        <v>709</v>
      </c>
      <c r="O2204" s="19"/>
      <c r="P2204" s="19"/>
    </row>
    <row r="2205" ht="22.5" customHeight="1">
      <c r="A2205" s="12" t="s">
        <v>65</v>
      </c>
      <c r="B2205" s="20" t="str">
        <f>IFERROR(VLOOKUP(A2205,Sheet1!$E$3:$H$27,4,0),"")</f>
        <v>P3</v>
      </c>
      <c r="C2205" s="14"/>
      <c r="D2205" s="12" t="s">
        <v>710</v>
      </c>
      <c r="E2205" s="12" t="s">
        <v>1</v>
      </c>
      <c r="F2205" s="12" t="s">
        <v>179</v>
      </c>
      <c r="G2205" s="12" t="s">
        <v>657</v>
      </c>
      <c r="H2205" s="15" t="str">
        <f>IFERROR(VLOOKUP(A2205,Sheet1!$E$3:$F$27,2,),"")</f>
        <v>Standby</v>
      </c>
      <c r="I2205" s="16" t="str">
        <f>IFERROR(VLOOKUP(A2205,Sheet1!$E$3:$G$27,3,0),"")</f>
        <v>Standby On Call</v>
      </c>
      <c r="J2205" s="12" t="s">
        <v>112</v>
      </c>
      <c r="K2205" s="17">
        <v>46307.0</v>
      </c>
      <c r="L2205" s="17"/>
      <c r="M2205" s="12" t="s">
        <v>137</v>
      </c>
      <c r="N2205" s="23"/>
      <c r="O2205" s="22"/>
      <c r="P2205" s="22"/>
    </row>
    <row r="2206" ht="22.5" customHeight="1">
      <c r="A2206" s="12" t="s">
        <v>5</v>
      </c>
      <c r="B2206" s="20" t="str">
        <f>IFERROR(VLOOKUP(A2206,Sheet1!$E$3:$H$27,4,0),"")</f>
        <v>P1</v>
      </c>
      <c r="C2206" s="14" t="s">
        <v>711</v>
      </c>
      <c r="D2206" s="12" t="s">
        <v>76</v>
      </c>
      <c r="E2206" s="13" t="str">
        <f>IFERROR(VLOOKUP(D2206,Sheet1!$B$1:$C$45,2,0),"")</f>
        <v>TE</v>
      </c>
      <c r="F2206" s="12" t="s">
        <v>179</v>
      </c>
      <c r="G2206" s="12" t="s">
        <v>657</v>
      </c>
      <c r="H2206" s="15" t="str">
        <f>IFERROR(VLOOKUP(A2206,Sheet1!$E$3:$F$27,2,),"")</f>
        <v>Corrective</v>
      </c>
      <c r="I2206" s="16" t="str">
        <f>IFERROR(VLOOKUP(A2206,Sheet1!$E$3:$G$27,3,0),"")</f>
        <v>Replace Optik,RRU/Soket Power/Replace GPS</v>
      </c>
      <c r="J2206" s="12" t="s">
        <v>112</v>
      </c>
      <c r="K2206" s="17">
        <v>46308.0</v>
      </c>
      <c r="L2206" s="17"/>
      <c r="M2206" s="12" t="s">
        <v>137</v>
      </c>
      <c r="N2206" s="23"/>
      <c r="O2206" s="22"/>
      <c r="P2206" s="22"/>
    </row>
    <row r="2207" ht="22.5" customHeight="1">
      <c r="A2207" s="12" t="s">
        <v>5</v>
      </c>
      <c r="B2207" s="20" t="str">
        <f>IFERROR(VLOOKUP(A2207,Sheet1!$E$3:$H$27,4,0),"")</f>
        <v>P1</v>
      </c>
      <c r="C2207" s="14" t="s">
        <v>564</v>
      </c>
      <c r="D2207" s="12" t="s">
        <v>712</v>
      </c>
      <c r="E2207" s="12" t="s">
        <v>13</v>
      </c>
      <c r="F2207" s="12" t="s">
        <v>179</v>
      </c>
      <c r="G2207" s="12" t="s">
        <v>657</v>
      </c>
      <c r="H2207" s="15" t="str">
        <f>IFERROR(VLOOKUP(A2207,Sheet1!$E$3:$F$27,2,),"")</f>
        <v>Corrective</v>
      </c>
      <c r="I2207" s="16" t="str">
        <f>IFERROR(VLOOKUP(A2207,Sheet1!$E$3:$G$27,3,0),"")</f>
        <v>Replace Optik,RRU/Soket Power/Replace GPS</v>
      </c>
      <c r="J2207" s="12" t="s">
        <v>112</v>
      </c>
      <c r="K2207" s="17">
        <v>46308.0</v>
      </c>
      <c r="L2207" s="17"/>
      <c r="M2207" s="12" t="s">
        <v>137</v>
      </c>
      <c r="N2207" s="23"/>
      <c r="O2207" s="22"/>
      <c r="P2207" s="22"/>
    </row>
    <row r="2208" ht="22.5" customHeight="1">
      <c r="A2208" s="12" t="s">
        <v>30</v>
      </c>
      <c r="B2208" s="20" t="str">
        <f>IFERROR(VLOOKUP(A2208,Sheet1!$E$3:$H$27,4,0),"")</f>
        <v>P3</v>
      </c>
      <c r="C2208" s="14" t="s">
        <v>631</v>
      </c>
      <c r="D2208" s="12" t="s">
        <v>42</v>
      </c>
      <c r="E2208" s="13" t="str">
        <f>IFERROR(VLOOKUP(D2208,Sheet1!$B$1:$C$45,2,0),"")</f>
        <v>TE</v>
      </c>
      <c r="F2208" s="12" t="s">
        <v>179</v>
      </c>
      <c r="G2208" s="12" t="s">
        <v>657</v>
      </c>
      <c r="H2208" s="15" t="str">
        <f>IFERROR(VLOOKUP(A2208,Sheet1!$E$3:$F$27,2,),"")</f>
        <v>Preventive</v>
      </c>
      <c r="I2208" s="16" t="str">
        <f>IFERROR(VLOOKUP(A2208,Sheet1!$E$3:$G$27,3,0),"")</f>
        <v>Pengawalan akses Vendor</v>
      </c>
      <c r="J2208" s="12" t="s">
        <v>112</v>
      </c>
      <c r="K2208" s="17">
        <v>46308.0</v>
      </c>
      <c r="L2208" s="17"/>
      <c r="M2208" s="12" t="s">
        <v>137</v>
      </c>
      <c r="N2208" s="23"/>
      <c r="O2208" s="22"/>
      <c r="P2208" s="22"/>
    </row>
    <row r="2209" ht="22.5" customHeight="1">
      <c r="A2209" s="12" t="s">
        <v>72</v>
      </c>
      <c r="B2209" s="20" t="str">
        <f>IFERROR(VLOOKUP(A2209,Sheet1!$E$3:$H$27,4,0),"")</f>
        <v>P1</v>
      </c>
      <c r="C2209" s="14" t="s">
        <v>204</v>
      </c>
      <c r="D2209" s="12" t="s">
        <v>37</v>
      </c>
      <c r="E2209" s="13" t="str">
        <f>IFERROR(VLOOKUP(D2209,Sheet1!$B$1:$C$45,2,0),"")</f>
        <v>TE</v>
      </c>
      <c r="F2209" s="12" t="s">
        <v>179</v>
      </c>
      <c r="G2209" s="12" t="s">
        <v>657</v>
      </c>
      <c r="H2209" s="15" t="str">
        <f>IFERROR(VLOOKUP(A2209,Sheet1!$E$3:$F$27,2,),"")</f>
        <v>Corrective</v>
      </c>
      <c r="I2209" s="16" t="str">
        <f>IFERROR(VLOOKUP(A2209,Sheet1!$E$3:$G$27,3,0),"")</f>
        <v>Perbaikan Auto,pergantian relay,timer, yang berhubungan genset</v>
      </c>
      <c r="J2209" s="12" t="s">
        <v>112</v>
      </c>
      <c r="K2209" s="17">
        <v>46308.0</v>
      </c>
      <c r="L2209" s="17"/>
      <c r="M2209" s="12" t="s">
        <v>137</v>
      </c>
      <c r="N2209" s="23"/>
      <c r="O2209" s="22"/>
      <c r="P2209" s="22"/>
    </row>
    <row r="2210" ht="22.5" customHeight="1">
      <c r="A2210" s="12" t="s">
        <v>72</v>
      </c>
      <c r="B2210" s="20" t="str">
        <f>IFERROR(VLOOKUP(A2210,Sheet1!$E$3:$H$27,4,0),"")</f>
        <v>P1</v>
      </c>
      <c r="C2210" s="14" t="s">
        <v>217</v>
      </c>
      <c r="D2210" s="12" t="s">
        <v>39</v>
      </c>
      <c r="E2210" s="13" t="str">
        <f>IFERROR(VLOOKUP(D2210,Sheet1!$B$1:$C$45,2,0),"")</f>
        <v>TE</v>
      </c>
      <c r="F2210" s="12" t="s">
        <v>179</v>
      </c>
      <c r="G2210" s="12" t="s">
        <v>657</v>
      </c>
      <c r="H2210" s="15" t="str">
        <f>IFERROR(VLOOKUP(A2210,Sheet1!$E$3:$F$27,2,),"")</f>
        <v>Corrective</v>
      </c>
      <c r="I2210" s="16" t="str">
        <f>IFERROR(VLOOKUP(A2210,Sheet1!$E$3:$G$27,3,0),"")</f>
        <v>Perbaikan Auto,pergantian relay,timer, yang berhubungan genset</v>
      </c>
      <c r="J2210" s="12" t="s">
        <v>112</v>
      </c>
      <c r="K2210" s="17">
        <v>46308.0</v>
      </c>
      <c r="L2210" s="17"/>
      <c r="M2210" s="12" t="s">
        <v>137</v>
      </c>
      <c r="N2210" s="23"/>
      <c r="O2210" s="22"/>
      <c r="P2210" s="22"/>
    </row>
    <row r="2211" ht="22.5" customHeight="1">
      <c r="A2211" s="12" t="s">
        <v>72</v>
      </c>
      <c r="B2211" s="20" t="str">
        <f>IFERROR(VLOOKUP(A2211,Sheet1!$E$3:$H$27,4,0),"")</f>
        <v>P1</v>
      </c>
      <c r="C2211" s="14" t="s">
        <v>217</v>
      </c>
      <c r="D2211" s="12" t="s">
        <v>78</v>
      </c>
      <c r="E2211" s="13" t="str">
        <f>IFERROR(VLOOKUP(D2211,Sheet1!$B$1:$C$45,2,0),"")</f>
        <v>TE</v>
      </c>
      <c r="F2211" s="12" t="s">
        <v>179</v>
      </c>
      <c r="G2211" s="12" t="s">
        <v>657</v>
      </c>
      <c r="H2211" s="15" t="str">
        <f>IFERROR(VLOOKUP(A2211,Sheet1!$E$3:$F$27,2,),"")</f>
        <v>Corrective</v>
      </c>
      <c r="I2211" s="16" t="str">
        <f>IFERROR(VLOOKUP(A2211,Sheet1!$E$3:$G$27,3,0),"")</f>
        <v>Perbaikan Auto,pergantian relay,timer, yang berhubungan genset</v>
      </c>
      <c r="J2211" s="12" t="s">
        <v>112</v>
      </c>
      <c r="K2211" s="17">
        <v>46308.0</v>
      </c>
      <c r="L2211" s="17"/>
      <c r="M2211" s="12" t="s">
        <v>137</v>
      </c>
      <c r="N2211" s="23"/>
      <c r="O2211" s="22"/>
      <c r="P2211" s="22"/>
    </row>
    <row r="2212" ht="22.5" customHeight="1">
      <c r="A2212" s="12" t="s">
        <v>65</v>
      </c>
      <c r="B2212" s="20" t="str">
        <f>IFERROR(VLOOKUP(A2212,Sheet1!$E$3:$H$27,4,0),"")</f>
        <v>P3</v>
      </c>
      <c r="C2212" s="15"/>
      <c r="D2212" s="12" t="s">
        <v>80</v>
      </c>
      <c r="E2212" s="13" t="str">
        <f>IFERROR(VLOOKUP(D2212,Sheet1!$B$1:$C$45,2,0),"")</f>
        <v>TE</v>
      </c>
      <c r="F2212" s="12" t="s">
        <v>179</v>
      </c>
      <c r="G2212" s="12" t="s">
        <v>657</v>
      </c>
      <c r="H2212" s="15" t="str">
        <f>IFERROR(VLOOKUP(A2212,Sheet1!$E$3:$F$27,2,),"")</f>
        <v>Standby</v>
      </c>
      <c r="I2212" s="16" t="str">
        <f>IFERROR(VLOOKUP(A2212,Sheet1!$E$3:$G$27,3,0),"")</f>
        <v>Standby On Call</v>
      </c>
      <c r="J2212" s="12" t="s">
        <v>112</v>
      </c>
      <c r="K2212" s="17">
        <v>46308.0</v>
      </c>
      <c r="L2212" s="17"/>
      <c r="M2212" s="12" t="s">
        <v>137</v>
      </c>
      <c r="N2212" s="23"/>
      <c r="O2212" s="22"/>
      <c r="P2212" s="22"/>
    </row>
    <row r="2213" ht="22.5" customHeight="1">
      <c r="A2213" s="12" t="s">
        <v>65</v>
      </c>
      <c r="B2213" s="20" t="str">
        <f>IFERROR(VLOOKUP(A2213,Sheet1!$E$3:$H$27,4,0),"")</f>
        <v>P3</v>
      </c>
      <c r="C2213" s="15"/>
      <c r="D2213" s="12" t="s">
        <v>77</v>
      </c>
      <c r="E2213" s="13" t="str">
        <f>IFERROR(VLOOKUP(D2213,Sheet1!$B$1:$C$45,2,0),"")</f>
        <v>TE</v>
      </c>
      <c r="F2213" s="12" t="s">
        <v>179</v>
      </c>
      <c r="G2213" s="12" t="s">
        <v>657</v>
      </c>
      <c r="H2213" s="15" t="str">
        <f>IFERROR(VLOOKUP(A2213,Sheet1!$E$3:$F$27,2,),"")</f>
        <v>Standby</v>
      </c>
      <c r="I2213" s="16" t="str">
        <f>IFERROR(VLOOKUP(A2213,Sheet1!$E$3:$G$27,3,0),"")</f>
        <v>Standby On Call</v>
      </c>
      <c r="J2213" s="12" t="s">
        <v>112</v>
      </c>
      <c r="K2213" s="17">
        <v>46308.0</v>
      </c>
      <c r="L2213" s="17"/>
      <c r="M2213" s="12" t="s">
        <v>137</v>
      </c>
      <c r="N2213" s="23"/>
      <c r="O2213" s="22"/>
      <c r="P2213" s="22"/>
    </row>
    <row r="2214" ht="22.5" customHeight="1">
      <c r="A2214" s="12" t="s">
        <v>14</v>
      </c>
      <c r="B2214" s="20" t="str">
        <f>IFERROR(VLOOKUP(A2214,Sheet1!$E$3:$H$27,4,0),"")</f>
        <v>P1</v>
      </c>
      <c r="C2214" s="14" t="s">
        <v>312</v>
      </c>
      <c r="D2214" s="12" t="s">
        <v>51</v>
      </c>
      <c r="E2214" s="13" t="str">
        <f>IFERROR(VLOOKUP(D2214,Sheet1!$B$1:$C$45,2,0),"")</f>
        <v>TE</v>
      </c>
      <c r="F2214" s="12" t="s">
        <v>179</v>
      </c>
      <c r="G2214" s="12" t="s">
        <v>657</v>
      </c>
      <c r="H2214" s="15" t="str">
        <f>IFERROR(VLOOKUP(A2214,Sheet1!$E$3:$F$27,2,),"")</f>
        <v>Corrective</v>
      </c>
      <c r="I2214" s="16" t="str">
        <f>IFERROR(VLOOKUP(A2214,Sheet1!$E$3:$G$27,3,0),"")</f>
        <v>Pemadaman,MCB Trip,Transmisi problem</v>
      </c>
      <c r="J2214" s="12" t="s">
        <v>112</v>
      </c>
      <c r="K2214" s="17">
        <v>46308.0</v>
      </c>
      <c r="L2214" s="17"/>
      <c r="M2214" s="12" t="s">
        <v>137</v>
      </c>
      <c r="N2214" s="23"/>
      <c r="O2214" s="22"/>
      <c r="P2214" s="22"/>
    </row>
    <row r="2215" ht="22.5" customHeight="1">
      <c r="A2215" s="12" t="s">
        <v>55</v>
      </c>
      <c r="B2215" s="20" t="str">
        <f>IFERROR(VLOOKUP(A2215,Sheet1!$E$3:$H$27,4,0),"")</f>
        <v>P2</v>
      </c>
      <c r="C2215" s="14" t="s">
        <v>371</v>
      </c>
      <c r="D2215" s="12" t="s">
        <v>698</v>
      </c>
      <c r="E2215" s="12" t="s">
        <v>13</v>
      </c>
      <c r="F2215" s="12" t="s">
        <v>179</v>
      </c>
      <c r="G2215" s="12" t="s">
        <v>657</v>
      </c>
      <c r="H2215" s="15" t="str">
        <f>IFERROR(VLOOKUP(A2215,Sheet1!$E$3:$F$27,2,),"")</f>
        <v>Corrective</v>
      </c>
      <c r="I2215" s="16" t="str">
        <f>IFERROR(VLOOKUP(A2215,Sheet1!$E$3:$G$27,3,0),"")</f>
        <v>Penambahan Modul Recti</v>
      </c>
      <c r="J2215" s="12" t="s">
        <v>112</v>
      </c>
      <c r="K2215" s="17">
        <v>46308.0</v>
      </c>
      <c r="L2215" s="17"/>
      <c r="M2215" s="12" t="s">
        <v>137</v>
      </c>
      <c r="N2215" s="23"/>
      <c r="O2215" s="22"/>
      <c r="P2215" s="22"/>
    </row>
    <row r="2216" ht="22.5" customHeight="1">
      <c r="A2216" s="12" t="s">
        <v>14</v>
      </c>
      <c r="B2216" s="20" t="str">
        <f>IFERROR(VLOOKUP(A2216,Sheet1!$E$3:$H$27,4,0),"")</f>
        <v>P1</v>
      </c>
      <c r="C2216" s="14" t="s">
        <v>636</v>
      </c>
      <c r="D2216" s="12" t="s">
        <v>91</v>
      </c>
      <c r="E2216" s="13" t="str">
        <f>IFERROR(VLOOKUP(D2216,Sheet1!$B$1:$C$45,2,0),"")</f>
        <v>TE</v>
      </c>
      <c r="F2216" s="12" t="s">
        <v>179</v>
      </c>
      <c r="G2216" s="12" t="s">
        <v>657</v>
      </c>
      <c r="H2216" s="15" t="str">
        <f>IFERROR(VLOOKUP(A2216,Sheet1!$E$3:$F$27,2,),"")</f>
        <v>Corrective</v>
      </c>
      <c r="I2216" s="16" t="str">
        <f>IFERROR(VLOOKUP(A2216,Sheet1!$E$3:$G$27,3,0),"")</f>
        <v>Pemadaman,MCB Trip,Transmisi problem</v>
      </c>
      <c r="J2216" s="12" t="s">
        <v>112</v>
      </c>
      <c r="K2216" s="17">
        <v>46308.0</v>
      </c>
      <c r="L2216" s="17"/>
      <c r="M2216" s="12" t="s">
        <v>137</v>
      </c>
      <c r="N2216" s="23"/>
      <c r="O2216" s="22"/>
      <c r="P2216" s="22"/>
    </row>
    <row r="2217" ht="22.5" customHeight="1">
      <c r="A2217" s="12" t="s">
        <v>68</v>
      </c>
      <c r="B2217" s="20" t="str">
        <f>IFERROR(VLOOKUP(A2217,Sheet1!$E$3:$H$27,4,0),"")</f>
        <v>P3</v>
      </c>
      <c r="C2217" s="15"/>
      <c r="D2217" s="12" t="s">
        <v>58</v>
      </c>
      <c r="E2217" s="13" t="str">
        <f>IFERROR(VLOOKUP(D2217,Sheet1!$B$1:$C$45,2,0),"")</f>
        <v>TE</v>
      </c>
      <c r="F2217" s="12" t="s">
        <v>179</v>
      </c>
      <c r="G2217" s="12" t="s">
        <v>657</v>
      </c>
      <c r="H2217" s="15" t="str">
        <f>IFERROR(VLOOKUP(A2217,Sheet1!$E$3:$F$27,2,),"")</f>
        <v>On Leave</v>
      </c>
      <c r="I2217" s="16" t="str">
        <f>IFERROR(VLOOKUP(A2217,Sheet1!$E$3:$G$27,3,0),"")</f>
        <v>On Leave</v>
      </c>
      <c r="J2217" s="12" t="s">
        <v>112</v>
      </c>
      <c r="K2217" s="17">
        <v>46308.0</v>
      </c>
      <c r="L2217" s="17"/>
      <c r="M2217" s="12" t="s">
        <v>137</v>
      </c>
      <c r="N2217" s="23"/>
      <c r="O2217" s="22"/>
      <c r="P2217" s="22"/>
    </row>
    <row r="2218" ht="22.5" customHeight="1">
      <c r="A2218" s="12" t="s">
        <v>14</v>
      </c>
      <c r="B2218" s="20" t="str">
        <f>IFERROR(VLOOKUP(A2218,Sheet1!$E$3:$H$27,4,0),"")</f>
        <v>P1</v>
      </c>
      <c r="C2218" s="14" t="s">
        <v>360</v>
      </c>
      <c r="D2218" s="12" t="s">
        <v>71</v>
      </c>
      <c r="E2218" s="13" t="str">
        <f>IFERROR(VLOOKUP(D2218,Sheet1!$B$1:$C$45,2,0),"")</f>
        <v>TE</v>
      </c>
      <c r="F2218" s="12" t="s">
        <v>179</v>
      </c>
      <c r="G2218" s="12" t="s">
        <v>657</v>
      </c>
      <c r="H2218" s="15" t="str">
        <f>IFERROR(VLOOKUP(A2218,Sheet1!$E$3:$F$27,2,),"")</f>
        <v>Corrective</v>
      </c>
      <c r="I2218" s="16" t="str">
        <f>IFERROR(VLOOKUP(A2218,Sheet1!$E$3:$G$27,3,0),"")</f>
        <v>Pemadaman,MCB Trip,Transmisi problem</v>
      </c>
      <c r="J2218" s="12" t="s">
        <v>112</v>
      </c>
      <c r="K2218" s="17">
        <v>46308.0</v>
      </c>
      <c r="L2218" s="17"/>
      <c r="M2218" s="12" t="s">
        <v>137</v>
      </c>
      <c r="N2218" s="23"/>
      <c r="O2218" s="22"/>
      <c r="P2218" s="22"/>
    </row>
    <row r="2219" ht="22.5" customHeight="1">
      <c r="A2219" s="12" t="s">
        <v>70</v>
      </c>
      <c r="B2219" s="20" t="str">
        <f>IFERROR(VLOOKUP(A2219,Sheet1!$E$3:$H$27,4,0),"")</f>
        <v>P3</v>
      </c>
      <c r="C2219" s="15"/>
      <c r="D2219" s="12" t="s">
        <v>69</v>
      </c>
      <c r="E2219" s="13" t="str">
        <f>IFERROR(VLOOKUP(D2219,Sheet1!$B$1:$C$45,2,0),"")</f>
        <v>TE</v>
      </c>
      <c r="F2219" s="12" t="s">
        <v>179</v>
      </c>
      <c r="G2219" s="12" t="s">
        <v>657</v>
      </c>
      <c r="H2219" s="15" t="str">
        <f>IFERROR(VLOOKUP(A2219,Sheet1!$E$3:$F$27,2,),"")</f>
        <v>Sick</v>
      </c>
      <c r="I2219" s="16" t="str">
        <f>IFERROR(VLOOKUP(A2219,Sheet1!$E$3:$G$27,3,0),"")</f>
        <v>Sick</v>
      </c>
      <c r="J2219" s="12" t="s">
        <v>112</v>
      </c>
      <c r="K2219" s="17">
        <v>46308.0</v>
      </c>
      <c r="L2219" s="17"/>
      <c r="M2219" s="12" t="s">
        <v>137</v>
      </c>
      <c r="N2219" s="23"/>
      <c r="O2219" s="22"/>
      <c r="P2219" s="22"/>
    </row>
    <row r="2220" ht="22.5" customHeight="1">
      <c r="A2220" s="12" t="s">
        <v>46</v>
      </c>
      <c r="B2220" s="20" t="str">
        <f>IFERROR(VLOOKUP(A2220,Sheet1!$E$3:$H$27,4,0),"")</f>
        <v>P2</v>
      </c>
      <c r="C2220" s="14" t="s">
        <v>304</v>
      </c>
      <c r="D2220" s="12" t="s">
        <v>54</v>
      </c>
      <c r="E2220" s="13" t="str">
        <f>IFERROR(VLOOKUP(D2220,Sheet1!$B$1:$C$45,2,0),"")</f>
        <v>MBP</v>
      </c>
      <c r="F2220" s="12" t="s">
        <v>179</v>
      </c>
      <c r="G2220" s="12" t="s">
        <v>657</v>
      </c>
      <c r="H2220" s="15" t="str">
        <f>IFERROR(VLOOKUP(A2220,Sheet1!$E$3:$F$27,2,),"")</f>
        <v>Preventive</v>
      </c>
      <c r="I2220" s="16" t="str">
        <f>IFERROR(VLOOKUP(A2220,Sheet1!$E$3:$G$27,3,0),"")</f>
        <v>Instalasi Battery</v>
      </c>
      <c r="J2220" s="12" t="s">
        <v>112</v>
      </c>
      <c r="K2220" s="17">
        <v>46308.0</v>
      </c>
      <c r="L2220" s="17"/>
      <c r="M2220" s="12" t="s">
        <v>137</v>
      </c>
      <c r="N2220" s="23"/>
      <c r="O2220" s="22"/>
      <c r="P2220" s="22"/>
    </row>
    <row r="2221" ht="22.5" customHeight="1">
      <c r="A2221" s="12" t="s">
        <v>52</v>
      </c>
      <c r="B2221" s="20" t="str">
        <f>IFERROR(VLOOKUP(A2221,Sheet1!$E$3:$H$27,4,0),"")</f>
        <v>P1</v>
      </c>
      <c r="C2221" s="14" t="s">
        <v>713</v>
      </c>
      <c r="D2221" s="12" t="s">
        <v>89</v>
      </c>
      <c r="E2221" s="13" t="str">
        <f>IFERROR(VLOOKUP(D2221,Sheet1!$B$1:$C$45,2,0),"")</f>
        <v>TE</v>
      </c>
      <c r="F2221" s="12" t="s">
        <v>179</v>
      </c>
      <c r="G2221" s="12" t="s">
        <v>657</v>
      </c>
      <c r="H2221" s="15" t="str">
        <f>IFERROR(VLOOKUP(A2221,Sheet1!$E$3:$F$27,2,),"")</f>
        <v>Preventive</v>
      </c>
      <c r="I2221" s="16" t="str">
        <f>IFERROR(VLOOKUP(A2221,Sheet1!$E$3:$G$27,3,0),"")</f>
        <v>MCB trip/Power upnormal</v>
      </c>
      <c r="J2221" s="12" t="s">
        <v>112</v>
      </c>
      <c r="K2221" s="17">
        <v>46308.0</v>
      </c>
      <c r="L2221" s="17"/>
      <c r="M2221" s="12" t="s">
        <v>137</v>
      </c>
      <c r="N2221" s="23"/>
      <c r="O2221" s="22"/>
      <c r="P2221" s="22"/>
    </row>
    <row r="2222" ht="22.5" customHeight="1">
      <c r="A2222" s="12" t="s">
        <v>22</v>
      </c>
      <c r="B2222" s="20" t="str">
        <f>IFERROR(VLOOKUP(A2222,Sheet1!$E$3:$H$27,4,0),"")</f>
        <v>P2</v>
      </c>
      <c r="C2222" s="15"/>
      <c r="D2222" s="12" t="s">
        <v>82</v>
      </c>
      <c r="E2222" s="13" t="str">
        <f>IFERROR(VLOOKUP(D2222,Sheet1!$B$1:$C$45,2,0),"")</f>
        <v>PM</v>
      </c>
      <c r="F2222" s="12" t="s">
        <v>179</v>
      </c>
      <c r="G2222" s="12" t="s">
        <v>657</v>
      </c>
      <c r="H2222" s="15" t="str">
        <f>IFERROR(VLOOKUP(A2222,Sheet1!$E$3:$F$27,2,),"")</f>
        <v>Preventive</v>
      </c>
      <c r="I2222" s="16" t="str">
        <f>IFERROR(VLOOKUP(A2222,Sheet1!$E$3:$G$27,3,0),"")</f>
        <v>Preventive Maintenance</v>
      </c>
      <c r="J2222" s="12" t="s">
        <v>112</v>
      </c>
      <c r="K2222" s="17">
        <v>46308.0</v>
      </c>
      <c r="L2222" s="17"/>
      <c r="M2222" s="12" t="s">
        <v>137</v>
      </c>
      <c r="N2222" s="23"/>
      <c r="O2222" s="22"/>
      <c r="P2222" s="22"/>
    </row>
    <row r="2223" ht="22.5" customHeight="1">
      <c r="A2223" s="12" t="s">
        <v>22</v>
      </c>
      <c r="B2223" s="20" t="str">
        <f>IFERROR(VLOOKUP(A2223,Sheet1!$E$3:$H$27,4,0),"")</f>
        <v>P2</v>
      </c>
      <c r="C2223" s="15"/>
      <c r="D2223" s="12" t="s">
        <v>83</v>
      </c>
      <c r="E2223" s="13" t="str">
        <f>IFERROR(VLOOKUP(D2223,Sheet1!$B$1:$C$45,2,0),"")</f>
        <v>PM</v>
      </c>
      <c r="F2223" s="12" t="s">
        <v>179</v>
      </c>
      <c r="G2223" s="12" t="s">
        <v>657</v>
      </c>
      <c r="H2223" s="15" t="str">
        <f>IFERROR(VLOOKUP(A2223,Sheet1!$E$3:$F$27,2,),"")</f>
        <v>Preventive</v>
      </c>
      <c r="I2223" s="16" t="str">
        <f>IFERROR(VLOOKUP(A2223,Sheet1!$E$3:$G$27,3,0),"")</f>
        <v>Preventive Maintenance</v>
      </c>
      <c r="J2223" s="12" t="s">
        <v>112</v>
      </c>
      <c r="K2223" s="17">
        <v>46308.0</v>
      </c>
      <c r="L2223" s="17"/>
      <c r="M2223" s="12" t="s">
        <v>137</v>
      </c>
      <c r="N2223" s="23"/>
      <c r="O2223" s="22"/>
      <c r="P2223" s="22"/>
    </row>
    <row r="2224" ht="22.5" customHeight="1">
      <c r="A2224" s="12" t="s">
        <v>22</v>
      </c>
      <c r="B2224" s="20" t="str">
        <f>IFERROR(VLOOKUP(A2224,Sheet1!$E$3:$H$27,4,0),"")</f>
        <v>P2</v>
      </c>
      <c r="C2224" s="15"/>
      <c r="D2224" s="12" t="s">
        <v>88</v>
      </c>
      <c r="E2224" s="13" t="str">
        <f>IFERROR(VLOOKUP(D2224,Sheet1!$B$1:$C$45,2,0),"")</f>
        <v>TE</v>
      </c>
      <c r="F2224" s="12" t="s">
        <v>179</v>
      </c>
      <c r="G2224" s="12" t="s">
        <v>657</v>
      </c>
      <c r="H2224" s="15" t="str">
        <f>IFERROR(VLOOKUP(A2224,Sheet1!$E$3:$F$27,2,),"")</f>
        <v>Preventive</v>
      </c>
      <c r="I2224" s="16" t="str">
        <f>IFERROR(VLOOKUP(A2224,Sheet1!$E$3:$G$27,3,0),"")</f>
        <v>Preventive Maintenance</v>
      </c>
      <c r="J2224" s="12" t="s">
        <v>112</v>
      </c>
      <c r="K2224" s="17">
        <v>46308.0</v>
      </c>
      <c r="L2224" s="17"/>
      <c r="M2224" s="12" t="s">
        <v>137</v>
      </c>
      <c r="N2224" s="23"/>
      <c r="O2224" s="22"/>
      <c r="P2224" s="22"/>
    </row>
    <row r="2225" ht="22.5" customHeight="1">
      <c r="A2225" s="12" t="s">
        <v>65</v>
      </c>
      <c r="B2225" s="20" t="str">
        <f>IFERROR(VLOOKUP(A2225,Sheet1!$E$3:$H$27,4,0),"")</f>
        <v>P3</v>
      </c>
      <c r="C2225" s="15"/>
      <c r="D2225" s="12" t="s">
        <v>710</v>
      </c>
      <c r="E2225" s="12" t="s">
        <v>1</v>
      </c>
      <c r="F2225" s="12" t="s">
        <v>179</v>
      </c>
      <c r="G2225" s="12" t="s">
        <v>657</v>
      </c>
      <c r="H2225" s="15" t="str">
        <f>IFERROR(VLOOKUP(A2225,Sheet1!$E$3:$F$27,2,),"")</f>
        <v>Standby</v>
      </c>
      <c r="I2225" s="16" t="str">
        <f>IFERROR(VLOOKUP(A2225,Sheet1!$E$3:$G$27,3,0),"")</f>
        <v>Standby On Call</v>
      </c>
      <c r="J2225" s="12" t="s">
        <v>112</v>
      </c>
      <c r="K2225" s="17">
        <v>46308.0</v>
      </c>
      <c r="L2225" s="17"/>
      <c r="M2225" s="12" t="s">
        <v>137</v>
      </c>
      <c r="N2225" s="23"/>
      <c r="O2225" s="22"/>
      <c r="P2225" s="22"/>
    </row>
    <row r="2226" ht="22.5" customHeight="1">
      <c r="A2226" s="12" t="s">
        <v>65</v>
      </c>
      <c r="B2226" s="20" t="str">
        <f>IFERROR(VLOOKUP(A2226,Sheet1!$E$3:$H$27,4,0),"")</f>
        <v>P3</v>
      </c>
      <c r="C2226" s="15"/>
      <c r="D2226" s="12" t="s">
        <v>714</v>
      </c>
      <c r="E2226" s="12" t="s">
        <v>1</v>
      </c>
      <c r="F2226" s="12" t="s">
        <v>179</v>
      </c>
      <c r="G2226" s="12" t="s">
        <v>657</v>
      </c>
      <c r="H2226" s="15" t="str">
        <f>IFERROR(VLOOKUP(A2226,Sheet1!$E$3:$F$27,2,),"")</f>
        <v>Standby</v>
      </c>
      <c r="I2226" s="16" t="str">
        <f>IFERROR(VLOOKUP(A2226,Sheet1!$E$3:$G$27,3,0),"")</f>
        <v>Standby On Call</v>
      </c>
      <c r="J2226" s="12" t="s">
        <v>112</v>
      </c>
      <c r="K2226" s="17">
        <v>46308.0</v>
      </c>
      <c r="L2226" s="17"/>
      <c r="M2226" s="12" t="s">
        <v>137</v>
      </c>
      <c r="N2226" s="23"/>
      <c r="O2226" s="22"/>
      <c r="P2226" s="22"/>
    </row>
    <row r="2227" ht="22.5" customHeight="1">
      <c r="A2227" s="12" t="s">
        <v>65</v>
      </c>
      <c r="B2227" s="20" t="str">
        <f>IFERROR(VLOOKUP(A2227,Sheet1!$E$3:$H$27,4,0),"")</f>
        <v>P3</v>
      </c>
      <c r="C2227" s="15"/>
      <c r="D2227" s="12" t="s">
        <v>75</v>
      </c>
      <c r="E2227" s="13" t="str">
        <f>IFERROR(VLOOKUP(D2227,Sheet1!$B$1:$C$45,2,0),"")</f>
        <v>CME</v>
      </c>
      <c r="F2227" s="12" t="s">
        <v>179</v>
      </c>
      <c r="G2227" s="12" t="s">
        <v>657</v>
      </c>
      <c r="H2227" s="15" t="str">
        <f>IFERROR(VLOOKUP(A2227,Sheet1!$E$3:$F$27,2,),"")</f>
        <v>Standby</v>
      </c>
      <c r="I2227" s="16" t="str">
        <f>IFERROR(VLOOKUP(A2227,Sheet1!$E$3:$G$27,3,0),"")</f>
        <v>Standby On Call</v>
      </c>
      <c r="J2227" s="12" t="s">
        <v>112</v>
      </c>
      <c r="K2227" s="17">
        <v>46308.0</v>
      </c>
      <c r="L2227" s="17"/>
      <c r="M2227" s="12" t="s">
        <v>137</v>
      </c>
      <c r="N2227" s="23"/>
      <c r="O2227" s="22"/>
      <c r="P2227" s="22"/>
    </row>
    <row r="2228" ht="22.5" customHeight="1">
      <c r="A2228" s="12" t="s">
        <v>5</v>
      </c>
      <c r="B2228" s="20" t="str">
        <f>IFERROR(VLOOKUP(A2228,Sheet1!$E$3:$H$27,4,0),"")</f>
        <v>P1</v>
      </c>
      <c r="C2228" s="14" t="s">
        <v>715</v>
      </c>
      <c r="D2228" s="12" t="s">
        <v>712</v>
      </c>
      <c r="E2228" s="13" t="str">
        <f>IFERROR(VLOOKUP(D2228,Sheet1!$B$1:$C$45,2,0),"")</f>
        <v/>
      </c>
      <c r="F2228" s="12" t="s">
        <v>179</v>
      </c>
      <c r="G2228" s="12" t="s">
        <v>657</v>
      </c>
      <c r="H2228" s="15" t="str">
        <f>IFERROR(VLOOKUP(A2228,Sheet1!$E$3:$F$27,2,),"")</f>
        <v>Corrective</v>
      </c>
      <c r="I2228" s="16" t="str">
        <f>IFERROR(VLOOKUP(A2228,Sheet1!$E$3:$G$27,3,0),"")</f>
        <v>Replace Optik,RRU/Soket Power/Replace GPS</v>
      </c>
      <c r="J2228" s="12" t="s">
        <v>112</v>
      </c>
      <c r="K2228" s="17">
        <v>46309.0</v>
      </c>
      <c r="L2228" s="17"/>
      <c r="M2228" s="12" t="s">
        <v>137</v>
      </c>
      <c r="N2228" s="18" t="s">
        <v>5</v>
      </c>
      <c r="O2228" s="22"/>
      <c r="P2228" s="22"/>
    </row>
    <row r="2229" ht="22.5" customHeight="1">
      <c r="A2229" s="12" t="s">
        <v>33</v>
      </c>
      <c r="B2229" s="20" t="str">
        <f>IFERROR(VLOOKUP(A2229,Sheet1!$E$3:$H$27,4,0),"")</f>
        <v>P2</v>
      </c>
      <c r="C2229" s="14" t="s">
        <v>716</v>
      </c>
      <c r="D2229" s="12" t="s">
        <v>37</v>
      </c>
      <c r="E2229" s="13" t="str">
        <f>IFERROR(VLOOKUP(D2229,Sheet1!$B$1:$C$45,2,0),"")</f>
        <v>TE</v>
      </c>
      <c r="F2229" s="12" t="s">
        <v>179</v>
      </c>
      <c r="G2229" s="12" t="s">
        <v>657</v>
      </c>
      <c r="H2229" s="15" t="str">
        <f>IFERROR(VLOOKUP(A2229,Sheet1!$E$3:$F$27,2,),"")</f>
        <v>Preventive</v>
      </c>
      <c r="I2229" s="16" t="str">
        <f>IFERROR(VLOOKUP(A2229,Sheet1!$E$3:$G$27,3,0),"")</f>
        <v>Pengukuran dan pengambilan data log serta input Gdoc BBT</v>
      </c>
      <c r="J2229" s="12" t="s">
        <v>112</v>
      </c>
      <c r="K2229" s="17">
        <v>46309.0</v>
      </c>
      <c r="L2229" s="17"/>
      <c r="M2229" s="12" t="s">
        <v>137</v>
      </c>
      <c r="N2229" s="23"/>
      <c r="O2229" s="22"/>
      <c r="P2229" s="22"/>
    </row>
    <row r="2230" ht="22.5" customHeight="1">
      <c r="A2230" s="12" t="s">
        <v>5</v>
      </c>
      <c r="B2230" s="20" t="str">
        <f>IFERROR(VLOOKUP(A2230,Sheet1!$E$3:$H$27,4,0),"")</f>
        <v>P1</v>
      </c>
      <c r="C2230" s="14" t="s">
        <v>564</v>
      </c>
      <c r="D2230" s="12" t="s">
        <v>76</v>
      </c>
      <c r="E2230" s="13" t="str">
        <f>IFERROR(VLOOKUP(D2230,Sheet1!$B$1:$C$45,2,0),"")</f>
        <v>TE</v>
      </c>
      <c r="F2230" s="12" t="s">
        <v>179</v>
      </c>
      <c r="G2230" s="12" t="s">
        <v>657</v>
      </c>
      <c r="H2230" s="15" t="str">
        <f>IFERROR(VLOOKUP(A2230,Sheet1!$E$3:$F$27,2,),"")</f>
        <v>Corrective</v>
      </c>
      <c r="I2230" s="16" t="str">
        <f>IFERROR(VLOOKUP(A2230,Sheet1!$E$3:$G$27,3,0),"")</f>
        <v>Replace Optik,RRU/Soket Power/Replace GPS</v>
      </c>
      <c r="J2230" s="12" t="s">
        <v>112</v>
      </c>
      <c r="K2230" s="17">
        <v>46309.0</v>
      </c>
      <c r="L2230" s="17"/>
      <c r="M2230" s="12" t="s">
        <v>137</v>
      </c>
      <c r="N2230" s="18" t="s">
        <v>717</v>
      </c>
      <c r="O2230" s="22"/>
      <c r="P2230" s="22"/>
    </row>
    <row r="2231" ht="22.5" customHeight="1">
      <c r="A2231" s="12" t="s">
        <v>33</v>
      </c>
      <c r="B2231" s="20" t="str">
        <f>IFERROR(VLOOKUP(A2231,Sheet1!$E$3:$H$27,4,0),"")</f>
        <v>P2</v>
      </c>
      <c r="C2231" s="14" t="s">
        <v>718</v>
      </c>
      <c r="D2231" s="12" t="s">
        <v>42</v>
      </c>
      <c r="E2231" s="13" t="str">
        <f>IFERROR(VLOOKUP(D2231,Sheet1!$B$1:$C$45,2,0),"")</f>
        <v>TE</v>
      </c>
      <c r="F2231" s="12" t="s">
        <v>179</v>
      </c>
      <c r="G2231" s="12" t="s">
        <v>657</v>
      </c>
      <c r="H2231" s="15" t="str">
        <f>IFERROR(VLOOKUP(A2231,Sheet1!$E$3:$F$27,2,),"")</f>
        <v>Preventive</v>
      </c>
      <c r="I2231" s="16" t="str">
        <f>IFERROR(VLOOKUP(A2231,Sheet1!$E$3:$G$27,3,0),"")</f>
        <v>Pengukuran dan pengambilan data log serta input Gdoc BBT</v>
      </c>
      <c r="J2231" s="12" t="s">
        <v>112</v>
      </c>
      <c r="K2231" s="17">
        <v>46309.0</v>
      </c>
      <c r="L2231" s="17"/>
      <c r="M2231" s="12" t="s">
        <v>137</v>
      </c>
      <c r="N2231" s="23"/>
      <c r="O2231" s="22"/>
      <c r="P2231" s="22"/>
    </row>
    <row r="2232" ht="22.5" customHeight="1">
      <c r="A2232" s="12" t="s">
        <v>52</v>
      </c>
      <c r="B2232" s="20" t="str">
        <f>IFERROR(VLOOKUP(A2232,Sheet1!$E$3:$H$27,4,0),"")</f>
        <v>P1</v>
      </c>
      <c r="C2232" s="14" t="s">
        <v>719</v>
      </c>
      <c r="D2232" s="12" t="s">
        <v>80</v>
      </c>
      <c r="E2232" s="13" t="str">
        <f>IFERROR(VLOOKUP(D2232,Sheet1!$B$1:$C$45,2,0),"")</f>
        <v>TE</v>
      </c>
      <c r="F2232" s="12" t="s">
        <v>179</v>
      </c>
      <c r="G2232" s="12" t="s">
        <v>657</v>
      </c>
      <c r="H2232" s="15" t="str">
        <f>IFERROR(VLOOKUP(A2232,Sheet1!$E$3:$F$27,2,),"")</f>
        <v>Preventive</v>
      </c>
      <c r="I2232" s="16" t="str">
        <f>IFERROR(VLOOKUP(A2232,Sheet1!$E$3:$G$27,3,0),"")</f>
        <v>MCB trip/Power upnormal</v>
      </c>
      <c r="J2232" s="12" t="s">
        <v>112</v>
      </c>
      <c r="K2232" s="17">
        <v>46309.0</v>
      </c>
      <c r="L2232" s="17"/>
      <c r="M2232" s="12" t="s">
        <v>137</v>
      </c>
      <c r="N2232" s="18" t="s">
        <v>720</v>
      </c>
      <c r="O2232" s="22"/>
      <c r="P2232" s="22"/>
    </row>
    <row r="2233" ht="22.5" customHeight="1">
      <c r="A2233" s="12" t="s">
        <v>5</v>
      </c>
      <c r="B2233" s="20" t="str">
        <f>IFERROR(VLOOKUP(A2233,Sheet1!$E$3:$H$27,4,0),"")</f>
        <v>P1</v>
      </c>
      <c r="C2233" s="14" t="s">
        <v>564</v>
      </c>
      <c r="D2233" s="12" t="s">
        <v>77</v>
      </c>
      <c r="E2233" s="13" t="str">
        <f>IFERROR(VLOOKUP(D2233,Sheet1!$B$1:$C$45,2,0),"")</f>
        <v>TE</v>
      </c>
      <c r="F2233" s="12" t="s">
        <v>179</v>
      </c>
      <c r="G2233" s="12" t="s">
        <v>657</v>
      </c>
      <c r="H2233" s="15" t="str">
        <f>IFERROR(VLOOKUP(A2233,Sheet1!$E$3:$F$27,2,),"")</f>
        <v>Corrective</v>
      </c>
      <c r="I2233" s="16" t="str">
        <f>IFERROR(VLOOKUP(A2233,Sheet1!$E$3:$G$27,3,0),"")</f>
        <v>Replace Optik,RRU/Soket Power/Replace GPS</v>
      </c>
      <c r="J2233" s="12" t="s">
        <v>112</v>
      </c>
      <c r="K2233" s="17">
        <v>46309.0</v>
      </c>
      <c r="L2233" s="17"/>
      <c r="M2233" s="12" t="s">
        <v>137</v>
      </c>
      <c r="N2233" s="18" t="s">
        <v>717</v>
      </c>
      <c r="O2233" s="22"/>
      <c r="P2233" s="22"/>
    </row>
    <row r="2234" ht="22.5" customHeight="1">
      <c r="A2234" s="12" t="s">
        <v>22</v>
      </c>
      <c r="B2234" s="20" t="str">
        <f>IFERROR(VLOOKUP(A2234,Sheet1!$E$3:$H$27,4,0),"")</f>
        <v>P2</v>
      </c>
      <c r="C2234" s="14" t="s">
        <v>426</v>
      </c>
      <c r="D2234" s="12" t="s">
        <v>39</v>
      </c>
      <c r="E2234" s="13" t="str">
        <f>IFERROR(VLOOKUP(D2234,Sheet1!$B$1:$C$45,2,0),"")</f>
        <v>TE</v>
      </c>
      <c r="F2234" s="12" t="s">
        <v>179</v>
      </c>
      <c r="G2234" s="12" t="s">
        <v>657</v>
      </c>
      <c r="H2234" s="15" t="str">
        <f>IFERROR(VLOOKUP(A2234,Sheet1!$E$3:$F$27,2,),"")</f>
        <v>Preventive</v>
      </c>
      <c r="I2234" s="16" t="str">
        <f>IFERROR(VLOOKUP(A2234,Sheet1!$E$3:$G$27,3,0),"")</f>
        <v>Preventive Maintenance</v>
      </c>
      <c r="J2234" s="12" t="s">
        <v>112</v>
      </c>
      <c r="K2234" s="17">
        <v>46309.0</v>
      </c>
      <c r="L2234" s="17"/>
      <c r="M2234" s="12" t="s">
        <v>137</v>
      </c>
      <c r="N2234" s="23"/>
      <c r="O2234" s="22"/>
      <c r="P2234" s="22"/>
    </row>
    <row r="2235" ht="22.5" customHeight="1">
      <c r="A2235" s="12" t="s">
        <v>22</v>
      </c>
      <c r="B2235" s="20" t="str">
        <f>IFERROR(VLOOKUP(A2235,Sheet1!$E$3:$H$27,4,0),"")</f>
        <v>P2</v>
      </c>
      <c r="C2235" s="14" t="s">
        <v>426</v>
      </c>
      <c r="D2235" s="12" t="s">
        <v>78</v>
      </c>
      <c r="E2235" s="13" t="str">
        <f>IFERROR(VLOOKUP(D2235,Sheet1!$B$1:$C$45,2,0),"")</f>
        <v>TE</v>
      </c>
      <c r="F2235" s="12" t="s">
        <v>179</v>
      </c>
      <c r="G2235" s="12" t="s">
        <v>657</v>
      </c>
      <c r="H2235" s="15" t="str">
        <f>IFERROR(VLOOKUP(A2235,Sheet1!$E$3:$F$27,2,),"")</f>
        <v>Preventive</v>
      </c>
      <c r="I2235" s="16" t="str">
        <f>IFERROR(VLOOKUP(A2235,Sheet1!$E$3:$G$27,3,0),"")</f>
        <v>Preventive Maintenance</v>
      </c>
      <c r="J2235" s="12" t="s">
        <v>112</v>
      </c>
      <c r="K2235" s="17">
        <v>46309.0</v>
      </c>
      <c r="L2235" s="17"/>
      <c r="M2235" s="12" t="s">
        <v>137</v>
      </c>
      <c r="N2235" s="23"/>
      <c r="O2235" s="22"/>
      <c r="P2235" s="22"/>
    </row>
    <row r="2236" ht="22.5" customHeight="1">
      <c r="A2236" s="12" t="s">
        <v>10</v>
      </c>
      <c r="B2236" s="20" t="str">
        <f>IFERROR(VLOOKUP(A2236,Sheet1!$E$3:$H$27,4,0),"")</f>
        <v>P1</v>
      </c>
      <c r="C2236" s="14" t="s">
        <v>601</v>
      </c>
      <c r="D2236" s="12" t="s">
        <v>51</v>
      </c>
      <c r="E2236" s="13" t="str">
        <f>IFERROR(VLOOKUP(D2236,Sheet1!$B$1:$C$45,2,0),"")</f>
        <v>TE</v>
      </c>
      <c r="F2236" s="12" t="s">
        <v>179</v>
      </c>
      <c r="G2236" s="12" t="s">
        <v>657</v>
      </c>
      <c r="H2236" s="15" t="str">
        <f>IFERROR(VLOOKUP(A2236,Sheet1!$E$3:$F$27,2,),"")</f>
        <v>Corrective</v>
      </c>
      <c r="I2236" s="16" t="str">
        <f>IFERROR(VLOOKUP(A2236,Sheet1!$E$3:$G$27,3,0),"")</f>
        <v>Replace Jumper,antena/RRU</v>
      </c>
      <c r="J2236" s="12" t="s">
        <v>112</v>
      </c>
      <c r="K2236" s="17">
        <v>46309.0</v>
      </c>
      <c r="L2236" s="17"/>
      <c r="M2236" s="12" t="s">
        <v>137</v>
      </c>
      <c r="N2236" s="18" t="s">
        <v>721</v>
      </c>
      <c r="O2236" s="22"/>
      <c r="P2236" s="22"/>
    </row>
    <row r="2237" ht="22.5" customHeight="1">
      <c r="A2237" s="12" t="s">
        <v>5</v>
      </c>
      <c r="B2237" s="20" t="str">
        <f>IFERROR(VLOOKUP(A2237,Sheet1!$E$3:$H$27,4,0),"")</f>
        <v>P1</v>
      </c>
      <c r="C2237" s="14" t="s">
        <v>477</v>
      </c>
      <c r="D2237" s="12" t="s">
        <v>698</v>
      </c>
      <c r="E2237" s="12" t="s">
        <v>13</v>
      </c>
      <c r="F2237" s="12" t="s">
        <v>179</v>
      </c>
      <c r="G2237" s="12" t="s">
        <v>657</v>
      </c>
      <c r="H2237" s="15" t="str">
        <f>IFERROR(VLOOKUP(A2237,Sheet1!$E$3:$F$27,2,),"")</f>
        <v>Corrective</v>
      </c>
      <c r="I2237" s="16" t="str">
        <f>IFERROR(VLOOKUP(A2237,Sheet1!$E$3:$G$27,3,0),"")</f>
        <v>Replace Optik,RRU/Soket Power/Replace GPS</v>
      </c>
      <c r="J2237" s="12" t="s">
        <v>112</v>
      </c>
      <c r="K2237" s="17">
        <v>46309.0</v>
      </c>
      <c r="L2237" s="17"/>
      <c r="M2237" s="12" t="s">
        <v>137</v>
      </c>
      <c r="N2237" s="23"/>
      <c r="O2237" s="22"/>
      <c r="P2237" s="22"/>
    </row>
    <row r="2238" ht="22.5" customHeight="1">
      <c r="A2238" s="12" t="s">
        <v>14</v>
      </c>
      <c r="B2238" s="20" t="str">
        <f>IFERROR(VLOOKUP(A2238,Sheet1!$E$3:$H$27,4,0),"")</f>
        <v>P1</v>
      </c>
      <c r="C2238" s="14" t="s">
        <v>701</v>
      </c>
      <c r="D2238" s="12" t="s">
        <v>91</v>
      </c>
      <c r="E2238" s="13" t="str">
        <f>IFERROR(VLOOKUP(D2238,Sheet1!$B$1:$C$45,2,0),"")</f>
        <v>TE</v>
      </c>
      <c r="F2238" s="12" t="s">
        <v>179</v>
      </c>
      <c r="G2238" s="12" t="s">
        <v>657</v>
      </c>
      <c r="H2238" s="15" t="str">
        <f>IFERROR(VLOOKUP(A2238,Sheet1!$E$3:$F$27,2,),"")</f>
        <v>Corrective</v>
      </c>
      <c r="I2238" s="16" t="str">
        <f>IFERROR(VLOOKUP(A2238,Sheet1!$E$3:$G$27,3,0),"")</f>
        <v>Pemadaman,MCB Trip,Transmisi problem</v>
      </c>
      <c r="J2238" s="12" t="s">
        <v>112</v>
      </c>
      <c r="K2238" s="17">
        <v>46309.0</v>
      </c>
      <c r="L2238" s="17"/>
      <c r="M2238" s="12" t="s">
        <v>137</v>
      </c>
      <c r="N2238" s="18" t="s">
        <v>722</v>
      </c>
      <c r="O2238" s="22"/>
      <c r="P2238" s="22"/>
    </row>
    <row r="2239" ht="22.5" customHeight="1">
      <c r="A2239" s="12" t="s">
        <v>68</v>
      </c>
      <c r="B2239" s="20" t="str">
        <f>IFERROR(VLOOKUP(A2239,Sheet1!$E$3:$H$27,4,0),"")</f>
        <v>P3</v>
      </c>
      <c r="C2239" s="15"/>
      <c r="D2239" s="12" t="s">
        <v>58</v>
      </c>
      <c r="E2239" s="13" t="str">
        <f>IFERROR(VLOOKUP(D2239,Sheet1!$B$1:$C$45,2,0),"")</f>
        <v>TE</v>
      </c>
      <c r="F2239" s="12" t="s">
        <v>179</v>
      </c>
      <c r="G2239" s="12" t="s">
        <v>657</v>
      </c>
      <c r="H2239" s="15" t="str">
        <f>IFERROR(VLOOKUP(A2239,Sheet1!$E$3:$F$27,2,),"")</f>
        <v>On Leave</v>
      </c>
      <c r="I2239" s="16" t="str">
        <f>IFERROR(VLOOKUP(A2239,Sheet1!$E$3:$G$27,3,0),"")</f>
        <v>On Leave</v>
      </c>
      <c r="J2239" s="12" t="s">
        <v>112</v>
      </c>
      <c r="K2239" s="17">
        <v>46309.0</v>
      </c>
      <c r="L2239" s="17"/>
      <c r="M2239" s="12" t="s">
        <v>137</v>
      </c>
      <c r="N2239" s="23"/>
      <c r="O2239" s="22"/>
      <c r="P2239" s="22"/>
    </row>
    <row r="2240" ht="22.5" customHeight="1">
      <c r="A2240" s="12" t="s">
        <v>5</v>
      </c>
      <c r="B2240" s="20" t="str">
        <f>IFERROR(VLOOKUP(A2240,Sheet1!$E$3:$H$27,4,0),"")</f>
        <v>P1</v>
      </c>
      <c r="C2240" s="14" t="s">
        <v>723</v>
      </c>
      <c r="D2240" s="12" t="s">
        <v>71</v>
      </c>
      <c r="E2240" s="13" t="str">
        <f>IFERROR(VLOOKUP(D2240,Sheet1!$B$1:$C$45,2,0),"")</f>
        <v>TE</v>
      </c>
      <c r="F2240" s="12" t="s">
        <v>179</v>
      </c>
      <c r="G2240" s="12" t="s">
        <v>657</v>
      </c>
      <c r="H2240" s="15" t="str">
        <f>IFERROR(VLOOKUP(A2240,Sheet1!$E$3:$F$27,2,),"")</f>
        <v>Corrective</v>
      </c>
      <c r="I2240" s="16" t="str">
        <f>IFERROR(VLOOKUP(A2240,Sheet1!$E$3:$G$27,3,0),"")</f>
        <v>Replace Optik,RRU/Soket Power/Replace GPS</v>
      </c>
      <c r="J2240" s="12" t="s">
        <v>112</v>
      </c>
      <c r="K2240" s="17">
        <v>46309.0</v>
      </c>
      <c r="L2240" s="17"/>
      <c r="M2240" s="12" t="s">
        <v>137</v>
      </c>
      <c r="N2240" s="23"/>
      <c r="O2240" s="22"/>
      <c r="P2240" s="22"/>
    </row>
    <row r="2241" ht="22.5" customHeight="1">
      <c r="A2241" s="12" t="s">
        <v>5</v>
      </c>
      <c r="B2241" s="20" t="str">
        <f>IFERROR(VLOOKUP(A2241,Sheet1!$E$3:$H$27,4,0),"")</f>
        <v>P1</v>
      </c>
      <c r="C2241" s="14" t="s">
        <v>662</v>
      </c>
      <c r="D2241" s="12" t="s">
        <v>69</v>
      </c>
      <c r="E2241" s="13" t="str">
        <f>IFERROR(VLOOKUP(D2241,Sheet1!$B$1:$C$45,2,0),"")</f>
        <v>TE</v>
      </c>
      <c r="F2241" s="12" t="s">
        <v>179</v>
      </c>
      <c r="G2241" s="12" t="s">
        <v>657</v>
      </c>
      <c r="H2241" s="15" t="str">
        <f>IFERROR(VLOOKUP(A2241,Sheet1!$E$3:$F$27,2,),"")</f>
        <v>Corrective</v>
      </c>
      <c r="I2241" s="16" t="str">
        <f>IFERROR(VLOOKUP(A2241,Sheet1!$E$3:$G$27,3,0),"")</f>
        <v>Replace Optik,RRU/Soket Power/Replace GPS</v>
      </c>
      <c r="J2241" s="12" t="s">
        <v>112</v>
      </c>
      <c r="K2241" s="17">
        <v>46309.0</v>
      </c>
      <c r="L2241" s="17"/>
      <c r="M2241" s="12" t="s">
        <v>137</v>
      </c>
      <c r="N2241" s="23"/>
      <c r="O2241" s="22"/>
      <c r="P2241" s="22"/>
    </row>
    <row r="2242" ht="22.5" customHeight="1">
      <c r="A2242" s="12" t="s">
        <v>55</v>
      </c>
      <c r="B2242" s="20" t="str">
        <f>IFERROR(VLOOKUP(A2242,Sheet1!$E$3:$H$27,4,0),"")</f>
        <v>P2</v>
      </c>
      <c r="C2242" s="14" t="s">
        <v>318</v>
      </c>
      <c r="D2242" s="12" t="s">
        <v>89</v>
      </c>
      <c r="E2242" s="13" t="str">
        <f>IFERROR(VLOOKUP(D2242,Sheet1!$B$1:$C$45,2,0),"")</f>
        <v>TE</v>
      </c>
      <c r="F2242" s="12" t="s">
        <v>179</v>
      </c>
      <c r="G2242" s="12" t="s">
        <v>657</v>
      </c>
      <c r="H2242" s="15" t="str">
        <f>IFERROR(VLOOKUP(A2242,Sheet1!$E$3:$F$27,2,),"")</f>
        <v>Corrective</v>
      </c>
      <c r="I2242" s="16" t="str">
        <f>IFERROR(VLOOKUP(A2242,Sheet1!$E$3:$G$27,3,0),"")</f>
        <v>Penambahan Modul Recti</v>
      </c>
      <c r="J2242" s="12" t="s">
        <v>112</v>
      </c>
      <c r="K2242" s="17">
        <v>46309.0</v>
      </c>
      <c r="L2242" s="17"/>
      <c r="M2242" s="12" t="s">
        <v>137</v>
      </c>
      <c r="N2242" s="18" t="s">
        <v>724</v>
      </c>
      <c r="O2242" s="22"/>
      <c r="P2242" s="22"/>
    </row>
    <row r="2243" ht="22.5" customHeight="1">
      <c r="A2243" s="12" t="s">
        <v>65</v>
      </c>
      <c r="B2243" s="20" t="str">
        <f>IFERROR(VLOOKUP(A2243,Sheet1!$E$3:$H$27,4,0),"")</f>
        <v>P3</v>
      </c>
      <c r="C2243" s="15"/>
      <c r="D2243" s="12" t="s">
        <v>710</v>
      </c>
      <c r="E2243" s="12" t="s">
        <v>1</v>
      </c>
      <c r="F2243" s="12" t="s">
        <v>179</v>
      </c>
      <c r="G2243" s="12" t="s">
        <v>657</v>
      </c>
      <c r="H2243" s="15" t="str">
        <f>IFERROR(VLOOKUP(A2243,Sheet1!$E$3:$F$27,2,),"")</f>
        <v>Standby</v>
      </c>
      <c r="I2243" s="16" t="str">
        <f>IFERROR(VLOOKUP(A2243,Sheet1!$E$3:$G$27,3,0),"")</f>
        <v>Standby On Call</v>
      </c>
      <c r="J2243" s="12" t="s">
        <v>112</v>
      </c>
      <c r="K2243" s="17">
        <v>46309.0</v>
      </c>
      <c r="L2243" s="17"/>
      <c r="M2243" s="12" t="s">
        <v>137</v>
      </c>
      <c r="N2243" s="23"/>
      <c r="O2243" s="22"/>
      <c r="P2243" s="22"/>
    </row>
    <row r="2244" ht="22.5" customHeight="1">
      <c r="A2244" s="12" t="s">
        <v>65</v>
      </c>
      <c r="B2244" s="20" t="str">
        <f>IFERROR(VLOOKUP(A2244,Sheet1!$E$3:$H$27,4,0),"")</f>
        <v>P3</v>
      </c>
      <c r="C2244" s="15"/>
      <c r="D2244" s="12" t="s">
        <v>714</v>
      </c>
      <c r="E2244" s="12" t="s">
        <v>1</v>
      </c>
      <c r="F2244" s="12" t="s">
        <v>179</v>
      </c>
      <c r="G2244" s="12" t="s">
        <v>657</v>
      </c>
      <c r="H2244" s="15" t="str">
        <f>IFERROR(VLOOKUP(A2244,Sheet1!$E$3:$F$27,2,),"")</f>
        <v>Standby</v>
      </c>
      <c r="I2244" s="16" t="str">
        <f>IFERROR(VLOOKUP(A2244,Sheet1!$E$3:$G$27,3,0),"")</f>
        <v>Standby On Call</v>
      </c>
      <c r="J2244" s="12" t="s">
        <v>112</v>
      </c>
      <c r="K2244" s="17">
        <v>46309.0</v>
      </c>
      <c r="L2244" s="17"/>
      <c r="M2244" s="12" t="s">
        <v>137</v>
      </c>
      <c r="N2244" s="23"/>
      <c r="O2244" s="22"/>
      <c r="P2244" s="22"/>
    </row>
    <row r="2245" ht="22.5" customHeight="1">
      <c r="A2245" s="12" t="s">
        <v>65</v>
      </c>
      <c r="B2245" s="20" t="str">
        <f>IFERROR(VLOOKUP(A2245,Sheet1!$E$3:$H$27,4,0),"")</f>
        <v>P3</v>
      </c>
      <c r="C2245" s="15"/>
      <c r="D2245" s="12" t="s">
        <v>75</v>
      </c>
      <c r="E2245" s="13" t="str">
        <f>IFERROR(VLOOKUP(D2245,Sheet1!$B$1:$C$45,2,0),"")</f>
        <v>CME</v>
      </c>
      <c r="F2245" s="12" t="s">
        <v>179</v>
      </c>
      <c r="G2245" s="12" t="s">
        <v>657</v>
      </c>
      <c r="H2245" s="15" t="str">
        <f>IFERROR(VLOOKUP(A2245,Sheet1!$E$3:$F$27,2,),"")</f>
        <v>Standby</v>
      </c>
      <c r="I2245" s="16" t="str">
        <f>IFERROR(VLOOKUP(A2245,Sheet1!$E$3:$G$27,3,0),"")</f>
        <v>Standby On Call</v>
      </c>
      <c r="J2245" s="12" t="s">
        <v>112</v>
      </c>
      <c r="K2245" s="17">
        <v>46309.0</v>
      </c>
      <c r="L2245" s="17"/>
      <c r="M2245" s="12" t="s">
        <v>137</v>
      </c>
      <c r="N2245" s="23"/>
      <c r="O2245" s="22"/>
      <c r="P2245" s="22"/>
    </row>
    <row r="2246" ht="22.5" customHeight="1">
      <c r="A2246" s="12" t="s">
        <v>22</v>
      </c>
      <c r="B2246" s="20" t="str">
        <f>IFERROR(VLOOKUP(A2246,Sheet1!$E$3:$H$27,4,0),"")</f>
        <v>P2</v>
      </c>
      <c r="C2246" s="15"/>
      <c r="D2246" s="12" t="s">
        <v>83</v>
      </c>
      <c r="E2246" s="13" t="str">
        <f>IFERROR(VLOOKUP(D2246,Sheet1!$B$1:$C$45,2,0),"")</f>
        <v>PM</v>
      </c>
      <c r="F2246" s="12" t="s">
        <v>179</v>
      </c>
      <c r="G2246" s="12" t="s">
        <v>657</v>
      </c>
      <c r="H2246" s="15" t="str">
        <f>IFERROR(VLOOKUP(A2246,Sheet1!$E$3:$F$27,2,),"")</f>
        <v>Preventive</v>
      </c>
      <c r="I2246" s="16" t="str">
        <f>IFERROR(VLOOKUP(A2246,Sheet1!$E$3:$G$27,3,0),"")</f>
        <v>Preventive Maintenance</v>
      </c>
      <c r="J2246" s="12" t="s">
        <v>112</v>
      </c>
      <c r="K2246" s="17">
        <v>46309.0</v>
      </c>
      <c r="L2246" s="17"/>
      <c r="M2246" s="12" t="s">
        <v>137</v>
      </c>
      <c r="N2246" s="23"/>
      <c r="O2246" s="22"/>
      <c r="P2246" s="22"/>
    </row>
    <row r="2247" ht="22.5" customHeight="1">
      <c r="A2247" s="12" t="s">
        <v>22</v>
      </c>
      <c r="B2247" s="20" t="str">
        <f>IFERROR(VLOOKUP(A2247,Sheet1!$E$3:$H$27,4,0),"")</f>
        <v>P2</v>
      </c>
      <c r="C2247" s="15"/>
      <c r="D2247" s="12" t="s">
        <v>82</v>
      </c>
      <c r="E2247" s="13" t="str">
        <f>IFERROR(VLOOKUP(D2247,Sheet1!$B$1:$C$45,2,0),"")</f>
        <v>PM</v>
      </c>
      <c r="F2247" s="12" t="s">
        <v>179</v>
      </c>
      <c r="G2247" s="12" t="s">
        <v>657</v>
      </c>
      <c r="H2247" s="15" t="str">
        <f>IFERROR(VLOOKUP(A2247,Sheet1!$E$3:$F$27,2,),"")</f>
        <v>Preventive</v>
      </c>
      <c r="I2247" s="16" t="str">
        <f>IFERROR(VLOOKUP(A2247,Sheet1!$E$3:$G$27,3,0),"")</f>
        <v>Preventive Maintenance</v>
      </c>
      <c r="J2247" s="12" t="s">
        <v>112</v>
      </c>
      <c r="K2247" s="17">
        <v>46309.0</v>
      </c>
      <c r="L2247" s="17"/>
      <c r="M2247" s="12" t="s">
        <v>137</v>
      </c>
      <c r="N2247" s="23"/>
      <c r="O2247" s="22"/>
      <c r="P2247" s="22"/>
    </row>
    <row r="2248" ht="22.5" customHeight="1">
      <c r="A2248" s="12" t="s">
        <v>22</v>
      </c>
      <c r="B2248" s="20" t="str">
        <f>IFERROR(VLOOKUP(A2248,Sheet1!$E$3:$H$27,4,0),"")</f>
        <v>P2</v>
      </c>
      <c r="C2248" s="15"/>
      <c r="D2248" s="12" t="s">
        <v>88</v>
      </c>
      <c r="E2248" s="13" t="str">
        <f>IFERROR(VLOOKUP(D2248,Sheet1!$B$1:$C$45,2,0),"")</f>
        <v>TE</v>
      </c>
      <c r="F2248" s="12" t="s">
        <v>179</v>
      </c>
      <c r="G2248" s="12" t="s">
        <v>657</v>
      </c>
      <c r="H2248" s="15" t="str">
        <f>IFERROR(VLOOKUP(A2248,Sheet1!$E$3:$F$27,2,),"")</f>
        <v>Preventive</v>
      </c>
      <c r="I2248" s="16" t="str">
        <f>IFERROR(VLOOKUP(A2248,Sheet1!$E$3:$G$27,3,0),"")</f>
        <v>Preventive Maintenance</v>
      </c>
      <c r="J2248" s="12" t="s">
        <v>112</v>
      </c>
      <c r="K2248" s="17">
        <v>46309.0</v>
      </c>
      <c r="L2248" s="17"/>
      <c r="M2248" s="12" t="s">
        <v>137</v>
      </c>
      <c r="N2248" s="23"/>
      <c r="O2248" s="22"/>
      <c r="P2248" s="22"/>
    </row>
    <row r="2249" ht="22.5" customHeight="1">
      <c r="A2249" s="12" t="s">
        <v>52</v>
      </c>
      <c r="B2249" s="20" t="str">
        <f>IFERROR(VLOOKUP(A2249,Sheet1!$E$3:$H$27,4,0),"")</f>
        <v>P1</v>
      </c>
      <c r="C2249" s="14" t="s">
        <v>725</v>
      </c>
      <c r="D2249" s="12" t="s">
        <v>42</v>
      </c>
      <c r="E2249" s="13" t="str">
        <f>IFERROR(VLOOKUP(D2249,Sheet1!$B$1:$C$45,2,0),"")</f>
        <v>TE</v>
      </c>
      <c r="F2249" s="12" t="s">
        <v>179</v>
      </c>
      <c r="G2249" s="12" t="s">
        <v>657</v>
      </c>
      <c r="H2249" s="15" t="str">
        <f>IFERROR(VLOOKUP(A2249,Sheet1!$E$3:$F$27,2,),"")</f>
        <v>Preventive</v>
      </c>
      <c r="I2249" s="16" t="str">
        <f>IFERROR(VLOOKUP(A2249,Sheet1!$E$3:$G$27,3,0),"")</f>
        <v>MCB trip/Power upnormal</v>
      </c>
      <c r="J2249" s="12" t="s">
        <v>112</v>
      </c>
      <c r="K2249" s="17">
        <v>46310.0</v>
      </c>
      <c r="L2249" s="17"/>
      <c r="M2249" s="12" t="s">
        <v>109</v>
      </c>
      <c r="N2249" s="18" t="s">
        <v>726</v>
      </c>
      <c r="O2249" s="22"/>
      <c r="P2249" s="22"/>
    </row>
    <row r="2250" ht="22.5" customHeight="1">
      <c r="A2250" s="12" t="s">
        <v>52</v>
      </c>
      <c r="B2250" s="20" t="str">
        <f>IFERROR(VLOOKUP(A2250,Sheet1!$E$3:$H$27,4,0),"")</f>
        <v>P1</v>
      </c>
      <c r="C2250" s="14" t="s">
        <v>727</v>
      </c>
      <c r="D2250" s="12" t="s">
        <v>80</v>
      </c>
      <c r="E2250" s="13" t="str">
        <f>IFERROR(VLOOKUP(D2250,Sheet1!$B$1:$C$45,2,0),"")</f>
        <v>TE</v>
      </c>
      <c r="F2250" s="12" t="s">
        <v>179</v>
      </c>
      <c r="G2250" s="12" t="s">
        <v>657</v>
      </c>
      <c r="H2250" s="15" t="str">
        <f>IFERROR(VLOOKUP(A2250,Sheet1!$E$3:$F$27,2,),"")</f>
        <v>Preventive</v>
      </c>
      <c r="I2250" s="16" t="str">
        <f>IFERROR(VLOOKUP(A2250,Sheet1!$E$3:$G$27,3,0),"")</f>
        <v>MCB trip/Power upnormal</v>
      </c>
      <c r="J2250" s="12" t="s">
        <v>112</v>
      </c>
      <c r="K2250" s="17">
        <v>46310.0</v>
      </c>
      <c r="L2250" s="17"/>
      <c r="M2250" s="12" t="s">
        <v>109</v>
      </c>
      <c r="N2250" s="18" t="s">
        <v>726</v>
      </c>
      <c r="O2250" s="22"/>
      <c r="P2250" s="22"/>
    </row>
    <row r="2251" ht="22.5" customHeight="1">
      <c r="A2251" s="12" t="s">
        <v>52</v>
      </c>
      <c r="B2251" s="20" t="str">
        <f>IFERROR(VLOOKUP(A2251,Sheet1!$E$3:$H$27,4,0),"")</f>
        <v>P1</v>
      </c>
      <c r="C2251" s="14" t="s">
        <v>728</v>
      </c>
      <c r="D2251" s="12" t="s">
        <v>37</v>
      </c>
      <c r="E2251" s="13" t="str">
        <f>IFERROR(VLOOKUP(D2251,Sheet1!$B$1:$C$45,2,0),"")</f>
        <v>TE</v>
      </c>
      <c r="F2251" s="12" t="s">
        <v>179</v>
      </c>
      <c r="G2251" s="12" t="s">
        <v>657</v>
      </c>
      <c r="H2251" s="15" t="str">
        <f>IFERROR(VLOOKUP(A2251,Sheet1!$E$3:$F$27,2,),"")</f>
        <v>Preventive</v>
      </c>
      <c r="I2251" s="16" t="str">
        <f>IFERROR(VLOOKUP(A2251,Sheet1!$E$3:$G$27,3,0),"")</f>
        <v>MCB trip/Power upnormal</v>
      </c>
      <c r="J2251" s="12" t="s">
        <v>112</v>
      </c>
      <c r="K2251" s="17">
        <v>46310.0</v>
      </c>
      <c r="L2251" s="17"/>
      <c r="M2251" s="12" t="s">
        <v>109</v>
      </c>
      <c r="N2251" s="23"/>
      <c r="O2251" s="22"/>
      <c r="P2251" s="22"/>
    </row>
    <row r="2252" ht="22.5" customHeight="1">
      <c r="A2252" s="12" t="s">
        <v>52</v>
      </c>
      <c r="B2252" s="20" t="str">
        <f>IFERROR(VLOOKUP(A2252,Sheet1!$E$3:$H$27,4,0),"")</f>
        <v>P1</v>
      </c>
      <c r="C2252" s="14" t="s">
        <v>729</v>
      </c>
      <c r="D2252" s="12" t="s">
        <v>76</v>
      </c>
      <c r="E2252" s="13" t="str">
        <f>IFERROR(VLOOKUP(D2252,Sheet1!$B$1:$C$45,2,0),"")</f>
        <v>TE</v>
      </c>
      <c r="F2252" s="12" t="s">
        <v>179</v>
      </c>
      <c r="G2252" s="12" t="s">
        <v>657</v>
      </c>
      <c r="H2252" s="15" t="str">
        <f>IFERROR(VLOOKUP(A2252,Sheet1!$E$3:$F$27,2,),"")</f>
        <v>Preventive</v>
      </c>
      <c r="I2252" s="16" t="str">
        <f>IFERROR(VLOOKUP(A2252,Sheet1!$E$3:$G$27,3,0),"")</f>
        <v>MCB trip/Power upnormal</v>
      </c>
      <c r="J2252" s="12" t="s">
        <v>112</v>
      </c>
      <c r="K2252" s="17">
        <v>46310.0</v>
      </c>
      <c r="L2252" s="17"/>
      <c r="M2252" s="12" t="s">
        <v>109</v>
      </c>
      <c r="N2252" s="23"/>
      <c r="O2252" s="22"/>
      <c r="P2252" s="22"/>
    </row>
    <row r="2253" ht="22.5" customHeight="1">
      <c r="A2253" s="12" t="s">
        <v>5</v>
      </c>
      <c r="B2253" s="20" t="str">
        <f>IFERROR(VLOOKUP(A2253,Sheet1!$E$3:$H$27,4,0),"")</f>
        <v>P1</v>
      </c>
      <c r="C2253" s="14" t="s">
        <v>730</v>
      </c>
      <c r="D2253" s="12" t="s">
        <v>712</v>
      </c>
      <c r="E2253" s="12" t="s">
        <v>13</v>
      </c>
      <c r="F2253" s="12" t="s">
        <v>179</v>
      </c>
      <c r="G2253" s="12" t="s">
        <v>657</v>
      </c>
      <c r="H2253" s="15" t="str">
        <f>IFERROR(VLOOKUP(A2253,Sheet1!$E$3:$F$27,2,),"")</f>
        <v>Corrective</v>
      </c>
      <c r="I2253" s="16" t="str">
        <f>IFERROR(VLOOKUP(A2253,Sheet1!$E$3:$G$27,3,0),"")</f>
        <v>Replace Optik,RRU/Soket Power/Replace GPS</v>
      </c>
      <c r="J2253" s="12" t="s">
        <v>112</v>
      </c>
      <c r="K2253" s="17">
        <v>46310.0</v>
      </c>
      <c r="L2253" s="17"/>
      <c r="M2253" s="12" t="s">
        <v>137</v>
      </c>
      <c r="N2253" s="23"/>
      <c r="O2253" s="22"/>
      <c r="P2253" s="22"/>
    </row>
    <row r="2254" ht="22.5" customHeight="1">
      <c r="A2254" s="12" t="s">
        <v>46</v>
      </c>
      <c r="B2254" s="20" t="str">
        <f>IFERROR(VLOOKUP(A2254,Sheet1!$E$3:$H$27,4,0),"")</f>
        <v>P2</v>
      </c>
      <c r="C2254" s="14" t="s">
        <v>394</v>
      </c>
      <c r="D2254" s="12" t="s">
        <v>78</v>
      </c>
      <c r="E2254" s="13" t="str">
        <f>IFERROR(VLOOKUP(D2254,Sheet1!$B$1:$C$45,2,0),"")</f>
        <v>TE</v>
      </c>
      <c r="F2254" s="12" t="s">
        <v>179</v>
      </c>
      <c r="G2254" s="12" t="s">
        <v>657</v>
      </c>
      <c r="H2254" s="15" t="str">
        <f>IFERROR(VLOOKUP(A2254,Sheet1!$E$3:$F$27,2,),"")</f>
        <v>Preventive</v>
      </c>
      <c r="I2254" s="16" t="str">
        <f>IFERROR(VLOOKUP(A2254,Sheet1!$E$3:$G$27,3,0),"")</f>
        <v>Instalasi Battery</v>
      </c>
      <c r="J2254" s="12" t="s">
        <v>112</v>
      </c>
      <c r="K2254" s="17">
        <v>46310.0</v>
      </c>
      <c r="L2254" s="17"/>
      <c r="M2254" s="12" t="s">
        <v>137</v>
      </c>
      <c r="N2254" s="23"/>
      <c r="O2254" s="22"/>
      <c r="P2254" s="22"/>
    </row>
    <row r="2255" ht="22.5" customHeight="1">
      <c r="A2255" s="12" t="s">
        <v>46</v>
      </c>
      <c r="B2255" s="20" t="str">
        <f>IFERROR(VLOOKUP(A2255,Sheet1!$E$3:$H$27,4,0),"")</f>
        <v>P2</v>
      </c>
      <c r="C2255" s="14" t="s">
        <v>607</v>
      </c>
      <c r="D2255" s="12" t="s">
        <v>39</v>
      </c>
      <c r="E2255" s="13" t="str">
        <f>IFERROR(VLOOKUP(D2255,Sheet1!$B$1:$C$45,2,0),"")</f>
        <v>TE</v>
      </c>
      <c r="F2255" s="12" t="s">
        <v>179</v>
      </c>
      <c r="G2255" s="12" t="s">
        <v>657</v>
      </c>
      <c r="H2255" s="15" t="str">
        <f>IFERROR(VLOOKUP(A2255,Sheet1!$E$3:$F$27,2,),"")</f>
        <v>Preventive</v>
      </c>
      <c r="I2255" s="16" t="str">
        <f>IFERROR(VLOOKUP(A2255,Sheet1!$E$3:$G$27,3,0),"")</f>
        <v>Instalasi Battery</v>
      </c>
      <c r="J2255" s="12" t="s">
        <v>112</v>
      </c>
      <c r="K2255" s="17">
        <v>46310.0</v>
      </c>
      <c r="L2255" s="17"/>
      <c r="M2255" s="12" t="s">
        <v>109</v>
      </c>
      <c r="N2255" s="23"/>
      <c r="O2255" s="22"/>
      <c r="P2255" s="22"/>
    </row>
    <row r="2256" ht="22.5" customHeight="1">
      <c r="A2256" s="12" t="s">
        <v>52</v>
      </c>
      <c r="B2256" s="20" t="str">
        <f>IFERROR(VLOOKUP(A2256,Sheet1!$E$3:$H$27,4,0),"")</f>
        <v>P1</v>
      </c>
      <c r="C2256" s="14" t="s">
        <v>731</v>
      </c>
      <c r="D2256" s="12" t="s">
        <v>77</v>
      </c>
      <c r="E2256" s="13" t="str">
        <f>IFERROR(VLOOKUP(D2256,Sheet1!$B$1:$C$45,2,0),"")</f>
        <v>TE</v>
      </c>
      <c r="F2256" s="12" t="s">
        <v>179</v>
      </c>
      <c r="G2256" s="12" t="s">
        <v>657</v>
      </c>
      <c r="H2256" s="15" t="str">
        <f>IFERROR(VLOOKUP(A2256,Sheet1!$E$3:$F$27,2,),"")</f>
        <v>Preventive</v>
      </c>
      <c r="I2256" s="16" t="str">
        <f>IFERROR(VLOOKUP(A2256,Sheet1!$E$3:$G$27,3,0),"")</f>
        <v>MCB trip/Power upnormal</v>
      </c>
      <c r="J2256" s="12" t="s">
        <v>112</v>
      </c>
      <c r="K2256" s="17">
        <v>46310.0</v>
      </c>
      <c r="L2256" s="17"/>
      <c r="M2256" s="12" t="s">
        <v>109</v>
      </c>
      <c r="N2256" s="23"/>
      <c r="O2256" s="22"/>
      <c r="P2256" s="22"/>
    </row>
    <row r="2257" ht="22.5" customHeight="1">
      <c r="A2257" s="12" t="s">
        <v>5</v>
      </c>
      <c r="B2257" s="20" t="str">
        <f>IFERROR(VLOOKUP(A2257,Sheet1!$E$3:$H$27,4,0),"")</f>
        <v>P1</v>
      </c>
      <c r="C2257" s="14" t="s">
        <v>477</v>
      </c>
      <c r="D2257" s="12" t="s">
        <v>698</v>
      </c>
      <c r="E2257" s="12" t="s">
        <v>13</v>
      </c>
      <c r="F2257" s="12" t="s">
        <v>179</v>
      </c>
      <c r="G2257" s="12" t="s">
        <v>657</v>
      </c>
      <c r="H2257" s="15" t="str">
        <f>IFERROR(VLOOKUP(A2257,Sheet1!$E$3:$F$27,2,),"")</f>
        <v>Corrective</v>
      </c>
      <c r="I2257" s="16" t="str">
        <f>IFERROR(VLOOKUP(A2257,Sheet1!$E$3:$G$27,3,0),"")</f>
        <v>Replace Optik,RRU/Soket Power/Replace GPS</v>
      </c>
      <c r="J2257" s="12" t="s">
        <v>112</v>
      </c>
      <c r="K2257" s="17">
        <v>46310.0</v>
      </c>
      <c r="L2257" s="17"/>
      <c r="M2257" s="12" t="s">
        <v>109</v>
      </c>
      <c r="N2257" s="23"/>
      <c r="O2257" s="22"/>
      <c r="P2257" s="22"/>
    </row>
    <row r="2258" ht="22.5" customHeight="1">
      <c r="A2258" s="12" t="s">
        <v>52</v>
      </c>
      <c r="B2258" s="20" t="str">
        <f>IFERROR(VLOOKUP(A2258,Sheet1!$E$3:$H$27,4,0),"")</f>
        <v>P1</v>
      </c>
      <c r="C2258" s="14" t="s">
        <v>676</v>
      </c>
      <c r="D2258" s="12" t="s">
        <v>51</v>
      </c>
      <c r="E2258" s="13" t="str">
        <f>IFERROR(VLOOKUP(D2258,Sheet1!$B$1:$C$45,2,0),"")</f>
        <v>TE</v>
      </c>
      <c r="F2258" s="12" t="s">
        <v>179</v>
      </c>
      <c r="G2258" s="12" t="s">
        <v>657</v>
      </c>
      <c r="H2258" s="15" t="str">
        <f>IFERROR(VLOOKUP(A2258,Sheet1!$E$3:$F$27,2,),"")</f>
        <v>Preventive</v>
      </c>
      <c r="I2258" s="16" t="str">
        <f>IFERROR(VLOOKUP(A2258,Sheet1!$E$3:$G$27,3,0),"")</f>
        <v>MCB trip/Power upnormal</v>
      </c>
      <c r="J2258" s="12" t="s">
        <v>112</v>
      </c>
      <c r="K2258" s="17">
        <v>46310.0</v>
      </c>
      <c r="L2258" s="17"/>
      <c r="M2258" s="12" t="s">
        <v>137</v>
      </c>
      <c r="N2258" s="23"/>
      <c r="O2258" s="22"/>
      <c r="P2258" s="22"/>
    </row>
    <row r="2259" ht="22.5" customHeight="1">
      <c r="A2259" s="12" t="s">
        <v>5</v>
      </c>
      <c r="B2259" s="20" t="str">
        <f>IFERROR(VLOOKUP(A2259,Sheet1!$E$3:$H$27,4,0),"")</f>
        <v>P1</v>
      </c>
      <c r="C2259" s="14" t="s">
        <v>723</v>
      </c>
      <c r="D2259" s="12" t="s">
        <v>71</v>
      </c>
      <c r="E2259" s="13" t="str">
        <f>IFERROR(VLOOKUP(D2259,Sheet1!$B$1:$C$45,2,0),"")</f>
        <v>TE</v>
      </c>
      <c r="F2259" s="12" t="s">
        <v>179</v>
      </c>
      <c r="G2259" s="12" t="s">
        <v>657</v>
      </c>
      <c r="H2259" s="15" t="str">
        <f>IFERROR(VLOOKUP(A2259,Sheet1!$E$3:$F$27,2,),"")</f>
        <v>Corrective</v>
      </c>
      <c r="I2259" s="16" t="str">
        <f>IFERROR(VLOOKUP(A2259,Sheet1!$E$3:$G$27,3,0),"")</f>
        <v>Replace Optik,RRU/Soket Power/Replace GPS</v>
      </c>
      <c r="J2259" s="12" t="s">
        <v>112</v>
      </c>
      <c r="K2259" s="17">
        <v>46310.0</v>
      </c>
      <c r="L2259" s="17"/>
      <c r="M2259" s="12" t="s">
        <v>137</v>
      </c>
      <c r="N2259" s="23"/>
      <c r="O2259" s="22"/>
      <c r="P2259" s="22"/>
    </row>
    <row r="2260" ht="22.5" customHeight="1">
      <c r="A2260" s="12" t="s">
        <v>52</v>
      </c>
      <c r="B2260" s="20" t="str">
        <f>IFERROR(VLOOKUP(A2260,Sheet1!$E$3:$H$27,4,0),"")</f>
        <v>P1</v>
      </c>
      <c r="C2260" s="14" t="s">
        <v>732</v>
      </c>
      <c r="D2260" s="12" t="s">
        <v>69</v>
      </c>
      <c r="E2260" s="13" t="str">
        <f>IFERROR(VLOOKUP(D2260,Sheet1!$B$1:$C$45,2,0),"")</f>
        <v>TE</v>
      </c>
      <c r="F2260" s="12" t="s">
        <v>179</v>
      </c>
      <c r="G2260" s="12" t="s">
        <v>657</v>
      </c>
      <c r="H2260" s="15" t="str">
        <f>IFERROR(VLOOKUP(A2260,Sheet1!$E$3:$F$27,2,),"")</f>
        <v>Preventive</v>
      </c>
      <c r="I2260" s="16" t="str">
        <f>IFERROR(VLOOKUP(A2260,Sheet1!$E$3:$G$27,3,0),"")</f>
        <v>MCB trip/Power upnormal</v>
      </c>
      <c r="J2260" s="12" t="s">
        <v>112</v>
      </c>
      <c r="K2260" s="17">
        <v>46310.0</v>
      </c>
      <c r="L2260" s="17"/>
      <c r="M2260" s="12" t="s">
        <v>109</v>
      </c>
      <c r="N2260" s="23"/>
      <c r="O2260" s="22"/>
      <c r="P2260" s="22"/>
    </row>
    <row r="2261" ht="22.5" customHeight="1">
      <c r="A2261" s="12" t="s">
        <v>52</v>
      </c>
      <c r="B2261" s="20" t="str">
        <f>IFERROR(VLOOKUP(A2261,Sheet1!$E$3:$H$27,4,0),"")</f>
        <v>P1</v>
      </c>
      <c r="C2261" s="14" t="s">
        <v>733</v>
      </c>
      <c r="D2261" s="12" t="s">
        <v>91</v>
      </c>
      <c r="E2261" s="13" t="str">
        <f>IFERROR(VLOOKUP(D2261,Sheet1!$B$1:$C$45,2,0),"")</f>
        <v>TE</v>
      </c>
      <c r="F2261" s="12" t="s">
        <v>179</v>
      </c>
      <c r="G2261" s="12" t="s">
        <v>657</v>
      </c>
      <c r="H2261" s="15" t="str">
        <f>IFERROR(VLOOKUP(A2261,Sheet1!$E$3:$F$27,2,),"")</f>
        <v>Preventive</v>
      </c>
      <c r="I2261" s="16" t="str">
        <f>IFERROR(VLOOKUP(A2261,Sheet1!$E$3:$G$27,3,0),"")</f>
        <v>MCB trip/Power upnormal</v>
      </c>
      <c r="J2261" s="12" t="s">
        <v>112</v>
      </c>
      <c r="K2261" s="17">
        <v>46310.0</v>
      </c>
      <c r="L2261" s="17"/>
      <c r="M2261" s="12" t="s">
        <v>109</v>
      </c>
      <c r="N2261" s="23"/>
      <c r="O2261" s="22"/>
      <c r="P2261" s="22"/>
    </row>
    <row r="2262" ht="22.5" customHeight="1">
      <c r="A2262" s="12" t="s">
        <v>10</v>
      </c>
      <c r="B2262" s="20" t="str">
        <f>IFERROR(VLOOKUP(A2262,Sheet1!$E$3:$H$27,4,0),"")</f>
        <v>P1</v>
      </c>
      <c r="C2262" s="14" t="s">
        <v>426</v>
      </c>
      <c r="D2262" s="12" t="s">
        <v>58</v>
      </c>
      <c r="E2262" s="13" t="str">
        <f>IFERROR(VLOOKUP(D2262,Sheet1!$B$1:$C$45,2,0),"")</f>
        <v>TE</v>
      </c>
      <c r="F2262" s="12" t="s">
        <v>179</v>
      </c>
      <c r="G2262" s="12" t="s">
        <v>657</v>
      </c>
      <c r="H2262" s="15" t="str">
        <f>IFERROR(VLOOKUP(A2262,Sheet1!$E$3:$F$27,2,),"")</f>
        <v>Corrective</v>
      </c>
      <c r="I2262" s="16" t="str">
        <f>IFERROR(VLOOKUP(A2262,Sheet1!$E$3:$G$27,3,0),"")</f>
        <v>Replace Jumper,antena/RRU</v>
      </c>
      <c r="J2262" s="12" t="s">
        <v>112</v>
      </c>
      <c r="K2262" s="17">
        <v>46310.0</v>
      </c>
      <c r="L2262" s="17"/>
      <c r="M2262" s="12" t="s">
        <v>137</v>
      </c>
      <c r="N2262" s="23"/>
      <c r="O2262" s="22"/>
      <c r="P2262" s="22"/>
    </row>
    <row r="2263" ht="22.5" customHeight="1">
      <c r="A2263" s="12" t="s">
        <v>65</v>
      </c>
      <c r="B2263" s="20" t="str">
        <f>IFERROR(VLOOKUP(A2263,Sheet1!$E$3:$H$27,4,0),"")</f>
        <v>P3</v>
      </c>
      <c r="C2263" s="15"/>
      <c r="D2263" s="12" t="s">
        <v>89</v>
      </c>
      <c r="E2263" s="12" t="s">
        <v>1</v>
      </c>
      <c r="F2263" s="12" t="s">
        <v>179</v>
      </c>
      <c r="G2263" s="12" t="s">
        <v>657</v>
      </c>
      <c r="H2263" s="15" t="str">
        <f>IFERROR(VLOOKUP(A2263,Sheet1!$E$3:$F$27,2,),"")</f>
        <v>Standby</v>
      </c>
      <c r="I2263" s="16" t="str">
        <f>IFERROR(VLOOKUP(A2263,Sheet1!$E$3:$G$27,3,0),"")</f>
        <v>Standby On Call</v>
      </c>
      <c r="J2263" s="12" t="s">
        <v>66</v>
      </c>
      <c r="K2263" s="17">
        <v>46310.0</v>
      </c>
      <c r="L2263" s="17"/>
      <c r="M2263" s="12" t="s">
        <v>137</v>
      </c>
      <c r="N2263" s="23"/>
      <c r="O2263" s="22"/>
      <c r="P2263" s="22"/>
    </row>
    <row r="2264" ht="22.5" customHeight="1">
      <c r="A2264" s="12" t="s">
        <v>65</v>
      </c>
      <c r="B2264" s="20" t="str">
        <f>IFERROR(VLOOKUP(A2264,Sheet1!$E$3:$H$27,4,0),"")</f>
        <v>P3</v>
      </c>
      <c r="C2264" s="15"/>
      <c r="D2264" s="12" t="s">
        <v>75</v>
      </c>
      <c r="E2264" s="13" t="str">
        <f>IFERROR(VLOOKUP(D2264,Sheet1!$B$1:$C$45,2,0),"")</f>
        <v>CME</v>
      </c>
      <c r="F2264" s="12" t="s">
        <v>179</v>
      </c>
      <c r="G2264" s="12" t="s">
        <v>657</v>
      </c>
      <c r="H2264" s="15" t="str">
        <f>IFERROR(VLOOKUP(A2264,Sheet1!$E$3:$F$27,2,),"")</f>
        <v>Standby</v>
      </c>
      <c r="I2264" s="16" t="str">
        <f>IFERROR(VLOOKUP(A2264,Sheet1!$E$3:$G$27,3,0),"")</f>
        <v>Standby On Call</v>
      </c>
      <c r="J2264" s="12" t="s">
        <v>66</v>
      </c>
      <c r="K2264" s="17">
        <v>46310.0</v>
      </c>
      <c r="L2264" s="17"/>
      <c r="M2264" s="12" t="s">
        <v>137</v>
      </c>
      <c r="N2264" s="23"/>
      <c r="O2264" s="22"/>
      <c r="P2264" s="22"/>
    </row>
    <row r="2265" ht="22.5" customHeight="1">
      <c r="A2265" s="12" t="s">
        <v>65</v>
      </c>
      <c r="B2265" s="20" t="str">
        <f>IFERROR(VLOOKUP(A2265,Sheet1!$E$3:$H$27,4,0),"")</f>
        <v>P3</v>
      </c>
      <c r="C2265" s="15"/>
      <c r="D2265" s="12" t="s">
        <v>54</v>
      </c>
      <c r="E2265" s="13" t="str">
        <f>IFERROR(VLOOKUP(D2265,Sheet1!$B$1:$C$45,2,0),"")</f>
        <v>MBP</v>
      </c>
      <c r="F2265" s="12" t="s">
        <v>179</v>
      </c>
      <c r="G2265" s="12" t="s">
        <v>657</v>
      </c>
      <c r="H2265" s="15" t="str">
        <f>IFERROR(VLOOKUP(A2265,Sheet1!$E$3:$F$27,2,),"")</f>
        <v>Standby</v>
      </c>
      <c r="I2265" s="16" t="str">
        <f>IFERROR(VLOOKUP(A2265,Sheet1!$E$3:$G$27,3,0),"")</f>
        <v>Standby On Call</v>
      </c>
      <c r="J2265" s="12" t="s">
        <v>66</v>
      </c>
      <c r="K2265" s="17">
        <v>46310.0</v>
      </c>
      <c r="L2265" s="17"/>
      <c r="M2265" s="12" t="s">
        <v>137</v>
      </c>
      <c r="N2265" s="23"/>
      <c r="O2265" s="22"/>
      <c r="P2265" s="22"/>
    </row>
    <row r="2266" ht="22.5" customHeight="1">
      <c r="A2266" s="12" t="s">
        <v>14</v>
      </c>
      <c r="B2266" s="20" t="str">
        <f>IFERROR(VLOOKUP(A2266,Sheet1!$E$3:$H$27,4,0),"")</f>
        <v>P1</v>
      </c>
      <c r="C2266" s="14" t="s">
        <v>734</v>
      </c>
      <c r="D2266" s="12" t="s">
        <v>714</v>
      </c>
      <c r="E2266" s="12" t="s">
        <v>1</v>
      </c>
      <c r="F2266" s="12" t="s">
        <v>179</v>
      </c>
      <c r="G2266" s="12" t="s">
        <v>657</v>
      </c>
      <c r="H2266" s="15" t="str">
        <f>IFERROR(VLOOKUP(A2266,Sheet1!$E$3:$F$27,2,),"")</f>
        <v>Corrective</v>
      </c>
      <c r="I2266" s="16" t="str">
        <f>IFERROR(VLOOKUP(A2266,Sheet1!$E$3:$G$27,3,0),"")</f>
        <v>Pemadaman,MCB Trip,Transmisi problem</v>
      </c>
      <c r="J2266" s="12" t="s">
        <v>112</v>
      </c>
      <c r="K2266" s="17">
        <v>46310.0</v>
      </c>
      <c r="L2266" s="17"/>
      <c r="M2266" s="12" t="s">
        <v>109</v>
      </c>
      <c r="N2266" s="23"/>
      <c r="O2266" s="22"/>
      <c r="P2266" s="22"/>
    </row>
    <row r="2267" ht="22.5" customHeight="1">
      <c r="A2267" s="12" t="s">
        <v>65</v>
      </c>
      <c r="B2267" s="20" t="str">
        <f>IFERROR(VLOOKUP(A2267,Sheet1!$E$3:$H$27,4,0),"")</f>
        <v>P3</v>
      </c>
      <c r="C2267" s="15"/>
      <c r="D2267" s="12" t="s">
        <v>735</v>
      </c>
      <c r="E2267" s="13" t="str">
        <f>IFERROR(VLOOKUP(D2267,Sheet1!$B$1:$C$45,2,0),"")</f>
        <v/>
      </c>
      <c r="F2267" s="12" t="s">
        <v>179</v>
      </c>
      <c r="G2267" s="12" t="s">
        <v>657</v>
      </c>
      <c r="H2267" s="15" t="str">
        <f>IFERROR(VLOOKUP(A2267,Sheet1!$E$3:$F$27,2,),"")</f>
        <v>Standby</v>
      </c>
      <c r="I2267" s="16" t="str">
        <f>IFERROR(VLOOKUP(A2267,Sheet1!$E$3:$G$27,3,0),"")</f>
        <v>Standby On Call</v>
      </c>
      <c r="J2267" s="12" t="s">
        <v>66</v>
      </c>
      <c r="K2267" s="17">
        <v>46310.0</v>
      </c>
      <c r="L2267" s="17"/>
      <c r="M2267" s="12" t="s">
        <v>137</v>
      </c>
      <c r="N2267" s="23"/>
      <c r="O2267" s="22"/>
      <c r="P2267" s="22"/>
    </row>
    <row r="2268" ht="22.5" customHeight="1">
      <c r="A2268" s="12" t="s">
        <v>22</v>
      </c>
      <c r="B2268" s="20" t="str">
        <f>IFERROR(VLOOKUP(A2268,Sheet1!$E$3:$H$27,4,0),"")</f>
        <v>P2</v>
      </c>
      <c r="C2268" s="15"/>
      <c r="D2268" s="12" t="s">
        <v>83</v>
      </c>
      <c r="E2268" s="13" t="str">
        <f>IFERROR(VLOOKUP(D2268,Sheet1!$B$1:$C$45,2,0),"")</f>
        <v>PM</v>
      </c>
      <c r="F2268" s="12" t="s">
        <v>179</v>
      </c>
      <c r="G2268" s="12" t="s">
        <v>657</v>
      </c>
      <c r="H2268" s="15" t="str">
        <f>IFERROR(VLOOKUP(A2268,Sheet1!$E$3:$F$27,2,),"")</f>
        <v>Preventive</v>
      </c>
      <c r="I2268" s="16" t="str">
        <f>IFERROR(VLOOKUP(A2268,Sheet1!$E$3:$G$27,3,0),"")</f>
        <v>Preventive Maintenance</v>
      </c>
      <c r="J2268" s="12" t="s">
        <v>112</v>
      </c>
      <c r="K2268" s="17">
        <v>46310.0</v>
      </c>
      <c r="L2268" s="17"/>
      <c r="M2268" s="12" t="s">
        <v>137</v>
      </c>
      <c r="N2268" s="23"/>
      <c r="O2268" s="22"/>
      <c r="P2268" s="22"/>
    </row>
    <row r="2269" ht="22.5" customHeight="1">
      <c r="A2269" s="12" t="s">
        <v>22</v>
      </c>
      <c r="B2269" s="20" t="str">
        <f>IFERROR(VLOOKUP(A2269,Sheet1!$E$3:$H$27,4,0),"")</f>
        <v>P2</v>
      </c>
      <c r="C2269" s="15"/>
      <c r="D2269" s="12" t="s">
        <v>82</v>
      </c>
      <c r="E2269" s="13" t="str">
        <f>IFERROR(VLOOKUP(D2269,Sheet1!$B$1:$C$45,2,0),"")</f>
        <v>PM</v>
      </c>
      <c r="F2269" s="12" t="s">
        <v>179</v>
      </c>
      <c r="G2269" s="12" t="s">
        <v>657</v>
      </c>
      <c r="H2269" s="15" t="str">
        <f>IFERROR(VLOOKUP(A2269,Sheet1!$E$3:$F$27,2,),"")</f>
        <v>Preventive</v>
      </c>
      <c r="I2269" s="16" t="str">
        <f>IFERROR(VLOOKUP(A2269,Sheet1!$E$3:$G$27,3,0),"")</f>
        <v>Preventive Maintenance</v>
      </c>
      <c r="J2269" s="12" t="s">
        <v>112</v>
      </c>
      <c r="K2269" s="17">
        <v>46310.0</v>
      </c>
      <c r="L2269" s="17"/>
      <c r="M2269" s="12" t="s">
        <v>137</v>
      </c>
      <c r="N2269" s="23"/>
      <c r="O2269" s="22"/>
      <c r="P2269" s="22"/>
    </row>
    <row r="2270" ht="22.5" customHeight="1">
      <c r="A2270" s="12" t="s">
        <v>22</v>
      </c>
      <c r="B2270" s="20" t="str">
        <f>IFERROR(VLOOKUP(A2270,Sheet1!$E$3:$H$27,4,0),"")</f>
        <v>P2</v>
      </c>
      <c r="C2270" s="15"/>
      <c r="D2270" s="12" t="s">
        <v>88</v>
      </c>
      <c r="E2270" s="13" t="str">
        <f>IFERROR(VLOOKUP(D2270,Sheet1!$B$1:$C$45,2,0),"")</f>
        <v>TE</v>
      </c>
      <c r="F2270" s="12" t="s">
        <v>179</v>
      </c>
      <c r="G2270" s="12" t="s">
        <v>657</v>
      </c>
      <c r="H2270" s="15" t="str">
        <f>IFERROR(VLOOKUP(A2270,Sheet1!$E$3:$F$27,2,),"")</f>
        <v>Preventive</v>
      </c>
      <c r="I2270" s="16" t="str">
        <f>IFERROR(VLOOKUP(A2270,Sheet1!$E$3:$G$27,3,0),"")</f>
        <v>Preventive Maintenance</v>
      </c>
      <c r="J2270" s="12" t="s">
        <v>112</v>
      </c>
      <c r="K2270" s="17">
        <v>46310.0</v>
      </c>
      <c r="L2270" s="17"/>
      <c r="M2270" s="12" t="s">
        <v>137</v>
      </c>
      <c r="N2270" s="23"/>
      <c r="O2270" s="22"/>
      <c r="P2270" s="22"/>
    </row>
    <row r="2271" ht="22.5" customHeight="1">
      <c r="A2271" s="12" t="s">
        <v>14</v>
      </c>
      <c r="B2271" s="20" t="str">
        <f>IFERROR(VLOOKUP(A2271,Sheet1!$E$3:$H$27,4,0),"")</f>
        <v>P1</v>
      </c>
      <c r="C2271" s="14" t="s">
        <v>705</v>
      </c>
      <c r="D2271" s="12" t="s">
        <v>736</v>
      </c>
      <c r="E2271" s="12" t="s">
        <v>13</v>
      </c>
      <c r="F2271" s="12" t="s">
        <v>179</v>
      </c>
      <c r="G2271" s="12" t="s">
        <v>657</v>
      </c>
      <c r="H2271" s="15" t="str">
        <f>IFERROR(VLOOKUP(A2271,Sheet1!$E$3:$F$27,2,),"")</f>
        <v>Corrective</v>
      </c>
      <c r="I2271" s="16" t="str">
        <f>IFERROR(VLOOKUP(A2271,Sheet1!$E$3:$G$27,3,0),"")</f>
        <v>Pemadaman,MCB Trip,Transmisi problem</v>
      </c>
      <c r="J2271" s="12" t="s">
        <v>112</v>
      </c>
      <c r="K2271" s="17">
        <v>46310.0</v>
      </c>
      <c r="L2271" s="17"/>
      <c r="M2271" s="12" t="s">
        <v>137</v>
      </c>
      <c r="N2271" s="18" t="s">
        <v>737</v>
      </c>
      <c r="O2271" s="22"/>
      <c r="P2271" s="22"/>
    </row>
    <row r="2272" ht="22.5" customHeight="1">
      <c r="A2272" s="12" t="s">
        <v>52</v>
      </c>
      <c r="B2272" s="20" t="str">
        <f>IFERROR(VLOOKUP(A2272,Sheet1!$E$3:$H$27,4,0),"")</f>
        <v>P1</v>
      </c>
      <c r="C2272" s="14" t="s">
        <v>738</v>
      </c>
      <c r="D2272" s="12" t="s">
        <v>42</v>
      </c>
      <c r="E2272" s="13" t="str">
        <f>IFERROR(VLOOKUP(D2272,Sheet1!$B$1:$C$45,2,0),"")</f>
        <v>TE</v>
      </c>
      <c r="F2272" s="12" t="s">
        <v>179</v>
      </c>
      <c r="G2272" s="12" t="s">
        <v>657</v>
      </c>
      <c r="H2272" s="15" t="str">
        <f>IFERROR(VLOOKUP(A2272,Sheet1!$E$3:$F$27,2,),"")</f>
        <v>Preventive</v>
      </c>
      <c r="I2272" s="16" t="str">
        <f>IFERROR(VLOOKUP(A2272,Sheet1!$E$3:$G$27,3,0),"")</f>
        <v>MCB trip/Power upnormal</v>
      </c>
      <c r="J2272" s="12" t="s">
        <v>112</v>
      </c>
      <c r="K2272" s="17">
        <v>46311.0</v>
      </c>
      <c r="L2272" s="17"/>
      <c r="M2272" s="12" t="s">
        <v>137</v>
      </c>
      <c r="N2272" s="23"/>
      <c r="O2272" s="22"/>
      <c r="P2272" s="22"/>
    </row>
    <row r="2273" ht="22.5" customHeight="1">
      <c r="A2273" s="12" t="s">
        <v>52</v>
      </c>
      <c r="B2273" s="20" t="str">
        <f>IFERROR(VLOOKUP(A2273,Sheet1!$E$3:$H$27,4,0),"")</f>
        <v>P1</v>
      </c>
      <c r="C2273" s="14" t="s">
        <v>739</v>
      </c>
      <c r="D2273" s="12" t="s">
        <v>77</v>
      </c>
      <c r="E2273" s="13" t="str">
        <f>IFERROR(VLOOKUP(D2273,Sheet1!$B$1:$C$45,2,0),"")</f>
        <v>TE</v>
      </c>
      <c r="F2273" s="12" t="s">
        <v>179</v>
      </c>
      <c r="G2273" s="12" t="s">
        <v>657</v>
      </c>
      <c r="H2273" s="15" t="str">
        <f>IFERROR(VLOOKUP(A2273,Sheet1!$E$3:$F$27,2,),"")</f>
        <v>Preventive</v>
      </c>
      <c r="I2273" s="16" t="str">
        <f>IFERROR(VLOOKUP(A2273,Sheet1!$E$3:$G$27,3,0),"")</f>
        <v>MCB trip/Power upnormal</v>
      </c>
      <c r="J2273" s="12" t="s">
        <v>112</v>
      </c>
      <c r="K2273" s="17">
        <v>46311.0</v>
      </c>
      <c r="L2273" s="17"/>
      <c r="M2273" s="12" t="s">
        <v>137</v>
      </c>
      <c r="N2273" s="23"/>
      <c r="O2273" s="22"/>
      <c r="P2273" s="22"/>
    </row>
    <row r="2274" ht="22.5" customHeight="1">
      <c r="A2274" s="12" t="s">
        <v>52</v>
      </c>
      <c r="B2274" s="20" t="str">
        <f>IFERROR(VLOOKUP(A2274,Sheet1!$E$3:$H$27,4,0),"")</f>
        <v>P1</v>
      </c>
      <c r="C2274" s="14" t="s">
        <v>740</v>
      </c>
      <c r="D2274" s="12" t="s">
        <v>712</v>
      </c>
      <c r="E2274" s="13" t="str">
        <f>IFERROR(VLOOKUP(D2274,Sheet1!$B$1:$C$45,2,0),"")</f>
        <v/>
      </c>
      <c r="F2274" s="12" t="s">
        <v>179</v>
      </c>
      <c r="G2274" s="12" t="s">
        <v>657</v>
      </c>
      <c r="H2274" s="15" t="str">
        <f>IFERROR(VLOOKUP(A2274,Sheet1!$E$3:$F$27,2,),"")</f>
        <v>Preventive</v>
      </c>
      <c r="I2274" s="16" t="str">
        <f>IFERROR(VLOOKUP(A2274,Sheet1!$E$3:$G$27,3,0),"")</f>
        <v>MCB trip/Power upnormal</v>
      </c>
      <c r="J2274" s="12" t="s">
        <v>112</v>
      </c>
      <c r="K2274" s="17">
        <v>46311.0</v>
      </c>
      <c r="L2274" s="17"/>
      <c r="M2274" s="12" t="s">
        <v>137</v>
      </c>
      <c r="N2274" s="23"/>
      <c r="O2274" s="22"/>
      <c r="P2274" s="22"/>
    </row>
    <row r="2275" ht="22.5" customHeight="1">
      <c r="A2275" s="12" t="s">
        <v>14</v>
      </c>
      <c r="B2275" s="20" t="str">
        <f>IFERROR(VLOOKUP(A2275,Sheet1!$E$3:$H$27,4,0),"")</f>
        <v>P1</v>
      </c>
      <c r="C2275" s="14" t="s">
        <v>468</v>
      </c>
      <c r="D2275" s="12" t="s">
        <v>80</v>
      </c>
      <c r="E2275" s="13" t="str">
        <f>IFERROR(VLOOKUP(D2275,Sheet1!$B$1:$C$45,2,0),"")</f>
        <v>TE</v>
      </c>
      <c r="F2275" s="12" t="s">
        <v>179</v>
      </c>
      <c r="G2275" s="12" t="s">
        <v>657</v>
      </c>
      <c r="H2275" s="15" t="str">
        <f>IFERROR(VLOOKUP(A2275,Sheet1!$E$3:$F$27,2,),"")</f>
        <v>Corrective</v>
      </c>
      <c r="I2275" s="16" t="str">
        <f>IFERROR(VLOOKUP(A2275,Sheet1!$E$3:$G$27,3,0),"")</f>
        <v>Pemadaman,MCB Trip,Transmisi problem</v>
      </c>
      <c r="J2275" s="12" t="s">
        <v>112</v>
      </c>
      <c r="K2275" s="17">
        <v>46311.0</v>
      </c>
      <c r="L2275" s="17"/>
      <c r="M2275" s="12" t="s">
        <v>137</v>
      </c>
      <c r="N2275" s="23"/>
      <c r="O2275" s="22"/>
      <c r="P2275" s="22"/>
    </row>
    <row r="2276" ht="22.5" customHeight="1">
      <c r="A2276" s="12" t="s">
        <v>22</v>
      </c>
      <c r="B2276" s="20" t="str">
        <f>IFERROR(VLOOKUP(A2276,Sheet1!$E$3:$H$27,4,0),"")</f>
        <v>P2</v>
      </c>
      <c r="C2276" s="14" t="s">
        <v>426</v>
      </c>
      <c r="D2276" s="12" t="s">
        <v>78</v>
      </c>
      <c r="E2276" s="13" t="str">
        <f>IFERROR(VLOOKUP(D2276,Sheet1!$B$1:$C$45,2,0),"")</f>
        <v>TE</v>
      </c>
      <c r="F2276" s="12" t="s">
        <v>179</v>
      </c>
      <c r="G2276" s="12" t="s">
        <v>657</v>
      </c>
      <c r="H2276" s="15" t="str">
        <f>IFERROR(VLOOKUP(A2276,Sheet1!$E$3:$F$27,2,),"")</f>
        <v>Preventive</v>
      </c>
      <c r="I2276" s="16" t="str">
        <f>IFERROR(VLOOKUP(A2276,Sheet1!$E$3:$G$27,3,0),"")</f>
        <v>Preventive Maintenance</v>
      </c>
      <c r="J2276" s="12" t="s">
        <v>112</v>
      </c>
      <c r="K2276" s="17">
        <v>46311.0</v>
      </c>
      <c r="L2276" s="17"/>
      <c r="M2276" s="12" t="s">
        <v>137</v>
      </c>
      <c r="N2276" s="23"/>
      <c r="O2276" s="22"/>
      <c r="P2276" s="22"/>
    </row>
    <row r="2277" ht="22.5" customHeight="1">
      <c r="A2277" s="12" t="s">
        <v>22</v>
      </c>
      <c r="B2277" s="20" t="str">
        <f>IFERROR(VLOOKUP(A2277,Sheet1!$E$3:$H$27,4,0),"")</f>
        <v>P2</v>
      </c>
      <c r="C2277" s="14" t="s">
        <v>426</v>
      </c>
      <c r="D2277" s="12" t="s">
        <v>39</v>
      </c>
      <c r="E2277" s="13" t="str">
        <f>IFERROR(VLOOKUP(D2277,Sheet1!$B$1:$C$45,2,0),"")</f>
        <v>TE</v>
      </c>
      <c r="F2277" s="12" t="s">
        <v>179</v>
      </c>
      <c r="G2277" s="12" t="s">
        <v>657</v>
      </c>
      <c r="H2277" s="15" t="str">
        <f>IFERROR(VLOOKUP(A2277,Sheet1!$E$3:$F$27,2,),"")</f>
        <v>Preventive</v>
      </c>
      <c r="I2277" s="16" t="str">
        <f>IFERROR(VLOOKUP(A2277,Sheet1!$E$3:$G$27,3,0),"")</f>
        <v>Preventive Maintenance</v>
      </c>
      <c r="J2277" s="12" t="s">
        <v>112</v>
      </c>
      <c r="K2277" s="17">
        <v>46311.0</v>
      </c>
      <c r="L2277" s="17"/>
      <c r="M2277" s="12" t="s">
        <v>137</v>
      </c>
      <c r="N2277" s="23"/>
      <c r="O2277" s="22"/>
      <c r="P2277" s="22"/>
    </row>
    <row r="2278" ht="22.5" customHeight="1">
      <c r="A2278" s="12" t="s">
        <v>33</v>
      </c>
      <c r="B2278" s="20" t="str">
        <f>IFERROR(VLOOKUP(A2278,Sheet1!$E$3:$H$27,4,0),"")</f>
        <v>P2</v>
      </c>
      <c r="C2278" s="14" t="s">
        <v>338</v>
      </c>
      <c r="D2278" s="12" t="s">
        <v>37</v>
      </c>
      <c r="E2278" s="13" t="str">
        <f>IFERROR(VLOOKUP(D2278,Sheet1!$B$1:$C$45,2,0),"")</f>
        <v>TE</v>
      </c>
      <c r="F2278" s="12" t="s">
        <v>179</v>
      </c>
      <c r="G2278" s="12" t="s">
        <v>657</v>
      </c>
      <c r="H2278" s="15" t="str">
        <f>IFERROR(VLOOKUP(A2278,Sheet1!$E$3:$F$27,2,),"")</f>
        <v>Preventive</v>
      </c>
      <c r="I2278" s="16" t="str">
        <f>IFERROR(VLOOKUP(A2278,Sheet1!$E$3:$G$27,3,0),"")</f>
        <v>Pengukuran dan pengambilan data log serta input Gdoc BBT</v>
      </c>
      <c r="J2278" s="12" t="s">
        <v>112</v>
      </c>
      <c r="K2278" s="17">
        <v>46311.0</v>
      </c>
      <c r="L2278" s="17"/>
      <c r="M2278" s="12" t="s">
        <v>137</v>
      </c>
      <c r="N2278" s="23"/>
      <c r="O2278" s="22"/>
      <c r="P2278" s="22"/>
    </row>
    <row r="2279" ht="22.5" customHeight="1">
      <c r="A2279" s="12" t="s">
        <v>55</v>
      </c>
      <c r="B2279" s="20" t="str">
        <f>IFERROR(VLOOKUP(A2279,Sheet1!$E$3:$H$27,4,0),"")</f>
        <v>P2</v>
      </c>
      <c r="C2279" s="14" t="s">
        <v>338</v>
      </c>
      <c r="D2279" s="12" t="s">
        <v>76</v>
      </c>
      <c r="E2279" s="13" t="str">
        <f>IFERROR(VLOOKUP(D2279,Sheet1!$B$1:$C$45,2,0),"")</f>
        <v>TE</v>
      </c>
      <c r="F2279" s="12" t="s">
        <v>179</v>
      </c>
      <c r="G2279" s="12" t="s">
        <v>657</v>
      </c>
      <c r="H2279" s="15" t="str">
        <f>IFERROR(VLOOKUP(A2279,Sheet1!$E$3:$F$27,2,),"")</f>
        <v>Corrective</v>
      </c>
      <c r="I2279" s="16" t="str">
        <f>IFERROR(VLOOKUP(A2279,Sheet1!$E$3:$G$27,3,0),"")</f>
        <v>Penambahan Modul Recti</v>
      </c>
      <c r="J2279" s="12" t="s">
        <v>112</v>
      </c>
      <c r="K2279" s="17">
        <v>46311.0</v>
      </c>
      <c r="L2279" s="17"/>
      <c r="M2279" s="12" t="s">
        <v>137</v>
      </c>
      <c r="N2279" s="23"/>
      <c r="O2279" s="22"/>
      <c r="P2279" s="22"/>
    </row>
    <row r="2280" ht="22.5" customHeight="1">
      <c r="A2280" s="12" t="s">
        <v>5</v>
      </c>
      <c r="B2280" s="20" t="str">
        <f>IFERROR(VLOOKUP(A2280,Sheet1!$E$3:$H$27,4,0),"")</f>
        <v>P1</v>
      </c>
      <c r="C2280" s="14" t="s">
        <v>741</v>
      </c>
      <c r="D2280" s="12" t="s">
        <v>80</v>
      </c>
      <c r="E2280" s="13" t="str">
        <f>IFERROR(VLOOKUP(D2280,Sheet1!$B$1:$C$45,2,0),"")</f>
        <v>TE</v>
      </c>
      <c r="F2280" s="12" t="s">
        <v>179</v>
      </c>
      <c r="G2280" s="12" t="s">
        <v>657</v>
      </c>
      <c r="H2280" s="15" t="str">
        <f>IFERROR(VLOOKUP(A2280,Sheet1!$E$3:$F$27,2,),"")</f>
        <v>Corrective</v>
      </c>
      <c r="I2280" s="16" t="str">
        <f>IFERROR(VLOOKUP(A2280,Sheet1!$E$3:$G$27,3,0),"")</f>
        <v>Replace Optik,RRU/Soket Power/Replace GPS</v>
      </c>
      <c r="J2280" s="12" t="s">
        <v>112</v>
      </c>
      <c r="K2280" s="17">
        <v>46311.0</v>
      </c>
      <c r="L2280" s="17"/>
      <c r="M2280" s="12" t="s">
        <v>137</v>
      </c>
      <c r="N2280" s="23"/>
      <c r="O2280" s="22"/>
      <c r="P2280" s="22"/>
    </row>
    <row r="2281" ht="22.5" customHeight="1">
      <c r="A2281" s="12" t="s">
        <v>5</v>
      </c>
      <c r="B2281" s="20" t="str">
        <f>IFERROR(VLOOKUP(A2281,Sheet1!$E$3:$H$27,4,0),"")</f>
        <v>P1</v>
      </c>
      <c r="C2281" s="14" t="s">
        <v>477</v>
      </c>
      <c r="D2281" s="12" t="s">
        <v>698</v>
      </c>
      <c r="E2281" s="12" t="s">
        <v>13</v>
      </c>
      <c r="F2281" s="12" t="s">
        <v>179</v>
      </c>
      <c r="G2281" s="12" t="s">
        <v>657</v>
      </c>
      <c r="H2281" s="15" t="str">
        <f>IFERROR(VLOOKUP(A2281,Sheet1!$E$3:$F$27,2,),"")</f>
        <v>Corrective</v>
      </c>
      <c r="I2281" s="16" t="str">
        <f>IFERROR(VLOOKUP(A2281,Sheet1!$E$3:$G$27,3,0),"")</f>
        <v>Replace Optik,RRU/Soket Power/Replace GPS</v>
      </c>
      <c r="J2281" s="12" t="s">
        <v>112</v>
      </c>
      <c r="K2281" s="17">
        <v>46311.0</v>
      </c>
      <c r="L2281" s="17"/>
      <c r="M2281" s="12" t="s">
        <v>137</v>
      </c>
      <c r="N2281" s="23"/>
      <c r="O2281" s="22"/>
      <c r="P2281" s="22"/>
    </row>
    <row r="2282" ht="22.5" customHeight="1">
      <c r="A2282" s="12" t="s">
        <v>33</v>
      </c>
      <c r="B2282" s="20" t="str">
        <f>IFERROR(VLOOKUP(A2282,Sheet1!$E$3:$H$27,4,0),"")</f>
        <v>P2</v>
      </c>
      <c r="C2282" s="14" t="s">
        <v>443</v>
      </c>
      <c r="D2282" s="12" t="s">
        <v>51</v>
      </c>
      <c r="E2282" s="13" t="str">
        <f>IFERROR(VLOOKUP(D2282,Sheet1!$B$1:$C$45,2,0),"")</f>
        <v>TE</v>
      </c>
      <c r="F2282" s="12" t="s">
        <v>179</v>
      </c>
      <c r="G2282" s="12" t="s">
        <v>657</v>
      </c>
      <c r="H2282" s="15" t="str">
        <f>IFERROR(VLOOKUP(A2282,Sheet1!$E$3:$F$27,2,),"")</f>
        <v>Preventive</v>
      </c>
      <c r="I2282" s="16" t="str">
        <f>IFERROR(VLOOKUP(A2282,Sheet1!$E$3:$G$27,3,0),"")</f>
        <v>Pengukuran dan pengambilan data log serta input Gdoc BBT</v>
      </c>
      <c r="J2282" s="12" t="s">
        <v>112</v>
      </c>
      <c r="K2282" s="17">
        <v>46311.0</v>
      </c>
      <c r="L2282" s="17"/>
      <c r="M2282" s="12" t="s">
        <v>137</v>
      </c>
      <c r="N2282" s="23"/>
      <c r="O2282" s="22"/>
      <c r="P2282" s="22"/>
    </row>
    <row r="2283" ht="22.5" customHeight="1">
      <c r="A2283" s="12" t="s">
        <v>14</v>
      </c>
      <c r="B2283" s="20" t="str">
        <f>IFERROR(VLOOKUP(A2283,Sheet1!$E$3:$H$27,4,0),"")</f>
        <v>P1</v>
      </c>
      <c r="C2283" s="14" t="s">
        <v>593</v>
      </c>
      <c r="D2283" s="12" t="s">
        <v>71</v>
      </c>
      <c r="E2283" s="13" t="str">
        <f>IFERROR(VLOOKUP(D2283,Sheet1!$B$1:$C$45,2,0),"")</f>
        <v>TE</v>
      </c>
      <c r="F2283" s="12" t="s">
        <v>179</v>
      </c>
      <c r="G2283" s="12" t="s">
        <v>657</v>
      </c>
      <c r="H2283" s="15" t="str">
        <f>IFERROR(VLOOKUP(A2283,Sheet1!$E$3:$F$27,2,),"")</f>
        <v>Corrective</v>
      </c>
      <c r="I2283" s="16" t="str">
        <f>IFERROR(VLOOKUP(A2283,Sheet1!$E$3:$G$27,3,0),"")</f>
        <v>Pemadaman,MCB Trip,Transmisi problem</v>
      </c>
      <c r="J2283" s="12" t="s">
        <v>112</v>
      </c>
      <c r="K2283" s="17">
        <v>46311.0</v>
      </c>
      <c r="L2283" s="17"/>
      <c r="M2283" s="12" t="s">
        <v>137</v>
      </c>
      <c r="N2283" s="23"/>
      <c r="O2283" s="22"/>
      <c r="P2283" s="22"/>
    </row>
    <row r="2284" ht="22.5" customHeight="1">
      <c r="A2284" s="12" t="s">
        <v>52</v>
      </c>
      <c r="B2284" s="20" t="str">
        <f>IFERROR(VLOOKUP(A2284,Sheet1!$E$3:$H$27,4,0),"")</f>
        <v>P1</v>
      </c>
      <c r="C2284" s="14" t="s">
        <v>348</v>
      </c>
      <c r="D2284" s="12" t="s">
        <v>69</v>
      </c>
      <c r="E2284" s="13" t="str">
        <f>IFERROR(VLOOKUP(D2284,Sheet1!$B$1:$C$45,2,0),"")</f>
        <v>TE</v>
      </c>
      <c r="F2284" s="12" t="s">
        <v>179</v>
      </c>
      <c r="G2284" s="12" t="s">
        <v>657</v>
      </c>
      <c r="H2284" s="15" t="str">
        <f>IFERROR(VLOOKUP(A2284,Sheet1!$E$3:$F$27,2,),"")</f>
        <v>Preventive</v>
      </c>
      <c r="I2284" s="16" t="str">
        <f>IFERROR(VLOOKUP(A2284,Sheet1!$E$3:$G$27,3,0),"")</f>
        <v>MCB trip/Power upnormal</v>
      </c>
      <c r="J2284" s="12" t="s">
        <v>112</v>
      </c>
      <c r="K2284" s="17">
        <v>46311.0</v>
      </c>
      <c r="L2284" s="17"/>
      <c r="M2284" s="12" t="s">
        <v>137</v>
      </c>
      <c r="N2284" s="23"/>
      <c r="O2284" s="22"/>
      <c r="P2284" s="22"/>
    </row>
    <row r="2285" ht="22.5" customHeight="1">
      <c r="A2285" s="12" t="s">
        <v>33</v>
      </c>
      <c r="B2285" s="20" t="str">
        <f>IFERROR(VLOOKUP(A2285,Sheet1!$E$3:$H$27,4,0),"")</f>
        <v>P2</v>
      </c>
      <c r="C2285" s="14" t="s">
        <v>742</v>
      </c>
      <c r="D2285" s="12" t="s">
        <v>58</v>
      </c>
      <c r="E2285" s="13" t="str">
        <f>IFERROR(VLOOKUP(D2285,Sheet1!$B$1:$C$45,2,0),"")</f>
        <v>TE</v>
      </c>
      <c r="F2285" s="12" t="s">
        <v>179</v>
      </c>
      <c r="G2285" s="12" t="s">
        <v>657</v>
      </c>
      <c r="H2285" s="15" t="str">
        <f>IFERROR(VLOOKUP(A2285,Sheet1!$E$3:$F$27,2,),"")</f>
        <v>Preventive</v>
      </c>
      <c r="I2285" s="16" t="str">
        <f>IFERROR(VLOOKUP(A2285,Sheet1!$E$3:$G$27,3,0),"")</f>
        <v>Pengukuran dan pengambilan data log serta input Gdoc BBT</v>
      </c>
      <c r="J2285" s="12" t="s">
        <v>112</v>
      </c>
      <c r="K2285" s="17">
        <v>46311.0</v>
      </c>
      <c r="L2285" s="17"/>
      <c r="M2285" s="12" t="s">
        <v>137</v>
      </c>
      <c r="N2285" s="23"/>
      <c r="O2285" s="22"/>
      <c r="P2285" s="22"/>
    </row>
    <row r="2286" ht="22.5" customHeight="1">
      <c r="A2286" s="12" t="s">
        <v>14</v>
      </c>
      <c r="B2286" s="20" t="str">
        <f>IFERROR(VLOOKUP(A2286,Sheet1!$E$3:$H$27,4,0),"")</f>
        <v>P1</v>
      </c>
      <c r="C2286" s="14" t="s">
        <v>701</v>
      </c>
      <c r="D2286" s="12" t="s">
        <v>91</v>
      </c>
      <c r="E2286" s="13" t="str">
        <f>IFERROR(VLOOKUP(D2286,Sheet1!$B$1:$C$45,2,0),"")</f>
        <v>TE</v>
      </c>
      <c r="F2286" s="12" t="s">
        <v>179</v>
      </c>
      <c r="G2286" s="12" t="s">
        <v>657</v>
      </c>
      <c r="H2286" s="15" t="str">
        <f>IFERROR(VLOOKUP(A2286,Sheet1!$E$3:$F$27,2,),"")</f>
        <v>Corrective</v>
      </c>
      <c r="I2286" s="16" t="str">
        <f>IFERROR(VLOOKUP(A2286,Sheet1!$E$3:$G$27,3,0),"")</f>
        <v>Pemadaman,MCB Trip,Transmisi problem</v>
      </c>
      <c r="J2286" s="12" t="s">
        <v>112</v>
      </c>
      <c r="K2286" s="17">
        <v>46311.0</v>
      </c>
      <c r="L2286" s="17"/>
      <c r="M2286" s="12" t="s">
        <v>137</v>
      </c>
      <c r="N2286" s="23"/>
      <c r="O2286" s="22"/>
      <c r="P2286" s="22"/>
    </row>
    <row r="2287" ht="22.5" customHeight="1">
      <c r="A2287" s="12" t="s">
        <v>14</v>
      </c>
      <c r="B2287" s="20" t="str">
        <f>IFERROR(VLOOKUP(A2287,Sheet1!$E$3:$H$27,4,0),"")</f>
        <v>P1</v>
      </c>
      <c r="C2287" s="14" t="s">
        <v>705</v>
      </c>
      <c r="D2287" s="12" t="s">
        <v>736</v>
      </c>
      <c r="E2287" s="12" t="s">
        <v>13</v>
      </c>
      <c r="F2287" s="12" t="s">
        <v>179</v>
      </c>
      <c r="G2287" s="12" t="s">
        <v>657</v>
      </c>
      <c r="H2287" s="15" t="str">
        <f>IFERROR(VLOOKUP(A2287,Sheet1!$E$3:$F$27,2,),"")</f>
        <v>Corrective</v>
      </c>
      <c r="I2287" s="16" t="str">
        <f>IFERROR(VLOOKUP(A2287,Sheet1!$E$3:$G$27,3,0),"")</f>
        <v>Pemadaman,MCB Trip,Transmisi problem</v>
      </c>
      <c r="J2287" s="12" t="s">
        <v>112</v>
      </c>
      <c r="K2287" s="17">
        <v>46311.0</v>
      </c>
      <c r="L2287" s="17"/>
      <c r="M2287" s="12" t="s">
        <v>137</v>
      </c>
      <c r="N2287" s="23"/>
      <c r="O2287" s="22"/>
      <c r="P2287" s="22"/>
    </row>
    <row r="2288" ht="22.5" customHeight="1">
      <c r="A2288" s="12" t="s">
        <v>14</v>
      </c>
      <c r="B2288" s="20" t="str">
        <f>IFERROR(VLOOKUP(A2288,Sheet1!$E$3:$H$27,4,0),"")</f>
        <v>P1</v>
      </c>
      <c r="C2288" s="14" t="s">
        <v>419</v>
      </c>
      <c r="D2288" s="12" t="s">
        <v>75</v>
      </c>
      <c r="E2288" s="13" t="str">
        <f>IFERROR(VLOOKUP(D2288,Sheet1!$B$1:$C$45,2,0),"")</f>
        <v>CME</v>
      </c>
      <c r="F2288" s="12" t="s">
        <v>179</v>
      </c>
      <c r="G2288" s="12" t="s">
        <v>657</v>
      </c>
      <c r="H2288" s="15" t="str">
        <f>IFERROR(VLOOKUP(A2288,Sheet1!$E$3:$F$27,2,),"")</f>
        <v>Corrective</v>
      </c>
      <c r="I2288" s="16" t="str">
        <f>IFERROR(VLOOKUP(A2288,Sheet1!$E$3:$G$27,3,0),"")</f>
        <v>Pemadaman,MCB Trip,Transmisi problem</v>
      </c>
      <c r="J2288" s="12" t="s">
        <v>112</v>
      </c>
      <c r="K2288" s="17">
        <v>46311.0</v>
      </c>
      <c r="L2288" s="17"/>
      <c r="M2288" s="12" t="s">
        <v>137</v>
      </c>
      <c r="N2288" s="23"/>
      <c r="O2288" s="22"/>
      <c r="P2288" s="22"/>
    </row>
    <row r="2289" ht="22.5" customHeight="1">
      <c r="A2289" s="12" t="s">
        <v>65</v>
      </c>
      <c r="B2289" s="20" t="str">
        <f>IFERROR(VLOOKUP(A2289,Sheet1!$E$3:$H$27,4,0),"")</f>
        <v>P3</v>
      </c>
      <c r="C2289" s="15"/>
      <c r="D2289" s="12" t="s">
        <v>89</v>
      </c>
      <c r="E2289" s="13" t="str">
        <f>IFERROR(VLOOKUP(D2289,Sheet1!$B$1:$C$45,2,0),"")</f>
        <v>TE</v>
      </c>
      <c r="F2289" s="12" t="s">
        <v>179</v>
      </c>
      <c r="G2289" s="12" t="s">
        <v>657</v>
      </c>
      <c r="H2289" s="15" t="str">
        <f>IFERROR(VLOOKUP(A2289,Sheet1!$E$3:$F$27,2,),"")</f>
        <v>Standby</v>
      </c>
      <c r="I2289" s="16" t="str">
        <f>IFERROR(VLOOKUP(A2289,Sheet1!$E$3:$G$27,3,0),"")</f>
        <v>Standby On Call</v>
      </c>
      <c r="J2289" s="12" t="s">
        <v>66</v>
      </c>
      <c r="K2289" s="17">
        <v>46311.0</v>
      </c>
      <c r="L2289" s="17"/>
      <c r="M2289" s="12" t="s">
        <v>137</v>
      </c>
      <c r="N2289" s="23"/>
      <c r="O2289" s="22"/>
      <c r="P2289" s="22"/>
    </row>
    <row r="2290" ht="22.5" customHeight="1">
      <c r="A2290" s="12" t="s">
        <v>52</v>
      </c>
      <c r="B2290" s="20" t="str">
        <f>IFERROR(VLOOKUP(A2290,Sheet1!$E$3:$H$27,4,0),"")</f>
        <v>P1</v>
      </c>
      <c r="C2290" s="14" t="s">
        <v>394</v>
      </c>
      <c r="D2290" s="12" t="s">
        <v>54</v>
      </c>
      <c r="E2290" s="13" t="str">
        <f>IFERROR(VLOOKUP(D2290,Sheet1!$B$1:$C$45,2,0),"")</f>
        <v>MBP</v>
      </c>
      <c r="F2290" s="12" t="s">
        <v>179</v>
      </c>
      <c r="G2290" s="12" t="s">
        <v>657</v>
      </c>
      <c r="H2290" s="15" t="str">
        <f>IFERROR(VLOOKUP(A2290,Sheet1!$E$3:$F$27,2,),"")</f>
        <v>Preventive</v>
      </c>
      <c r="I2290" s="16" t="str">
        <f>IFERROR(VLOOKUP(A2290,Sheet1!$E$3:$G$27,3,0),"")</f>
        <v>MCB trip/Power upnormal</v>
      </c>
      <c r="J2290" s="12" t="s">
        <v>112</v>
      </c>
      <c r="K2290" s="17">
        <v>46311.0</v>
      </c>
      <c r="L2290" s="17"/>
      <c r="M2290" s="12" t="s">
        <v>137</v>
      </c>
      <c r="N2290" s="23"/>
      <c r="O2290" s="22"/>
      <c r="P2290" s="22"/>
    </row>
    <row r="2291" ht="22.5" customHeight="1">
      <c r="A2291" s="12" t="s">
        <v>65</v>
      </c>
      <c r="B2291" s="20" t="str">
        <f>IFERROR(VLOOKUP(A2291,Sheet1!$E$3:$H$27,4,0),"")</f>
        <v>P3</v>
      </c>
      <c r="C2291" s="15"/>
      <c r="D2291" s="12" t="s">
        <v>743</v>
      </c>
      <c r="E2291" s="12" t="s">
        <v>1</v>
      </c>
      <c r="F2291" s="12" t="s">
        <v>179</v>
      </c>
      <c r="G2291" s="12" t="s">
        <v>657</v>
      </c>
      <c r="H2291" s="15" t="str">
        <f>IFERROR(VLOOKUP(A2291,Sheet1!$E$3:$F$27,2,),"")</f>
        <v>Standby</v>
      </c>
      <c r="I2291" s="16" t="str">
        <f>IFERROR(VLOOKUP(A2291,Sheet1!$E$3:$G$27,3,0),"")</f>
        <v>Standby On Call</v>
      </c>
      <c r="J2291" s="12" t="s">
        <v>66</v>
      </c>
      <c r="K2291" s="17">
        <v>46311.0</v>
      </c>
      <c r="L2291" s="17"/>
      <c r="M2291" s="12" t="s">
        <v>137</v>
      </c>
      <c r="N2291" s="23"/>
      <c r="O2291" s="22"/>
      <c r="P2291" s="22"/>
    </row>
    <row r="2292" ht="22.5" customHeight="1">
      <c r="A2292" s="12" t="s">
        <v>70</v>
      </c>
      <c r="B2292" s="20" t="str">
        <f>IFERROR(VLOOKUP(A2292,Sheet1!$E$3:$H$27,4,0),"")</f>
        <v>P3</v>
      </c>
      <c r="C2292" s="15"/>
      <c r="D2292" s="12" t="s">
        <v>744</v>
      </c>
      <c r="E2292" s="12" t="s">
        <v>1</v>
      </c>
      <c r="F2292" s="12" t="s">
        <v>179</v>
      </c>
      <c r="G2292" s="12" t="s">
        <v>657</v>
      </c>
      <c r="H2292" s="15" t="str">
        <f>IFERROR(VLOOKUP(A2292,Sheet1!$E$3:$F$27,2,),"")</f>
        <v>Sick</v>
      </c>
      <c r="I2292" s="16" t="str">
        <f>IFERROR(VLOOKUP(A2292,Sheet1!$E$3:$G$27,3,0),"")</f>
        <v>Sick</v>
      </c>
      <c r="J2292" s="12" t="s">
        <v>66</v>
      </c>
      <c r="K2292" s="17">
        <v>46311.0</v>
      </c>
      <c r="L2292" s="17"/>
      <c r="M2292" s="12" t="s">
        <v>137</v>
      </c>
      <c r="N2292" s="23"/>
      <c r="O2292" s="22"/>
      <c r="P2292" s="22"/>
    </row>
    <row r="2293" ht="22.5" customHeight="1">
      <c r="A2293" s="12" t="s">
        <v>22</v>
      </c>
      <c r="B2293" s="20" t="str">
        <f>IFERROR(VLOOKUP(A2293,Sheet1!$E$3:$H$27,4,0),"")</f>
        <v>P2</v>
      </c>
      <c r="C2293" s="14" t="s">
        <v>745</v>
      </c>
      <c r="D2293" s="12" t="s">
        <v>82</v>
      </c>
      <c r="E2293" s="13" t="str">
        <f>IFERROR(VLOOKUP(D2293,Sheet1!$B$1:$C$45,2,0),"")</f>
        <v>PM</v>
      </c>
      <c r="F2293" s="12" t="s">
        <v>179</v>
      </c>
      <c r="G2293" s="12" t="s">
        <v>657</v>
      </c>
      <c r="H2293" s="15" t="str">
        <f>IFERROR(VLOOKUP(A2293,Sheet1!$E$3:$F$27,2,),"")</f>
        <v>Preventive</v>
      </c>
      <c r="I2293" s="16" t="str">
        <f>IFERROR(VLOOKUP(A2293,Sheet1!$E$3:$G$27,3,0),"")</f>
        <v>Preventive Maintenance</v>
      </c>
      <c r="J2293" s="12" t="s">
        <v>112</v>
      </c>
      <c r="K2293" s="17">
        <v>46311.0</v>
      </c>
      <c r="L2293" s="17"/>
      <c r="M2293" s="12" t="s">
        <v>137</v>
      </c>
      <c r="N2293" s="23"/>
      <c r="O2293" s="22"/>
      <c r="P2293" s="22"/>
    </row>
    <row r="2294" ht="22.5" customHeight="1">
      <c r="A2294" s="12" t="s">
        <v>22</v>
      </c>
      <c r="B2294" s="20" t="str">
        <f>IFERROR(VLOOKUP(A2294,Sheet1!$E$3:$H$27,4,0),"")</f>
        <v>P2</v>
      </c>
      <c r="C2294" s="14" t="s">
        <v>745</v>
      </c>
      <c r="D2294" s="12" t="s">
        <v>83</v>
      </c>
      <c r="E2294" s="13" t="str">
        <f>IFERROR(VLOOKUP(D2294,Sheet1!$B$1:$C$45,2,0),"")</f>
        <v>PM</v>
      </c>
      <c r="F2294" s="12" t="s">
        <v>179</v>
      </c>
      <c r="G2294" s="12" t="s">
        <v>657</v>
      </c>
      <c r="H2294" s="15" t="str">
        <f>IFERROR(VLOOKUP(A2294,Sheet1!$E$3:$F$27,2,),"")</f>
        <v>Preventive</v>
      </c>
      <c r="I2294" s="16" t="str">
        <f>IFERROR(VLOOKUP(A2294,Sheet1!$E$3:$G$27,3,0),"")</f>
        <v>Preventive Maintenance</v>
      </c>
      <c r="J2294" s="12" t="s">
        <v>112</v>
      </c>
      <c r="K2294" s="17">
        <v>46311.0</v>
      </c>
      <c r="L2294" s="17"/>
      <c r="M2294" s="12" t="s">
        <v>137</v>
      </c>
      <c r="N2294" s="23"/>
      <c r="O2294" s="22"/>
      <c r="P2294" s="22"/>
    </row>
    <row r="2295" ht="22.5" customHeight="1">
      <c r="A2295" s="12" t="s">
        <v>22</v>
      </c>
      <c r="B2295" s="20" t="str">
        <f>IFERROR(VLOOKUP(A2295,Sheet1!$E$3:$H$27,4,0),"")</f>
        <v>P2</v>
      </c>
      <c r="C2295" s="14" t="s">
        <v>745</v>
      </c>
      <c r="D2295" s="12" t="s">
        <v>88</v>
      </c>
      <c r="E2295" s="13" t="str">
        <f>IFERROR(VLOOKUP(D2295,Sheet1!$B$1:$C$45,2,0),"")</f>
        <v>TE</v>
      </c>
      <c r="F2295" s="12" t="s">
        <v>179</v>
      </c>
      <c r="G2295" s="12" t="s">
        <v>657</v>
      </c>
      <c r="H2295" s="15" t="str">
        <f>IFERROR(VLOOKUP(A2295,Sheet1!$E$3:$F$27,2,),"")</f>
        <v>Preventive</v>
      </c>
      <c r="I2295" s="16" t="str">
        <f>IFERROR(VLOOKUP(A2295,Sheet1!$E$3:$G$27,3,0),"")</f>
        <v>Preventive Maintenance</v>
      </c>
      <c r="J2295" s="12" t="s">
        <v>112</v>
      </c>
      <c r="K2295" s="17">
        <v>46311.0</v>
      </c>
      <c r="L2295" s="17"/>
      <c r="M2295" s="12" t="s">
        <v>137</v>
      </c>
      <c r="N2295" s="23"/>
      <c r="O2295" s="22"/>
      <c r="P2295" s="22"/>
    </row>
    <row r="2296" ht="22.5" customHeight="1">
      <c r="A2296" s="26"/>
      <c r="B2296" s="20" t="str">
        <f>IFERROR(VLOOKUP(A2297,Sheet1!$E$3:$H$27,4,0),"")</f>
        <v>P1</v>
      </c>
      <c r="C2296" s="14" t="s">
        <v>746</v>
      </c>
      <c r="D2296" s="12" t="s">
        <v>80</v>
      </c>
      <c r="E2296" s="13" t="str">
        <f>IFERROR(VLOOKUP(D2296,Sheet1!$B$1:$C$45,2,0),"")</f>
        <v>TE</v>
      </c>
      <c r="F2296" s="12" t="s">
        <v>179</v>
      </c>
      <c r="G2296" s="12" t="s">
        <v>657</v>
      </c>
      <c r="H2296" s="15" t="str">
        <f>IFERROR(VLOOKUP(A2297,Sheet1!$E$3:$F$27,2,),"")</f>
        <v>Corrective</v>
      </c>
      <c r="I2296" s="16" t="str">
        <f>IFERROR(VLOOKUP(A2297,Sheet1!$E$3:$G$27,3,0),"")</f>
        <v>Replace Optik,RRU/Soket Power/Replace GPS</v>
      </c>
      <c r="J2296" s="12" t="s">
        <v>112</v>
      </c>
      <c r="K2296" s="17">
        <v>46314.0</v>
      </c>
      <c r="L2296" s="17">
        <v>46314.0</v>
      </c>
      <c r="M2296" s="12" t="s">
        <v>122</v>
      </c>
      <c r="N2296" s="18" t="s">
        <v>747</v>
      </c>
      <c r="O2296" s="22"/>
      <c r="P2296" s="22"/>
    </row>
    <row r="2297" ht="22.5" customHeight="1">
      <c r="A2297" s="12" t="s">
        <v>5</v>
      </c>
      <c r="B2297" s="20" t="str">
        <f>IFERROR(VLOOKUP(A2298,Sheet1!$E$3:$H$27,4,0),"")</f>
        <v>P2</v>
      </c>
      <c r="C2297" s="14" t="s">
        <v>635</v>
      </c>
      <c r="D2297" s="12" t="s">
        <v>78</v>
      </c>
      <c r="E2297" s="13" t="str">
        <f>IFERROR(VLOOKUP(D2297,Sheet1!$B$1:$C$45,2,0),"")</f>
        <v>TE</v>
      </c>
      <c r="F2297" s="12" t="s">
        <v>179</v>
      </c>
      <c r="G2297" s="12" t="s">
        <v>657</v>
      </c>
      <c r="H2297" s="15" t="str">
        <f>IFERROR(VLOOKUP(A2298,Sheet1!$E$3:$F$27,2,),"")</f>
        <v>Preventive</v>
      </c>
      <c r="I2297" s="16" t="str">
        <f>IFERROR(VLOOKUP(A2298,Sheet1!$E$3:$G$27,3,0),"")</f>
        <v>Pengukuran dan pengambilan data log serta input Gdoc BBT</v>
      </c>
      <c r="J2297" s="12" t="s">
        <v>112</v>
      </c>
      <c r="K2297" s="17">
        <v>46314.0</v>
      </c>
      <c r="L2297" s="17">
        <v>46314.0</v>
      </c>
      <c r="M2297" s="12" t="s">
        <v>109</v>
      </c>
      <c r="N2297" s="23"/>
      <c r="O2297" s="22"/>
      <c r="P2297" s="22"/>
    </row>
    <row r="2298" ht="22.5" customHeight="1">
      <c r="A2298" s="12" t="s">
        <v>33</v>
      </c>
      <c r="B2298" s="20" t="str">
        <f>IFERROR(VLOOKUP(A2299,Sheet1!$E$3:$H$27,4,0),"")</f>
        <v>P1</v>
      </c>
      <c r="C2298" s="14" t="s">
        <v>701</v>
      </c>
      <c r="D2298" s="12" t="s">
        <v>76</v>
      </c>
      <c r="E2298" s="13" t="str">
        <f>IFERROR(VLOOKUP(D2298,Sheet1!$B$1:$C$45,2,0),"")</f>
        <v>TE</v>
      </c>
      <c r="F2298" s="12" t="s">
        <v>179</v>
      </c>
      <c r="G2298" s="12" t="s">
        <v>657</v>
      </c>
      <c r="H2298" s="15" t="str">
        <f>IFERROR(VLOOKUP(A2299,Sheet1!$E$3:$F$27,2,),"")</f>
        <v>Corrective</v>
      </c>
      <c r="I2298" s="16" t="str">
        <f>IFERROR(VLOOKUP(A2299,Sheet1!$E$3:$G$27,3,0),"")</f>
        <v>Pemadaman,MCB Trip,Transmisi problem</v>
      </c>
      <c r="J2298" s="12" t="s">
        <v>112</v>
      </c>
      <c r="K2298" s="17">
        <v>46314.0</v>
      </c>
      <c r="L2298" s="17"/>
      <c r="M2298" s="12" t="s">
        <v>137</v>
      </c>
      <c r="N2298" s="23"/>
      <c r="O2298" s="22"/>
      <c r="P2298" s="22"/>
    </row>
    <row r="2299" ht="22.5" customHeight="1">
      <c r="A2299" s="12" t="s">
        <v>14</v>
      </c>
      <c r="B2299" s="20" t="str">
        <f>IFERROR(VLOOKUP(A2300,Sheet1!$E$3:$H$27,4,0),"")</f>
        <v>P2</v>
      </c>
      <c r="C2299" s="14" t="s">
        <v>452</v>
      </c>
      <c r="D2299" s="12" t="s">
        <v>39</v>
      </c>
      <c r="E2299" s="13" t="str">
        <f>IFERROR(VLOOKUP(D2299,Sheet1!$B$1:$C$45,2,0),"")</f>
        <v>TE</v>
      </c>
      <c r="F2299" s="12" t="s">
        <v>179</v>
      </c>
      <c r="G2299" s="12" t="s">
        <v>657</v>
      </c>
      <c r="H2299" s="15" t="str">
        <f>IFERROR(VLOOKUP(A2300,Sheet1!$E$3:$F$27,2,),"")</f>
        <v>Preventive</v>
      </c>
      <c r="I2299" s="16" t="str">
        <f>IFERROR(VLOOKUP(A2300,Sheet1!$E$3:$G$27,3,0),"")</f>
        <v>Pengukuran dan pengambilan data log serta input Gdoc BBT</v>
      </c>
      <c r="J2299" s="12" t="s">
        <v>112</v>
      </c>
      <c r="K2299" s="17">
        <v>46314.0</v>
      </c>
      <c r="L2299" s="17">
        <v>46314.0</v>
      </c>
      <c r="M2299" s="12" t="s">
        <v>109</v>
      </c>
      <c r="N2299" s="23"/>
      <c r="O2299" s="22"/>
      <c r="P2299" s="22"/>
    </row>
    <row r="2300" ht="22.5" customHeight="1">
      <c r="A2300" s="12" t="s">
        <v>33</v>
      </c>
      <c r="B2300" s="20" t="str">
        <f>IFERROR(VLOOKUP(A2301,Sheet1!$E$3:$H$27,4,0),"")</f>
        <v>P2</v>
      </c>
      <c r="C2300" s="14" t="s">
        <v>748</v>
      </c>
      <c r="D2300" s="12" t="s">
        <v>77</v>
      </c>
      <c r="E2300" s="13" t="str">
        <f>IFERROR(VLOOKUP(D2300,Sheet1!$B$1:$C$45,2,0),"")</f>
        <v>TE</v>
      </c>
      <c r="F2300" s="12" t="s">
        <v>179</v>
      </c>
      <c r="G2300" s="12" t="s">
        <v>657</v>
      </c>
      <c r="H2300" s="15" t="str">
        <f>IFERROR(VLOOKUP(A2301,Sheet1!$E$3:$F$27,2,),"")</f>
        <v>Preventive</v>
      </c>
      <c r="I2300" s="16" t="str">
        <f>IFERROR(VLOOKUP(A2301,Sheet1!$E$3:$G$27,3,0),"")</f>
        <v>Pengukuran dan pengambilan data log serta input Gdoc BBT</v>
      </c>
      <c r="J2300" s="12" t="s">
        <v>112</v>
      </c>
      <c r="K2300" s="17">
        <v>46314.0</v>
      </c>
      <c r="L2300" s="17"/>
      <c r="M2300" s="12" t="s">
        <v>137</v>
      </c>
      <c r="N2300" s="23"/>
      <c r="O2300" s="22"/>
      <c r="P2300" s="22"/>
    </row>
    <row r="2301" ht="22.5" customHeight="1">
      <c r="A2301" s="12" t="s">
        <v>33</v>
      </c>
      <c r="B2301" s="20" t="str">
        <f>IFERROR(VLOOKUP(A2302,Sheet1!$E$3:$H$27,4,0),"")</f>
        <v>P1</v>
      </c>
      <c r="C2301" s="14" t="s">
        <v>701</v>
      </c>
      <c r="D2301" s="12" t="s">
        <v>42</v>
      </c>
      <c r="E2301" s="13" t="str">
        <f>IFERROR(VLOOKUP(D2301,Sheet1!$B$1:$C$45,2,0),"")</f>
        <v>TE</v>
      </c>
      <c r="F2301" s="12" t="s">
        <v>179</v>
      </c>
      <c r="G2301" s="12" t="s">
        <v>657</v>
      </c>
      <c r="H2301" s="15" t="str">
        <f>IFERROR(VLOOKUP(A2302,Sheet1!$E$3:$F$27,2,),"")</f>
        <v>Corrective</v>
      </c>
      <c r="I2301" s="16" t="str">
        <f>IFERROR(VLOOKUP(A2302,Sheet1!$E$3:$G$27,3,0),"")</f>
        <v>Pemadaman,MCB Trip,Transmisi problem</v>
      </c>
      <c r="J2301" s="12" t="s">
        <v>112</v>
      </c>
      <c r="K2301" s="17">
        <v>46314.0</v>
      </c>
      <c r="L2301" s="17"/>
      <c r="M2301" s="12" t="s">
        <v>137</v>
      </c>
      <c r="N2301" s="23"/>
      <c r="O2301" s="22"/>
      <c r="P2301" s="22"/>
    </row>
    <row r="2302" ht="22.5" customHeight="1">
      <c r="A2302" s="12" t="s">
        <v>14</v>
      </c>
      <c r="B2302" s="20" t="str">
        <f>IFERROR(VLOOKUP(A2303,Sheet1!$E$3:$H$27,4,0),"")</f>
        <v>P1</v>
      </c>
      <c r="C2302" s="14" t="s">
        <v>719</v>
      </c>
      <c r="D2302" s="12" t="s">
        <v>37</v>
      </c>
      <c r="E2302" s="13" t="str">
        <f>IFERROR(VLOOKUP(D2302,Sheet1!$B$1:$C$45,2,0),"")</f>
        <v>TE</v>
      </c>
      <c r="F2302" s="12" t="s">
        <v>179</v>
      </c>
      <c r="G2302" s="12" t="s">
        <v>657</v>
      </c>
      <c r="H2302" s="15" t="str">
        <f>IFERROR(VLOOKUP(A2303,Sheet1!$E$3:$F$27,2,),"")</f>
        <v>Preventive</v>
      </c>
      <c r="I2302" s="16" t="str">
        <f>IFERROR(VLOOKUP(A2303,Sheet1!$E$3:$G$27,3,0),"")</f>
        <v>MCB trip/Power upnormal</v>
      </c>
      <c r="J2302" s="12" t="s">
        <v>112</v>
      </c>
      <c r="K2302" s="17">
        <v>46314.0</v>
      </c>
      <c r="L2302" s="17">
        <v>46314.0</v>
      </c>
      <c r="M2302" s="12" t="s">
        <v>109</v>
      </c>
      <c r="N2302" s="23"/>
      <c r="O2302" s="22"/>
      <c r="P2302" s="22"/>
    </row>
    <row r="2303" ht="22.5" customHeight="1">
      <c r="A2303" s="12" t="s">
        <v>52</v>
      </c>
      <c r="B2303" s="20" t="str">
        <f>IFERROR(VLOOKUP(A2304,Sheet1!$E$3:$H$27,4,0),"")</f>
        <v>P1</v>
      </c>
      <c r="C2303" s="14" t="s">
        <v>680</v>
      </c>
      <c r="D2303" s="12" t="s">
        <v>698</v>
      </c>
      <c r="E2303" s="12" t="s">
        <v>13</v>
      </c>
      <c r="F2303" s="12" t="s">
        <v>179</v>
      </c>
      <c r="G2303" s="12" t="s">
        <v>657</v>
      </c>
      <c r="H2303" s="15" t="str">
        <f>IFERROR(VLOOKUP(A2304,Sheet1!$E$3:$F$27,2,),"")</f>
        <v>Corrective</v>
      </c>
      <c r="I2303" s="16" t="str">
        <f>IFERROR(VLOOKUP(A2304,Sheet1!$E$3:$G$27,3,0),"")</f>
        <v>Pemadaman,MCB Trip,Transmisi problem</v>
      </c>
      <c r="J2303" s="12" t="s">
        <v>112</v>
      </c>
      <c r="K2303" s="17">
        <v>46314.0</v>
      </c>
      <c r="L2303" s="17"/>
      <c r="M2303" s="12" t="s">
        <v>137</v>
      </c>
      <c r="N2303" s="23"/>
      <c r="O2303" s="22"/>
      <c r="P2303" s="22"/>
    </row>
    <row r="2304" ht="22.5" customHeight="1">
      <c r="A2304" s="12" t="s">
        <v>14</v>
      </c>
      <c r="B2304" s="20" t="str">
        <f>IFERROR(VLOOKUP(A2305,Sheet1!$E$3:$H$27,4,0),"")</f>
        <v>P2</v>
      </c>
      <c r="C2304" s="14" t="s">
        <v>601</v>
      </c>
      <c r="D2304" s="12" t="s">
        <v>51</v>
      </c>
      <c r="E2304" s="13" t="str">
        <f>IFERROR(VLOOKUP(D2304,Sheet1!$B$1:$C$45,2,0),"")</f>
        <v>TE</v>
      </c>
      <c r="F2304" s="12" t="s">
        <v>179</v>
      </c>
      <c r="G2304" s="12" t="s">
        <v>657</v>
      </c>
      <c r="H2304" s="15" t="str">
        <f>IFERROR(VLOOKUP(A2305,Sheet1!$E$3:$F$27,2,),"")</f>
        <v>Preventive</v>
      </c>
      <c r="I2304" s="16" t="str">
        <f>IFERROR(VLOOKUP(A2305,Sheet1!$E$3:$G$27,3,0),"")</f>
        <v>Pengukuran dan pengambilan data log serta input Gdoc BBT</v>
      </c>
      <c r="J2304" s="12" t="s">
        <v>112</v>
      </c>
      <c r="K2304" s="17">
        <v>46314.0</v>
      </c>
      <c r="L2304" s="17"/>
      <c r="M2304" s="12" t="s">
        <v>137</v>
      </c>
      <c r="N2304" s="23"/>
      <c r="O2304" s="22"/>
      <c r="P2304" s="22"/>
    </row>
    <row r="2305" ht="22.5" customHeight="1">
      <c r="A2305" s="12" t="s">
        <v>33</v>
      </c>
      <c r="B2305" s="20" t="str">
        <f>IFERROR(VLOOKUP(A2306,Sheet1!$E$3:$H$27,4,0),"")</f>
        <v>P2</v>
      </c>
      <c r="C2305" s="14" t="s">
        <v>732</v>
      </c>
      <c r="D2305" s="12" t="s">
        <v>71</v>
      </c>
      <c r="E2305" s="13" t="str">
        <f>IFERROR(VLOOKUP(D2305,Sheet1!$B$1:$C$45,2,0),"")</f>
        <v>TE</v>
      </c>
      <c r="F2305" s="12" t="s">
        <v>179</v>
      </c>
      <c r="G2305" s="12" t="s">
        <v>657</v>
      </c>
      <c r="H2305" s="15" t="str">
        <f>IFERROR(VLOOKUP(A2306,Sheet1!$E$3:$F$27,2,),"")</f>
        <v>Corrective</v>
      </c>
      <c r="I2305" s="16" t="str">
        <f>IFERROR(VLOOKUP(A2306,Sheet1!$E$3:$G$27,3,0),"")</f>
        <v>Penambahan Modul Recti</v>
      </c>
      <c r="J2305" s="12" t="s">
        <v>112</v>
      </c>
      <c r="K2305" s="17">
        <v>46314.0</v>
      </c>
      <c r="L2305" s="17">
        <v>46314.0</v>
      </c>
      <c r="M2305" s="12" t="s">
        <v>109</v>
      </c>
      <c r="N2305" s="18" t="s">
        <v>749</v>
      </c>
      <c r="O2305" s="22"/>
      <c r="P2305" s="22"/>
    </row>
    <row r="2306" ht="22.5" customHeight="1">
      <c r="A2306" s="12" t="s">
        <v>55</v>
      </c>
      <c r="B2306" s="20" t="str">
        <f>IFERROR(VLOOKUP(A2307,Sheet1!$E$3:$H$27,4,0),"")</f>
        <v>P1</v>
      </c>
      <c r="C2306" s="14" t="s">
        <v>723</v>
      </c>
      <c r="D2306" s="12" t="s">
        <v>69</v>
      </c>
      <c r="E2306" s="13" t="str">
        <f>IFERROR(VLOOKUP(D2306,Sheet1!$B$1:$C$45,2,0),"")</f>
        <v>TE</v>
      </c>
      <c r="F2306" s="12" t="s">
        <v>179</v>
      </c>
      <c r="G2306" s="12" t="s">
        <v>657</v>
      </c>
      <c r="H2306" s="15" t="str">
        <f>IFERROR(VLOOKUP(A2307,Sheet1!$E$3:$F$27,2,),"")</f>
        <v>Corrective</v>
      </c>
      <c r="I2306" s="16" t="str">
        <f>IFERROR(VLOOKUP(A2307,Sheet1!$E$3:$G$27,3,0),"")</f>
        <v>Replace Optik,RRU/Soket Power/Replace GPS</v>
      </c>
      <c r="J2306" s="12" t="s">
        <v>112</v>
      </c>
      <c r="K2306" s="17">
        <v>46314.0</v>
      </c>
      <c r="L2306" s="17"/>
      <c r="M2306" s="12" t="s">
        <v>137</v>
      </c>
      <c r="N2306" s="23"/>
      <c r="O2306" s="22"/>
      <c r="P2306" s="22"/>
    </row>
    <row r="2307" ht="22.5" customHeight="1">
      <c r="A2307" s="12" t="s">
        <v>5</v>
      </c>
      <c r="B2307" s="20" t="str">
        <f>IFERROR(VLOOKUP(A2308,Sheet1!$E$3:$H$27,4,0),"")</f>
        <v>P2</v>
      </c>
      <c r="C2307" s="14" t="s">
        <v>478</v>
      </c>
      <c r="D2307" s="12" t="s">
        <v>58</v>
      </c>
      <c r="E2307" s="13" t="str">
        <f>IFERROR(VLOOKUP(D2307,Sheet1!$B$1:$C$45,2,0),"")</f>
        <v>TE</v>
      </c>
      <c r="F2307" s="12" t="s">
        <v>179</v>
      </c>
      <c r="G2307" s="12" t="s">
        <v>657</v>
      </c>
      <c r="H2307" s="15" t="str">
        <f>IFERROR(VLOOKUP(A2308,Sheet1!$E$3:$F$27,2,),"")</f>
        <v>Preventive</v>
      </c>
      <c r="I2307" s="16" t="str">
        <f>IFERROR(VLOOKUP(A2308,Sheet1!$E$3:$G$27,3,0),"")</f>
        <v>Pengukuran dan pengambilan data log serta input Gdoc BBT</v>
      </c>
      <c r="J2307" s="12" t="s">
        <v>112</v>
      </c>
      <c r="K2307" s="17">
        <v>46314.0</v>
      </c>
      <c r="L2307" s="17"/>
      <c r="M2307" s="12" t="s">
        <v>122</v>
      </c>
      <c r="N2307" s="18" t="s">
        <v>750</v>
      </c>
      <c r="O2307" s="22"/>
      <c r="P2307" s="22"/>
    </row>
    <row r="2308" ht="22.5" customHeight="1">
      <c r="A2308" s="12" t="s">
        <v>33</v>
      </c>
      <c r="B2308" s="20" t="str">
        <f>IFERROR(VLOOKUP(A2309,Sheet1!$E$3:$H$27,4,0),"")</f>
        <v>P1</v>
      </c>
      <c r="C2308" s="14" t="s">
        <v>701</v>
      </c>
      <c r="D2308" s="12" t="s">
        <v>91</v>
      </c>
      <c r="E2308" s="13" t="str">
        <f>IFERROR(VLOOKUP(D2308,Sheet1!$B$1:$C$45,2,0),"")</f>
        <v>TE</v>
      </c>
      <c r="F2308" s="12" t="s">
        <v>179</v>
      </c>
      <c r="G2308" s="12" t="s">
        <v>657</v>
      </c>
      <c r="H2308" s="15" t="str">
        <f>IFERROR(VLOOKUP(A2309,Sheet1!$E$3:$F$27,2,),"")</f>
        <v>Corrective</v>
      </c>
      <c r="I2308" s="16" t="str">
        <f>IFERROR(VLOOKUP(A2309,Sheet1!$E$3:$G$27,3,0),"")</f>
        <v>Pemadaman,MCB Trip,Transmisi problem</v>
      </c>
      <c r="J2308" s="12" t="s">
        <v>112</v>
      </c>
      <c r="K2308" s="17">
        <v>46314.0</v>
      </c>
      <c r="L2308" s="17"/>
      <c r="M2308" s="12" t="s">
        <v>122</v>
      </c>
      <c r="N2308" s="18" t="s">
        <v>751</v>
      </c>
      <c r="O2308" s="22"/>
      <c r="P2308" s="22"/>
    </row>
    <row r="2309" ht="22.5" customHeight="1">
      <c r="A2309" s="12" t="s">
        <v>14</v>
      </c>
      <c r="B2309" s="20" t="str">
        <f>IFERROR(VLOOKUP(A2310,Sheet1!$E$3:$H$27,4,0),"")</f>
        <v>P1</v>
      </c>
      <c r="C2309" s="14" t="s">
        <v>752</v>
      </c>
      <c r="D2309" s="12" t="s">
        <v>736</v>
      </c>
      <c r="E2309" s="12" t="s">
        <v>13</v>
      </c>
      <c r="F2309" s="12" t="s">
        <v>179</v>
      </c>
      <c r="G2309" s="12" t="s">
        <v>657</v>
      </c>
      <c r="H2309" s="15" t="str">
        <f>IFERROR(VLOOKUP(A2310,Sheet1!$E$3:$F$27,2,),"")</f>
        <v>Corrective</v>
      </c>
      <c r="I2309" s="16" t="str">
        <f>IFERROR(VLOOKUP(A2310,Sheet1!$E$3:$G$27,3,0),"")</f>
        <v>Replace Optik,RRU/Soket Power/Replace GPS</v>
      </c>
      <c r="J2309" s="12" t="s">
        <v>112</v>
      </c>
      <c r="K2309" s="17">
        <v>46314.0</v>
      </c>
      <c r="L2309" s="17"/>
      <c r="M2309" s="12" t="s">
        <v>122</v>
      </c>
      <c r="N2309" s="18" t="s">
        <v>753</v>
      </c>
      <c r="O2309" s="22"/>
      <c r="P2309" s="22"/>
    </row>
    <row r="2310" ht="22.5" customHeight="1">
      <c r="A2310" s="12" t="s">
        <v>5</v>
      </c>
      <c r="B2310" s="20" t="str">
        <f>IFERROR(VLOOKUP(A2311,Sheet1!$E$3:$H$27,4,0),"")</f>
        <v>P1</v>
      </c>
      <c r="C2310" s="14" t="s">
        <v>754</v>
      </c>
      <c r="D2310" s="12" t="s">
        <v>744</v>
      </c>
      <c r="E2310" s="12" t="s">
        <v>1</v>
      </c>
      <c r="F2310" s="12" t="s">
        <v>179</v>
      </c>
      <c r="G2310" s="12" t="s">
        <v>657</v>
      </c>
      <c r="H2310" s="15" t="str">
        <f>IFERROR(VLOOKUP(A2311,Sheet1!$E$3:$F$27,2,),"")</f>
        <v>Corrective</v>
      </c>
      <c r="I2310" s="16" t="str">
        <f>IFERROR(VLOOKUP(A2311,Sheet1!$E$3:$G$27,3,0),"")</f>
        <v>Pemadaman,MCB Trip,Transmisi problem</v>
      </c>
      <c r="J2310" s="12" t="s">
        <v>112</v>
      </c>
      <c r="K2310" s="17">
        <v>46314.0</v>
      </c>
      <c r="L2310" s="17">
        <v>46314.0</v>
      </c>
      <c r="M2310" s="12" t="s">
        <v>109</v>
      </c>
      <c r="N2310" s="23"/>
      <c r="O2310" s="22"/>
      <c r="P2310" s="22"/>
    </row>
    <row r="2311" ht="22.5" customHeight="1">
      <c r="A2311" s="12" t="s">
        <v>14</v>
      </c>
      <c r="B2311" s="20" t="str">
        <f>IFERROR(VLOOKUP(A2312,Sheet1!$E$3:$H$27,4,0),"")</f>
        <v>P3</v>
      </c>
      <c r="C2311" s="15"/>
      <c r="D2311" s="12" t="s">
        <v>54</v>
      </c>
      <c r="E2311" s="13" t="str">
        <f>IFERROR(VLOOKUP(D2311,Sheet1!$B$1:$C$45,2,0),"")</f>
        <v>MBP</v>
      </c>
      <c r="F2311" s="12" t="s">
        <v>179</v>
      </c>
      <c r="G2311" s="12" t="s">
        <v>657</v>
      </c>
      <c r="H2311" s="15" t="str">
        <f>IFERROR(VLOOKUP(A2312,Sheet1!$E$3:$F$27,2,),"")</f>
        <v>Standby</v>
      </c>
      <c r="I2311" s="16" t="str">
        <f>IFERROR(VLOOKUP(A2312,Sheet1!$E$3:$G$27,3,0),"")</f>
        <v>Standby On Call</v>
      </c>
      <c r="J2311" s="12" t="s">
        <v>112</v>
      </c>
      <c r="K2311" s="17">
        <v>46314.0</v>
      </c>
      <c r="L2311" s="17"/>
      <c r="M2311" s="12" t="s">
        <v>137</v>
      </c>
      <c r="N2311" s="23"/>
      <c r="O2311" s="22"/>
      <c r="P2311" s="22"/>
    </row>
    <row r="2312" ht="22.5" customHeight="1">
      <c r="A2312" s="12" t="s">
        <v>65</v>
      </c>
      <c r="B2312" s="20" t="str">
        <f>IFERROR(VLOOKUP(A2313,Sheet1!$E$3:$H$27,4,0),"")</f>
        <v>P1</v>
      </c>
      <c r="C2312" s="14" t="s">
        <v>646</v>
      </c>
      <c r="D2312" s="12" t="s">
        <v>89</v>
      </c>
      <c r="E2312" s="13" t="str">
        <f>IFERROR(VLOOKUP(D2312,Sheet1!$B$1:$C$45,2,0),"")</f>
        <v>TE</v>
      </c>
      <c r="F2312" s="12" t="s">
        <v>179</v>
      </c>
      <c r="G2312" s="12" t="s">
        <v>657</v>
      </c>
      <c r="H2312" s="15" t="str">
        <f>IFERROR(VLOOKUP(A2313,Sheet1!$E$3:$F$27,2,),"")</f>
        <v>Corrective</v>
      </c>
      <c r="I2312" s="16" t="str">
        <f>IFERROR(VLOOKUP(A2313,Sheet1!$E$3:$G$27,3,0),"")</f>
        <v>Pemadaman,MCB Trip,Transmisi problem</v>
      </c>
      <c r="J2312" s="12" t="s">
        <v>112</v>
      </c>
      <c r="K2312" s="17">
        <v>46314.0</v>
      </c>
      <c r="L2312" s="17">
        <v>46314.0</v>
      </c>
      <c r="M2312" s="12" t="s">
        <v>109</v>
      </c>
      <c r="N2312" s="23"/>
      <c r="O2312" s="22"/>
      <c r="P2312" s="22"/>
    </row>
    <row r="2313" ht="22.5" customHeight="1">
      <c r="A2313" s="12" t="s">
        <v>14</v>
      </c>
      <c r="B2313" s="20" t="str">
        <f>IFERROR(VLOOKUP(A2314,Sheet1!$E$3:$H$27,4,0),"")</f>
        <v>P1</v>
      </c>
      <c r="C2313" s="14" t="s">
        <v>182</v>
      </c>
      <c r="D2313" s="12" t="s">
        <v>743</v>
      </c>
      <c r="E2313" s="12" t="s">
        <v>1</v>
      </c>
      <c r="F2313" s="12" t="s">
        <v>179</v>
      </c>
      <c r="G2313" s="12" t="s">
        <v>657</v>
      </c>
      <c r="H2313" s="15" t="str">
        <f>IFERROR(VLOOKUP(A2314,Sheet1!$E$3:$F$27,2,),"")</f>
        <v>Corrective</v>
      </c>
      <c r="I2313" s="16" t="str">
        <f>IFERROR(VLOOKUP(A2314,Sheet1!$E$3:$G$27,3,0),"")</f>
        <v>Pemadaman,MCB Trip,Transmisi problem</v>
      </c>
      <c r="J2313" s="12" t="s">
        <v>112</v>
      </c>
      <c r="K2313" s="17">
        <v>46314.0</v>
      </c>
      <c r="L2313" s="17"/>
      <c r="M2313" s="12" t="s">
        <v>137</v>
      </c>
      <c r="N2313" s="23"/>
      <c r="O2313" s="22"/>
      <c r="P2313" s="22"/>
    </row>
    <row r="2314" ht="22.5" customHeight="1">
      <c r="A2314" s="12" t="s">
        <v>14</v>
      </c>
      <c r="B2314" s="20" t="str">
        <f>IFERROR(VLOOKUP(A2315,Sheet1!$E$3:$H$27,4,0),"")</f>
        <v>P1</v>
      </c>
      <c r="C2314" s="14" t="s">
        <v>431</v>
      </c>
      <c r="D2314" s="12" t="s">
        <v>75</v>
      </c>
      <c r="E2314" s="13" t="str">
        <f>IFERROR(VLOOKUP(D2314,Sheet1!$B$1:$C$45,2,0),"")</f>
        <v>CME</v>
      </c>
      <c r="F2314" s="12" t="s">
        <v>179</v>
      </c>
      <c r="G2314" s="12" t="s">
        <v>657</v>
      </c>
      <c r="H2314" s="15" t="str">
        <f>IFERROR(VLOOKUP(A2315,Sheet1!$E$3:$F$27,2,),"")</f>
        <v>Corrective</v>
      </c>
      <c r="I2314" s="16" t="str">
        <f>IFERROR(VLOOKUP(A2315,Sheet1!$E$3:$G$27,3,0),"")</f>
        <v>Pemadaman,MCB Trip,Transmisi problem</v>
      </c>
      <c r="J2314" s="12" t="s">
        <v>112</v>
      </c>
      <c r="K2314" s="17">
        <v>46314.0</v>
      </c>
      <c r="L2314" s="17">
        <v>46314.0</v>
      </c>
      <c r="M2314" s="12" t="s">
        <v>109</v>
      </c>
      <c r="N2314" s="23"/>
      <c r="O2314" s="22"/>
      <c r="P2314" s="22"/>
    </row>
    <row r="2315" ht="22.5" customHeight="1">
      <c r="A2315" s="12" t="s">
        <v>14</v>
      </c>
      <c r="B2315" s="20" t="str">
        <f>IFERROR(VLOOKUP(A2316,Sheet1!$E$3:$H$27,4,0),"")</f>
        <v>P2</v>
      </c>
      <c r="C2315" s="14" t="s">
        <v>755</v>
      </c>
      <c r="D2315" s="12" t="s">
        <v>83</v>
      </c>
      <c r="E2315" s="13" t="str">
        <f>IFERROR(VLOOKUP(D2315,Sheet1!$B$1:$C$45,2,0),"")</f>
        <v>PM</v>
      </c>
      <c r="F2315" s="12" t="s">
        <v>179</v>
      </c>
      <c r="G2315" s="12" t="s">
        <v>657</v>
      </c>
      <c r="H2315" s="15" t="str">
        <f>IFERROR(VLOOKUP(A2316,Sheet1!$E$3:$F$27,2,),"")</f>
        <v>Preventive</v>
      </c>
      <c r="I2315" s="16" t="str">
        <f>IFERROR(VLOOKUP(A2316,Sheet1!$E$3:$G$27,3,0),"")</f>
        <v>Preventive Maintenance</v>
      </c>
      <c r="J2315" s="12" t="s">
        <v>112</v>
      </c>
      <c r="K2315" s="17">
        <v>46314.0</v>
      </c>
      <c r="L2315" s="17">
        <v>46314.0</v>
      </c>
      <c r="M2315" s="12" t="s">
        <v>109</v>
      </c>
      <c r="N2315" s="23"/>
      <c r="O2315" s="22"/>
      <c r="P2315" s="22"/>
    </row>
    <row r="2316" ht="22.5" customHeight="1">
      <c r="A2316" s="12" t="s">
        <v>22</v>
      </c>
      <c r="B2316" s="20" t="str">
        <f>IFERROR(VLOOKUP(A2317,Sheet1!$E$3:$H$27,4,0),"")</f>
        <v>P2</v>
      </c>
      <c r="C2316" s="14" t="s">
        <v>756</v>
      </c>
      <c r="D2316" s="12" t="s">
        <v>82</v>
      </c>
      <c r="E2316" s="13" t="str">
        <f>IFERROR(VLOOKUP(D2316,Sheet1!$B$1:$C$45,2,0),"")</f>
        <v>PM</v>
      </c>
      <c r="F2316" s="12" t="s">
        <v>179</v>
      </c>
      <c r="G2316" s="12" t="s">
        <v>657</v>
      </c>
      <c r="H2316" s="15" t="str">
        <f>IFERROR(VLOOKUP(A2317,Sheet1!$E$3:$F$27,2,),"")</f>
        <v>Preventive</v>
      </c>
      <c r="I2316" s="16" t="str">
        <f>IFERROR(VLOOKUP(A2317,Sheet1!$E$3:$G$27,3,0),"")</f>
        <v>Preventive Maintenance</v>
      </c>
      <c r="J2316" s="12" t="s">
        <v>112</v>
      </c>
      <c r="K2316" s="17">
        <v>46314.0</v>
      </c>
      <c r="L2316" s="17">
        <v>46314.0</v>
      </c>
      <c r="M2316" s="12" t="s">
        <v>109</v>
      </c>
      <c r="N2316" s="23"/>
      <c r="O2316" s="22"/>
      <c r="P2316" s="22"/>
    </row>
    <row r="2317" ht="22.5" customHeight="1">
      <c r="A2317" s="12" t="s">
        <v>22</v>
      </c>
      <c r="B2317" s="20" t="str">
        <f>IFERROR(VLOOKUP(A2318,Sheet1!$E$3:$H$27,4,0),"")</f>
        <v>P2</v>
      </c>
      <c r="C2317" s="14" t="s">
        <v>245</v>
      </c>
      <c r="D2317" s="12" t="s">
        <v>88</v>
      </c>
      <c r="E2317" s="12" t="s">
        <v>22</v>
      </c>
      <c r="F2317" s="12" t="s">
        <v>179</v>
      </c>
      <c r="G2317" s="12" t="s">
        <v>657</v>
      </c>
      <c r="H2317" s="15" t="str">
        <f>IFERROR(VLOOKUP(A2318,Sheet1!$E$3:$F$27,2,),"")</f>
        <v>Preventive</v>
      </c>
      <c r="I2317" s="16" t="str">
        <f>IFERROR(VLOOKUP(A2318,Sheet1!$E$3:$G$27,3,0),"")</f>
        <v>Preventive Maintenance</v>
      </c>
      <c r="J2317" s="12" t="s">
        <v>112</v>
      </c>
      <c r="K2317" s="17">
        <v>46314.0</v>
      </c>
      <c r="L2317" s="17">
        <v>46314.0</v>
      </c>
      <c r="M2317" s="12" t="s">
        <v>109</v>
      </c>
      <c r="N2317" s="23"/>
      <c r="O2317" s="22"/>
      <c r="P2317" s="22"/>
    </row>
    <row r="2318" ht="2.25" customHeight="1">
      <c r="A2318" s="12" t="s">
        <v>22</v>
      </c>
      <c r="B2318" s="20" t="str">
        <f>IFERROR(VLOOKUP(#REF!,Sheet1!$E$3:$H$27,4,0),"")</f>
        <v/>
      </c>
      <c r="C2318" s="15"/>
      <c r="D2318" s="20"/>
      <c r="E2318" s="13" t="str">
        <f>IFERROR(VLOOKUP(D2318,Sheet1!$B$1:$C$45,2,0),"")</f>
        <v/>
      </c>
      <c r="F2318" s="12" t="s">
        <v>179</v>
      </c>
      <c r="G2318" s="13" t="str">
        <f>IFERROR(IFS(#REF!="Winda Sokenda","Barito Raya",#REF!="Doni Damara","Palangkaraya"),"")</f>
        <v/>
      </c>
      <c r="H2318" s="15" t="str">
        <f>IFERROR(VLOOKUP(#REF!,Sheet1!$E$3:$F$27,2,),"")</f>
        <v/>
      </c>
      <c r="I2318" s="16" t="str">
        <f>IFERROR(VLOOKUP(#REF!,Sheet1!$E$3:$G$27,3,0),"")</f>
        <v/>
      </c>
      <c r="J2318" s="12" t="s">
        <v>112</v>
      </c>
      <c r="K2318" s="17"/>
      <c r="L2318" s="17"/>
      <c r="M2318" s="13"/>
      <c r="N2318" s="23"/>
      <c r="O2318" s="22"/>
      <c r="P2318" s="22"/>
    </row>
    <row r="2319" ht="22.5" customHeight="1">
      <c r="A2319" s="21" t="s">
        <v>72</v>
      </c>
      <c r="B2319" s="20" t="str">
        <f>IFERROR(VLOOKUP(A2319,Sheet1!$E$3:$H$27,4,0),"")</f>
        <v>P1</v>
      </c>
      <c r="C2319" s="14" t="s">
        <v>284</v>
      </c>
      <c r="D2319" s="12" t="s">
        <v>757</v>
      </c>
      <c r="E2319" s="12" t="s">
        <v>13</v>
      </c>
      <c r="F2319" s="12" t="s">
        <v>179</v>
      </c>
      <c r="G2319" s="12" t="s">
        <v>657</v>
      </c>
      <c r="H2319" s="15" t="str">
        <f>IFERROR(VLOOKUP(A2319,Sheet1!$E$3:$F$27,2,),"")</f>
        <v>Corrective</v>
      </c>
      <c r="I2319" s="16" t="str">
        <f>IFERROR(VLOOKUP(A2319,Sheet1!$E$3:$G$27,3,0),"")</f>
        <v>Perbaikan Auto,pergantian relay,timer, yang berhubungan genset</v>
      </c>
      <c r="J2319" s="12" t="s">
        <v>112</v>
      </c>
      <c r="K2319" s="17">
        <v>46315.0</v>
      </c>
      <c r="L2319" s="17"/>
      <c r="M2319" s="12" t="s">
        <v>137</v>
      </c>
      <c r="N2319" s="23"/>
      <c r="O2319" s="22"/>
      <c r="P2319" s="22"/>
    </row>
    <row r="2320" ht="22.5" customHeight="1">
      <c r="A2320" s="12" t="s">
        <v>55</v>
      </c>
      <c r="B2320" s="20" t="str">
        <f>IFERROR(VLOOKUP(A2320,Sheet1!$E$3:$H$27,4,0),"")</f>
        <v>P2</v>
      </c>
      <c r="C2320" s="14" t="s">
        <v>758</v>
      </c>
      <c r="D2320" s="12" t="s">
        <v>80</v>
      </c>
      <c r="E2320" s="13" t="str">
        <f>IFERROR(VLOOKUP(D2320,Sheet1!$B$1:$C$45,2,0),"")</f>
        <v>TE</v>
      </c>
      <c r="F2320" s="12" t="s">
        <v>179</v>
      </c>
      <c r="G2320" s="13" t="str">
        <f t="shared" ref="G2320:G3006" si="9">IFERROR(IFS(F2320="Winda Sokenda","Barito Raya",F2320="Doni Damara","Palangkaraya"),"")</f>
        <v>Palangkaraya</v>
      </c>
      <c r="H2320" s="15" t="str">
        <f>IFERROR(VLOOKUP(A2320,Sheet1!$E$3:$F$27,2,),"")</f>
        <v>Corrective</v>
      </c>
      <c r="I2320" s="16" t="str">
        <f>IFERROR(VLOOKUP(A2320,Sheet1!$E$3:$G$27,3,0),"")</f>
        <v>Penambahan Modul Recti</v>
      </c>
      <c r="J2320" s="12" t="s">
        <v>112</v>
      </c>
      <c r="K2320" s="17">
        <v>46315.0</v>
      </c>
      <c r="L2320" s="17"/>
      <c r="M2320" s="12" t="s">
        <v>137</v>
      </c>
      <c r="N2320" s="23"/>
      <c r="O2320" s="22"/>
      <c r="P2320" s="22"/>
    </row>
    <row r="2321" ht="22.5" customHeight="1">
      <c r="A2321" s="12" t="s">
        <v>33</v>
      </c>
      <c r="B2321" s="20" t="str">
        <f>IFERROR(VLOOKUP(A2321,Sheet1!$E$3:$H$27,4,0),"")</f>
        <v>P2</v>
      </c>
      <c r="C2321" s="14" t="s">
        <v>759</v>
      </c>
      <c r="D2321" s="12" t="s">
        <v>78</v>
      </c>
      <c r="E2321" s="13" t="str">
        <f>IFERROR(VLOOKUP(D2321,Sheet1!$B$1:$C$45,2,0),"")</f>
        <v>TE</v>
      </c>
      <c r="F2321" s="12" t="s">
        <v>179</v>
      </c>
      <c r="G2321" s="13" t="str">
        <f t="shared" si="9"/>
        <v>Palangkaraya</v>
      </c>
      <c r="H2321" s="15" t="str">
        <f>IFERROR(VLOOKUP(A2321,Sheet1!$E$3:$F$27,2,),"")</f>
        <v>Preventive</v>
      </c>
      <c r="I2321" s="16" t="str">
        <f>IFERROR(VLOOKUP(A2321,Sheet1!$E$3:$G$27,3,0),"")</f>
        <v>Pengukuran dan pengambilan data log serta input Gdoc BBT</v>
      </c>
      <c r="J2321" s="12" t="s">
        <v>112</v>
      </c>
      <c r="K2321" s="17">
        <v>46315.0</v>
      </c>
      <c r="L2321" s="17"/>
      <c r="M2321" s="12" t="s">
        <v>137</v>
      </c>
      <c r="N2321" s="23"/>
      <c r="O2321" s="22"/>
      <c r="P2321" s="22"/>
    </row>
    <row r="2322" ht="22.5" customHeight="1">
      <c r="A2322" s="12" t="s">
        <v>14</v>
      </c>
      <c r="B2322" s="20" t="str">
        <f>IFERROR(VLOOKUP(A2322,Sheet1!$E$3:$H$27,4,0),"")</f>
        <v>P1</v>
      </c>
      <c r="C2322" s="14" t="s">
        <v>760</v>
      </c>
      <c r="D2322" s="12" t="s">
        <v>76</v>
      </c>
      <c r="E2322" s="13" t="str">
        <f>IFERROR(VLOOKUP(D2322,Sheet1!$B$1:$C$45,2,0),"")</f>
        <v>TE</v>
      </c>
      <c r="F2322" s="12" t="s">
        <v>179</v>
      </c>
      <c r="G2322" s="13" t="str">
        <f t="shared" si="9"/>
        <v>Palangkaraya</v>
      </c>
      <c r="H2322" s="15" t="str">
        <f>IFERROR(VLOOKUP(A2322,Sheet1!$E$3:$F$27,2,),"")</f>
        <v>Corrective</v>
      </c>
      <c r="I2322" s="16" t="str">
        <f>IFERROR(VLOOKUP(A2322,Sheet1!$E$3:$G$27,3,0),"")</f>
        <v>Pemadaman,MCB Trip,Transmisi problem</v>
      </c>
      <c r="J2322" s="12" t="s">
        <v>112</v>
      </c>
      <c r="K2322" s="17">
        <v>46315.0</v>
      </c>
      <c r="L2322" s="17"/>
      <c r="M2322" s="12" t="s">
        <v>137</v>
      </c>
      <c r="N2322" s="23"/>
      <c r="O2322" s="22"/>
      <c r="P2322" s="22"/>
    </row>
    <row r="2323" ht="22.5" customHeight="1">
      <c r="A2323" s="12" t="s">
        <v>33</v>
      </c>
      <c r="B2323" s="20" t="str">
        <f>IFERROR(VLOOKUP(A2323,Sheet1!$E$3:$H$27,4,0),"")</f>
        <v>P2</v>
      </c>
      <c r="C2323" s="14" t="s">
        <v>761</v>
      </c>
      <c r="D2323" s="12" t="s">
        <v>39</v>
      </c>
      <c r="E2323" s="13" t="str">
        <f>IFERROR(VLOOKUP(D2323,Sheet1!$B$1:$C$45,2,0),"")</f>
        <v>TE</v>
      </c>
      <c r="F2323" s="12" t="s">
        <v>179</v>
      </c>
      <c r="G2323" s="13" t="str">
        <f t="shared" si="9"/>
        <v>Palangkaraya</v>
      </c>
      <c r="H2323" s="15" t="str">
        <f>IFERROR(VLOOKUP(A2323,Sheet1!$E$3:$F$27,2,),"")</f>
        <v>Preventive</v>
      </c>
      <c r="I2323" s="16" t="str">
        <f>IFERROR(VLOOKUP(A2323,Sheet1!$E$3:$G$27,3,0),"")</f>
        <v>Pengukuran dan pengambilan data log serta input Gdoc BBT</v>
      </c>
      <c r="J2323" s="12" t="s">
        <v>112</v>
      </c>
      <c r="K2323" s="17">
        <v>46315.0</v>
      </c>
      <c r="L2323" s="17"/>
      <c r="M2323" s="12" t="s">
        <v>137</v>
      </c>
      <c r="N2323" s="23"/>
      <c r="O2323" s="22"/>
      <c r="P2323" s="22"/>
    </row>
    <row r="2324" ht="22.5" customHeight="1">
      <c r="A2324" s="12" t="s">
        <v>33</v>
      </c>
      <c r="B2324" s="20" t="str">
        <f>IFERROR(VLOOKUP(A2324,Sheet1!$E$3:$H$27,4,0),"")</f>
        <v>P2</v>
      </c>
      <c r="C2324" s="14" t="s">
        <v>762</v>
      </c>
      <c r="D2324" s="12" t="s">
        <v>77</v>
      </c>
      <c r="E2324" s="13" t="str">
        <f>IFERROR(VLOOKUP(D2324,Sheet1!$B$1:$C$45,2,0),"")</f>
        <v>TE</v>
      </c>
      <c r="F2324" s="12" t="s">
        <v>179</v>
      </c>
      <c r="G2324" s="13" t="str">
        <f t="shared" si="9"/>
        <v>Palangkaraya</v>
      </c>
      <c r="H2324" s="15" t="str">
        <f>IFERROR(VLOOKUP(A2324,Sheet1!$E$3:$F$27,2,),"")</f>
        <v>Preventive</v>
      </c>
      <c r="I2324" s="16" t="str">
        <f>IFERROR(VLOOKUP(A2324,Sheet1!$E$3:$G$27,3,0),"")</f>
        <v>Pengukuran dan pengambilan data log serta input Gdoc BBT</v>
      </c>
      <c r="J2324" s="12" t="s">
        <v>112</v>
      </c>
      <c r="K2324" s="17">
        <v>46315.0</v>
      </c>
      <c r="L2324" s="17"/>
      <c r="M2324" s="12" t="s">
        <v>137</v>
      </c>
      <c r="N2324" s="23"/>
      <c r="O2324" s="22"/>
      <c r="P2324" s="22"/>
    </row>
    <row r="2325" ht="22.5" customHeight="1">
      <c r="A2325" s="12" t="s">
        <v>14</v>
      </c>
      <c r="B2325" s="20" t="str">
        <f>IFERROR(VLOOKUP(A2325,Sheet1!$E$3:$H$27,4,0),"")</f>
        <v>P1</v>
      </c>
      <c r="C2325" s="14" t="s">
        <v>763</v>
      </c>
      <c r="D2325" s="12" t="s">
        <v>42</v>
      </c>
      <c r="E2325" s="13" t="str">
        <f>IFERROR(VLOOKUP(D2325,Sheet1!$B$1:$C$45,2,0),"")</f>
        <v>TE</v>
      </c>
      <c r="F2325" s="12" t="s">
        <v>179</v>
      </c>
      <c r="G2325" s="13" t="str">
        <f t="shared" si="9"/>
        <v>Palangkaraya</v>
      </c>
      <c r="H2325" s="15" t="str">
        <f>IFERROR(VLOOKUP(A2325,Sheet1!$E$3:$F$27,2,),"")</f>
        <v>Corrective</v>
      </c>
      <c r="I2325" s="16" t="str">
        <f>IFERROR(VLOOKUP(A2325,Sheet1!$E$3:$G$27,3,0),"")</f>
        <v>Pemadaman,MCB Trip,Transmisi problem</v>
      </c>
      <c r="J2325" s="12" t="s">
        <v>112</v>
      </c>
      <c r="K2325" s="17">
        <v>46315.0</v>
      </c>
      <c r="L2325" s="17"/>
      <c r="M2325" s="12" t="s">
        <v>137</v>
      </c>
      <c r="N2325" s="23"/>
      <c r="O2325" s="22"/>
      <c r="P2325" s="22"/>
    </row>
    <row r="2326" ht="22.5" customHeight="1">
      <c r="A2326" s="12" t="s">
        <v>72</v>
      </c>
      <c r="B2326" s="20" t="str">
        <f>IFERROR(VLOOKUP(A2326,Sheet1!$E$3:$H$27,4,0),"")</f>
        <v>P1</v>
      </c>
      <c r="C2326" s="14" t="s">
        <v>284</v>
      </c>
      <c r="D2326" s="12" t="s">
        <v>37</v>
      </c>
      <c r="E2326" s="13" t="str">
        <f>IFERROR(VLOOKUP(D2326,Sheet1!$B$1:$C$45,2,0),"")</f>
        <v>TE</v>
      </c>
      <c r="F2326" s="12" t="s">
        <v>179</v>
      </c>
      <c r="G2326" s="13" t="str">
        <f t="shared" si="9"/>
        <v>Palangkaraya</v>
      </c>
      <c r="H2326" s="15" t="str">
        <f>IFERROR(VLOOKUP(A2326,Sheet1!$E$3:$F$27,2,),"")</f>
        <v>Corrective</v>
      </c>
      <c r="I2326" s="16" t="str">
        <f>IFERROR(VLOOKUP(A2326,Sheet1!$E$3:$G$27,3,0),"")</f>
        <v>Perbaikan Auto,pergantian relay,timer, yang berhubungan genset</v>
      </c>
      <c r="J2326" s="12" t="s">
        <v>112</v>
      </c>
      <c r="K2326" s="17">
        <v>46315.0</v>
      </c>
      <c r="L2326" s="17"/>
      <c r="M2326" s="12" t="s">
        <v>137</v>
      </c>
      <c r="N2326" s="23"/>
      <c r="O2326" s="22"/>
      <c r="P2326" s="22"/>
    </row>
    <row r="2327" ht="22.5" customHeight="1">
      <c r="A2327" s="12" t="s">
        <v>33</v>
      </c>
      <c r="B2327" s="20" t="str">
        <f>IFERROR(VLOOKUP(A2327,Sheet1!$E$3:$H$27,4,0),"")</f>
        <v>P2</v>
      </c>
      <c r="C2327" s="14" t="s">
        <v>764</v>
      </c>
      <c r="D2327" s="12" t="s">
        <v>698</v>
      </c>
      <c r="E2327" s="12" t="s">
        <v>13</v>
      </c>
      <c r="F2327" s="12" t="s">
        <v>179</v>
      </c>
      <c r="G2327" s="13" t="str">
        <f t="shared" si="9"/>
        <v>Palangkaraya</v>
      </c>
      <c r="H2327" s="15" t="str">
        <f>IFERROR(VLOOKUP(A2327,Sheet1!$E$3:$F$27,2,),"")</f>
        <v>Preventive</v>
      </c>
      <c r="I2327" s="16" t="str">
        <f>IFERROR(VLOOKUP(A2327,Sheet1!$E$3:$G$27,3,0),"")</f>
        <v>Pengukuran dan pengambilan data log serta input Gdoc BBT</v>
      </c>
      <c r="J2327" s="12" t="s">
        <v>112</v>
      </c>
      <c r="K2327" s="17">
        <v>46315.0</v>
      </c>
      <c r="L2327" s="17"/>
      <c r="M2327" s="12" t="s">
        <v>137</v>
      </c>
      <c r="N2327" s="23"/>
      <c r="O2327" s="22"/>
      <c r="P2327" s="22"/>
    </row>
    <row r="2328" ht="22.5" customHeight="1">
      <c r="A2328" s="12" t="s">
        <v>33</v>
      </c>
      <c r="B2328" s="20" t="str">
        <f>IFERROR(VLOOKUP(A2328,Sheet1!$E$3:$H$27,4,0),"")</f>
        <v>P2</v>
      </c>
      <c r="C2328" s="14" t="s">
        <v>765</v>
      </c>
      <c r="D2328" s="12" t="s">
        <v>51</v>
      </c>
      <c r="E2328" s="13" t="str">
        <f>IFERROR(VLOOKUP(D2328,Sheet1!$B$1:$C$45,2,0),"")</f>
        <v>TE</v>
      </c>
      <c r="F2328" s="12" t="s">
        <v>179</v>
      </c>
      <c r="G2328" s="13" t="str">
        <f t="shared" si="9"/>
        <v>Palangkaraya</v>
      </c>
      <c r="H2328" s="15" t="str">
        <f>IFERROR(VLOOKUP(A2328,Sheet1!$E$3:$F$27,2,),"")</f>
        <v>Preventive</v>
      </c>
      <c r="I2328" s="16" t="str">
        <f>IFERROR(VLOOKUP(A2328,Sheet1!$E$3:$G$27,3,0),"")</f>
        <v>Pengukuran dan pengambilan data log serta input Gdoc BBT</v>
      </c>
      <c r="J2328" s="12" t="s">
        <v>112</v>
      </c>
      <c r="K2328" s="17">
        <v>46315.0</v>
      </c>
      <c r="L2328" s="17"/>
      <c r="M2328" s="12" t="s">
        <v>137</v>
      </c>
      <c r="N2328" s="23"/>
      <c r="O2328" s="22"/>
      <c r="P2328" s="22"/>
    </row>
    <row r="2329" ht="22.5" customHeight="1">
      <c r="A2329" s="12" t="s">
        <v>33</v>
      </c>
      <c r="B2329" s="20" t="str">
        <f>IFERROR(VLOOKUP(A2329,Sheet1!$E$3:$H$27,4,0),"")</f>
        <v>P2</v>
      </c>
      <c r="C2329" s="14" t="s">
        <v>766</v>
      </c>
      <c r="D2329" s="12" t="s">
        <v>71</v>
      </c>
      <c r="E2329" s="13" t="str">
        <f>IFERROR(VLOOKUP(D2329,Sheet1!$B$1:$C$45,2,0),"")</f>
        <v>TE</v>
      </c>
      <c r="F2329" s="12" t="s">
        <v>179</v>
      </c>
      <c r="G2329" s="13" t="str">
        <f t="shared" si="9"/>
        <v>Palangkaraya</v>
      </c>
      <c r="H2329" s="15" t="str">
        <f>IFERROR(VLOOKUP(A2329,Sheet1!$E$3:$F$27,2,),"")</f>
        <v>Preventive</v>
      </c>
      <c r="I2329" s="16" t="str">
        <f>IFERROR(VLOOKUP(A2329,Sheet1!$E$3:$G$27,3,0),"")</f>
        <v>Pengukuran dan pengambilan data log serta input Gdoc BBT</v>
      </c>
      <c r="J2329" s="12" t="s">
        <v>112</v>
      </c>
      <c r="K2329" s="17">
        <v>46315.0</v>
      </c>
      <c r="L2329" s="17"/>
      <c r="M2329" s="12" t="s">
        <v>137</v>
      </c>
      <c r="N2329" s="23"/>
      <c r="O2329" s="22"/>
      <c r="P2329" s="22"/>
    </row>
    <row r="2330" ht="22.5" customHeight="1">
      <c r="A2330" s="12" t="s">
        <v>5</v>
      </c>
      <c r="B2330" s="20" t="str">
        <f>IFERROR(VLOOKUP(A2330,Sheet1!$E$3:$H$27,4,0),"")</f>
        <v>P1</v>
      </c>
      <c r="C2330" s="14" t="s">
        <v>302</v>
      </c>
      <c r="D2330" s="12" t="s">
        <v>69</v>
      </c>
      <c r="E2330" s="13" t="str">
        <f>IFERROR(VLOOKUP(D2330,Sheet1!$B$1:$C$45,2,0),"")</f>
        <v>TE</v>
      </c>
      <c r="F2330" s="12" t="s">
        <v>179</v>
      </c>
      <c r="G2330" s="13" t="str">
        <f t="shared" si="9"/>
        <v>Palangkaraya</v>
      </c>
      <c r="H2330" s="15" t="str">
        <f>IFERROR(VLOOKUP(A2330,Sheet1!$E$3:$F$27,2,),"")</f>
        <v>Corrective</v>
      </c>
      <c r="I2330" s="16" t="str">
        <f>IFERROR(VLOOKUP(A2330,Sheet1!$E$3:$G$27,3,0),"")</f>
        <v>Replace Optik,RRU/Soket Power/Replace GPS</v>
      </c>
      <c r="J2330" s="12" t="s">
        <v>112</v>
      </c>
      <c r="K2330" s="17">
        <v>46315.0</v>
      </c>
      <c r="L2330" s="17"/>
      <c r="M2330" s="12" t="s">
        <v>137</v>
      </c>
      <c r="N2330" s="23"/>
      <c r="O2330" s="22"/>
      <c r="P2330" s="22"/>
    </row>
    <row r="2331" ht="22.5" customHeight="1">
      <c r="A2331" s="12" t="s">
        <v>33</v>
      </c>
      <c r="B2331" s="20" t="str">
        <f>IFERROR(VLOOKUP(A2331,Sheet1!$E$3:$H$27,4,0),"")</f>
        <v>P2</v>
      </c>
      <c r="C2331" s="14" t="s">
        <v>767</v>
      </c>
      <c r="D2331" s="12" t="s">
        <v>58</v>
      </c>
      <c r="E2331" s="13" t="str">
        <f>IFERROR(VLOOKUP(D2331,Sheet1!$B$1:$C$45,2,0),"")</f>
        <v>TE</v>
      </c>
      <c r="F2331" s="12" t="s">
        <v>179</v>
      </c>
      <c r="G2331" s="13" t="str">
        <f t="shared" si="9"/>
        <v>Palangkaraya</v>
      </c>
      <c r="H2331" s="15" t="str">
        <f>IFERROR(VLOOKUP(A2331,Sheet1!$E$3:$F$27,2,),"")</f>
        <v>Preventive</v>
      </c>
      <c r="I2331" s="16" t="str">
        <f>IFERROR(VLOOKUP(A2331,Sheet1!$E$3:$G$27,3,0),"")</f>
        <v>Pengukuran dan pengambilan data log serta input Gdoc BBT</v>
      </c>
      <c r="J2331" s="12" t="s">
        <v>112</v>
      </c>
      <c r="K2331" s="17">
        <v>46315.0</v>
      </c>
      <c r="L2331" s="17"/>
      <c r="M2331" s="12" t="s">
        <v>137</v>
      </c>
      <c r="N2331" s="23"/>
      <c r="O2331" s="22"/>
      <c r="P2331" s="22"/>
    </row>
    <row r="2332" ht="22.5" customHeight="1">
      <c r="A2332" s="12" t="s">
        <v>5</v>
      </c>
      <c r="B2332" s="20" t="str">
        <f>IFERROR(VLOOKUP(A2332,Sheet1!$E$3:$H$27,4,0),"")</f>
        <v>P1</v>
      </c>
      <c r="C2332" s="14" t="s">
        <v>768</v>
      </c>
      <c r="D2332" s="12" t="s">
        <v>91</v>
      </c>
      <c r="E2332" s="13" t="str">
        <f>IFERROR(VLOOKUP(D2332,Sheet1!$B$1:$C$45,2,0),"")</f>
        <v>TE</v>
      </c>
      <c r="F2332" s="12" t="s">
        <v>179</v>
      </c>
      <c r="G2332" s="13" t="str">
        <f t="shared" si="9"/>
        <v>Palangkaraya</v>
      </c>
      <c r="H2332" s="15" t="str">
        <f>IFERROR(VLOOKUP(A2332,Sheet1!$E$3:$F$27,2,),"")</f>
        <v>Corrective</v>
      </c>
      <c r="I2332" s="16" t="str">
        <f>IFERROR(VLOOKUP(A2332,Sheet1!$E$3:$G$27,3,0),"")</f>
        <v>Replace Optik,RRU/Soket Power/Replace GPS</v>
      </c>
      <c r="J2332" s="12" t="s">
        <v>112</v>
      </c>
      <c r="K2332" s="17">
        <v>46315.0</v>
      </c>
      <c r="L2332" s="17"/>
      <c r="M2332" s="12" t="s">
        <v>137</v>
      </c>
      <c r="N2332" s="23"/>
      <c r="O2332" s="22"/>
      <c r="P2332" s="22"/>
    </row>
    <row r="2333" ht="22.5" customHeight="1">
      <c r="A2333" s="12" t="s">
        <v>5</v>
      </c>
      <c r="B2333" s="20" t="str">
        <f>IFERROR(VLOOKUP(A2333,Sheet1!$E$3:$H$27,4,0),"")</f>
        <v>P1</v>
      </c>
      <c r="C2333" s="14" t="s">
        <v>752</v>
      </c>
      <c r="D2333" s="12" t="s">
        <v>736</v>
      </c>
      <c r="E2333" s="12" t="s">
        <v>13</v>
      </c>
      <c r="F2333" s="12" t="s">
        <v>179</v>
      </c>
      <c r="G2333" s="13" t="str">
        <f t="shared" si="9"/>
        <v>Palangkaraya</v>
      </c>
      <c r="H2333" s="15" t="str">
        <f>IFERROR(VLOOKUP(A2333,Sheet1!$E$3:$F$27,2,),"")</f>
        <v>Corrective</v>
      </c>
      <c r="I2333" s="16" t="str">
        <f>IFERROR(VLOOKUP(A2333,Sheet1!$E$3:$G$27,3,0),"")</f>
        <v>Replace Optik,RRU/Soket Power/Replace GPS</v>
      </c>
      <c r="J2333" s="12" t="s">
        <v>112</v>
      </c>
      <c r="K2333" s="17">
        <v>46315.0</v>
      </c>
      <c r="L2333" s="17"/>
      <c r="M2333" s="12" t="s">
        <v>137</v>
      </c>
      <c r="N2333" s="23"/>
      <c r="O2333" s="22"/>
      <c r="P2333" s="22"/>
    </row>
    <row r="2334" ht="22.5" customHeight="1">
      <c r="A2334" s="12" t="s">
        <v>65</v>
      </c>
      <c r="B2334" s="20" t="str">
        <f>IFERROR(VLOOKUP(A2334,Sheet1!$E$3:$H$27,4,0),"")</f>
        <v>P3</v>
      </c>
      <c r="C2334" s="15"/>
      <c r="D2334" s="12" t="s">
        <v>744</v>
      </c>
      <c r="E2334" s="12" t="s">
        <v>1</v>
      </c>
      <c r="F2334" s="12" t="s">
        <v>179</v>
      </c>
      <c r="G2334" s="13" t="str">
        <f t="shared" si="9"/>
        <v>Palangkaraya</v>
      </c>
      <c r="H2334" s="15" t="str">
        <f>IFERROR(VLOOKUP(A2334,Sheet1!$E$3:$F$27,2,),"")</f>
        <v>Standby</v>
      </c>
      <c r="I2334" s="16" t="str">
        <f>IFERROR(VLOOKUP(A2334,Sheet1!$E$3:$G$27,3,0),"")</f>
        <v>Standby On Call</v>
      </c>
      <c r="J2334" s="12" t="s">
        <v>112</v>
      </c>
      <c r="K2334" s="17">
        <v>46315.0</v>
      </c>
      <c r="L2334" s="17"/>
      <c r="M2334" s="12" t="s">
        <v>137</v>
      </c>
      <c r="N2334" s="23"/>
      <c r="O2334" s="22"/>
      <c r="P2334" s="22"/>
    </row>
    <row r="2335" ht="22.5" customHeight="1">
      <c r="A2335" s="12" t="s">
        <v>65</v>
      </c>
      <c r="B2335" s="20" t="str">
        <f>IFERROR(VLOOKUP(A2335,Sheet1!$E$3:$H$27,4,0),"")</f>
        <v>P3</v>
      </c>
      <c r="C2335" s="15"/>
      <c r="D2335" s="12" t="s">
        <v>54</v>
      </c>
      <c r="E2335" s="13" t="str">
        <f>IFERROR(VLOOKUP(D2335,Sheet1!$B$1:$C$45,2,0),"")</f>
        <v>MBP</v>
      </c>
      <c r="F2335" s="12" t="s">
        <v>179</v>
      </c>
      <c r="G2335" s="13" t="str">
        <f t="shared" si="9"/>
        <v>Palangkaraya</v>
      </c>
      <c r="H2335" s="15" t="str">
        <f>IFERROR(VLOOKUP(A2335,Sheet1!$E$3:$F$27,2,),"")</f>
        <v>Standby</v>
      </c>
      <c r="I2335" s="16" t="str">
        <f>IFERROR(VLOOKUP(A2335,Sheet1!$E$3:$G$27,3,0),"")</f>
        <v>Standby On Call</v>
      </c>
      <c r="J2335" s="12" t="s">
        <v>112</v>
      </c>
      <c r="K2335" s="17">
        <v>46315.0</v>
      </c>
      <c r="L2335" s="17"/>
      <c r="M2335" s="12" t="s">
        <v>137</v>
      </c>
      <c r="N2335" s="23"/>
      <c r="O2335" s="22"/>
      <c r="P2335" s="22"/>
    </row>
    <row r="2336" ht="22.5" customHeight="1">
      <c r="A2336" s="12" t="s">
        <v>65</v>
      </c>
      <c r="B2336" s="20" t="str">
        <f>IFERROR(VLOOKUP(A2336,Sheet1!$E$3:$H$27,4,0),"")</f>
        <v>P3</v>
      </c>
      <c r="C2336" s="15"/>
      <c r="D2336" s="12" t="s">
        <v>89</v>
      </c>
      <c r="E2336" s="13" t="str">
        <f>IFERROR(VLOOKUP(D2336,Sheet1!$B$1:$C$45,2,0),"")</f>
        <v>TE</v>
      </c>
      <c r="F2336" s="12" t="s">
        <v>179</v>
      </c>
      <c r="G2336" s="13" t="str">
        <f t="shared" si="9"/>
        <v>Palangkaraya</v>
      </c>
      <c r="H2336" s="15" t="str">
        <f>IFERROR(VLOOKUP(A2336,Sheet1!$E$3:$F$27,2,),"")</f>
        <v>Standby</v>
      </c>
      <c r="I2336" s="16" t="str">
        <f>IFERROR(VLOOKUP(A2336,Sheet1!$E$3:$G$27,3,0),"")</f>
        <v>Standby On Call</v>
      </c>
      <c r="J2336" s="12" t="s">
        <v>112</v>
      </c>
      <c r="K2336" s="17">
        <v>46315.0</v>
      </c>
      <c r="L2336" s="17"/>
      <c r="M2336" s="12" t="s">
        <v>137</v>
      </c>
      <c r="N2336" s="23"/>
      <c r="O2336" s="22"/>
      <c r="P2336" s="22"/>
    </row>
    <row r="2337" ht="22.5" customHeight="1">
      <c r="A2337" s="12" t="s">
        <v>65</v>
      </c>
      <c r="B2337" s="20" t="str">
        <f>IFERROR(VLOOKUP(A2337,Sheet1!$E$3:$H$27,4,0),"")</f>
        <v>P3</v>
      </c>
      <c r="C2337" s="15"/>
      <c r="D2337" s="12" t="s">
        <v>743</v>
      </c>
      <c r="E2337" s="12" t="s">
        <v>1</v>
      </c>
      <c r="F2337" s="12" t="s">
        <v>179</v>
      </c>
      <c r="G2337" s="13" t="str">
        <f t="shared" si="9"/>
        <v>Palangkaraya</v>
      </c>
      <c r="H2337" s="15" t="str">
        <f>IFERROR(VLOOKUP(A2337,Sheet1!$E$3:$F$27,2,),"")</f>
        <v>Standby</v>
      </c>
      <c r="I2337" s="16" t="str">
        <f>IFERROR(VLOOKUP(A2337,Sheet1!$E$3:$G$27,3,0),"")</f>
        <v>Standby On Call</v>
      </c>
      <c r="J2337" s="12" t="s">
        <v>112</v>
      </c>
      <c r="K2337" s="17">
        <v>46315.0</v>
      </c>
      <c r="L2337" s="17"/>
      <c r="M2337" s="12" t="s">
        <v>137</v>
      </c>
      <c r="N2337" s="23"/>
      <c r="O2337" s="22"/>
      <c r="P2337" s="22"/>
    </row>
    <row r="2338" ht="22.5" customHeight="1">
      <c r="A2338" s="12" t="s">
        <v>65</v>
      </c>
      <c r="B2338" s="20" t="str">
        <f>IFERROR(VLOOKUP(A2338,Sheet1!$E$3:$H$27,4,0),"")</f>
        <v>P3</v>
      </c>
      <c r="C2338" s="15"/>
      <c r="D2338" s="12" t="s">
        <v>75</v>
      </c>
      <c r="E2338" s="13" t="str">
        <f>IFERROR(VLOOKUP(D2338,Sheet1!$B$1:$C$45,2,0),"")</f>
        <v>CME</v>
      </c>
      <c r="F2338" s="12" t="s">
        <v>179</v>
      </c>
      <c r="G2338" s="13" t="str">
        <f t="shared" si="9"/>
        <v>Palangkaraya</v>
      </c>
      <c r="H2338" s="15" t="str">
        <f>IFERROR(VLOOKUP(A2338,Sheet1!$E$3:$F$27,2,),"")</f>
        <v>Standby</v>
      </c>
      <c r="I2338" s="16" t="str">
        <f>IFERROR(VLOOKUP(A2338,Sheet1!$E$3:$G$27,3,0),"")</f>
        <v>Standby On Call</v>
      </c>
      <c r="J2338" s="12" t="s">
        <v>112</v>
      </c>
      <c r="K2338" s="17">
        <v>46315.0</v>
      </c>
      <c r="L2338" s="17"/>
      <c r="M2338" s="12" t="s">
        <v>137</v>
      </c>
      <c r="N2338" s="23"/>
      <c r="O2338" s="22"/>
      <c r="P2338" s="22"/>
    </row>
    <row r="2339" ht="22.5" customHeight="1">
      <c r="A2339" s="12" t="s">
        <v>22</v>
      </c>
      <c r="B2339" s="20" t="str">
        <f>IFERROR(VLOOKUP(A2339,Sheet1!$E$3:$H$27,4,0),"")</f>
        <v>P2</v>
      </c>
      <c r="C2339" s="15"/>
      <c r="D2339" s="12" t="s">
        <v>83</v>
      </c>
      <c r="E2339" s="13" t="str">
        <f>IFERROR(VLOOKUP(D2339,Sheet1!$B$1:$C$45,2,0),"")</f>
        <v>PM</v>
      </c>
      <c r="F2339" s="12" t="s">
        <v>179</v>
      </c>
      <c r="G2339" s="13" t="str">
        <f t="shared" si="9"/>
        <v>Palangkaraya</v>
      </c>
      <c r="H2339" s="15" t="str">
        <f>IFERROR(VLOOKUP(A2339,Sheet1!$E$3:$F$27,2,),"")</f>
        <v>Preventive</v>
      </c>
      <c r="I2339" s="16" t="str">
        <f>IFERROR(VLOOKUP(A2339,Sheet1!$E$3:$G$27,3,0),"")</f>
        <v>Preventive Maintenance</v>
      </c>
      <c r="J2339" s="12" t="s">
        <v>112</v>
      </c>
      <c r="K2339" s="17">
        <v>46315.0</v>
      </c>
      <c r="L2339" s="17"/>
      <c r="M2339" s="12" t="s">
        <v>137</v>
      </c>
      <c r="N2339" s="23"/>
      <c r="O2339" s="22"/>
      <c r="P2339" s="22"/>
    </row>
    <row r="2340" ht="22.5" customHeight="1">
      <c r="A2340" s="12" t="s">
        <v>22</v>
      </c>
      <c r="B2340" s="20" t="str">
        <f>IFERROR(VLOOKUP(A2340,Sheet1!$E$3:$H$27,4,0),"")</f>
        <v>P2</v>
      </c>
      <c r="C2340" s="15"/>
      <c r="D2340" s="12" t="s">
        <v>82</v>
      </c>
      <c r="E2340" s="13" t="str">
        <f>IFERROR(VLOOKUP(D2340,Sheet1!$B$1:$C$45,2,0),"")</f>
        <v>PM</v>
      </c>
      <c r="F2340" s="12" t="s">
        <v>179</v>
      </c>
      <c r="G2340" s="13" t="str">
        <f t="shared" si="9"/>
        <v>Palangkaraya</v>
      </c>
      <c r="H2340" s="15" t="str">
        <f>IFERROR(VLOOKUP(A2340,Sheet1!$E$3:$F$27,2,),"")</f>
        <v>Preventive</v>
      </c>
      <c r="I2340" s="16" t="str">
        <f>IFERROR(VLOOKUP(A2340,Sheet1!$E$3:$G$27,3,0),"")</f>
        <v>Preventive Maintenance</v>
      </c>
      <c r="J2340" s="12" t="s">
        <v>112</v>
      </c>
      <c r="K2340" s="17">
        <v>46315.0</v>
      </c>
      <c r="L2340" s="17"/>
      <c r="M2340" s="12" t="s">
        <v>137</v>
      </c>
      <c r="N2340" s="23"/>
      <c r="O2340" s="22"/>
      <c r="P2340" s="22"/>
    </row>
    <row r="2341" ht="22.5" customHeight="1">
      <c r="A2341" s="12" t="s">
        <v>22</v>
      </c>
      <c r="B2341" s="20" t="str">
        <f>IFERROR(VLOOKUP(A2341,Sheet1!$E$3:$H$27,4,0),"")</f>
        <v>P2</v>
      </c>
      <c r="C2341" s="15"/>
      <c r="D2341" s="12" t="s">
        <v>88</v>
      </c>
      <c r="E2341" s="13" t="str">
        <f>IFERROR(VLOOKUP(D2341,Sheet1!$B$1:$C$45,2,0),"")</f>
        <v>TE</v>
      </c>
      <c r="F2341" s="12" t="s">
        <v>179</v>
      </c>
      <c r="G2341" s="13" t="str">
        <f t="shared" si="9"/>
        <v>Palangkaraya</v>
      </c>
      <c r="H2341" s="15" t="str">
        <f>IFERROR(VLOOKUP(A2341,Sheet1!$E$3:$F$27,2,),"")</f>
        <v>Preventive</v>
      </c>
      <c r="I2341" s="16" t="str">
        <f>IFERROR(VLOOKUP(A2341,Sheet1!$E$3:$G$27,3,0),"")</f>
        <v>Preventive Maintenance</v>
      </c>
      <c r="J2341" s="12" t="s">
        <v>112</v>
      </c>
      <c r="K2341" s="17">
        <v>46315.0</v>
      </c>
      <c r="L2341" s="17"/>
      <c r="M2341" s="12" t="s">
        <v>137</v>
      </c>
      <c r="N2341" s="23"/>
      <c r="O2341" s="22"/>
      <c r="P2341" s="22"/>
    </row>
    <row r="2342" ht="22.5" customHeight="1">
      <c r="A2342" s="20"/>
      <c r="B2342" s="20" t="str">
        <f>IFERROR(VLOOKUP(A2342,Sheet1!$E$3:$H$27,4,0),"")</f>
        <v/>
      </c>
      <c r="C2342" s="15"/>
      <c r="D2342" s="20"/>
      <c r="E2342" s="13" t="str">
        <f>IFERROR(VLOOKUP(D2342,Sheet1!$B$1:$C$45,2,0),"")</f>
        <v/>
      </c>
      <c r="F2342" s="20"/>
      <c r="G2342" s="13" t="str">
        <f t="shared" si="9"/>
        <v/>
      </c>
      <c r="H2342" s="15" t="str">
        <f>IFERROR(VLOOKUP(A2342,Sheet1!$E$3:$F$27,2,),"")</f>
        <v/>
      </c>
      <c r="I2342" s="16" t="str">
        <f>IFERROR(VLOOKUP(A2342,Sheet1!$E$3:$G$27,3,0),"")</f>
        <v/>
      </c>
      <c r="J2342" s="20"/>
      <c r="K2342" s="17"/>
      <c r="L2342" s="17"/>
      <c r="M2342" s="13"/>
      <c r="N2342" s="23"/>
      <c r="O2342" s="22"/>
      <c r="P2342" s="22"/>
    </row>
    <row r="2343" ht="22.5" customHeight="1">
      <c r="A2343" s="20"/>
      <c r="B2343" s="20" t="str">
        <f>IFERROR(VLOOKUP(A2343,Sheet1!$E$3:$H$27,4,0),"")</f>
        <v/>
      </c>
      <c r="C2343" s="15"/>
      <c r="D2343" s="20"/>
      <c r="E2343" s="13" t="str">
        <f>IFERROR(VLOOKUP(D2343,Sheet1!$B$1:$C$45,2,0),"")</f>
        <v/>
      </c>
      <c r="F2343" s="20"/>
      <c r="G2343" s="13" t="str">
        <f t="shared" si="9"/>
        <v/>
      </c>
      <c r="H2343" s="15" t="str">
        <f>IFERROR(VLOOKUP(A2343,Sheet1!$E$3:$F$27,2,),"")</f>
        <v/>
      </c>
      <c r="I2343" s="16" t="str">
        <f>IFERROR(VLOOKUP(A2343,Sheet1!$E$3:$G$27,3,0),"")</f>
        <v/>
      </c>
      <c r="J2343" s="20"/>
      <c r="K2343" s="17"/>
      <c r="L2343" s="17"/>
      <c r="M2343" s="13"/>
      <c r="N2343" s="23"/>
      <c r="O2343" s="22"/>
      <c r="P2343" s="22"/>
    </row>
    <row r="2344" ht="22.5" customHeight="1">
      <c r="A2344" s="20"/>
      <c r="B2344" s="20" t="str">
        <f>IFERROR(VLOOKUP(A2344,Sheet1!$E$3:$H$27,4,0),"")</f>
        <v/>
      </c>
      <c r="C2344" s="15"/>
      <c r="D2344" s="20"/>
      <c r="E2344" s="13" t="str">
        <f>IFERROR(VLOOKUP(D2344,Sheet1!$B$1:$C$45,2,0),"")</f>
        <v/>
      </c>
      <c r="F2344" s="20"/>
      <c r="G2344" s="13" t="str">
        <f t="shared" si="9"/>
        <v/>
      </c>
      <c r="H2344" s="15" t="str">
        <f>IFERROR(VLOOKUP(A2344,Sheet1!$E$3:$F$27,2,),"")</f>
        <v/>
      </c>
      <c r="I2344" s="16" t="str">
        <f>IFERROR(VLOOKUP(A2344,Sheet1!$E$3:$G$27,3,0),"")</f>
        <v/>
      </c>
      <c r="J2344" s="20"/>
      <c r="K2344" s="17"/>
      <c r="L2344" s="17"/>
      <c r="M2344" s="13"/>
      <c r="N2344" s="23"/>
      <c r="O2344" s="22"/>
      <c r="P2344" s="22"/>
    </row>
    <row r="2345" ht="22.5" customHeight="1">
      <c r="A2345" s="20"/>
      <c r="B2345" s="20" t="str">
        <f>IFERROR(VLOOKUP(A2345,Sheet1!$E$3:$H$27,4,0),"")</f>
        <v/>
      </c>
      <c r="C2345" s="15"/>
      <c r="D2345" s="20"/>
      <c r="E2345" s="13" t="str">
        <f>IFERROR(VLOOKUP(D2345,Sheet1!$B$1:$C$45,2,0),"")</f>
        <v/>
      </c>
      <c r="F2345" s="20"/>
      <c r="G2345" s="13" t="str">
        <f t="shared" si="9"/>
        <v/>
      </c>
      <c r="H2345" s="15" t="str">
        <f>IFERROR(VLOOKUP(A2345,Sheet1!$E$3:$F$27,2,),"")</f>
        <v/>
      </c>
      <c r="I2345" s="16" t="str">
        <f>IFERROR(VLOOKUP(A2345,Sheet1!$E$3:$G$27,3,0),"")</f>
        <v/>
      </c>
      <c r="J2345" s="20"/>
      <c r="K2345" s="17"/>
      <c r="L2345" s="17"/>
      <c r="M2345" s="13"/>
      <c r="N2345" s="23"/>
      <c r="O2345" s="22"/>
      <c r="P2345" s="22"/>
    </row>
    <row r="2346" ht="22.5" customHeight="1">
      <c r="A2346" s="20"/>
      <c r="B2346" s="20" t="str">
        <f>IFERROR(VLOOKUP(A2346,Sheet1!$E$3:$H$27,4,0),"")</f>
        <v/>
      </c>
      <c r="C2346" s="15"/>
      <c r="D2346" s="20"/>
      <c r="E2346" s="13" t="str">
        <f>IFERROR(VLOOKUP(D2346,Sheet1!$B$1:$C$45,2,0),"")</f>
        <v/>
      </c>
      <c r="F2346" s="20"/>
      <c r="G2346" s="13" t="str">
        <f t="shared" si="9"/>
        <v/>
      </c>
      <c r="H2346" s="15" t="str">
        <f>IFERROR(VLOOKUP(A2346,Sheet1!$E$3:$F$27,2,),"")</f>
        <v/>
      </c>
      <c r="I2346" s="16" t="str">
        <f>IFERROR(VLOOKUP(A2346,Sheet1!$E$3:$G$27,3,0),"")</f>
        <v/>
      </c>
      <c r="J2346" s="20"/>
      <c r="K2346" s="17"/>
      <c r="L2346" s="17"/>
      <c r="M2346" s="13"/>
      <c r="N2346" s="23"/>
      <c r="O2346" s="22"/>
      <c r="P2346" s="22"/>
    </row>
    <row r="2347" ht="22.5" customHeight="1">
      <c r="A2347" s="20"/>
      <c r="B2347" s="20" t="str">
        <f>IFERROR(VLOOKUP(A2347,Sheet1!$E$3:$H$27,4,0),"")</f>
        <v/>
      </c>
      <c r="C2347" s="15"/>
      <c r="D2347" s="20"/>
      <c r="E2347" s="13" t="str">
        <f>IFERROR(VLOOKUP(D2347,Sheet1!$B$1:$C$45,2,0),"")</f>
        <v/>
      </c>
      <c r="F2347" s="20"/>
      <c r="G2347" s="13" t="str">
        <f t="shared" si="9"/>
        <v/>
      </c>
      <c r="H2347" s="15" t="str">
        <f>IFERROR(VLOOKUP(A2347,Sheet1!$E$3:$F$27,2,),"")</f>
        <v/>
      </c>
      <c r="I2347" s="16" t="str">
        <f>IFERROR(VLOOKUP(A2347,Sheet1!$E$3:$G$27,3,0),"")</f>
        <v/>
      </c>
      <c r="J2347" s="20"/>
      <c r="K2347" s="17"/>
      <c r="L2347" s="17"/>
      <c r="M2347" s="13"/>
      <c r="N2347" s="23"/>
      <c r="O2347" s="22"/>
      <c r="P2347" s="22"/>
    </row>
    <row r="2348" ht="22.5" customHeight="1">
      <c r="A2348" s="20"/>
      <c r="B2348" s="20" t="str">
        <f>IFERROR(VLOOKUP(A2348,Sheet1!$E$3:$H$27,4,0),"")</f>
        <v/>
      </c>
      <c r="C2348" s="15"/>
      <c r="D2348" s="20"/>
      <c r="E2348" s="13" t="str">
        <f>IFERROR(VLOOKUP(D2348,Sheet1!$B$1:$C$45,2,0),"")</f>
        <v/>
      </c>
      <c r="F2348" s="20"/>
      <c r="G2348" s="13" t="str">
        <f t="shared" si="9"/>
        <v/>
      </c>
      <c r="H2348" s="15" t="str">
        <f>IFERROR(VLOOKUP(A2348,Sheet1!$E$3:$F$27,2,),"")</f>
        <v/>
      </c>
      <c r="I2348" s="16" t="str">
        <f>IFERROR(VLOOKUP(A2348,Sheet1!$E$3:$G$27,3,0),"")</f>
        <v/>
      </c>
      <c r="J2348" s="20"/>
      <c r="K2348" s="17"/>
      <c r="L2348" s="17"/>
      <c r="M2348" s="13"/>
      <c r="N2348" s="23"/>
      <c r="O2348" s="22"/>
      <c r="P2348" s="22"/>
    </row>
    <row r="2349" ht="22.5" customHeight="1">
      <c r="A2349" s="20"/>
      <c r="B2349" s="20" t="str">
        <f>IFERROR(VLOOKUP(A2349,Sheet1!$E$3:$H$27,4,0),"")</f>
        <v/>
      </c>
      <c r="C2349" s="15"/>
      <c r="D2349" s="20"/>
      <c r="E2349" s="13" t="str">
        <f>IFERROR(VLOOKUP(D2349,Sheet1!$B$1:$C$45,2,0),"")</f>
        <v/>
      </c>
      <c r="F2349" s="20"/>
      <c r="G2349" s="13" t="str">
        <f t="shared" si="9"/>
        <v/>
      </c>
      <c r="H2349" s="15" t="str">
        <f>IFERROR(VLOOKUP(A2349,Sheet1!$E$3:$F$27,2,),"")</f>
        <v/>
      </c>
      <c r="I2349" s="16" t="str">
        <f>IFERROR(VLOOKUP(A2349,Sheet1!$E$3:$G$27,3,0),"")</f>
        <v/>
      </c>
      <c r="J2349" s="20"/>
      <c r="K2349" s="17"/>
      <c r="L2349" s="17"/>
      <c r="M2349" s="13"/>
      <c r="N2349" s="23"/>
      <c r="O2349" s="22"/>
      <c r="P2349" s="22"/>
    </row>
    <row r="2350" ht="22.5" customHeight="1">
      <c r="A2350" s="20"/>
      <c r="B2350" s="20" t="str">
        <f>IFERROR(VLOOKUP(A2350,Sheet1!$E$3:$H$27,4,0),"")</f>
        <v/>
      </c>
      <c r="C2350" s="15"/>
      <c r="D2350" s="20"/>
      <c r="E2350" s="13" t="str">
        <f>IFERROR(VLOOKUP(D2350,Sheet1!$B$1:$C$45,2,0),"")</f>
        <v/>
      </c>
      <c r="F2350" s="20"/>
      <c r="G2350" s="13" t="str">
        <f t="shared" si="9"/>
        <v/>
      </c>
      <c r="H2350" s="15" t="str">
        <f>IFERROR(VLOOKUP(A2350,Sheet1!$E$3:$F$27,2,),"")</f>
        <v/>
      </c>
      <c r="I2350" s="16" t="str">
        <f>IFERROR(VLOOKUP(A2350,Sheet1!$E$3:$G$27,3,0),"")</f>
        <v/>
      </c>
      <c r="J2350" s="20"/>
      <c r="K2350" s="17"/>
      <c r="L2350" s="17"/>
      <c r="M2350" s="13"/>
      <c r="N2350" s="23"/>
      <c r="O2350" s="22"/>
      <c r="P2350" s="22"/>
    </row>
    <row r="2351" ht="22.5" customHeight="1">
      <c r="A2351" s="20"/>
      <c r="B2351" s="20" t="str">
        <f>IFERROR(VLOOKUP(A2351,Sheet1!$E$3:$H$27,4,0),"")</f>
        <v/>
      </c>
      <c r="C2351" s="15"/>
      <c r="D2351" s="20"/>
      <c r="E2351" s="13" t="str">
        <f>IFERROR(VLOOKUP(D2351,Sheet1!$B$1:$C$45,2,0),"")</f>
        <v/>
      </c>
      <c r="F2351" s="20"/>
      <c r="G2351" s="13" t="str">
        <f t="shared" si="9"/>
        <v/>
      </c>
      <c r="H2351" s="15" t="str">
        <f>IFERROR(VLOOKUP(A2351,Sheet1!$E$3:$F$27,2,),"")</f>
        <v/>
      </c>
      <c r="I2351" s="16" t="str">
        <f>IFERROR(VLOOKUP(A2351,Sheet1!$E$3:$G$27,3,0),"")</f>
        <v/>
      </c>
      <c r="J2351" s="20"/>
      <c r="K2351" s="17"/>
      <c r="L2351" s="17"/>
      <c r="M2351" s="13"/>
      <c r="N2351" s="23"/>
      <c r="O2351" s="22"/>
      <c r="P2351" s="22"/>
    </row>
    <row r="2352" ht="22.5" customHeight="1">
      <c r="A2352" s="20"/>
      <c r="B2352" s="20" t="str">
        <f>IFERROR(VLOOKUP(A2352,Sheet1!$E$3:$H$27,4,0),"")</f>
        <v/>
      </c>
      <c r="C2352" s="15"/>
      <c r="D2352" s="20"/>
      <c r="E2352" s="13" t="str">
        <f>IFERROR(VLOOKUP(D2352,Sheet1!$B$1:$C$45,2,0),"")</f>
        <v/>
      </c>
      <c r="F2352" s="20"/>
      <c r="G2352" s="13" t="str">
        <f t="shared" si="9"/>
        <v/>
      </c>
      <c r="H2352" s="15" t="str">
        <f>IFERROR(VLOOKUP(A2352,Sheet1!$E$3:$F$27,2,),"")</f>
        <v/>
      </c>
      <c r="I2352" s="16" t="str">
        <f>IFERROR(VLOOKUP(A2352,Sheet1!$E$3:$G$27,3,0),"")</f>
        <v/>
      </c>
      <c r="J2352" s="20"/>
      <c r="K2352" s="17"/>
      <c r="L2352" s="17"/>
      <c r="M2352" s="13"/>
      <c r="N2352" s="23"/>
      <c r="O2352" s="22"/>
      <c r="P2352" s="22"/>
    </row>
    <row r="2353" ht="22.5" customHeight="1">
      <c r="A2353" s="20"/>
      <c r="B2353" s="20" t="str">
        <f>IFERROR(VLOOKUP(A2353,Sheet1!$E$3:$H$27,4,0),"")</f>
        <v/>
      </c>
      <c r="C2353" s="15"/>
      <c r="D2353" s="20"/>
      <c r="E2353" s="13" t="str">
        <f>IFERROR(VLOOKUP(D2353,Sheet1!$B$1:$C$45,2,0),"")</f>
        <v/>
      </c>
      <c r="F2353" s="20"/>
      <c r="G2353" s="13" t="str">
        <f t="shared" si="9"/>
        <v/>
      </c>
      <c r="H2353" s="15" t="str">
        <f>IFERROR(VLOOKUP(A2353,Sheet1!$E$3:$F$27,2,),"")</f>
        <v/>
      </c>
      <c r="I2353" s="16" t="str">
        <f>IFERROR(VLOOKUP(A2353,Sheet1!$E$3:$G$27,3,0),"")</f>
        <v/>
      </c>
      <c r="J2353" s="20"/>
      <c r="K2353" s="17"/>
      <c r="L2353" s="17"/>
      <c r="M2353" s="13"/>
      <c r="N2353" s="23"/>
      <c r="O2353" s="22"/>
      <c r="P2353" s="22"/>
    </row>
    <row r="2354" ht="22.5" customHeight="1">
      <c r="A2354" s="20"/>
      <c r="B2354" s="20" t="str">
        <f>IFERROR(VLOOKUP(A2354,Sheet1!$E$3:$H$27,4,0),"")</f>
        <v/>
      </c>
      <c r="C2354" s="15"/>
      <c r="D2354" s="20"/>
      <c r="E2354" s="13" t="str">
        <f>IFERROR(VLOOKUP(D2354,Sheet1!$B$1:$C$45,2,0),"")</f>
        <v/>
      </c>
      <c r="F2354" s="20"/>
      <c r="G2354" s="13" t="str">
        <f t="shared" si="9"/>
        <v/>
      </c>
      <c r="H2354" s="15" t="str">
        <f>IFERROR(VLOOKUP(A2354,Sheet1!$E$3:$F$27,2,),"")</f>
        <v/>
      </c>
      <c r="I2354" s="16" t="str">
        <f>IFERROR(VLOOKUP(A2354,Sheet1!$E$3:$G$27,3,0),"")</f>
        <v/>
      </c>
      <c r="J2354" s="20"/>
      <c r="K2354" s="17"/>
      <c r="L2354" s="17"/>
      <c r="M2354" s="13"/>
      <c r="N2354" s="23"/>
      <c r="O2354" s="22"/>
      <c r="P2354" s="22"/>
    </row>
    <row r="2355" ht="22.5" customHeight="1">
      <c r="A2355" s="20"/>
      <c r="B2355" s="20" t="str">
        <f>IFERROR(VLOOKUP(A2355,Sheet1!$E$3:$H$27,4,0),"")</f>
        <v/>
      </c>
      <c r="C2355" s="15"/>
      <c r="D2355" s="20"/>
      <c r="E2355" s="13" t="str">
        <f>IFERROR(VLOOKUP(D2355,Sheet1!$B$1:$C$45,2,0),"")</f>
        <v/>
      </c>
      <c r="F2355" s="20"/>
      <c r="G2355" s="13" t="str">
        <f t="shared" si="9"/>
        <v/>
      </c>
      <c r="H2355" s="15" t="str">
        <f>IFERROR(VLOOKUP(A2355,Sheet1!$E$3:$F$27,2,),"")</f>
        <v/>
      </c>
      <c r="I2355" s="16" t="str">
        <f>IFERROR(VLOOKUP(A2355,Sheet1!$E$3:$G$27,3,0),"")</f>
        <v/>
      </c>
      <c r="J2355" s="20"/>
      <c r="K2355" s="17"/>
      <c r="L2355" s="17"/>
      <c r="M2355" s="13"/>
      <c r="N2355" s="23"/>
      <c r="O2355" s="22"/>
      <c r="P2355" s="22"/>
    </row>
    <row r="2356" ht="22.5" customHeight="1">
      <c r="A2356" s="20"/>
      <c r="B2356" s="20" t="str">
        <f>IFERROR(VLOOKUP(A2356,Sheet1!$E$3:$H$27,4,0),"")</f>
        <v/>
      </c>
      <c r="C2356" s="15"/>
      <c r="D2356" s="20"/>
      <c r="E2356" s="13" t="str">
        <f>IFERROR(VLOOKUP(D2356,Sheet1!$B$1:$C$45,2,0),"")</f>
        <v/>
      </c>
      <c r="F2356" s="20"/>
      <c r="G2356" s="13" t="str">
        <f t="shared" si="9"/>
        <v/>
      </c>
      <c r="H2356" s="15" t="str">
        <f>IFERROR(VLOOKUP(A2356,Sheet1!$E$3:$F$27,2,),"")</f>
        <v/>
      </c>
      <c r="I2356" s="16" t="str">
        <f>IFERROR(VLOOKUP(A2356,Sheet1!$E$3:$G$27,3,0),"")</f>
        <v/>
      </c>
      <c r="J2356" s="20"/>
      <c r="K2356" s="17"/>
      <c r="L2356" s="17"/>
      <c r="M2356" s="13"/>
      <c r="N2356" s="23"/>
      <c r="O2356" s="22"/>
      <c r="P2356" s="22"/>
    </row>
    <row r="2357" ht="22.5" customHeight="1">
      <c r="A2357" s="20"/>
      <c r="B2357" s="20" t="str">
        <f>IFERROR(VLOOKUP(A2357,Sheet1!$E$3:$H$27,4,0),"")</f>
        <v/>
      </c>
      <c r="C2357" s="15"/>
      <c r="D2357" s="20"/>
      <c r="E2357" s="13" t="str">
        <f>IFERROR(VLOOKUP(D2357,Sheet1!$B$1:$C$45,2,0),"")</f>
        <v/>
      </c>
      <c r="F2357" s="20"/>
      <c r="G2357" s="13" t="str">
        <f t="shared" si="9"/>
        <v/>
      </c>
      <c r="H2357" s="15" t="str">
        <f>IFERROR(VLOOKUP(A2357,Sheet1!$E$3:$F$27,2,),"")</f>
        <v/>
      </c>
      <c r="I2357" s="16" t="str">
        <f>IFERROR(VLOOKUP(A2357,Sheet1!$E$3:$G$27,3,0),"")</f>
        <v/>
      </c>
      <c r="J2357" s="20"/>
      <c r="K2357" s="17"/>
      <c r="L2357" s="17"/>
      <c r="M2357" s="13"/>
      <c r="N2357" s="23"/>
      <c r="O2357" s="22"/>
      <c r="P2357" s="22"/>
    </row>
    <row r="2358" ht="22.5" customHeight="1">
      <c r="A2358" s="20"/>
      <c r="B2358" s="20" t="str">
        <f>IFERROR(VLOOKUP(A2358,Sheet1!$E$3:$H$27,4,0),"")</f>
        <v/>
      </c>
      <c r="C2358" s="15"/>
      <c r="D2358" s="20"/>
      <c r="E2358" s="13" t="str">
        <f>IFERROR(VLOOKUP(D2358,Sheet1!$B$1:$C$45,2,0),"")</f>
        <v/>
      </c>
      <c r="F2358" s="20"/>
      <c r="G2358" s="13" t="str">
        <f t="shared" si="9"/>
        <v/>
      </c>
      <c r="H2358" s="15" t="str">
        <f>IFERROR(VLOOKUP(A2358,Sheet1!$E$3:$F$27,2,),"")</f>
        <v/>
      </c>
      <c r="I2358" s="16" t="str">
        <f>IFERROR(VLOOKUP(A2358,Sheet1!$E$3:$G$27,3,0),"")</f>
        <v/>
      </c>
      <c r="J2358" s="20"/>
      <c r="K2358" s="17"/>
      <c r="L2358" s="17"/>
      <c r="M2358" s="13"/>
      <c r="N2358" s="23"/>
      <c r="O2358" s="22"/>
      <c r="P2358" s="22"/>
    </row>
    <row r="2359" ht="22.5" customHeight="1">
      <c r="A2359" s="20"/>
      <c r="B2359" s="20" t="str">
        <f>IFERROR(VLOOKUP(A2359,Sheet1!$E$3:$H$27,4,0),"")</f>
        <v/>
      </c>
      <c r="C2359" s="15"/>
      <c r="D2359" s="20"/>
      <c r="E2359" s="13" t="str">
        <f>IFERROR(VLOOKUP(D2359,Sheet1!$B$1:$C$45,2,0),"")</f>
        <v/>
      </c>
      <c r="F2359" s="20"/>
      <c r="G2359" s="13" t="str">
        <f t="shared" si="9"/>
        <v/>
      </c>
      <c r="H2359" s="15" t="str">
        <f>IFERROR(VLOOKUP(A2359,Sheet1!$E$3:$F$27,2,),"")</f>
        <v/>
      </c>
      <c r="I2359" s="16" t="str">
        <f>IFERROR(VLOOKUP(A2359,Sheet1!$E$3:$G$27,3,0),"")</f>
        <v/>
      </c>
      <c r="J2359" s="20"/>
      <c r="K2359" s="17"/>
      <c r="L2359" s="17"/>
      <c r="M2359" s="13"/>
      <c r="N2359" s="23"/>
      <c r="O2359" s="22"/>
      <c r="P2359" s="22"/>
    </row>
    <row r="2360" ht="22.5" customHeight="1">
      <c r="A2360" s="20"/>
      <c r="B2360" s="20" t="str">
        <f>IFERROR(VLOOKUP(A2360,Sheet1!$E$3:$H$27,4,0),"")</f>
        <v/>
      </c>
      <c r="C2360" s="15"/>
      <c r="D2360" s="20"/>
      <c r="E2360" s="13" t="str">
        <f>IFERROR(VLOOKUP(D2360,Sheet1!$B$1:$C$45,2,0),"")</f>
        <v/>
      </c>
      <c r="F2360" s="20"/>
      <c r="G2360" s="13" t="str">
        <f t="shared" si="9"/>
        <v/>
      </c>
      <c r="H2360" s="15" t="str">
        <f>IFERROR(VLOOKUP(A2360,Sheet1!$E$3:$F$27,2,),"")</f>
        <v/>
      </c>
      <c r="I2360" s="16" t="str">
        <f>IFERROR(VLOOKUP(A2360,Sheet1!$E$3:$G$27,3,0),"")</f>
        <v/>
      </c>
      <c r="J2360" s="20"/>
      <c r="K2360" s="17"/>
      <c r="L2360" s="17"/>
      <c r="M2360" s="13"/>
      <c r="N2360" s="23"/>
      <c r="O2360" s="22"/>
      <c r="P2360" s="22"/>
    </row>
    <row r="2361" ht="22.5" customHeight="1">
      <c r="A2361" s="20"/>
      <c r="B2361" s="20" t="str">
        <f>IFERROR(VLOOKUP(A2361,Sheet1!$E$3:$H$27,4,0),"")</f>
        <v/>
      </c>
      <c r="C2361" s="15"/>
      <c r="D2361" s="20"/>
      <c r="E2361" s="13" t="str">
        <f>IFERROR(VLOOKUP(D2361,Sheet1!$B$1:$C$45,2,0),"")</f>
        <v/>
      </c>
      <c r="F2361" s="20"/>
      <c r="G2361" s="13" t="str">
        <f t="shared" si="9"/>
        <v/>
      </c>
      <c r="H2361" s="15" t="str">
        <f>IFERROR(VLOOKUP(A2361,Sheet1!$E$3:$F$27,2,),"")</f>
        <v/>
      </c>
      <c r="I2361" s="16" t="str">
        <f>IFERROR(VLOOKUP(A2361,Sheet1!$E$3:$G$27,3,0),"")</f>
        <v/>
      </c>
      <c r="J2361" s="20"/>
      <c r="K2361" s="17"/>
      <c r="L2361" s="17"/>
      <c r="M2361" s="13"/>
      <c r="N2361" s="23"/>
      <c r="O2361" s="22"/>
      <c r="P2361" s="22"/>
    </row>
    <row r="2362" ht="22.5" customHeight="1">
      <c r="A2362" s="20"/>
      <c r="B2362" s="20" t="str">
        <f>IFERROR(VLOOKUP(A2362,Sheet1!$E$3:$H$27,4,0),"")</f>
        <v/>
      </c>
      <c r="C2362" s="15"/>
      <c r="D2362" s="20"/>
      <c r="E2362" s="13" t="str">
        <f>IFERROR(VLOOKUP(D2362,Sheet1!$B$1:$C$45,2,0),"")</f>
        <v/>
      </c>
      <c r="F2362" s="20"/>
      <c r="G2362" s="13" t="str">
        <f t="shared" si="9"/>
        <v/>
      </c>
      <c r="H2362" s="15" t="str">
        <f>IFERROR(VLOOKUP(A2362,Sheet1!$E$3:$F$27,2,),"")</f>
        <v/>
      </c>
      <c r="I2362" s="16" t="str">
        <f>IFERROR(VLOOKUP(A2362,Sheet1!$E$3:$G$27,3,0),"")</f>
        <v/>
      </c>
      <c r="J2362" s="20"/>
      <c r="K2362" s="17"/>
      <c r="L2362" s="17"/>
      <c r="M2362" s="13"/>
      <c r="N2362" s="23"/>
      <c r="O2362" s="22"/>
      <c r="P2362" s="22"/>
    </row>
    <row r="2363" ht="22.5" customHeight="1">
      <c r="A2363" s="20"/>
      <c r="B2363" s="20" t="str">
        <f>IFERROR(VLOOKUP(A2363,Sheet1!$E$3:$H$27,4,0),"")</f>
        <v/>
      </c>
      <c r="C2363" s="15"/>
      <c r="D2363" s="20"/>
      <c r="E2363" s="13" t="str">
        <f>IFERROR(VLOOKUP(D2363,Sheet1!$B$1:$C$45,2,0),"")</f>
        <v/>
      </c>
      <c r="F2363" s="20"/>
      <c r="G2363" s="13" t="str">
        <f t="shared" si="9"/>
        <v/>
      </c>
      <c r="H2363" s="15" t="str">
        <f>IFERROR(VLOOKUP(A2363,Sheet1!$E$3:$F$27,2,),"")</f>
        <v/>
      </c>
      <c r="I2363" s="16" t="str">
        <f>IFERROR(VLOOKUP(A2363,Sheet1!$E$3:$G$27,3,0),"")</f>
        <v/>
      </c>
      <c r="J2363" s="20"/>
      <c r="K2363" s="17"/>
      <c r="L2363" s="17"/>
      <c r="M2363" s="13"/>
      <c r="N2363" s="23"/>
      <c r="O2363" s="22"/>
      <c r="P2363" s="22"/>
    </row>
    <row r="2364" ht="22.5" customHeight="1">
      <c r="A2364" s="20"/>
      <c r="B2364" s="20" t="str">
        <f>IFERROR(VLOOKUP(A2364,Sheet1!$E$3:$H$27,4,0),"")</f>
        <v/>
      </c>
      <c r="C2364" s="15"/>
      <c r="D2364" s="20"/>
      <c r="E2364" s="13" t="str">
        <f>IFERROR(VLOOKUP(D2364,Sheet1!$B$1:$C$45,2,0),"")</f>
        <v/>
      </c>
      <c r="F2364" s="20"/>
      <c r="G2364" s="13" t="str">
        <f t="shared" si="9"/>
        <v/>
      </c>
      <c r="H2364" s="15" t="str">
        <f>IFERROR(VLOOKUP(A2364,Sheet1!$E$3:$F$27,2,),"")</f>
        <v/>
      </c>
      <c r="I2364" s="16" t="str">
        <f>IFERROR(VLOOKUP(A2364,Sheet1!$E$3:$G$27,3,0),"")</f>
        <v/>
      </c>
      <c r="J2364" s="20"/>
      <c r="K2364" s="17"/>
      <c r="L2364" s="17"/>
      <c r="M2364" s="13"/>
      <c r="N2364" s="23"/>
      <c r="O2364" s="22"/>
      <c r="P2364" s="22"/>
    </row>
    <row r="2365" ht="22.5" customHeight="1">
      <c r="A2365" s="20"/>
      <c r="B2365" s="20" t="str">
        <f>IFERROR(VLOOKUP(A2365,Sheet1!$E$3:$H$27,4,0),"")</f>
        <v/>
      </c>
      <c r="C2365" s="15"/>
      <c r="D2365" s="20"/>
      <c r="E2365" s="13" t="str">
        <f>IFERROR(VLOOKUP(D2365,Sheet1!$B$1:$C$45,2,0),"")</f>
        <v/>
      </c>
      <c r="F2365" s="20"/>
      <c r="G2365" s="13" t="str">
        <f t="shared" si="9"/>
        <v/>
      </c>
      <c r="H2365" s="15" t="str">
        <f>IFERROR(VLOOKUP(A2365,Sheet1!$E$3:$F$27,2,),"")</f>
        <v/>
      </c>
      <c r="I2365" s="16" t="str">
        <f>IFERROR(VLOOKUP(A2365,Sheet1!$E$3:$G$27,3,0),"")</f>
        <v/>
      </c>
      <c r="J2365" s="20"/>
      <c r="K2365" s="17"/>
      <c r="L2365" s="17"/>
      <c r="M2365" s="13"/>
      <c r="N2365" s="23"/>
      <c r="O2365" s="22"/>
      <c r="P2365" s="22"/>
    </row>
    <row r="2366" ht="22.5" customHeight="1">
      <c r="A2366" s="20"/>
      <c r="B2366" s="20" t="str">
        <f>IFERROR(VLOOKUP(A2366,Sheet1!$E$3:$H$27,4,0),"")</f>
        <v/>
      </c>
      <c r="C2366" s="15"/>
      <c r="D2366" s="20"/>
      <c r="E2366" s="13" t="str">
        <f>IFERROR(VLOOKUP(D2366,Sheet1!$B$1:$C$45,2,0),"")</f>
        <v/>
      </c>
      <c r="F2366" s="20"/>
      <c r="G2366" s="13" t="str">
        <f t="shared" si="9"/>
        <v/>
      </c>
      <c r="H2366" s="15" t="str">
        <f>IFERROR(VLOOKUP(A2366,Sheet1!$E$3:$F$27,2,),"")</f>
        <v/>
      </c>
      <c r="I2366" s="16" t="str">
        <f>IFERROR(VLOOKUP(A2366,Sheet1!$E$3:$G$27,3,0),"")</f>
        <v/>
      </c>
      <c r="J2366" s="20"/>
      <c r="K2366" s="17"/>
      <c r="L2366" s="17"/>
      <c r="M2366" s="13"/>
      <c r="N2366" s="23"/>
      <c r="O2366" s="22"/>
      <c r="P2366" s="22"/>
    </row>
    <row r="2367" ht="22.5" customHeight="1">
      <c r="A2367" s="20"/>
      <c r="B2367" s="20" t="str">
        <f>IFERROR(VLOOKUP(A2367,Sheet1!$E$3:$H$27,4,0),"")</f>
        <v/>
      </c>
      <c r="C2367" s="15"/>
      <c r="D2367" s="20"/>
      <c r="E2367" s="13" t="str">
        <f>IFERROR(VLOOKUP(D2367,Sheet1!$B$1:$C$45,2,0),"")</f>
        <v/>
      </c>
      <c r="F2367" s="20"/>
      <c r="G2367" s="13" t="str">
        <f t="shared" si="9"/>
        <v/>
      </c>
      <c r="H2367" s="15" t="str">
        <f>IFERROR(VLOOKUP(A2367,Sheet1!$E$3:$F$27,2,),"")</f>
        <v/>
      </c>
      <c r="I2367" s="16" t="str">
        <f>IFERROR(VLOOKUP(A2367,Sheet1!$E$3:$G$27,3,0),"")</f>
        <v/>
      </c>
      <c r="J2367" s="20"/>
      <c r="K2367" s="17"/>
      <c r="L2367" s="17"/>
      <c r="M2367" s="13"/>
      <c r="N2367" s="23"/>
      <c r="O2367" s="22"/>
      <c r="P2367" s="22"/>
    </row>
    <row r="2368" ht="22.5" customHeight="1">
      <c r="A2368" s="20"/>
      <c r="B2368" s="20" t="str">
        <f>IFERROR(VLOOKUP(A2368,Sheet1!$E$3:$H$27,4,0),"")</f>
        <v/>
      </c>
      <c r="C2368" s="15"/>
      <c r="D2368" s="20"/>
      <c r="E2368" s="13" t="str">
        <f>IFERROR(VLOOKUP(D2368,Sheet1!$B$1:$C$45,2,0),"")</f>
        <v/>
      </c>
      <c r="F2368" s="20"/>
      <c r="G2368" s="13" t="str">
        <f t="shared" si="9"/>
        <v/>
      </c>
      <c r="H2368" s="15" t="str">
        <f>IFERROR(VLOOKUP(A2368,Sheet1!$E$3:$F$27,2,),"")</f>
        <v/>
      </c>
      <c r="I2368" s="16" t="str">
        <f>IFERROR(VLOOKUP(A2368,Sheet1!$E$3:$G$27,3,0),"")</f>
        <v/>
      </c>
      <c r="J2368" s="20"/>
      <c r="K2368" s="17"/>
      <c r="L2368" s="17"/>
      <c r="M2368" s="13"/>
      <c r="N2368" s="23"/>
      <c r="O2368" s="22"/>
      <c r="P2368" s="22"/>
    </row>
    <row r="2369" ht="22.5" customHeight="1">
      <c r="A2369" s="20"/>
      <c r="B2369" s="20" t="str">
        <f>IFERROR(VLOOKUP(A2369,Sheet1!$E$3:$H$27,4,0),"")</f>
        <v/>
      </c>
      <c r="C2369" s="15"/>
      <c r="D2369" s="20"/>
      <c r="E2369" s="13" t="str">
        <f>IFERROR(VLOOKUP(D2369,Sheet1!$B$1:$C$45,2,0),"")</f>
        <v/>
      </c>
      <c r="F2369" s="20"/>
      <c r="G2369" s="13" t="str">
        <f t="shared" si="9"/>
        <v/>
      </c>
      <c r="H2369" s="15" t="str">
        <f>IFERROR(VLOOKUP(A2369,Sheet1!$E$3:$F$27,2,),"")</f>
        <v/>
      </c>
      <c r="I2369" s="16" t="str">
        <f>IFERROR(VLOOKUP(A2369,Sheet1!$E$3:$G$27,3,0),"")</f>
        <v/>
      </c>
      <c r="J2369" s="20"/>
      <c r="K2369" s="17"/>
      <c r="L2369" s="17"/>
      <c r="M2369" s="13"/>
      <c r="N2369" s="23"/>
      <c r="O2369" s="22"/>
      <c r="P2369" s="22"/>
    </row>
    <row r="2370" ht="22.5" customHeight="1">
      <c r="A2370" s="20"/>
      <c r="B2370" s="20" t="str">
        <f>IFERROR(VLOOKUP(A2370,Sheet1!$E$3:$H$27,4,0),"")</f>
        <v/>
      </c>
      <c r="C2370" s="15"/>
      <c r="D2370" s="20"/>
      <c r="E2370" s="13" t="str">
        <f>IFERROR(VLOOKUP(D2370,Sheet1!$B$1:$C$45,2,0),"")</f>
        <v/>
      </c>
      <c r="F2370" s="20"/>
      <c r="G2370" s="13" t="str">
        <f t="shared" si="9"/>
        <v/>
      </c>
      <c r="H2370" s="15" t="str">
        <f>IFERROR(VLOOKUP(A2370,Sheet1!$E$3:$F$27,2,),"")</f>
        <v/>
      </c>
      <c r="I2370" s="16" t="str">
        <f>IFERROR(VLOOKUP(A2370,Sheet1!$E$3:$G$27,3,0),"")</f>
        <v/>
      </c>
      <c r="J2370" s="20"/>
      <c r="K2370" s="17"/>
      <c r="L2370" s="17"/>
      <c r="M2370" s="13"/>
      <c r="N2370" s="23"/>
      <c r="O2370" s="22"/>
      <c r="P2370" s="22"/>
    </row>
    <row r="2371" ht="22.5" customHeight="1">
      <c r="A2371" s="20"/>
      <c r="B2371" s="20" t="str">
        <f>IFERROR(VLOOKUP(A2371,Sheet1!$E$3:$H$27,4,0),"")</f>
        <v/>
      </c>
      <c r="C2371" s="15"/>
      <c r="D2371" s="20"/>
      <c r="E2371" s="13" t="str">
        <f>IFERROR(VLOOKUP(D2371,Sheet1!$B$1:$C$45,2,0),"")</f>
        <v/>
      </c>
      <c r="F2371" s="20"/>
      <c r="G2371" s="13" t="str">
        <f t="shared" si="9"/>
        <v/>
      </c>
      <c r="H2371" s="15" t="str">
        <f>IFERROR(VLOOKUP(A2371,Sheet1!$E$3:$F$27,2,),"")</f>
        <v/>
      </c>
      <c r="I2371" s="16" t="str">
        <f>IFERROR(VLOOKUP(A2371,Sheet1!$E$3:$G$27,3,0),"")</f>
        <v/>
      </c>
      <c r="J2371" s="20"/>
      <c r="K2371" s="17"/>
      <c r="L2371" s="17"/>
      <c r="M2371" s="13"/>
      <c r="N2371" s="23"/>
      <c r="O2371" s="22"/>
      <c r="P2371" s="22"/>
    </row>
    <row r="2372" ht="22.5" customHeight="1">
      <c r="A2372" s="20"/>
      <c r="B2372" s="20" t="str">
        <f>IFERROR(VLOOKUP(A2372,Sheet1!$E$3:$H$27,4,0),"")</f>
        <v/>
      </c>
      <c r="C2372" s="15"/>
      <c r="D2372" s="20"/>
      <c r="E2372" s="13" t="str">
        <f>IFERROR(VLOOKUP(D2372,Sheet1!$B$1:$C$45,2,0),"")</f>
        <v/>
      </c>
      <c r="F2372" s="20"/>
      <c r="G2372" s="13" t="str">
        <f t="shared" si="9"/>
        <v/>
      </c>
      <c r="H2372" s="15" t="str">
        <f>IFERROR(VLOOKUP(A2372,Sheet1!$E$3:$F$27,2,),"")</f>
        <v/>
      </c>
      <c r="I2372" s="16" t="str">
        <f>IFERROR(VLOOKUP(A2372,Sheet1!$E$3:$G$27,3,0),"")</f>
        <v/>
      </c>
      <c r="J2372" s="20"/>
      <c r="K2372" s="17"/>
      <c r="L2372" s="17"/>
      <c r="M2372" s="13"/>
      <c r="N2372" s="23"/>
      <c r="O2372" s="22"/>
      <c r="P2372" s="22"/>
    </row>
    <row r="2373" ht="22.5" customHeight="1">
      <c r="A2373" s="20"/>
      <c r="B2373" s="20" t="str">
        <f>IFERROR(VLOOKUP(A2373,Sheet1!$E$3:$H$27,4,0),"")</f>
        <v/>
      </c>
      <c r="C2373" s="15"/>
      <c r="D2373" s="20"/>
      <c r="E2373" s="13" t="str">
        <f>IFERROR(VLOOKUP(D2373,Sheet1!$B$1:$C$45,2,0),"")</f>
        <v/>
      </c>
      <c r="F2373" s="20"/>
      <c r="G2373" s="13" t="str">
        <f t="shared" si="9"/>
        <v/>
      </c>
      <c r="H2373" s="15" t="str">
        <f>IFERROR(VLOOKUP(A2373,Sheet1!$E$3:$F$27,2,),"")</f>
        <v/>
      </c>
      <c r="I2373" s="16" t="str">
        <f>IFERROR(VLOOKUP(A2373,Sheet1!$E$3:$G$27,3,0),"")</f>
        <v/>
      </c>
      <c r="J2373" s="20"/>
      <c r="K2373" s="17"/>
      <c r="L2373" s="17"/>
      <c r="M2373" s="13"/>
      <c r="N2373" s="23"/>
      <c r="O2373" s="22"/>
      <c r="P2373" s="22"/>
    </row>
    <row r="2374" ht="22.5" customHeight="1">
      <c r="A2374" s="20"/>
      <c r="B2374" s="20" t="str">
        <f>IFERROR(VLOOKUP(A2374,Sheet1!$E$3:$H$27,4,0),"")</f>
        <v/>
      </c>
      <c r="C2374" s="15"/>
      <c r="D2374" s="20"/>
      <c r="E2374" s="13" t="str">
        <f>IFERROR(VLOOKUP(D2374,Sheet1!$B$1:$C$45,2,0),"")</f>
        <v/>
      </c>
      <c r="F2374" s="20"/>
      <c r="G2374" s="13" t="str">
        <f t="shared" si="9"/>
        <v/>
      </c>
      <c r="H2374" s="15" t="str">
        <f>IFERROR(VLOOKUP(A2374,Sheet1!$E$3:$F$27,2,),"")</f>
        <v/>
      </c>
      <c r="I2374" s="16" t="str">
        <f>IFERROR(VLOOKUP(A2374,Sheet1!$E$3:$G$27,3,0),"")</f>
        <v/>
      </c>
      <c r="J2374" s="20"/>
      <c r="K2374" s="17"/>
      <c r="L2374" s="17"/>
      <c r="M2374" s="13"/>
      <c r="N2374" s="23"/>
      <c r="O2374" s="22"/>
      <c r="P2374" s="22"/>
    </row>
    <row r="2375" ht="22.5" customHeight="1">
      <c r="A2375" s="20"/>
      <c r="B2375" s="20" t="str">
        <f>IFERROR(VLOOKUP(A2375,Sheet1!$E$3:$H$27,4,0),"")</f>
        <v/>
      </c>
      <c r="C2375" s="15"/>
      <c r="D2375" s="20"/>
      <c r="E2375" s="13" t="str">
        <f>IFERROR(VLOOKUP(D2375,Sheet1!$B$1:$C$45,2,0),"")</f>
        <v/>
      </c>
      <c r="F2375" s="20"/>
      <c r="G2375" s="13" t="str">
        <f t="shared" si="9"/>
        <v/>
      </c>
      <c r="H2375" s="15" t="str">
        <f>IFERROR(VLOOKUP(A2375,Sheet1!$E$3:$F$27,2,),"")</f>
        <v/>
      </c>
      <c r="I2375" s="16" t="str">
        <f>IFERROR(VLOOKUP(A2375,Sheet1!$E$3:$G$27,3,0),"")</f>
        <v/>
      </c>
      <c r="J2375" s="20"/>
      <c r="K2375" s="17"/>
      <c r="L2375" s="17"/>
      <c r="M2375" s="13"/>
      <c r="N2375" s="23"/>
      <c r="O2375" s="22"/>
      <c r="P2375" s="22"/>
    </row>
    <row r="2376" ht="22.5" customHeight="1">
      <c r="A2376" s="20"/>
      <c r="B2376" s="20" t="str">
        <f>IFERROR(VLOOKUP(A2376,Sheet1!$E$3:$H$27,4,0),"")</f>
        <v/>
      </c>
      <c r="C2376" s="15"/>
      <c r="D2376" s="20"/>
      <c r="E2376" s="13" t="str">
        <f>IFERROR(VLOOKUP(D2376,Sheet1!$B$1:$C$45,2,0),"")</f>
        <v/>
      </c>
      <c r="F2376" s="20"/>
      <c r="G2376" s="13" t="str">
        <f t="shared" si="9"/>
        <v/>
      </c>
      <c r="H2376" s="15" t="str">
        <f>IFERROR(VLOOKUP(A2376,Sheet1!$E$3:$F$27,2,),"")</f>
        <v/>
      </c>
      <c r="I2376" s="16" t="str">
        <f>IFERROR(VLOOKUP(A2376,Sheet1!$E$3:$G$27,3,0),"")</f>
        <v/>
      </c>
      <c r="J2376" s="20"/>
      <c r="K2376" s="17"/>
      <c r="L2376" s="17"/>
      <c r="M2376" s="13"/>
      <c r="N2376" s="23"/>
      <c r="O2376" s="22"/>
      <c r="P2376" s="22"/>
    </row>
    <row r="2377" ht="22.5" customHeight="1">
      <c r="A2377" s="20"/>
      <c r="B2377" s="20" t="str">
        <f>IFERROR(VLOOKUP(A2377,Sheet1!$E$3:$H$27,4,0),"")</f>
        <v/>
      </c>
      <c r="C2377" s="15"/>
      <c r="D2377" s="20"/>
      <c r="E2377" s="13" t="str">
        <f>IFERROR(VLOOKUP(D2377,Sheet1!$B$1:$C$45,2,0),"")</f>
        <v/>
      </c>
      <c r="F2377" s="20"/>
      <c r="G2377" s="13" t="str">
        <f t="shared" si="9"/>
        <v/>
      </c>
      <c r="H2377" s="15" t="str">
        <f>IFERROR(VLOOKUP(A2377,Sheet1!$E$3:$F$27,2,),"")</f>
        <v/>
      </c>
      <c r="I2377" s="16" t="str">
        <f>IFERROR(VLOOKUP(A2377,Sheet1!$E$3:$G$27,3,0),"")</f>
        <v/>
      </c>
      <c r="J2377" s="20"/>
      <c r="K2377" s="17"/>
      <c r="L2377" s="17"/>
      <c r="M2377" s="13"/>
      <c r="N2377" s="23"/>
      <c r="O2377" s="22"/>
      <c r="P2377" s="22"/>
    </row>
    <row r="2378" ht="22.5" customHeight="1">
      <c r="A2378" s="20"/>
      <c r="B2378" s="20" t="str">
        <f>IFERROR(VLOOKUP(A2378,Sheet1!$E$3:$H$27,4,0),"")</f>
        <v/>
      </c>
      <c r="C2378" s="15"/>
      <c r="D2378" s="20"/>
      <c r="E2378" s="13" t="str">
        <f>IFERROR(VLOOKUP(D2378,Sheet1!$B$1:$C$45,2,0),"")</f>
        <v/>
      </c>
      <c r="F2378" s="20"/>
      <c r="G2378" s="13" t="str">
        <f t="shared" si="9"/>
        <v/>
      </c>
      <c r="H2378" s="15" t="str">
        <f>IFERROR(VLOOKUP(A2378,Sheet1!$E$3:$F$27,2,),"")</f>
        <v/>
      </c>
      <c r="I2378" s="16" t="str">
        <f>IFERROR(VLOOKUP(A2378,Sheet1!$E$3:$G$27,3,0),"")</f>
        <v/>
      </c>
      <c r="J2378" s="20"/>
      <c r="K2378" s="17"/>
      <c r="L2378" s="17"/>
      <c r="M2378" s="13"/>
      <c r="N2378" s="23"/>
      <c r="O2378" s="22"/>
      <c r="P2378" s="22"/>
    </row>
    <row r="2379" ht="22.5" customHeight="1">
      <c r="A2379" s="20"/>
      <c r="B2379" s="20" t="str">
        <f>IFERROR(VLOOKUP(A2379,Sheet1!$E$3:$H$27,4,0),"")</f>
        <v/>
      </c>
      <c r="C2379" s="15"/>
      <c r="D2379" s="20"/>
      <c r="E2379" s="13" t="str">
        <f>IFERROR(VLOOKUP(D2379,Sheet1!$B$1:$C$45,2,0),"")</f>
        <v/>
      </c>
      <c r="F2379" s="20"/>
      <c r="G2379" s="13" t="str">
        <f t="shared" si="9"/>
        <v/>
      </c>
      <c r="H2379" s="15" t="str">
        <f>IFERROR(VLOOKUP(A2379,Sheet1!$E$3:$F$27,2,),"")</f>
        <v/>
      </c>
      <c r="I2379" s="16" t="str">
        <f>IFERROR(VLOOKUP(A2379,Sheet1!$E$3:$G$27,3,0),"")</f>
        <v/>
      </c>
      <c r="J2379" s="20"/>
      <c r="K2379" s="17"/>
      <c r="L2379" s="17"/>
      <c r="M2379" s="13"/>
      <c r="N2379" s="23"/>
      <c r="O2379" s="22"/>
      <c r="P2379" s="22"/>
    </row>
    <row r="2380" ht="22.5" customHeight="1">
      <c r="A2380" s="20"/>
      <c r="B2380" s="20" t="str">
        <f>IFERROR(VLOOKUP(A2380,Sheet1!$E$3:$H$27,4,0),"")</f>
        <v/>
      </c>
      <c r="C2380" s="15"/>
      <c r="D2380" s="20"/>
      <c r="E2380" s="13" t="str">
        <f>IFERROR(VLOOKUP(D2380,Sheet1!$B$1:$C$45,2,0),"")</f>
        <v/>
      </c>
      <c r="F2380" s="20"/>
      <c r="G2380" s="13" t="str">
        <f t="shared" si="9"/>
        <v/>
      </c>
      <c r="H2380" s="15" t="str">
        <f>IFERROR(VLOOKUP(A2380,Sheet1!$E$3:$F$27,2,),"")</f>
        <v/>
      </c>
      <c r="I2380" s="16" t="str">
        <f>IFERROR(VLOOKUP(A2380,Sheet1!$E$3:$G$27,3,0),"")</f>
        <v/>
      </c>
      <c r="J2380" s="20"/>
      <c r="K2380" s="17"/>
      <c r="L2380" s="17"/>
      <c r="M2380" s="13"/>
      <c r="N2380" s="23"/>
      <c r="O2380" s="22"/>
      <c r="P2380" s="22"/>
    </row>
    <row r="2381" ht="22.5" customHeight="1">
      <c r="A2381" s="20"/>
      <c r="B2381" s="20" t="str">
        <f>IFERROR(VLOOKUP(A2381,Sheet1!$E$3:$H$27,4,0),"")</f>
        <v/>
      </c>
      <c r="C2381" s="15"/>
      <c r="D2381" s="20"/>
      <c r="E2381" s="13" t="str">
        <f>IFERROR(VLOOKUP(D2381,Sheet1!$B$1:$C$45,2,0),"")</f>
        <v/>
      </c>
      <c r="F2381" s="20"/>
      <c r="G2381" s="13" t="str">
        <f t="shared" si="9"/>
        <v/>
      </c>
      <c r="H2381" s="15" t="str">
        <f>IFERROR(VLOOKUP(A2381,Sheet1!$E$3:$F$27,2,),"")</f>
        <v/>
      </c>
      <c r="I2381" s="16" t="str">
        <f>IFERROR(VLOOKUP(A2381,Sheet1!$E$3:$G$27,3,0),"")</f>
        <v/>
      </c>
      <c r="J2381" s="20"/>
      <c r="K2381" s="17"/>
      <c r="L2381" s="17"/>
      <c r="M2381" s="13"/>
      <c r="N2381" s="23"/>
      <c r="O2381" s="22"/>
      <c r="P2381" s="22"/>
    </row>
    <row r="2382" ht="22.5" customHeight="1">
      <c r="A2382" s="20"/>
      <c r="B2382" s="20" t="str">
        <f>IFERROR(VLOOKUP(A2382,Sheet1!$E$3:$H$27,4,0),"")</f>
        <v/>
      </c>
      <c r="C2382" s="15"/>
      <c r="D2382" s="20"/>
      <c r="E2382" s="13" t="str">
        <f>IFERROR(VLOOKUP(D2382,Sheet1!$B$1:$C$45,2,0),"")</f>
        <v/>
      </c>
      <c r="F2382" s="20"/>
      <c r="G2382" s="13" t="str">
        <f t="shared" si="9"/>
        <v/>
      </c>
      <c r="H2382" s="15" t="str">
        <f>IFERROR(VLOOKUP(A2382,Sheet1!$E$3:$F$27,2,),"")</f>
        <v/>
      </c>
      <c r="I2382" s="16" t="str">
        <f>IFERROR(VLOOKUP(A2382,Sheet1!$E$3:$G$27,3,0),"")</f>
        <v/>
      </c>
      <c r="J2382" s="20"/>
      <c r="K2382" s="17"/>
      <c r="L2382" s="17"/>
      <c r="M2382" s="13"/>
      <c r="N2382" s="23"/>
      <c r="O2382" s="22"/>
      <c r="P2382" s="22"/>
    </row>
    <row r="2383" ht="22.5" customHeight="1">
      <c r="A2383" s="20"/>
      <c r="B2383" s="20" t="str">
        <f>IFERROR(VLOOKUP(A2383,Sheet1!$E$3:$H$27,4,0),"")</f>
        <v/>
      </c>
      <c r="C2383" s="15"/>
      <c r="D2383" s="20"/>
      <c r="E2383" s="13" t="str">
        <f>IFERROR(VLOOKUP(D2383,Sheet1!$B$1:$C$45,2,0),"")</f>
        <v/>
      </c>
      <c r="F2383" s="20"/>
      <c r="G2383" s="13" t="str">
        <f t="shared" si="9"/>
        <v/>
      </c>
      <c r="H2383" s="15" t="str">
        <f>IFERROR(VLOOKUP(A2383,Sheet1!$E$3:$F$27,2,),"")</f>
        <v/>
      </c>
      <c r="I2383" s="16" t="str">
        <f>IFERROR(VLOOKUP(A2383,Sheet1!$E$3:$G$27,3,0),"")</f>
        <v/>
      </c>
      <c r="J2383" s="20"/>
      <c r="K2383" s="17"/>
      <c r="L2383" s="17"/>
      <c r="M2383" s="13"/>
      <c r="N2383" s="23"/>
      <c r="O2383" s="22"/>
      <c r="P2383" s="22"/>
    </row>
    <row r="2384" ht="22.5" customHeight="1">
      <c r="A2384" s="20"/>
      <c r="B2384" s="20" t="str">
        <f>IFERROR(VLOOKUP(A2384,Sheet1!$E$3:$H$27,4,0),"")</f>
        <v/>
      </c>
      <c r="C2384" s="15"/>
      <c r="D2384" s="20"/>
      <c r="E2384" s="13" t="str">
        <f>IFERROR(VLOOKUP(D2384,Sheet1!$B$1:$C$45,2,0),"")</f>
        <v/>
      </c>
      <c r="F2384" s="20"/>
      <c r="G2384" s="13" t="str">
        <f t="shared" si="9"/>
        <v/>
      </c>
      <c r="H2384" s="15" t="str">
        <f>IFERROR(VLOOKUP(A2384,Sheet1!$E$3:$F$27,2,),"")</f>
        <v/>
      </c>
      <c r="I2384" s="16" t="str">
        <f>IFERROR(VLOOKUP(A2384,Sheet1!$E$3:$G$27,3,0),"")</f>
        <v/>
      </c>
      <c r="J2384" s="20"/>
      <c r="K2384" s="17"/>
      <c r="L2384" s="17"/>
      <c r="M2384" s="13"/>
      <c r="N2384" s="23"/>
      <c r="O2384" s="22"/>
      <c r="P2384" s="22"/>
    </row>
    <row r="2385" ht="22.5" customHeight="1">
      <c r="A2385" s="20"/>
      <c r="B2385" s="20" t="str">
        <f>IFERROR(VLOOKUP(A2385,Sheet1!$E$3:$H$27,4,0),"")</f>
        <v/>
      </c>
      <c r="C2385" s="15"/>
      <c r="D2385" s="20"/>
      <c r="E2385" s="13" t="str">
        <f>IFERROR(VLOOKUP(D2385,Sheet1!$B$1:$C$45,2,0),"")</f>
        <v/>
      </c>
      <c r="F2385" s="20"/>
      <c r="G2385" s="13" t="str">
        <f t="shared" si="9"/>
        <v/>
      </c>
      <c r="H2385" s="15" t="str">
        <f>IFERROR(VLOOKUP(A2385,Sheet1!$E$3:$F$27,2,),"")</f>
        <v/>
      </c>
      <c r="I2385" s="16" t="str">
        <f>IFERROR(VLOOKUP(A2385,Sheet1!$E$3:$G$27,3,0),"")</f>
        <v/>
      </c>
      <c r="J2385" s="20"/>
      <c r="K2385" s="17"/>
      <c r="L2385" s="17"/>
      <c r="M2385" s="13"/>
      <c r="N2385" s="23"/>
      <c r="O2385" s="22"/>
      <c r="P2385" s="22"/>
    </row>
    <row r="2386" ht="22.5" customHeight="1">
      <c r="A2386" s="20"/>
      <c r="B2386" s="20" t="str">
        <f>IFERROR(VLOOKUP(A2386,Sheet1!$E$3:$H$27,4,0),"")</f>
        <v/>
      </c>
      <c r="C2386" s="15"/>
      <c r="D2386" s="20"/>
      <c r="E2386" s="13" t="str">
        <f>IFERROR(VLOOKUP(D2386,Sheet1!$B$1:$C$45,2,0),"")</f>
        <v/>
      </c>
      <c r="F2386" s="20"/>
      <c r="G2386" s="13" t="str">
        <f t="shared" si="9"/>
        <v/>
      </c>
      <c r="H2386" s="15" t="str">
        <f>IFERROR(VLOOKUP(A2386,Sheet1!$E$3:$F$27,2,),"")</f>
        <v/>
      </c>
      <c r="I2386" s="16" t="str">
        <f>IFERROR(VLOOKUP(A2386,Sheet1!$E$3:$G$27,3,0),"")</f>
        <v/>
      </c>
      <c r="J2386" s="20"/>
      <c r="K2386" s="17"/>
      <c r="L2386" s="17"/>
      <c r="M2386" s="13"/>
      <c r="N2386" s="23"/>
      <c r="O2386" s="22"/>
      <c r="P2386" s="22"/>
    </row>
    <row r="2387" ht="22.5" customHeight="1">
      <c r="A2387" s="20"/>
      <c r="B2387" s="20" t="str">
        <f>IFERROR(VLOOKUP(A2387,Sheet1!$E$3:$H$27,4,0),"")</f>
        <v/>
      </c>
      <c r="C2387" s="15"/>
      <c r="D2387" s="20"/>
      <c r="E2387" s="13" t="str">
        <f>IFERROR(VLOOKUP(D2387,Sheet1!$B$1:$C$45,2,0),"")</f>
        <v/>
      </c>
      <c r="F2387" s="20"/>
      <c r="G2387" s="13" t="str">
        <f t="shared" si="9"/>
        <v/>
      </c>
      <c r="H2387" s="15" t="str">
        <f>IFERROR(VLOOKUP(A2387,Sheet1!$E$3:$F$27,2,),"")</f>
        <v/>
      </c>
      <c r="I2387" s="16" t="str">
        <f>IFERROR(VLOOKUP(A2387,Sheet1!$E$3:$G$27,3,0),"")</f>
        <v/>
      </c>
      <c r="J2387" s="20"/>
      <c r="K2387" s="17"/>
      <c r="L2387" s="17"/>
      <c r="M2387" s="13"/>
      <c r="N2387" s="23"/>
      <c r="O2387" s="22"/>
      <c r="P2387" s="22"/>
    </row>
    <row r="2388" ht="22.5" customHeight="1">
      <c r="A2388" s="20"/>
      <c r="B2388" s="20" t="str">
        <f>IFERROR(VLOOKUP(A2388,Sheet1!$E$3:$H$27,4,0),"")</f>
        <v/>
      </c>
      <c r="C2388" s="15"/>
      <c r="D2388" s="20"/>
      <c r="E2388" s="13" t="str">
        <f>IFERROR(VLOOKUP(D2388,Sheet1!$B$1:$C$45,2,0),"")</f>
        <v/>
      </c>
      <c r="F2388" s="20"/>
      <c r="G2388" s="13" t="str">
        <f t="shared" si="9"/>
        <v/>
      </c>
      <c r="H2388" s="15" t="str">
        <f>IFERROR(VLOOKUP(A2388,Sheet1!$E$3:$F$27,2,),"")</f>
        <v/>
      </c>
      <c r="I2388" s="16" t="str">
        <f>IFERROR(VLOOKUP(A2388,Sheet1!$E$3:$G$27,3,0),"")</f>
        <v/>
      </c>
      <c r="J2388" s="20"/>
      <c r="K2388" s="17"/>
      <c r="L2388" s="17"/>
      <c r="M2388" s="13"/>
      <c r="N2388" s="23"/>
      <c r="O2388" s="22"/>
      <c r="P2388" s="22"/>
    </row>
    <row r="2389" ht="22.5" customHeight="1">
      <c r="A2389" s="20"/>
      <c r="B2389" s="20" t="str">
        <f>IFERROR(VLOOKUP(A2389,Sheet1!$E$3:$H$27,4,0),"")</f>
        <v/>
      </c>
      <c r="C2389" s="15"/>
      <c r="D2389" s="20"/>
      <c r="E2389" s="13" t="str">
        <f>IFERROR(VLOOKUP(D2389,Sheet1!$B$1:$C$45,2,0),"")</f>
        <v/>
      </c>
      <c r="F2389" s="20"/>
      <c r="G2389" s="13" t="str">
        <f t="shared" si="9"/>
        <v/>
      </c>
      <c r="H2389" s="15" t="str">
        <f>IFERROR(VLOOKUP(A2389,Sheet1!$E$3:$F$27,2,),"")</f>
        <v/>
      </c>
      <c r="I2389" s="16" t="str">
        <f>IFERROR(VLOOKUP(A2389,Sheet1!$E$3:$G$27,3,0),"")</f>
        <v/>
      </c>
      <c r="J2389" s="20"/>
      <c r="K2389" s="17"/>
      <c r="L2389" s="17"/>
      <c r="M2389" s="13"/>
      <c r="N2389" s="23"/>
      <c r="O2389" s="22"/>
      <c r="P2389" s="22"/>
    </row>
    <row r="2390" ht="22.5" customHeight="1">
      <c r="A2390" s="20"/>
      <c r="B2390" s="20" t="str">
        <f>IFERROR(VLOOKUP(A2390,Sheet1!$E$3:$H$27,4,0),"")</f>
        <v/>
      </c>
      <c r="C2390" s="15"/>
      <c r="D2390" s="20"/>
      <c r="E2390" s="13" t="str">
        <f>IFERROR(VLOOKUP(D2390,Sheet1!$B$1:$C$45,2,0),"")</f>
        <v/>
      </c>
      <c r="F2390" s="20"/>
      <c r="G2390" s="13" t="str">
        <f t="shared" si="9"/>
        <v/>
      </c>
      <c r="H2390" s="15" t="str">
        <f>IFERROR(VLOOKUP(A2390,Sheet1!$E$3:$F$27,2,),"")</f>
        <v/>
      </c>
      <c r="I2390" s="16" t="str">
        <f>IFERROR(VLOOKUP(A2390,Sheet1!$E$3:$G$27,3,0),"")</f>
        <v/>
      </c>
      <c r="J2390" s="20"/>
      <c r="K2390" s="17"/>
      <c r="L2390" s="17"/>
      <c r="M2390" s="13"/>
      <c r="N2390" s="23"/>
      <c r="O2390" s="22"/>
      <c r="P2390" s="22"/>
    </row>
    <row r="2391" ht="22.5" customHeight="1">
      <c r="A2391" s="20"/>
      <c r="B2391" s="20" t="str">
        <f>IFERROR(VLOOKUP(A2391,Sheet1!$E$3:$H$27,4,0),"")</f>
        <v/>
      </c>
      <c r="C2391" s="15"/>
      <c r="D2391" s="20"/>
      <c r="E2391" s="13" t="str">
        <f>IFERROR(VLOOKUP(D2391,Sheet1!$B$1:$C$45,2,0),"")</f>
        <v/>
      </c>
      <c r="F2391" s="20"/>
      <c r="G2391" s="13" t="str">
        <f t="shared" si="9"/>
        <v/>
      </c>
      <c r="H2391" s="15" t="str">
        <f>IFERROR(VLOOKUP(A2391,Sheet1!$E$3:$F$27,2,),"")</f>
        <v/>
      </c>
      <c r="I2391" s="16" t="str">
        <f>IFERROR(VLOOKUP(A2391,Sheet1!$E$3:$G$27,3,0),"")</f>
        <v/>
      </c>
      <c r="J2391" s="20"/>
      <c r="K2391" s="17"/>
      <c r="L2391" s="17"/>
      <c r="M2391" s="13"/>
      <c r="N2391" s="23"/>
      <c r="O2391" s="22"/>
      <c r="P2391" s="22"/>
    </row>
    <row r="2392" ht="22.5" customHeight="1">
      <c r="A2392" s="20"/>
      <c r="B2392" s="20" t="str">
        <f>IFERROR(VLOOKUP(A2392,Sheet1!$E$3:$H$27,4,0),"")</f>
        <v/>
      </c>
      <c r="C2392" s="15"/>
      <c r="D2392" s="20"/>
      <c r="E2392" s="13" t="str">
        <f>IFERROR(VLOOKUP(D2392,Sheet1!$B$1:$C$45,2,0),"")</f>
        <v/>
      </c>
      <c r="F2392" s="20"/>
      <c r="G2392" s="13" t="str">
        <f t="shared" si="9"/>
        <v/>
      </c>
      <c r="H2392" s="15" t="str">
        <f>IFERROR(VLOOKUP(A2392,Sheet1!$E$3:$F$27,2,),"")</f>
        <v/>
      </c>
      <c r="I2392" s="16" t="str">
        <f>IFERROR(VLOOKUP(A2392,Sheet1!$E$3:$G$27,3,0),"")</f>
        <v/>
      </c>
      <c r="J2392" s="20"/>
      <c r="K2392" s="17"/>
      <c r="L2392" s="17"/>
      <c r="M2392" s="13"/>
      <c r="N2392" s="23"/>
      <c r="O2392" s="22"/>
      <c r="P2392" s="22"/>
    </row>
    <row r="2393" ht="22.5" customHeight="1">
      <c r="A2393" s="20"/>
      <c r="B2393" s="20" t="str">
        <f>IFERROR(VLOOKUP(A2393,Sheet1!$E$3:$H$27,4,0),"")</f>
        <v/>
      </c>
      <c r="C2393" s="15"/>
      <c r="D2393" s="20"/>
      <c r="E2393" s="13" t="str">
        <f>IFERROR(VLOOKUP(D2393,Sheet1!$B$1:$C$45,2,0),"")</f>
        <v/>
      </c>
      <c r="F2393" s="20"/>
      <c r="G2393" s="13" t="str">
        <f t="shared" si="9"/>
        <v/>
      </c>
      <c r="H2393" s="15" t="str">
        <f>IFERROR(VLOOKUP(A2393,Sheet1!$E$3:$F$27,2,),"")</f>
        <v/>
      </c>
      <c r="I2393" s="16" t="str">
        <f>IFERROR(VLOOKUP(A2393,Sheet1!$E$3:$G$27,3,0),"")</f>
        <v/>
      </c>
      <c r="J2393" s="20"/>
      <c r="K2393" s="17"/>
      <c r="L2393" s="17"/>
      <c r="M2393" s="13"/>
      <c r="N2393" s="23"/>
      <c r="O2393" s="22"/>
      <c r="P2393" s="22"/>
    </row>
    <row r="2394" ht="22.5" customHeight="1">
      <c r="A2394" s="20"/>
      <c r="B2394" s="20" t="str">
        <f>IFERROR(VLOOKUP(A2394,Sheet1!$E$3:$H$27,4,0),"")</f>
        <v/>
      </c>
      <c r="C2394" s="15"/>
      <c r="D2394" s="20"/>
      <c r="E2394" s="13" t="str">
        <f>IFERROR(VLOOKUP(D2394,Sheet1!$B$1:$C$45,2,0),"")</f>
        <v/>
      </c>
      <c r="F2394" s="20"/>
      <c r="G2394" s="13" t="str">
        <f t="shared" si="9"/>
        <v/>
      </c>
      <c r="H2394" s="15" t="str">
        <f>IFERROR(VLOOKUP(A2394,Sheet1!$E$3:$F$27,2,),"")</f>
        <v/>
      </c>
      <c r="I2394" s="16" t="str">
        <f>IFERROR(VLOOKUP(A2394,Sheet1!$E$3:$G$27,3,0),"")</f>
        <v/>
      </c>
      <c r="J2394" s="20"/>
      <c r="K2394" s="17"/>
      <c r="L2394" s="17"/>
      <c r="M2394" s="13"/>
      <c r="N2394" s="23"/>
      <c r="O2394" s="22"/>
      <c r="P2394" s="22"/>
    </row>
    <row r="2395" ht="22.5" customHeight="1">
      <c r="A2395" s="20"/>
      <c r="B2395" s="20" t="str">
        <f>IFERROR(VLOOKUP(A2395,Sheet1!$E$3:$H$27,4,0),"")</f>
        <v/>
      </c>
      <c r="C2395" s="15"/>
      <c r="D2395" s="20"/>
      <c r="E2395" s="13" t="str">
        <f>IFERROR(VLOOKUP(D2395,Sheet1!$B$1:$C$45,2,0),"")</f>
        <v/>
      </c>
      <c r="F2395" s="20"/>
      <c r="G2395" s="13" t="str">
        <f t="shared" si="9"/>
        <v/>
      </c>
      <c r="H2395" s="15" t="str">
        <f>IFERROR(VLOOKUP(A2395,Sheet1!$E$3:$F$27,2,),"")</f>
        <v/>
      </c>
      <c r="I2395" s="16" t="str">
        <f>IFERROR(VLOOKUP(A2395,Sheet1!$E$3:$G$27,3,0),"")</f>
        <v/>
      </c>
      <c r="J2395" s="20"/>
      <c r="K2395" s="17"/>
      <c r="L2395" s="17"/>
      <c r="M2395" s="13"/>
      <c r="N2395" s="23"/>
      <c r="O2395" s="22"/>
      <c r="P2395" s="22"/>
    </row>
    <row r="2396" ht="22.5" customHeight="1">
      <c r="A2396" s="20"/>
      <c r="B2396" s="20" t="str">
        <f>IFERROR(VLOOKUP(A2396,Sheet1!$E$3:$H$27,4,0),"")</f>
        <v/>
      </c>
      <c r="C2396" s="15"/>
      <c r="D2396" s="20"/>
      <c r="E2396" s="13" t="str">
        <f>IFERROR(VLOOKUP(D2396,Sheet1!$B$1:$C$45,2,0),"")</f>
        <v/>
      </c>
      <c r="F2396" s="20"/>
      <c r="G2396" s="13" t="str">
        <f t="shared" si="9"/>
        <v/>
      </c>
      <c r="H2396" s="15" t="str">
        <f>IFERROR(VLOOKUP(A2396,Sheet1!$E$3:$F$27,2,),"")</f>
        <v/>
      </c>
      <c r="I2396" s="16" t="str">
        <f>IFERROR(VLOOKUP(A2396,Sheet1!$E$3:$G$27,3,0),"")</f>
        <v/>
      </c>
      <c r="J2396" s="20"/>
      <c r="K2396" s="17"/>
      <c r="L2396" s="17"/>
      <c r="M2396" s="13"/>
      <c r="N2396" s="23"/>
      <c r="O2396" s="22"/>
      <c r="P2396" s="22"/>
    </row>
    <row r="2397" ht="22.5" customHeight="1">
      <c r="A2397" s="20"/>
      <c r="B2397" s="20" t="str">
        <f>IFERROR(VLOOKUP(A2397,Sheet1!$E$3:$H$27,4,0),"")</f>
        <v/>
      </c>
      <c r="C2397" s="15"/>
      <c r="D2397" s="20"/>
      <c r="E2397" s="13" t="str">
        <f>IFERROR(VLOOKUP(D2397,Sheet1!$B$1:$C$45,2,0),"")</f>
        <v/>
      </c>
      <c r="F2397" s="20"/>
      <c r="G2397" s="13" t="str">
        <f t="shared" si="9"/>
        <v/>
      </c>
      <c r="H2397" s="15" t="str">
        <f>IFERROR(VLOOKUP(A2397,Sheet1!$E$3:$F$27,2,),"")</f>
        <v/>
      </c>
      <c r="I2397" s="16" t="str">
        <f>IFERROR(VLOOKUP(A2397,Sheet1!$E$3:$G$27,3,0),"")</f>
        <v/>
      </c>
      <c r="J2397" s="20"/>
      <c r="K2397" s="17"/>
      <c r="L2397" s="17"/>
      <c r="M2397" s="13"/>
      <c r="N2397" s="23"/>
      <c r="O2397" s="22"/>
      <c r="P2397" s="22"/>
    </row>
    <row r="2398" ht="22.5" customHeight="1">
      <c r="A2398" s="20"/>
      <c r="B2398" s="20" t="str">
        <f>IFERROR(VLOOKUP(A2398,Sheet1!$E$3:$H$27,4,0),"")</f>
        <v/>
      </c>
      <c r="C2398" s="15"/>
      <c r="D2398" s="20"/>
      <c r="E2398" s="13" t="str">
        <f>IFERROR(VLOOKUP(D2398,Sheet1!$B$1:$C$45,2,0),"")</f>
        <v/>
      </c>
      <c r="F2398" s="20"/>
      <c r="G2398" s="13" t="str">
        <f t="shared" si="9"/>
        <v/>
      </c>
      <c r="H2398" s="15" t="str">
        <f>IFERROR(VLOOKUP(A2398,Sheet1!$E$3:$F$27,2,),"")</f>
        <v/>
      </c>
      <c r="I2398" s="16" t="str">
        <f>IFERROR(VLOOKUP(A2398,Sheet1!$E$3:$G$27,3,0),"")</f>
        <v/>
      </c>
      <c r="J2398" s="20"/>
      <c r="K2398" s="17"/>
      <c r="L2398" s="17"/>
      <c r="M2398" s="13"/>
      <c r="N2398" s="23"/>
      <c r="O2398" s="22"/>
      <c r="P2398" s="22"/>
    </row>
    <row r="2399" ht="22.5" customHeight="1">
      <c r="A2399" s="20"/>
      <c r="B2399" s="20" t="str">
        <f>IFERROR(VLOOKUP(A2399,Sheet1!$E$3:$H$27,4,0),"")</f>
        <v/>
      </c>
      <c r="C2399" s="15"/>
      <c r="D2399" s="20"/>
      <c r="E2399" s="13" t="str">
        <f>IFERROR(VLOOKUP(D2399,Sheet1!$B$1:$C$45,2,0),"")</f>
        <v/>
      </c>
      <c r="F2399" s="20"/>
      <c r="G2399" s="13" t="str">
        <f t="shared" si="9"/>
        <v/>
      </c>
      <c r="H2399" s="15" t="str">
        <f>IFERROR(VLOOKUP(A2399,Sheet1!$E$3:$F$27,2,),"")</f>
        <v/>
      </c>
      <c r="I2399" s="16" t="str">
        <f>IFERROR(VLOOKUP(A2399,Sheet1!$E$3:$G$27,3,0),"")</f>
        <v/>
      </c>
      <c r="J2399" s="20"/>
      <c r="K2399" s="17"/>
      <c r="L2399" s="17"/>
      <c r="M2399" s="13"/>
      <c r="N2399" s="23"/>
      <c r="O2399" s="22"/>
      <c r="P2399" s="22"/>
    </row>
    <row r="2400" ht="22.5" customHeight="1">
      <c r="A2400" s="20"/>
      <c r="B2400" s="20" t="str">
        <f>IFERROR(VLOOKUP(A2400,Sheet1!$E$3:$H$27,4,0),"")</f>
        <v/>
      </c>
      <c r="C2400" s="15"/>
      <c r="D2400" s="20"/>
      <c r="E2400" s="13" t="str">
        <f>IFERROR(VLOOKUP(D2400,Sheet1!$B$1:$C$45,2,0),"")</f>
        <v/>
      </c>
      <c r="F2400" s="20"/>
      <c r="G2400" s="13" t="str">
        <f t="shared" si="9"/>
        <v/>
      </c>
      <c r="H2400" s="15" t="str">
        <f>IFERROR(VLOOKUP(A2400,Sheet1!$E$3:$F$27,2,),"")</f>
        <v/>
      </c>
      <c r="I2400" s="16" t="str">
        <f>IFERROR(VLOOKUP(A2400,Sheet1!$E$3:$G$27,3,0),"")</f>
        <v/>
      </c>
      <c r="J2400" s="20"/>
      <c r="K2400" s="17"/>
      <c r="L2400" s="17"/>
      <c r="M2400" s="13"/>
      <c r="N2400" s="23"/>
      <c r="O2400" s="22"/>
      <c r="P2400" s="22"/>
    </row>
    <row r="2401" ht="22.5" customHeight="1">
      <c r="A2401" s="20"/>
      <c r="B2401" s="20" t="str">
        <f>IFERROR(VLOOKUP(A2401,Sheet1!$E$3:$H$27,4,0),"")</f>
        <v/>
      </c>
      <c r="C2401" s="15"/>
      <c r="D2401" s="20"/>
      <c r="E2401" s="13" t="str">
        <f>IFERROR(VLOOKUP(D2401,Sheet1!$B$1:$C$45,2,0),"")</f>
        <v/>
      </c>
      <c r="F2401" s="20"/>
      <c r="G2401" s="13" t="str">
        <f t="shared" si="9"/>
        <v/>
      </c>
      <c r="H2401" s="15" t="str">
        <f>IFERROR(VLOOKUP(A2401,Sheet1!$E$3:$F$27,2,),"")</f>
        <v/>
      </c>
      <c r="I2401" s="16" t="str">
        <f>IFERROR(VLOOKUP(A2401,Sheet1!$E$3:$G$27,3,0),"")</f>
        <v/>
      </c>
      <c r="J2401" s="20"/>
      <c r="K2401" s="17"/>
      <c r="L2401" s="17"/>
      <c r="M2401" s="13"/>
      <c r="N2401" s="23"/>
      <c r="O2401" s="22"/>
      <c r="P2401" s="22"/>
    </row>
    <row r="2402" ht="22.5" customHeight="1">
      <c r="A2402" s="20"/>
      <c r="B2402" s="20" t="str">
        <f>IFERROR(VLOOKUP(A2402,Sheet1!$E$3:$H$27,4,0),"")</f>
        <v/>
      </c>
      <c r="C2402" s="15"/>
      <c r="D2402" s="20"/>
      <c r="E2402" s="13" t="str">
        <f>IFERROR(VLOOKUP(D2402,Sheet1!$B$1:$C$45,2,0),"")</f>
        <v/>
      </c>
      <c r="F2402" s="20"/>
      <c r="G2402" s="13" t="str">
        <f t="shared" si="9"/>
        <v/>
      </c>
      <c r="H2402" s="15" t="str">
        <f>IFERROR(VLOOKUP(A2402,Sheet1!$E$3:$F$27,2,),"")</f>
        <v/>
      </c>
      <c r="I2402" s="16" t="str">
        <f>IFERROR(VLOOKUP(A2402,Sheet1!$E$3:$G$27,3,0),"")</f>
        <v/>
      </c>
      <c r="J2402" s="20"/>
      <c r="K2402" s="17"/>
      <c r="L2402" s="17"/>
      <c r="M2402" s="13"/>
      <c r="N2402" s="23"/>
      <c r="O2402" s="22"/>
      <c r="P2402" s="22"/>
    </row>
    <row r="2403" ht="22.5" customHeight="1">
      <c r="A2403" s="20"/>
      <c r="B2403" s="20" t="str">
        <f>IFERROR(VLOOKUP(A2403,Sheet1!$E$3:$H$27,4,0),"")</f>
        <v/>
      </c>
      <c r="C2403" s="15"/>
      <c r="D2403" s="20"/>
      <c r="E2403" s="13" t="str">
        <f>IFERROR(VLOOKUP(D2403,Sheet1!$B$1:$C$45,2,0),"")</f>
        <v/>
      </c>
      <c r="F2403" s="20"/>
      <c r="G2403" s="13" t="str">
        <f t="shared" si="9"/>
        <v/>
      </c>
      <c r="H2403" s="15" t="str">
        <f>IFERROR(VLOOKUP(A2403,Sheet1!$E$3:$F$27,2,),"")</f>
        <v/>
      </c>
      <c r="I2403" s="16" t="str">
        <f>IFERROR(VLOOKUP(A2403,Sheet1!$E$3:$G$27,3,0),"")</f>
        <v/>
      </c>
      <c r="J2403" s="20"/>
      <c r="K2403" s="17"/>
      <c r="L2403" s="17"/>
      <c r="M2403" s="13"/>
      <c r="N2403" s="23"/>
      <c r="O2403" s="22"/>
      <c r="P2403" s="22"/>
    </row>
    <row r="2404" ht="22.5" customHeight="1">
      <c r="A2404" s="20"/>
      <c r="B2404" s="20" t="str">
        <f>IFERROR(VLOOKUP(A2404,Sheet1!$E$3:$H$27,4,0),"")</f>
        <v/>
      </c>
      <c r="C2404" s="15"/>
      <c r="D2404" s="20"/>
      <c r="E2404" s="13" t="str">
        <f>IFERROR(VLOOKUP(D2404,Sheet1!$B$1:$C$45,2,0),"")</f>
        <v/>
      </c>
      <c r="F2404" s="20"/>
      <c r="G2404" s="13" t="str">
        <f t="shared" si="9"/>
        <v/>
      </c>
      <c r="H2404" s="15" t="str">
        <f>IFERROR(VLOOKUP(A2404,Sheet1!$E$3:$F$27,2,),"")</f>
        <v/>
      </c>
      <c r="I2404" s="16" t="str">
        <f>IFERROR(VLOOKUP(A2404,Sheet1!$E$3:$G$27,3,0),"")</f>
        <v/>
      </c>
      <c r="J2404" s="20"/>
      <c r="K2404" s="17"/>
      <c r="L2404" s="17"/>
      <c r="M2404" s="13"/>
      <c r="N2404" s="23"/>
      <c r="O2404" s="22"/>
      <c r="P2404" s="22"/>
    </row>
    <row r="2405" ht="22.5" customHeight="1">
      <c r="A2405" s="20"/>
      <c r="B2405" s="20" t="str">
        <f>IFERROR(VLOOKUP(A2405,Sheet1!$E$3:$H$27,4,0),"")</f>
        <v/>
      </c>
      <c r="C2405" s="15"/>
      <c r="D2405" s="20"/>
      <c r="E2405" s="13" t="str">
        <f>IFERROR(VLOOKUP(D2405,Sheet1!$B$1:$C$45,2,0),"")</f>
        <v/>
      </c>
      <c r="F2405" s="20"/>
      <c r="G2405" s="13" t="str">
        <f t="shared" si="9"/>
        <v/>
      </c>
      <c r="H2405" s="15" t="str">
        <f>IFERROR(VLOOKUP(A2405,Sheet1!$E$3:$F$27,2,),"")</f>
        <v/>
      </c>
      <c r="I2405" s="16" t="str">
        <f>IFERROR(VLOOKUP(A2405,Sheet1!$E$3:$G$27,3,0),"")</f>
        <v/>
      </c>
      <c r="J2405" s="20"/>
      <c r="K2405" s="17"/>
      <c r="L2405" s="17"/>
      <c r="M2405" s="13"/>
      <c r="N2405" s="23"/>
      <c r="O2405" s="22"/>
      <c r="P2405" s="22"/>
    </row>
    <row r="2406" ht="22.5" customHeight="1">
      <c r="A2406" s="20"/>
      <c r="B2406" s="20" t="str">
        <f>IFERROR(VLOOKUP(A2406,Sheet1!$E$3:$H$27,4,0),"")</f>
        <v/>
      </c>
      <c r="C2406" s="15"/>
      <c r="D2406" s="20"/>
      <c r="E2406" s="13" t="str">
        <f>IFERROR(VLOOKUP(D2406,Sheet1!$B$1:$C$45,2,0),"")</f>
        <v/>
      </c>
      <c r="F2406" s="20"/>
      <c r="G2406" s="13" t="str">
        <f t="shared" si="9"/>
        <v/>
      </c>
      <c r="H2406" s="15" t="str">
        <f>IFERROR(VLOOKUP(A2406,Sheet1!$E$3:$F$27,2,),"")</f>
        <v/>
      </c>
      <c r="I2406" s="16" t="str">
        <f>IFERROR(VLOOKUP(A2406,Sheet1!$E$3:$G$27,3,0),"")</f>
        <v/>
      </c>
      <c r="J2406" s="20"/>
      <c r="K2406" s="17"/>
      <c r="L2406" s="17"/>
      <c r="M2406" s="13"/>
      <c r="N2406" s="23"/>
      <c r="O2406" s="22"/>
      <c r="P2406" s="22"/>
    </row>
    <row r="2407" ht="22.5" customHeight="1">
      <c r="A2407" s="20"/>
      <c r="B2407" s="20" t="str">
        <f>IFERROR(VLOOKUP(A2407,Sheet1!$E$3:$H$27,4,0),"")</f>
        <v/>
      </c>
      <c r="C2407" s="15"/>
      <c r="D2407" s="20"/>
      <c r="E2407" s="13" t="str">
        <f>IFERROR(VLOOKUP(D2407,Sheet1!$B$1:$C$45,2,0),"")</f>
        <v/>
      </c>
      <c r="F2407" s="20"/>
      <c r="G2407" s="13" t="str">
        <f t="shared" si="9"/>
        <v/>
      </c>
      <c r="H2407" s="15" t="str">
        <f>IFERROR(VLOOKUP(A2407,Sheet1!$E$3:$F$27,2,),"")</f>
        <v/>
      </c>
      <c r="I2407" s="16" t="str">
        <f>IFERROR(VLOOKUP(A2407,Sheet1!$E$3:$G$27,3,0),"")</f>
        <v/>
      </c>
      <c r="J2407" s="20"/>
      <c r="K2407" s="17"/>
      <c r="L2407" s="17"/>
      <c r="M2407" s="13"/>
      <c r="N2407" s="23"/>
      <c r="O2407" s="22"/>
      <c r="P2407" s="22"/>
    </row>
    <row r="2408" ht="22.5" customHeight="1">
      <c r="A2408" s="20"/>
      <c r="B2408" s="20" t="str">
        <f>IFERROR(VLOOKUP(A2408,Sheet1!$E$3:$H$27,4,0),"")</f>
        <v/>
      </c>
      <c r="C2408" s="15"/>
      <c r="D2408" s="20"/>
      <c r="E2408" s="13" t="str">
        <f>IFERROR(VLOOKUP(D2408,Sheet1!$B$1:$C$45,2,0),"")</f>
        <v/>
      </c>
      <c r="F2408" s="20"/>
      <c r="G2408" s="13" t="str">
        <f t="shared" si="9"/>
        <v/>
      </c>
      <c r="H2408" s="15" t="str">
        <f>IFERROR(VLOOKUP(A2408,Sheet1!$E$3:$F$27,2,),"")</f>
        <v/>
      </c>
      <c r="I2408" s="16" t="str">
        <f>IFERROR(VLOOKUP(A2408,Sheet1!$E$3:$G$27,3,0),"")</f>
        <v/>
      </c>
      <c r="J2408" s="20"/>
      <c r="K2408" s="17"/>
      <c r="L2408" s="17"/>
      <c r="M2408" s="13"/>
      <c r="N2408" s="23"/>
      <c r="O2408" s="22"/>
      <c r="P2408" s="22"/>
    </row>
    <row r="2409" ht="22.5" customHeight="1">
      <c r="A2409" s="20"/>
      <c r="B2409" s="20" t="str">
        <f>IFERROR(VLOOKUP(A2409,Sheet1!$E$3:$H$27,4,0),"")</f>
        <v/>
      </c>
      <c r="C2409" s="15"/>
      <c r="D2409" s="20"/>
      <c r="E2409" s="13" t="str">
        <f>IFERROR(VLOOKUP(D2409,Sheet1!$B$1:$C$45,2,0),"")</f>
        <v/>
      </c>
      <c r="F2409" s="20"/>
      <c r="G2409" s="13" t="str">
        <f t="shared" si="9"/>
        <v/>
      </c>
      <c r="H2409" s="15" t="str">
        <f>IFERROR(VLOOKUP(A2409,Sheet1!$E$3:$F$27,2,),"")</f>
        <v/>
      </c>
      <c r="I2409" s="16" t="str">
        <f>IFERROR(VLOOKUP(A2409,Sheet1!$E$3:$G$27,3,0),"")</f>
        <v/>
      </c>
      <c r="J2409" s="20"/>
      <c r="K2409" s="17"/>
      <c r="L2409" s="17"/>
      <c r="M2409" s="13"/>
      <c r="N2409" s="23"/>
      <c r="O2409" s="22"/>
      <c r="P2409" s="22"/>
    </row>
    <row r="2410" ht="22.5" customHeight="1">
      <c r="A2410" s="20"/>
      <c r="B2410" s="20" t="str">
        <f>IFERROR(VLOOKUP(A2410,Sheet1!$E$3:$H$27,4,0),"")</f>
        <v/>
      </c>
      <c r="C2410" s="15"/>
      <c r="D2410" s="20"/>
      <c r="E2410" s="13" t="str">
        <f>IFERROR(VLOOKUP(D2410,Sheet1!$B$1:$C$45,2,0),"")</f>
        <v/>
      </c>
      <c r="F2410" s="20"/>
      <c r="G2410" s="13" t="str">
        <f t="shared" si="9"/>
        <v/>
      </c>
      <c r="H2410" s="15" t="str">
        <f>IFERROR(VLOOKUP(A2410,Sheet1!$E$3:$F$27,2,),"")</f>
        <v/>
      </c>
      <c r="I2410" s="16" t="str">
        <f>IFERROR(VLOOKUP(A2410,Sheet1!$E$3:$G$27,3,0),"")</f>
        <v/>
      </c>
      <c r="J2410" s="20"/>
      <c r="K2410" s="17"/>
      <c r="L2410" s="17"/>
      <c r="M2410" s="13"/>
      <c r="N2410" s="23"/>
      <c r="O2410" s="22"/>
      <c r="P2410" s="22"/>
    </row>
    <row r="2411" ht="22.5" customHeight="1">
      <c r="A2411" s="20"/>
      <c r="B2411" s="20" t="str">
        <f>IFERROR(VLOOKUP(A2411,Sheet1!$E$3:$H$27,4,0),"")</f>
        <v/>
      </c>
      <c r="C2411" s="15"/>
      <c r="D2411" s="20"/>
      <c r="E2411" s="13" t="str">
        <f>IFERROR(VLOOKUP(D2411,Sheet1!$B$1:$C$45,2,0),"")</f>
        <v/>
      </c>
      <c r="F2411" s="20"/>
      <c r="G2411" s="13" t="str">
        <f t="shared" si="9"/>
        <v/>
      </c>
      <c r="H2411" s="15" t="str">
        <f>IFERROR(VLOOKUP(A2411,Sheet1!$E$3:$F$27,2,),"")</f>
        <v/>
      </c>
      <c r="I2411" s="16" t="str">
        <f>IFERROR(VLOOKUP(A2411,Sheet1!$E$3:$G$27,3,0),"")</f>
        <v/>
      </c>
      <c r="J2411" s="20"/>
      <c r="K2411" s="17"/>
      <c r="L2411" s="17"/>
      <c r="M2411" s="13"/>
      <c r="N2411" s="23"/>
      <c r="O2411" s="22"/>
      <c r="P2411" s="22"/>
    </row>
    <row r="2412" ht="22.5" customHeight="1">
      <c r="A2412" s="20"/>
      <c r="B2412" s="20" t="str">
        <f>IFERROR(VLOOKUP(A2412,Sheet1!$E$3:$H$27,4,0),"")</f>
        <v/>
      </c>
      <c r="C2412" s="15"/>
      <c r="D2412" s="20"/>
      <c r="E2412" s="13" t="str">
        <f>IFERROR(VLOOKUP(D2412,Sheet1!$B$1:$C$45,2,0),"")</f>
        <v/>
      </c>
      <c r="F2412" s="20"/>
      <c r="G2412" s="13" t="str">
        <f t="shared" si="9"/>
        <v/>
      </c>
      <c r="H2412" s="15" t="str">
        <f>IFERROR(VLOOKUP(A2412,Sheet1!$E$3:$F$27,2,),"")</f>
        <v/>
      </c>
      <c r="I2412" s="16" t="str">
        <f>IFERROR(VLOOKUP(A2412,Sheet1!$E$3:$G$27,3,0),"")</f>
        <v/>
      </c>
      <c r="J2412" s="20"/>
      <c r="K2412" s="17"/>
      <c r="L2412" s="17"/>
      <c r="M2412" s="13"/>
      <c r="N2412" s="23"/>
      <c r="O2412" s="22"/>
      <c r="P2412" s="22"/>
    </row>
    <row r="2413" ht="22.5" customHeight="1">
      <c r="A2413" s="20"/>
      <c r="B2413" s="20" t="str">
        <f>IFERROR(VLOOKUP(A2413,Sheet1!$E$3:$H$27,4,0),"")</f>
        <v/>
      </c>
      <c r="C2413" s="15"/>
      <c r="D2413" s="20"/>
      <c r="E2413" s="13" t="str">
        <f>IFERROR(VLOOKUP(D2413,Sheet1!$B$1:$C$45,2,0),"")</f>
        <v/>
      </c>
      <c r="F2413" s="20"/>
      <c r="G2413" s="13" t="str">
        <f t="shared" si="9"/>
        <v/>
      </c>
      <c r="H2413" s="15" t="str">
        <f>IFERROR(VLOOKUP(A2413,Sheet1!$E$3:$F$27,2,),"")</f>
        <v/>
      </c>
      <c r="I2413" s="16" t="str">
        <f>IFERROR(VLOOKUP(A2413,Sheet1!$E$3:$G$27,3,0),"")</f>
        <v/>
      </c>
      <c r="J2413" s="20"/>
      <c r="K2413" s="17"/>
      <c r="L2413" s="17"/>
      <c r="M2413" s="13"/>
      <c r="N2413" s="23"/>
      <c r="O2413" s="22"/>
      <c r="P2413" s="22"/>
    </row>
    <row r="2414" ht="22.5" customHeight="1">
      <c r="A2414" s="20"/>
      <c r="B2414" s="20" t="str">
        <f>IFERROR(VLOOKUP(A2414,Sheet1!$E$3:$H$27,4,0),"")</f>
        <v/>
      </c>
      <c r="C2414" s="15"/>
      <c r="D2414" s="20"/>
      <c r="E2414" s="13" t="str">
        <f>IFERROR(VLOOKUP(D2414,Sheet1!$B$1:$C$45,2,0),"")</f>
        <v/>
      </c>
      <c r="F2414" s="20"/>
      <c r="G2414" s="13" t="str">
        <f t="shared" si="9"/>
        <v/>
      </c>
      <c r="H2414" s="15" t="str">
        <f>IFERROR(VLOOKUP(A2414,Sheet1!$E$3:$F$27,2,),"")</f>
        <v/>
      </c>
      <c r="I2414" s="16" t="str">
        <f>IFERROR(VLOOKUP(A2414,Sheet1!$E$3:$G$27,3,0),"")</f>
        <v/>
      </c>
      <c r="J2414" s="20"/>
      <c r="K2414" s="17"/>
      <c r="L2414" s="17"/>
      <c r="M2414" s="13"/>
      <c r="N2414" s="23"/>
      <c r="O2414" s="22"/>
      <c r="P2414" s="22"/>
    </row>
    <row r="2415" ht="22.5" customHeight="1">
      <c r="A2415" s="20"/>
      <c r="B2415" s="20" t="str">
        <f>IFERROR(VLOOKUP(A2415,Sheet1!$E$3:$H$27,4,0),"")</f>
        <v/>
      </c>
      <c r="C2415" s="15"/>
      <c r="D2415" s="20"/>
      <c r="E2415" s="13" t="str">
        <f>IFERROR(VLOOKUP(D2415,Sheet1!$B$1:$C$45,2,0),"")</f>
        <v/>
      </c>
      <c r="F2415" s="20"/>
      <c r="G2415" s="13" t="str">
        <f t="shared" si="9"/>
        <v/>
      </c>
      <c r="H2415" s="15" t="str">
        <f>IFERROR(VLOOKUP(A2415,Sheet1!$E$3:$F$27,2,),"")</f>
        <v/>
      </c>
      <c r="I2415" s="16" t="str">
        <f>IFERROR(VLOOKUP(A2415,Sheet1!$E$3:$G$27,3,0),"")</f>
        <v/>
      </c>
      <c r="J2415" s="20"/>
      <c r="K2415" s="17"/>
      <c r="L2415" s="17"/>
      <c r="M2415" s="13"/>
      <c r="N2415" s="23"/>
      <c r="O2415" s="22"/>
      <c r="P2415" s="22"/>
    </row>
    <row r="2416" ht="22.5" customHeight="1">
      <c r="A2416" s="20"/>
      <c r="B2416" s="20" t="str">
        <f>IFERROR(VLOOKUP(A2416,Sheet1!$E$3:$H$27,4,0),"")</f>
        <v/>
      </c>
      <c r="C2416" s="15"/>
      <c r="D2416" s="20"/>
      <c r="E2416" s="13" t="str">
        <f>IFERROR(VLOOKUP(D2416,Sheet1!$B$1:$C$45,2,0),"")</f>
        <v/>
      </c>
      <c r="F2416" s="20"/>
      <c r="G2416" s="13" t="str">
        <f t="shared" si="9"/>
        <v/>
      </c>
      <c r="H2416" s="15" t="str">
        <f>IFERROR(VLOOKUP(A2416,Sheet1!$E$3:$F$27,2,),"")</f>
        <v/>
      </c>
      <c r="I2416" s="16" t="str">
        <f>IFERROR(VLOOKUP(A2416,Sheet1!$E$3:$G$27,3,0),"")</f>
        <v/>
      </c>
      <c r="J2416" s="20"/>
      <c r="K2416" s="17"/>
      <c r="L2416" s="17"/>
      <c r="M2416" s="13"/>
      <c r="N2416" s="23"/>
      <c r="O2416" s="22"/>
      <c r="P2416" s="22"/>
    </row>
    <row r="2417" ht="22.5" customHeight="1">
      <c r="A2417" s="20"/>
      <c r="B2417" s="20" t="str">
        <f>IFERROR(VLOOKUP(A2417,Sheet1!$E$3:$H$27,4,0),"")</f>
        <v/>
      </c>
      <c r="C2417" s="15"/>
      <c r="D2417" s="20"/>
      <c r="E2417" s="13" t="str">
        <f>IFERROR(VLOOKUP(D2417,Sheet1!$B$1:$C$45,2,0),"")</f>
        <v/>
      </c>
      <c r="F2417" s="20"/>
      <c r="G2417" s="13" t="str">
        <f t="shared" si="9"/>
        <v/>
      </c>
      <c r="H2417" s="15" t="str">
        <f>IFERROR(VLOOKUP(A2417,Sheet1!$E$3:$F$27,2,),"")</f>
        <v/>
      </c>
      <c r="I2417" s="16" t="str">
        <f>IFERROR(VLOOKUP(A2417,Sheet1!$E$3:$G$27,3,0),"")</f>
        <v/>
      </c>
      <c r="J2417" s="20"/>
      <c r="K2417" s="17"/>
      <c r="L2417" s="17"/>
      <c r="M2417" s="13"/>
      <c r="N2417" s="23"/>
      <c r="O2417" s="22"/>
      <c r="P2417" s="22"/>
    </row>
    <row r="2418" ht="22.5" customHeight="1">
      <c r="A2418" s="20"/>
      <c r="B2418" s="20" t="str">
        <f>IFERROR(VLOOKUP(A2418,Sheet1!$E$3:$H$27,4,0),"")</f>
        <v/>
      </c>
      <c r="C2418" s="15"/>
      <c r="D2418" s="20"/>
      <c r="E2418" s="13" t="str">
        <f>IFERROR(VLOOKUP(D2418,Sheet1!$B$1:$C$45,2,0),"")</f>
        <v/>
      </c>
      <c r="F2418" s="20"/>
      <c r="G2418" s="13" t="str">
        <f t="shared" si="9"/>
        <v/>
      </c>
      <c r="H2418" s="15" t="str">
        <f>IFERROR(VLOOKUP(A2418,Sheet1!$E$3:$F$27,2,),"")</f>
        <v/>
      </c>
      <c r="I2418" s="16" t="str">
        <f>IFERROR(VLOOKUP(A2418,Sheet1!$E$3:$G$27,3,0),"")</f>
        <v/>
      </c>
      <c r="J2418" s="20"/>
      <c r="K2418" s="17"/>
      <c r="L2418" s="17"/>
      <c r="M2418" s="13"/>
      <c r="N2418" s="23"/>
      <c r="O2418" s="22"/>
      <c r="P2418" s="22"/>
    </row>
    <row r="2419" ht="22.5" customHeight="1">
      <c r="A2419" s="20"/>
      <c r="B2419" s="20" t="str">
        <f>IFERROR(VLOOKUP(A2419,Sheet1!$E$3:$H$27,4,0),"")</f>
        <v/>
      </c>
      <c r="C2419" s="15"/>
      <c r="D2419" s="20"/>
      <c r="E2419" s="13" t="str">
        <f>IFERROR(VLOOKUP(D2419,Sheet1!$B$1:$C$45,2,0),"")</f>
        <v/>
      </c>
      <c r="F2419" s="20"/>
      <c r="G2419" s="13" t="str">
        <f t="shared" si="9"/>
        <v/>
      </c>
      <c r="H2419" s="15" t="str">
        <f>IFERROR(VLOOKUP(A2419,Sheet1!$E$3:$F$27,2,),"")</f>
        <v/>
      </c>
      <c r="I2419" s="16" t="str">
        <f>IFERROR(VLOOKUP(A2419,Sheet1!$E$3:$G$27,3,0),"")</f>
        <v/>
      </c>
      <c r="J2419" s="20"/>
      <c r="K2419" s="17"/>
      <c r="L2419" s="17"/>
      <c r="M2419" s="13"/>
      <c r="N2419" s="23"/>
      <c r="O2419" s="22"/>
      <c r="P2419" s="22"/>
    </row>
    <row r="2420" ht="22.5" customHeight="1">
      <c r="A2420" s="20"/>
      <c r="B2420" s="20" t="str">
        <f>IFERROR(VLOOKUP(A2420,Sheet1!$E$3:$H$27,4,0),"")</f>
        <v/>
      </c>
      <c r="C2420" s="15"/>
      <c r="D2420" s="20"/>
      <c r="E2420" s="13" t="str">
        <f>IFERROR(VLOOKUP(D2420,Sheet1!$B$1:$C$45,2,0),"")</f>
        <v/>
      </c>
      <c r="F2420" s="20"/>
      <c r="G2420" s="13" t="str">
        <f t="shared" si="9"/>
        <v/>
      </c>
      <c r="H2420" s="15" t="str">
        <f>IFERROR(VLOOKUP(A2420,Sheet1!$E$3:$F$27,2,),"")</f>
        <v/>
      </c>
      <c r="I2420" s="16" t="str">
        <f>IFERROR(VLOOKUP(A2420,Sheet1!$E$3:$G$27,3,0),"")</f>
        <v/>
      </c>
      <c r="J2420" s="20"/>
      <c r="K2420" s="17"/>
      <c r="L2420" s="17"/>
      <c r="M2420" s="13"/>
      <c r="N2420" s="23"/>
      <c r="O2420" s="22"/>
      <c r="P2420" s="22"/>
    </row>
    <row r="2421" ht="22.5" customHeight="1">
      <c r="A2421" s="20"/>
      <c r="B2421" s="20" t="str">
        <f>IFERROR(VLOOKUP(A2421,Sheet1!$E$3:$H$27,4,0),"")</f>
        <v/>
      </c>
      <c r="C2421" s="15"/>
      <c r="D2421" s="20"/>
      <c r="E2421" s="13" t="str">
        <f>IFERROR(VLOOKUP(D2421,Sheet1!$B$1:$C$45,2,0),"")</f>
        <v/>
      </c>
      <c r="F2421" s="20"/>
      <c r="G2421" s="13" t="str">
        <f t="shared" si="9"/>
        <v/>
      </c>
      <c r="H2421" s="15" t="str">
        <f>IFERROR(VLOOKUP(A2421,Sheet1!$E$3:$F$27,2,),"")</f>
        <v/>
      </c>
      <c r="I2421" s="16" t="str">
        <f>IFERROR(VLOOKUP(A2421,Sheet1!$E$3:$G$27,3,0),"")</f>
        <v/>
      </c>
      <c r="J2421" s="20"/>
      <c r="K2421" s="17"/>
      <c r="L2421" s="17"/>
      <c r="M2421" s="13"/>
      <c r="N2421" s="23"/>
      <c r="O2421" s="22"/>
      <c r="P2421" s="22"/>
    </row>
    <row r="2422" ht="22.5" customHeight="1">
      <c r="A2422" s="20"/>
      <c r="B2422" s="20" t="str">
        <f>IFERROR(VLOOKUP(A2422,Sheet1!$E$3:$H$27,4,0),"")</f>
        <v/>
      </c>
      <c r="C2422" s="15"/>
      <c r="D2422" s="20"/>
      <c r="E2422" s="13" t="str">
        <f>IFERROR(VLOOKUP(D2422,Sheet1!$B$1:$C$45,2,0),"")</f>
        <v/>
      </c>
      <c r="F2422" s="20"/>
      <c r="G2422" s="13" t="str">
        <f t="shared" si="9"/>
        <v/>
      </c>
      <c r="H2422" s="15" t="str">
        <f>IFERROR(VLOOKUP(A2422,Sheet1!$E$3:$F$27,2,),"")</f>
        <v/>
      </c>
      <c r="I2422" s="16" t="str">
        <f>IFERROR(VLOOKUP(A2422,Sheet1!$E$3:$G$27,3,0),"")</f>
        <v/>
      </c>
      <c r="J2422" s="20"/>
      <c r="K2422" s="17"/>
      <c r="L2422" s="17"/>
      <c r="M2422" s="13"/>
      <c r="N2422" s="23"/>
      <c r="O2422" s="22"/>
      <c r="P2422" s="22"/>
    </row>
    <row r="2423" ht="22.5" customHeight="1">
      <c r="A2423" s="20"/>
      <c r="B2423" s="20" t="str">
        <f>IFERROR(VLOOKUP(A2423,Sheet1!$E$3:$H$27,4,0),"")</f>
        <v/>
      </c>
      <c r="C2423" s="15"/>
      <c r="D2423" s="20"/>
      <c r="E2423" s="13" t="str">
        <f>IFERROR(VLOOKUP(D2423,Sheet1!$B$1:$C$45,2,0),"")</f>
        <v/>
      </c>
      <c r="F2423" s="20"/>
      <c r="G2423" s="13" t="str">
        <f t="shared" si="9"/>
        <v/>
      </c>
      <c r="H2423" s="15" t="str">
        <f>IFERROR(VLOOKUP(A2423,Sheet1!$E$3:$F$27,2,),"")</f>
        <v/>
      </c>
      <c r="I2423" s="16" t="str">
        <f>IFERROR(VLOOKUP(A2423,Sheet1!$E$3:$G$27,3,0),"")</f>
        <v/>
      </c>
      <c r="J2423" s="20"/>
      <c r="K2423" s="17"/>
      <c r="L2423" s="17"/>
      <c r="M2423" s="13"/>
      <c r="N2423" s="23"/>
      <c r="O2423" s="22"/>
      <c r="P2423" s="22"/>
    </row>
    <row r="2424" ht="22.5" customHeight="1">
      <c r="A2424" s="20"/>
      <c r="B2424" s="20" t="str">
        <f>IFERROR(VLOOKUP(A2424,Sheet1!$E$3:$H$27,4,0),"")</f>
        <v/>
      </c>
      <c r="C2424" s="15"/>
      <c r="D2424" s="20"/>
      <c r="E2424" s="13" t="str">
        <f>IFERROR(VLOOKUP(D2424,Sheet1!$B$1:$C$45,2,0),"")</f>
        <v/>
      </c>
      <c r="F2424" s="20"/>
      <c r="G2424" s="13" t="str">
        <f t="shared" si="9"/>
        <v/>
      </c>
      <c r="H2424" s="15" t="str">
        <f>IFERROR(VLOOKUP(A2424,Sheet1!$E$3:$F$27,2,),"")</f>
        <v/>
      </c>
      <c r="I2424" s="16" t="str">
        <f>IFERROR(VLOOKUP(A2424,Sheet1!$E$3:$G$27,3,0),"")</f>
        <v/>
      </c>
      <c r="J2424" s="20"/>
      <c r="K2424" s="17"/>
      <c r="L2424" s="17"/>
      <c r="M2424" s="13"/>
      <c r="N2424" s="23"/>
      <c r="O2424" s="22"/>
      <c r="P2424" s="22"/>
    </row>
    <row r="2425" ht="22.5" customHeight="1">
      <c r="A2425" s="20"/>
      <c r="B2425" s="20" t="str">
        <f>IFERROR(VLOOKUP(A2425,Sheet1!$E$3:$H$27,4,0),"")</f>
        <v/>
      </c>
      <c r="C2425" s="15"/>
      <c r="D2425" s="20"/>
      <c r="E2425" s="13" t="str">
        <f>IFERROR(VLOOKUP(D2425,Sheet1!$B$1:$C$45,2,0),"")</f>
        <v/>
      </c>
      <c r="F2425" s="20"/>
      <c r="G2425" s="13" t="str">
        <f t="shared" si="9"/>
        <v/>
      </c>
      <c r="H2425" s="15" t="str">
        <f>IFERROR(VLOOKUP(A2425,Sheet1!$E$3:$F$27,2,),"")</f>
        <v/>
      </c>
      <c r="I2425" s="16" t="str">
        <f>IFERROR(VLOOKUP(A2425,Sheet1!$E$3:$G$27,3,0),"")</f>
        <v/>
      </c>
      <c r="J2425" s="20"/>
      <c r="K2425" s="17"/>
      <c r="L2425" s="17"/>
      <c r="M2425" s="13"/>
      <c r="N2425" s="23"/>
      <c r="O2425" s="22"/>
      <c r="P2425" s="22"/>
    </row>
    <row r="2426" ht="22.5" customHeight="1">
      <c r="A2426" s="20"/>
      <c r="B2426" s="20" t="str">
        <f>IFERROR(VLOOKUP(A2426,Sheet1!$E$3:$H$27,4,0),"")</f>
        <v/>
      </c>
      <c r="C2426" s="15"/>
      <c r="D2426" s="20"/>
      <c r="E2426" s="13" t="str">
        <f>IFERROR(VLOOKUP(D2426,Sheet1!$B$1:$C$45,2,0),"")</f>
        <v/>
      </c>
      <c r="F2426" s="20"/>
      <c r="G2426" s="13" t="str">
        <f t="shared" si="9"/>
        <v/>
      </c>
      <c r="H2426" s="15" t="str">
        <f>IFERROR(VLOOKUP(A2426,Sheet1!$E$3:$F$27,2,),"")</f>
        <v/>
      </c>
      <c r="I2426" s="16" t="str">
        <f>IFERROR(VLOOKUP(A2426,Sheet1!$E$3:$G$27,3,0),"")</f>
        <v/>
      </c>
      <c r="J2426" s="20"/>
      <c r="K2426" s="17"/>
      <c r="L2426" s="17"/>
      <c r="M2426" s="13"/>
      <c r="N2426" s="23"/>
      <c r="O2426" s="22"/>
      <c r="P2426" s="22"/>
    </row>
    <row r="2427" ht="22.5" customHeight="1">
      <c r="A2427" s="20"/>
      <c r="B2427" s="20" t="str">
        <f>IFERROR(VLOOKUP(A2427,Sheet1!$E$3:$H$27,4,0),"")</f>
        <v/>
      </c>
      <c r="C2427" s="15"/>
      <c r="D2427" s="20"/>
      <c r="E2427" s="13" t="str">
        <f>IFERROR(VLOOKUP(D2427,Sheet1!$B$1:$C$45,2,0),"")</f>
        <v/>
      </c>
      <c r="F2427" s="20"/>
      <c r="G2427" s="13" t="str">
        <f t="shared" si="9"/>
        <v/>
      </c>
      <c r="H2427" s="15" t="str">
        <f>IFERROR(VLOOKUP(A2427,Sheet1!$E$3:$F$27,2,),"")</f>
        <v/>
      </c>
      <c r="I2427" s="16" t="str">
        <f>IFERROR(VLOOKUP(A2427,Sheet1!$E$3:$G$27,3,0),"")</f>
        <v/>
      </c>
      <c r="J2427" s="20"/>
      <c r="K2427" s="17"/>
      <c r="L2427" s="17"/>
      <c r="M2427" s="13"/>
      <c r="N2427" s="23"/>
      <c r="O2427" s="22"/>
      <c r="P2427" s="22"/>
    </row>
    <row r="2428" ht="22.5" customHeight="1">
      <c r="A2428" s="20"/>
      <c r="B2428" s="20" t="str">
        <f>IFERROR(VLOOKUP(A2428,Sheet1!$E$3:$H$27,4,0),"")</f>
        <v/>
      </c>
      <c r="C2428" s="15"/>
      <c r="D2428" s="20"/>
      <c r="E2428" s="13" t="str">
        <f>IFERROR(VLOOKUP(D2428,Sheet1!$B$1:$C$45,2,0),"")</f>
        <v/>
      </c>
      <c r="F2428" s="20"/>
      <c r="G2428" s="13" t="str">
        <f t="shared" si="9"/>
        <v/>
      </c>
      <c r="H2428" s="15" t="str">
        <f>IFERROR(VLOOKUP(A2428,Sheet1!$E$3:$F$27,2,),"")</f>
        <v/>
      </c>
      <c r="I2428" s="16" t="str">
        <f>IFERROR(VLOOKUP(A2428,Sheet1!$E$3:$G$27,3,0),"")</f>
        <v/>
      </c>
      <c r="J2428" s="20"/>
      <c r="K2428" s="17"/>
      <c r="L2428" s="17"/>
      <c r="M2428" s="13"/>
      <c r="N2428" s="23"/>
      <c r="O2428" s="22"/>
      <c r="P2428" s="22"/>
    </row>
    <row r="2429" ht="22.5" customHeight="1">
      <c r="A2429" s="20"/>
      <c r="B2429" s="20" t="str">
        <f>IFERROR(VLOOKUP(A2429,Sheet1!$E$3:$H$27,4,0),"")</f>
        <v/>
      </c>
      <c r="C2429" s="15"/>
      <c r="D2429" s="20"/>
      <c r="E2429" s="13" t="str">
        <f>IFERROR(VLOOKUP(D2429,Sheet1!$B$1:$C$45,2,0),"")</f>
        <v/>
      </c>
      <c r="F2429" s="20"/>
      <c r="G2429" s="13" t="str">
        <f t="shared" si="9"/>
        <v/>
      </c>
      <c r="H2429" s="15" t="str">
        <f>IFERROR(VLOOKUP(A2429,Sheet1!$E$3:$F$27,2,),"")</f>
        <v/>
      </c>
      <c r="I2429" s="16" t="str">
        <f>IFERROR(VLOOKUP(A2429,Sheet1!$E$3:$G$27,3,0),"")</f>
        <v/>
      </c>
      <c r="J2429" s="20"/>
      <c r="K2429" s="17"/>
      <c r="L2429" s="17"/>
      <c r="M2429" s="13"/>
      <c r="N2429" s="23"/>
      <c r="O2429" s="22"/>
      <c r="P2429" s="22"/>
    </row>
    <row r="2430" ht="22.5" customHeight="1">
      <c r="A2430" s="20"/>
      <c r="B2430" s="20" t="str">
        <f>IFERROR(VLOOKUP(A2430,Sheet1!$E$3:$H$27,4,0),"")</f>
        <v/>
      </c>
      <c r="C2430" s="15"/>
      <c r="D2430" s="20"/>
      <c r="E2430" s="13" t="str">
        <f>IFERROR(VLOOKUP(D2430,Sheet1!$B$1:$C$45,2,0),"")</f>
        <v/>
      </c>
      <c r="F2430" s="20"/>
      <c r="G2430" s="13" t="str">
        <f t="shared" si="9"/>
        <v/>
      </c>
      <c r="H2430" s="15" t="str">
        <f>IFERROR(VLOOKUP(A2430,Sheet1!$E$3:$F$27,2,),"")</f>
        <v/>
      </c>
      <c r="I2430" s="16" t="str">
        <f>IFERROR(VLOOKUP(A2430,Sheet1!$E$3:$G$27,3,0),"")</f>
        <v/>
      </c>
      <c r="J2430" s="20"/>
      <c r="K2430" s="17"/>
      <c r="L2430" s="17"/>
      <c r="M2430" s="13"/>
      <c r="N2430" s="23"/>
      <c r="O2430" s="22"/>
      <c r="P2430" s="22"/>
    </row>
    <row r="2431" ht="22.5" customHeight="1">
      <c r="A2431" s="20"/>
      <c r="B2431" s="20" t="str">
        <f>IFERROR(VLOOKUP(A2431,Sheet1!$E$3:$H$27,4,0),"")</f>
        <v/>
      </c>
      <c r="C2431" s="15"/>
      <c r="D2431" s="20"/>
      <c r="E2431" s="13" t="str">
        <f>IFERROR(VLOOKUP(D2431,Sheet1!$B$1:$C$45,2,0),"")</f>
        <v/>
      </c>
      <c r="F2431" s="20"/>
      <c r="G2431" s="13" t="str">
        <f t="shared" si="9"/>
        <v/>
      </c>
      <c r="H2431" s="15" t="str">
        <f>IFERROR(VLOOKUP(A2431,Sheet1!$E$3:$F$27,2,),"")</f>
        <v/>
      </c>
      <c r="I2431" s="16" t="str">
        <f>IFERROR(VLOOKUP(A2431,Sheet1!$E$3:$G$27,3,0),"")</f>
        <v/>
      </c>
      <c r="J2431" s="20"/>
      <c r="K2431" s="17"/>
      <c r="L2431" s="17"/>
      <c r="M2431" s="13"/>
      <c r="N2431" s="23"/>
      <c r="O2431" s="22"/>
      <c r="P2431" s="22"/>
    </row>
    <row r="2432" ht="22.5" customHeight="1">
      <c r="A2432" s="20"/>
      <c r="B2432" s="20" t="str">
        <f>IFERROR(VLOOKUP(A2432,Sheet1!$E$3:$H$27,4,0),"")</f>
        <v/>
      </c>
      <c r="C2432" s="15"/>
      <c r="D2432" s="20"/>
      <c r="E2432" s="13" t="str">
        <f>IFERROR(VLOOKUP(D2432,Sheet1!$B$1:$C$45,2,0),"")</f>
        <v/>
      </c>
      <c r="F2432" s="20"/>
      <c r="G2432" s="13" t="str">
        <f t="shared" si="9"/>
        <v/>
      </c>
      <c r="H2432" s="15" t="str">
        <f>IFERROR(VLOOKUP(A2432,Sheet1!$E$3:$F$27,2,),"")</f>
        <v/>
      </c>
      <c r="I2432" s="16" t="str">
        <f>IFERROR(VLOOKUP(A2432,Sheet1!$E$3:$G$27,3,0),"")</f>
        <v/>
      </c>
      <c r="J2432" s="20"/>
      <c r="K2432" s="17"/>
      <c r="L2432" s="17"/>
      <c r="M2432" s="13"/>
      <c r="N2432" s="23"/>
      <c r="O2432" s="22"/>
      <c r="P2432" s="22"/>
    </row>
    <row r="2433" ht="22.5" customHeight="1">
      <c r="A2433" s="20"/>
      <c r="B2433" s="20" t="str">
        <f>IFERROR(VLOOKUP(A2433,Sheet1!$E$3:$H$27,4,0),"")</f>
        <v/>
      </c>
      <c r="C2433" s="15"/>
      <c r="D2433" s="20"/>
      <c r="E2433" s="13" t="str">
        <f>IFERROR(VLOOKUP(D2433,Sheet1!$B$1:$C$45,2,0),"")</f>
        <v/>
      </c>
      <c r="F2433" s="20"/>
      <c r="G2433" s="13" t="str">
        <f t="shared" si="9"/>
        <v/>
      </c>
      <c r="H2433" s="15" t="str">
        <f>IFERROR(VLOOKUP(A2433,Sheet1!$E$3:$F$27,2,),"")</f>
        <v/>
      </c>
      <c r="I2433" s="16" t="str">
        <f>IFERROR(VLOOKUP(A2433,Sheet1!$E$3:$G$27,3,0),"")</f>
        <v/>
      </c>
      <c r="J2433" s="20"/>
      <c r="K2433" s="17"/>
      <c r="L2433" s="17"/>
      <c r="M2433" s="13"/>
      <c r="N2433" s="23"/>
      <c r="O2433" s="22"/>
      <c r="P2433" s="22"/>
    </row>
    <row r="2434" ht="22.5" customHeight="1">
      <c r="A2434" s="20"/>
      <c r="B2434" s="20" t="str">
        <f>IFERROR(VLOOKUP(A2434,Sheet1!$E$3:$H$27,4,0),"")</f>
        <v/>
      </c>
      <c r="C2434" s="15"/>
      <c r="D2434" s="20"/>
      <c r="E2434" s="13" t="str">
        <f>IFERROR(VLOOKUP(D2434,Sheet1!$B$1:$C$45,2,0),"")</f>
        <v/>
      </c>
      <c r="F2434" s="20"/>
      <c r="G2434" s="13" t="str">
        <f t="shared" si="9"/>
        <v/>
      </c>
      <c r="H2434" s="15" t="str">
        <f>IFERROR(VLOOKUP(A2434,Sheet1!$E$3:$F$27,2,),"")</f>
        <v/>
      </c>
      <c r="I2434" s="16" t="str">
        <f>IFERROR(VLOOKUP(A2434,Sheet1!$E$3:$G$27,3,0),"")</f>
        <v/>
      </c>
      <c r="J2434" s="20"/>
      <c r="K2434" s="17"/>
      <c r="L2434" s="17"/>
      <c r="M2434" s="13"/>
      <c r="N2434" s="23"/>
      <c r="O2434" s="22"/>
      <c r="P2434" s="22"/>
    </row>
    <row r="2435" ht="22.5" customHeight="1">
      <c r="A2435" s="20"/>
      <c r="B2435" s="20" t="str">
        <f>IFERROR(VLOOKUP(A2435,Sheet1!$E$3:$H$27,4,0),"")</f>
        <v/>
      </c>
      <c r="C2435" s="15"/>
      <c r="D2435" s="20"/>
      <c r="E2435" s="13" t="str">
        <f>IFERROR(VLOOKUP(D2435,Sheet1!$B$1:$C$45,2,0),"")</f>
        <v/>
      </c>
      <c r="F2435" s="20"/>
      <c r="G2435" s="13" t="str">
        <f t="shared" si="9"/>
        <v/>
      </c>
      <c r="H2435" s="15" t="str">
        <f>IFERROR(VLOOKUP(A2435,Sheet1!$E$3:$F$27,2,),"")</f>
        <v/>
      </c>
      <c r="I2435" s="16" t="str">
        <f>IFERROR(VLOOKUP(A2435,Sheet1!$E$3:$G$27,3,0),"")</f>
        <v/>
      </c>
      <c r="J2435" s="20"/>
      <c r="K2435" s="17"/>
      <c r="L2435" s="17"/>
      <c r="M2435" s="13"/>
      <c r="N2435" s="23"/>
      <c r="O2435" s="22"/>
      <c r="P2435" s="22"/>
    </row>
    <row r="2436" ht="22.5" customHeight="1">
      <c r="A2436" s="20"/>
      <c r="B2436" s="20" t="str">
        <f>IFERROR(VLOOKUP(A2436,Sheet1!$E$3:$H$27,4,0),"")</f>
        <v/>
      </c>
      <c r="C2436" s="15"/>
      <c r="D2436" s="20"/>
      <c r="E2436" s="13" t="str">
        <f>IFERROR(VLOOKUP(D2436,Sheet1!$B$1:$C$45,2,0),"")</f>
        <v/>
      </c>
      <c r="F2436" s="20"/>
      <c r="G2436" s="13" t="str">
        <f t="shared" si="9"/>
        <v/>
      </c>
      <c r="H2436" s="15" t="str">
        <f>IFERROR(VLOOKUP(A2436,Sheet1!$E$3:$F$27,2,),"")</f>
        <v/>
      </c>
      <c r="I2436" s="16" t="str">
        <f>IFERROR(VLOOKUP(A2436,Sheet1!$E$3:$G$27,3,0),"")</f>
        <v/>
      </c>
      <c r="J2436" s="20"/>
      <c r="K2436" s="17"/>
      <c r="L2436" s="17"/>
      <c r="M2436" s="13"/>
      <c r="N2436" s="23"/>
      <c r="O2436" s="22"/>
      <c r="P2436" s="22"/>
    </row>
    <row r="2437" ht="22.5" customHeight="1">
      <c r="A2437" s="20"/>
      <c r="B2437" s="20" t="str">
        <f>IFERROR(VLOOKUP(A2437,Sheet1!$E$3:$H$27,4,0),"")</f>
        <v/>
      </c>
      <c r="C2437" s="15"/>
      <c r="D2437" s="20"/>
      <c r="E2437" s="13" t="str">
        <f>IFERROR(VLOOKUP(D2437,Sheet1!$B$1:$C$45,2,0),"")</f>
        <v/>
      </c>
      <c r="F2437" s="20"/>
      <c r="G2437" s="13" t="str">
        <f t="shared" si="9"/>
        <v/>
      </c>
      <c r="H2437" s="15" t="str">
        <f>IFERROR(VLOOKUP(A2437,Sheet1!$E$3:$F$27,2,),"")</f>
        <v/>
      </c>
      <c r="I2437" s="16" t="str">
        <f>IFERROR(VLOOKUP(A2437,Sheet1!$E$3:$G$27,3,0),"")</f>
        <v/>
      </c>
      <c r="J2437" s="20"/>
      <c r="K2437" s="17"/>
      <c r="L2437" s="17"/>
      <c r="M2437" s="13"/>
      <c r="N2437" s="23"/>
      <c r="O2437" s="22"/>
      <c r="P2437" s="22"/>
    </row>
    <row r="2438" ht="22.5" customHeight="1">
      <c r="A2438" s="20"/>
      <c r="B2438" s="20" t="str">
        <f>IFERROR(VLOOKUP(A2438,Sheet1!$E$3:$H$27,4,0),"")</f>
        <v/>
      </c>
      <c r="C2438" s="15"/>
      <c r="D2438" s="20"/>
      <c r="E2438" s="13" t="str">
        <f>IFERROR(VLOOKUP(D2438,Sheet1!$B$1:$C$45,2,0),"")</f>
        <v/>
      </c>
      <c r="F2438" s="20"/>
      <c r="G2438" s="13" t="str">
        <f t="shared" si="9"/>
        <v/>
      </c>
      <c r="H2438" s="15" t="str">
        <f>IFERROR(VLOOKUP(A2438,Sheet1!$E$3:$F$27,2,),"")</f>
        <v/>
      </c>
      <c r="I2438" s="16" t="str">
        <f>IFERROR(VLOOKUP(A2438,Sheet1!$E$3:$G$27,3,0),"")</f>
        <v/>
      </c>
      <c r="J2438" s="20"/>
      <c r="K2438" s="17"/>
      <c r="L2438" s="17"/>
      <c r="M2438" s="13"/>
      <c r="N2438" s="23"/>
      <c r="O2438" s="22"/>
      <c r="P2438" s="22"/>
    </row>
    <row r="2439" ht="22.5" customHeight="1">
      <c r="A2439" s="20"/>
      <c r="B2439" s="20" t="str">
        <f>IFERROR(VLOOKUP(A2439,Sheet1!$E$3:$H$27,4,0),"")</f>
        <v/>
      </c>
      <c r="C2439" s="15"/>
      <c r="D2439" s="20"/>
      <c r="E2439" s="13" t="str">
        <f>IFERROR(VLOOKUP(D2439,Sheet1!$B$1:$C$45,2,0),"")</f>
        <v/>
      </c>
      <c r="F2439" s="20"/>
      <c r="G2439" s="13" t="str">
        <f t="shared" si="9"/>
        <v/>
      </c>
      <c r="H2439" s="15" t="str">
        <f>IFERROR(VLOOKUP(A2439,Sheet1!$E$3:$F$27,2,),"")</f>
        <v/>
      </c>
      <c r="I2439" s="16" t="str">
        <f>IFERROR(VLOOKUP(A2439,Sheet1!$E$3:$G$27,3,0),"")</f>
        <v/>
      </c>
      <c r="J2439" s="20"/>
      <c r="K2439" s="17"/>
      <c r="L2439" s="17"/>
      <c r="M2439" s="13"/>
      <c r="N2439" s="23"/>
      <c r="O2439" s="22"/>
      <c r="P2439" s="22"/>
    </row>
    <row r="2440" ht="22.5" customHeight="1">
      <c r="A2440" s="20"/>
      <c r="B2440" s="20" t="str">
        <f>IFERROR(VLOOKUP(A2440,Sheet1!$E$3:$H$27,4,0),"")</f>
        <v/>
      </c>
      <c r="C2440" s="15"/>
      <c r="D2440" s="20"/>
      <c r="E2440" s="13" t="str">
        <f>IFERROR(VLOOKUP(D2440,Sheet1!$B$1:$C$45,2,0),"")</f>
        <v/>
      </c>
      <c r="F2440" s="20"/>
      <c r="G2440" s="13" t="str">
        <f t="shared" si="9"/>
        <v/>
      </c>
      <c r="H2440" s="15" t="str">
        <f>IFERROR(VLOOKUP(A2440,Sheet1!$E$3:$F$27,2,),"")</f>
        <v/>
      </c>
      <c r="I2440" s="16" t="str">
        <f>IFERROR(VLOOKUP(A2440,Sheet1!$E$3:$G$27,3,0),"")</f>
        <v/>
      </c>
      <c r="J2440" s="20"/>
      <c r="K2440" s="17"/>
      <c r="L2440" s="17"/>
      <c r="M2440" s="13"/>
      <c r="N2440" s="23"/>
      <c r="O2440" s="22"/>
      <c r="P2440" s="22"/>
    </row>
    <row r="2441" ht="22.5" customHeight="1">
      <c r="A2441" s="20"/>
      <c r="B2441" s="20" t="str">
        <f>IFERROR(VLOOKUP(A2441,Sheet1!$E$3:$H$27,4,0),"")</f>
        <v/>
      </c>
      <c r="C2441" s="15"/>
      <c r="D2441" s="20"/>
      <c r="E2441" s="13" t="str">
        <f>IFERROR(VLOOKUP(D2441,Sheet1!$B$1:$C$45,2,0),"")</f>
        <v/>
      </c>
      <c r="F2441" s="20"/>
      <c r="G2441" s="13" t="str">
        <f t="shared" si="9"/>
        <v/>
      </c>
      <c r="H2441" s="15" t="str">
        <f>IFERROR(VLOOKUP(A2441,Sheet1!$E$3:$F$27,2,),"")</f>
        <v/>
      </c>
      <c r="I2441" s="16" t="str">
        <f>IFERROR(VLOOKUP(A2441,Sheet1!$E$3:$G$27,3,0),"")</f>
        <v/>
      </c>
      <c r="J2441" s="20"/>
      <c r="K2441" s="17"/>
      <c r="L2441" s="17"/>
      <c r="M2441" s="13"/>
      <c r="N2441" s="23"/>
      <c r="O2441" s="22"/>
      <c r="P2441" s="22"/>
    </row>
    <row r="2442" ht="22.5" customHeight="1">
      <c r="A2442" s="20"/>
      <c r="B2442" s="20" t="str">
        <f>IFERROR(VLOOKUP(A2442,Sheet1!$E$3:$H$27,4,0),"")</f>
        <v/>
      </c>
      <c r="C2442" s="15"/>
      <c r="D2442" s="20"/>
      <c r="E2442" s="13" t="str">
        <f>IFERROR(VLOOKUP(D2442,Sheet1!$B$1:$C$45,2,0),"")</f>
        <v/>
      </c>
      <c r="F2442" s="20"/>
      <c r="G2442" s="13" t="str">
        <f t="shared" si="9"/>
        <v/>
      </c>
      <c r="H2442" s="15" t="str">
        <f>IFERROR(VLOOKUP(A2442,Sheet1!$E$3:$F$27,2,),"")</f>
        <v/>
      </c>
      <c r="I2442" s="16" t="str">
        <f>IFERROR(VLOOKUP(A2442,Sheet1!$E$3:$G$27,3,0),"")</f>
        <v/>
      </c>
      <c r="J2442" s="20"/>
      <c r="K2442" s="17"/>
      <c r="L2442" s="17"/>
      <c r="M2442" s="13"/>
      <c r="N2442" s="23"/>
      <c r="O2442" s="22"/>
      <c r="P2442" s="22"/>
    </row>
    <row r="2443" ht="22.5" customHeight="1">
      <c r="A2443" s="20"/>
      <c r="B2443" s="20" t="str">
        <f>IFERROR(VLOOKUP(A2443,Sheet1!$E$3:$H$27,4,0),"")</f>
        <v/>
      </c>
      <c r="C2443" s="15"/>
      <c r="D2443" s="20"/>
      <c r="E2443" s="13" t="str">
        <f>IFERROR(VLOOKUP(D2443,Sheet1!$B$1:$C$45,2,0),"")</f>
        <v/>
      </c>
      <c r="F2443" s="20"/>
      <c r="G2443" s="13" t="str">
        <f t="shared" si="9"/>
        <v/>
      </c>
      <c r="H2443" s="15" t="str">
        <f>IFERROR(VLOOKUP(A2443,Sheet1!$E$3:$F$27,2,),"")</f>
        <v/>
      </c>
      <c r="I2443" s="16" t="str">
        <f>IFERROR(VLOOKUP(A2443,Sheet1!$E$3:$G$27,3,0),"")</f>
        <v/>
      </c>
      <c r="J2443" s="20"/>
      <c r="K2443" s="17"/>
      <c r="L2443" s="17"/>
      <c r="M2443" s="13"/>
      <c r="N2443" s="23"/>
      <c r="O2443" s="22"/>
      <c r="P2443" s="22"/>
    </row>
    <row r="2444" ht="22.5" customHeight="1">
      <c r="A2444" s="20"/>
      <c r="B2444" s="20" t="str">
        <f>IFERROR(VLOOKUP(A2444,Sheet1!$E$3:$H$27,4,0),"")</f>
        <v/>
      </c>
      <c r="C2444" s="15"/>
      <c r="D2444" s="20"/>
      <c r="E2444" s="13" t="str">
        <f>IFERROR(VLOOKUP(D2444,Sheet1!$B$1:$C$45,2,0),"")</f>
        <v/>
      </c>
      <c r="F2444" s="20"/>
      <c r="G2444" s="13" t="str">
        <f t="shared" si="9"/>
        <v/>
      </c>
      <c r="H2444" s="15" t="str">
        <f>IFERROR(VLOOKUP(A2444,Sheet1!$E$3:$F$27,2,),"")</f>
        <v/>
      </c>
      <c r="I2444" s="16" t="str">
        <f>IFERROR(VLOOKUP(A2444,Sheet1!$E$3:$G$27,3,0),"")</f>
        <v/>
      </c>
      <c r="J2444" s="20"/>
      <c r="K2444" s="17"/>
      <c r="L2444" s="17"/>
      <c r="M2444" s="13"/>
      <c r="N2444" s="23"/>
      <c r="O2444" s="22"/>
      <c r="P2444" s="22"/>
    </row>
    <row r="2445" ht="22.5" customHeight="1">
      <c r="A2445" s="20"/>
      <c r="B2445" s="20" t="str">
        <f>IFERROR(VLOOKUP(A2445,Sheet1!$E$3:$H$27,4,0),"")</f>
        <v/>
      </c>
      <c r="C2445" s="15"/>
      <c r="D2445" s="20"/>
      <c r="E2445" s="13" t="str">
        <f>IFERROR(VLOOKUP(D2445,Sheet1!$B$1:$C$45,2,0),"")</f>
        <v/>
      </c>
      <c r="F2445" s="20"/>
      <c r="G2445" s="13" t="str">
        <f t="shared" si="9"/>
        <v/>
      </c>
      <c r="H2445" s="15" t="str">
        <f>IFERROR(VLOOKUP(A2445,Sheet1!$E$3:$F$27,2,),"")</f>
        <v/>
      </c>
      <c r="I2445" s="16" t="str">
        <f>IFERROR(VLOOKUP(A2445,Sheet1!$E$3:$G$27,3,0),"")</f>
        <v/>
      </c>
      <c r="J2445" s="20"/>
      <c r="K2445" s="17"/>
      <c r="L2445" s="17"/>
      <c r="M2445" s="13"/>
      <c r="N2445" s="23"/>
      <c r="O2445" s="22"/>
      <c r="P2445" s="22"/>
    </row>
    <row r="2446" ht="22.5" customHeight="1">
      <c r="A2446" s="20"/>
      <c r="B2446" s="20" t="str">
        <f>IFERROR(VLOOKUP(A2446,Sheet1!$E$3:$H$27,4,0),"")</f>
        <v/>
      </c>
      <c r="C2446" s="15"/>
      <c r="D2446" s="20"/>
      <c r="E2446" s="13" t="str">
        <f>IFERROR(VLOOKUP(D2446,Sheet1!$B$1:$C$45,2,0),"")</f>
        <v/>
      </c>
      <c r="F2446" s="20"/>
      <c r="G2446" s="13" t="str">
        <f t="shared" si="9"/>
        <v/>
      </c>
      <c r="H2446" s="15" t="str">
        <f>IFERROR(VLOOKUP(A2446,Sheet1!$E$3:$F$27,2,),"")</f>
        <v/>
      </c>
      <c r="I2446" s="16" t="str">
        <f>IFERROR(VLOOKUP(A2446,Sheet1!$E$3:$G$27,3,0),"")</f>
        <v/>
      </c>
      <c r="J2446" s="20"/>
      <c r="K2446" s="17"/>
      <c r="L2446" s="17"/>
      <c r="M2446" s="13"/>
      <c r="N2446" s="23"/>
      <c r="O2446" s="22"/>
      <c r="P2446" s="22"/>
    </row>
    <row r="2447" ht="22.5" customHeight="1">
      <c r="A2447" s="20"/>
      <c r="B2447" s="20" t="str">
        <f>IFERROR(VLOOKUP(A2447,Sheet1!$E$3:$H$27,4,0),"")</f>
        <v/>
      </c>
      <c r="C2447" s="15"/>
      <c r="D2447" s="20"/>
      <c r="E2447" s="13" t="str">
        <f>IFERROR(VLOOKUP(D2447,Sheet1!$B$1:$C$45,2,0),"")</f>
        <v/>
      </c>
      <c r="F2447" s="20"/>
      <c r="G2447" s="13" t="str">
        <f t="shared" si="9"/>
        <v/>
      </c>
      <c r="H2447" s="15" t="str">
        <f>IFERROR(VLOOKUP(A2447,Sheet1!$E$3:$F$27,2,),"")</f>
        <v/>
      </c>
      <c r="I2447" s="16" t="str">
        <f>IFERROR(VLOOKUP(A2447,Sheet1!$E$3:$G$27,3,0),"")</f>
        <v/>
      </c>
      <c r="J2447" s="20"/>
      <c r="K2447" s="17"/>
      <c r="L2447" s="17"/>
      <c r="M2447" s="13"/>
      <c r="N2447" s="23"/>
      <c r="O2447" s="22"/>
      <c r="P2447" s="22"/>
    </row>
    <row r="2448" ht="22.5" customHeight="1">
      <c r="A2448" s="20"/>
      <c r="B2448" s="20" t="str">
        <f>IFERROR(VLOOKUP(A2448,Sheet1!$E$3:$H$27,4,0),"")</f>
        <v/>
      </c>
      <c r="C2448" s="15"/>
      <c r="D2448" s="20"/>
      <c r="E2448" s="13" t="str">
        <f>IFERROR(VLOOKUP(D2448,Sheet1!$B$1:$C$45,2,0),"")</f>
        <v/>
      </c>
      <c r="F2448" s="20"/>
      <c r="G2448" s="13" t="str">
        <f t="shared" si="9"/>
        <v/>
      </c>
      <c r="H2448" s="15" t="str">
        <f>IFERROR(VLOOKUP(A2448,Sheet1!$E$3:$F$27,2,),"")</f>
        <v/>
      </c>
      <c r="I2448" s="16" t="str">
        <f>IFERROR(VLOOKUP(A2448,Sheet1!$E$3:$G$27,3,0),"")</f>
        <v/>
      </c>
      <c r="J2448" s="20"/>
      <c r="K2448" s="17"/>
      <c r="L2448" s="17"/>
      <c r="M2448" s="13"/>
      <c r="N2448" s="23"/>
      <c r="O2448" s="22"/>
      <c r="P2448" s="22"/>
    </row>
    <row r="2449" ht="22.5" customHeight="1">
      <c r="A2449" s="20"/>
      <c r="B2449" s="20" t="str">
        <f>IFERROR(VLOOKUP(A2449,Sheet1!$E$3:$H$27,4,0),"")</f>
        <v/>
      </c>
      <c r="C2449" s="15"/>
      <c r="D2449" s="20"/>
      <c r="E2449" s="13" t="str">
        <f>IFERROR(VLOOKUP(D2449,Sheet1!$B$1:$C$45,2,0),"")</f>
        <v/>
      </c>
      <c r="F2449" s="20"/>
      <c r="G2449" s="13" t="str">
        <f t="shared" si="9"/>
        <v/>
      </c>
      <c r="H2449" s="15" t="str">
        <f>IFERROR(VLOOKUP(A2449,Sheet1!$E$3:$F$27,2,),"")</f>
        <v/>
      </c>
      <c r="I2449" s="16" t="str">
        <f>IFERROR(VLOOKUP(A2449,Sheet1!$E$3:$G$27,3,0),"")</f>
        <v/>
      </c>
      <c r="J2449" s="20"/>
      <c r="K2449" s="17"/>
      <c r="L2449" s="17"/>
      <c r="M2449" s="13"/>
      <c r="N2449" s="23"/>
      <c r="O2449" s="22"/>
      <c r="P2449" s="22"/>
    </row>
    <row r="2450" ht="22.5" customHeight="1">
      <c r="A2450" s="20"/>
      <c r="B2450" s="20" t="str">
        <f>IFERROR(VLOOKUP(A2450,Sheet1!$E$3:$H$27,4,0),"")</f>
        <v/>
      </c>
      <c r="C2450" s="15"/>
      <c r="D2450" s="20"/>
      <c r="E2450" s="13" t="str">
        <f>IFERROR(VLOOKUP(D2450,Sheet1!$B$1:$C$45,2,0),"")</f>
        <v/>
      </c>
      <c r="F2450" s="20"/>
      <c r="G2450" s="13" t="str">
        <f t="shared" si="9"/>
        <v/>
      </c>
      <c r="H2450" s="15" t="str">
        <f>IFERROR(VLOOKUP(A2450,Sheet1!$E$3:$F$27,2,),"")</f>
        <v/>
      </c>
      <c r="I2450" s="16" t="str">
        <f>IFERROR(VLOOKUP(A2450,Sheet1!$E$3:$G$27,3,0),"")</f>
        <v/>
      </c>
      <c r="J2450" s="20"/>
      <c r="K2450" s="17"/>
      <c r="L2450" s="17"/>
      <c r="M2450" s="13"/>
      <c r="N2450" s="23"/>
      <c r="O2450" s="22"/>
      <c r="P2450" s="22"/>
    </row>
    <row r="2451" ht="22.5" customHeight="1">
      <c r="A2451" s="20"/>
      <c r="B2451" s="20" t="str">
        <f>IFERROR(VLOOKUP(A2451,Sheet1!$E$3:$H$27,4,0),"")</f>
        <v/>
      </c>
      <c r="C2451" s="15"/>
      <c r="D2451" s="20"/>
      <c r="E2451" s="13" t="str">
        <f>IFERROR(VLOOKUP(D2451,Sheet1!$B$1:$C$45,2,0),"")</f>
        <v/>
      </c>
      <c r="F2451" s="20"/>
      <c r="G2451" s="13" t="str">
        <f t="shared" si="9"/>
        <v/>
      </c>
      <c r="H2451" s="15" t="str">
        <f>IFERROR(VLOOKUP(A2451,Sheet1!$E$3:$F$27,2,),"")</f>
        <v/>
      </c>
      <c r="I2451" s="16" t="str">
        <f>IFERROR(VLOOKUP(A2451,Sheet1!$E$3:$G$27,3,0),"")</f>
        <v/>
      </c>
      <c r="J2451" s="20"/>
      <c r="K2451" s="17"/>
      <c r="L2451" s="17"/>
      <c r="M2451" s="13"/>
      <c r="N2451" s="23"/>
      <c r="O2451" s="22"/>
      <c r="P2451" s="22"/>
    </row>
    <row r="2452" ht="22.5" customHeight="1">
      <c r="A2452" s="20"/>
      <c r="B2452" s="20" t="str">
        <f>IFERROR(VLOOKUP(A2452,Sheet1!$E$3:$H$27,4,0),"")</f>
        <v/>
      </c>
      <c r="C2452" s="15"/>
      <c r="D2452" s="20"/>
      <c r="E2452" s="13" t="str">
        <f>IFERROR(VLOOKUP(D2452,Sheet1!$B$1:$C$45,2,0),"")</f>
        <v/>
      </c>
      <c r="F2452" s="20"/>
      <c r="G2452" s="13" t="str">
        <f t="shared" si="9"/>
        <v/>
      </c>
      <c r="H2452" s="15" t="str">
        <f>IFERROR(VLOOKUP(A2452,Sheet1!$E$3:$F$27,2,),"")</f>
        <v/>
      </c>
      <c r="I2452" s="16" t="str">
        <f>IFERROR(VLOOKUP(A2452,Sheet1!$E$3:$G$27,3,0),"")</f>
        <v/>
      </c>
      <c r="J2452" s="20"/>
      <c r="K2452" s="17"/>
      <c r="L2452" s="17"/>
      <c r="M2452" s="13"/>
      <c r="N2452" s="23"/>
      <c r="O2452" s="22"/>
      <c r="P2452" s="22"/>
    </row>
    <row r="2453" ht="22.5" customHeight="1">
      <c r="A2453" s="20"/>
      <c r="B2453" s="20" t="str">
        <f>IFERROR(VLOOKUP(A2453,Sheet1!$E$3:$H$27,4,0),"")</f>
        <v/>
      </c>
      <c r="C2453" s="15"/>
      <c r="D2453" s="20"/>
      <c r="E2453" s="13" t="str">
        <f>IFERROR(VLOOKUP(D2453,Sheet1!$B$1:$C$45,2,0),"")</f>
        <v/>
      </c>
      <c r="F2453" s="20"/>
      <c r="G2453" s="13" t="str">
        <f t="shared" si="9"/>
        <v/>
      </c>
      <c r="H2453" s="15" t="str">
        <f>IFERROR(VLOOKUP(A2453,Sheet1!$E$3:$F$27,2,),"")</f>
        <v/>
      </c>
      <c r="I2453" s="16" t="str">
        <f>IFERROR(VLOOKUP(A2453,Sheet1!$E$3:$G$27,3,0),"")</f>
        <v/>
      </c>
      <c r="J2453" s="20"/>
      <c r="K2453" s="17"/>
      <c r="L2453" s="17"/>
      <c r="M2453" s="13"/>
      <c r="N2453" s="23"/>
      <c r="O2453" s="22"/>
      <c r="P2453" s="22"/>
    </row>
    <row r="2454" ht="22.5" customHeight="1">
      <c r="A2454" s="20"/>
      <c r="B2454" s="20" t="str">
        <f>IFERROR(VLOOKUP(A2454,Sheet1!$E$3:$H$27,4,0),"")</f>
        <v/>
      </c>
      <c r="C2454" s="15"/>
      <c r="D2454" s="20"/>
      <c r="E2454" s="13" t="str">
        <f>IFERROR(VLOOKUP(D2454,Sheet1!$B$1:$C$45,2,0),"")</f>
        <v/>
      </c>
      <c r="F2454" s="20"/>
      <c r="G2454" s="13" t="str">
        <f t="shared" si="9"/>
        <v/>
      </c>
      <c r="H2454" s="15" t="str">
        <f>IFERROR(VLOOKUP(A2454,Sheet1!$E$3:$F$27,2,),"")</f>
        <v/>
      </c>
      <c r="I2454" s="16" t="str">
        <f>IFERROR(VLOOKUP(A2454,Sheet1!$E$3:$G$27,3,0),"")</f>
        <v/>
      </c>
      <c r="J2454" s="20"/>
      <c r="K2454" s="17"/>
      <c r="L2454" s="17"/>
      <c r="M2454" s="13"/>
      <c r="N2454" s="23"/>
      <c r="O2454" s="22"/>
      <c r="P2454" s="22"/>
    </row>
    <row r="2455" ht="22.5" customHeight="1">
      <c r="A2455" s="20"/>
      <c r="B2455" s="20" t="str">
        <f>IFERROR(VLOOKUP(A2455,Sheet1!$E$3:$H$27,4,0),"")</f>
        <v/>
      </c>
      <c r="C2455" s="15"/>
      <c r="D2455" s="20"/>
      <c r="E2455" s="13" t="str">
        <f>IFERROR(VLOOKUP(D2455,Sheet1!$B$1:$C$45,2,0),"")</f>
        <v/>
      </c>
      <c r="F2455" s="20"/>
      <c r="G2455" s="13" t="str">
        <f t="shared" si="9"/>
        <v/>
      </c>
      <c r="H2455" s="15" t="str">
        <f>IFERROR(VLOOKUP(A2455,Sheet1!$E$3:$F$27,2,),"")</f>
        <v/>
      </c>
      <c r="I2455" s="16" t="str">
        <f>IFERROR(VLOOKUP(A2455,Sheet1!$E$3:$G$27,3,0),"")</f>
        <v/>
      </c>
      <c r="J2455" s="20"/>
      <c r="K2455" s="17"/>
      <c r="L2455" s="17"/>
      <c r="M2455" s="13"/>
      <c r="N2455" s="23"/>
      <c r="O2455" s="22"/>
      <c r="P2455" s="22"/>
    </row>
    <row r="2456" ht="22.5" customHeight="1">
      <c r="A2456" s="20"/>
      <c r="B2456" s="20" t="str">
        <f>IFERROR(VLOOKUP(A2456,Sheet1!$E$3:$H$27,4,0),"")</f>
        <v/>
      </c>
      <c r="C2456" s="15"/>
      <c r="D2456" s="20"/>
      <c r="E2456" s="13" t="str">
        <f>IFERROR(VLOOKUP(D2456,Sheet1!$B$1:$C$45,2,0),"")</f>
        <v/>
      </c>
      <c r="F2456" s="20"/>
      <c r="G2456" s="13" t="str">
        <f t="shared" si="9"/>
        <v/>
      </c>
      <c r="H2456" s="15" t="str">
        <f>IFERROR(VLOOKUP(A2456,Sheet1!$E$3:$F$27,2,),"")</f>
        <v/>
      </c>
      <c r="I2456" s="16" t="str">
        <f>IFERROR(VLOOKUP(A2456,Sheet1!$E$3:$G$27,3,0),"")</f>
        <v/>
      </c>
      <c r="J2456" s="20"/>
      <c r="K2456" s="17"/>
      <c r="L2456" s="17"/>
      <c r="M2456" s="13"/>
      <c r="N2456" s="23"/>
      <c r="O2456" s="22"/>
      <c r="P2456" s="22"/>
    </row>
    <row r="2457" ht="22.5" customHeight="1">
      <c r="A2457" s="20"/>
      <c r="B2457" s="20" t="str">
        <f>IFERROR(VLOOKUP(A2457,Sheet1!$E$3:$H$27,4,0),"")</f>
        <v/>
      </c>
      <c r="C2457" s="15"/>
      <c r="D2457" s="20"/>
      <c r="E2457" s="13" t="str">
        <f>IFERROR(VLOOKUP(D2457,Sheet1!$B$1:$C$45,2,0),"")</f>
        <v/>
      </c>
      <c r="F2457" s="20"/>
      <c r="G2457" s="13" t="str">
        <f t="shared" si="9"/>
        <v/>
      </c>
      <c r="H2457" s="15" t="str">
        <f>IFERROR(VLOOKUP(A2457,Sheet1!$E$3:$F$27,2,),"")</f>
        <v/>
      </c>
      <c r="I2457" s="16" t="str">
        <f>IFERROR(VLOOKUP(A2457,Sheet1!$E$3:$G$27,3,0),"")</f>
        <v/>
      </c>
      <c r="J2457" s="20"/>
      <c r="K2457" s="17"/>
      <c r="L2457" s="17"/>
      <c r="M2457" s="13"/>
      <c r="N2457" s="23"/>
      <c r="O2457" s="22"/>
      <c r="P2457" s="22"/>
    </row>
    <row r="2458" ht="22.5" customHeight="1">
      <c r="A2458" s="20"/>
      <c r="B2458" s="20" t="str">
        <f>IFERROR(VLOOKUP(A2458,Sheet1!$E$3:$H$27,4,0),"")</f>
        <v/>
      </c>
      <c r="C2458" s="15"/>
      <c r="D2458" s="20"/>
      <c r="E2458" s="13" t="str">
        <f>IFERROR(VLOOKUP(D2458,Sheet1!$B$1:$C$45,2,0),"")</f>
        <v/>
      </c>
      <c r="F2458" s="20"/>
      <c r="G2458" s="13" t="str">
        <f t="shared" si="9"/>
        <v/>
      </c>
      <c r="H2458" s="15" t="str">
        <f>IFERROR(VLOOKUP(A2458,Sheet1!$E$3:$F$27,2,),"")</f>
        <v/>
      </c>
      <c r="I2458" s="16" t="str">
        <f>IFERROR(VLOOKUP(A2458,Sheet1!$E$3:$G$27,3,0),"")</f>
        <v/>
      </c>
      <c r="J2458" s="20"/>
      <c r="K2458" s="17"/>
      <c r="L2458" s="17"/>
      <c r="M2458" s="13"/>
      <c r="N2458" s="23"/>
      <c r="O2458" s="22"/>
      <c r="P2458" s="22"/>
    </row>
    <row r="2459" ht="22.5" customHeight="1">
      <c r="A2459" s="20"/>
      <c r="B2459" s="20" t="str">
        <f>IFERROR(VLOOKUP(A2459,Sheet1!$E$3:$H$27,4,0),"")</f>
        <v/>
      </c>
      <c r="C2459" s="15"/>
      <c r="D2459" s="20"/>
      <c r="E2459" s="13" t="str">
        <f>IFERROR(VLOOKUP(D2459,Sheet1!$B$1:$C$45,2,0),"")</f>
        <v/>
      </c>
      <c r="F2459" s="20"/>
      <c r="G2459" s="13" t="str">
        <f t="shared" si="9"/>
        <v/>
      </c>
      <c r="H2459" s="15" t="str">
        <f>IFERROR(VLOOKUP(A2459,Sheet1!$E$3:$F$27,2,),"")</f>
        <v/>
      </c>
      <c r="I2459" s="16" t="str">
        <f>IFERROR(VLOOKUP(A2459,Sheet1!$E$3:$G$27,3,0),"")</f>
        <v/>
      </c>
      <c r="J2459" s="20"/>
      <c r="K2459" s="17"/>
      <c r="L2459" s="17"/>
      <c r="M2459" s="13"/>
      <c r="N2459" s="23"/>
      <c r="O2459" s="22"/>
      <c r="P2459" s="22"/>
    </row>
    <row r="2460" ht="22.5" customHeight="1">
      <c r="A2460" s="20"/>
      <c r="B2460" s="20" t="str">
        <f>IFERROR(VLOOKUP(A2460,Sheet1!$E$3:$H$27,4,0),"")</f>
        <v/>
      </c>
      <c r="C2460" s="15"/>
      <c r="D2460" s="20"/>
      <c r="E2460" s="13" t="str">
        <f>IFERROR(VLOOKUP(D2460,Sheet1!$B$1:$C$45,2,0),"")</f>
        <v/>
      </c>
      <c r="F2460" s="20"/>
      <c r="G2460" s="13" t="str">
        <f t="shared" si="9"/>
        <v/>
      </c>
      <c r="H2460" s="15" t="str">
        <f>IFERROR(VLOOKUP(A2460,Sheet1!$E$3:$F$27,2,),"")</f>
        <v/>
      </c>
      <c r="I2460" s="16" t="str">
        <f>IFERROR(VLOOKUP(A2460,Sheet1!$E$3:$G$27,3,0),"")</f>
        <v/>
      </c>
      <c r="J2460" s="20"/>
      <c r="K2460" s="17"/>
      <c r="L2460" s="17"/>
      <c r="M2460" s="13"/>
      <c r="N2460" s="23"/>
      <c r="O2460" s="22"/>
      <c r="P2460" s="22"/>
    </row>
    <row r="2461" ht="22.5" customHeight="1">
      <c r="A2461" s="20"/>
      <c r="B2461" s="20" t="str">
        <f>IFERROR(VLOOKUP(A2461,Sheet1!$E$3:$H$27,4,0),"")</f>
        <v/>
      </c>
      <c r="C2461" s="15"/>
      <c r="D2461" s="20"/>
      <c r="E2461" s="13" t="str">
        <f>IFERROR(VLOOKUP(D2461,Sheet1!$B$1:$C$45,2,0),"")</f>
        <v/>
      </c>
      <c r="F2461" s="20"/>
      <c r="G2461" s="13" t="str">
        <f t="shared" si="9"/>
        <v/>
      </c>
      <c r="H2461" s="15" t="str">
        <f>IFERROR(VLOOKUP(A2461,Sheet1!$E$3:$F$27,2,),"")</f>
        <v/>
      </c>
      <c r="I2461" s="16" t="str">
        <f>IFERROR(VLOOKUP(A2461,Sheet1!$E$3:$G$27,3,0),"")</f>
        <v/>
      </c>
      <c r="J2461" s="20"/>
      <c r="K2461" s="17"/>
      <c r="L2461" s="17"/>
      <c r="M2461" s="13"/>
      <c r="N2461" s="23"/>
      <c r="O2461" s="22"/>
      <c r="P2461" s="22"/>
    </row>
    <row r="2462" ht="22.5" customHeight="1">
      <c r="A2462" s="20"/>
      <c r="B2462" s="20" t="str">
        <f>IFERROR(VLOOKUP(A2462,Sheet1!$E$3:$H$27,4,0),"")</f>
        <v/>
      </c>
      <c r="C2462" s="15"/>
      <c r="D2462" s="20"/>
      <c r="E2462" s="13" t="str">
        <f>IFERROR(VLOOKUP(D2462,Sheet1!$B$1:$C$45,2,0),"")</f>
        <v/>
      </c>
      <c r="F2462" s="20"/>
      <c r="G2462" s="13" t="str">
        <f t="shared" si="9"/>
        <v/>
      </c>
      <c r="H2462" s="15" t="str">
        <f>IFERROR(VLOOKUP(A2462,Sheet1!$E$3:$F$27,2,),"")</f>
        <v/>
      </c>
      <c r="I2462" s="16" t="str">
        <f>IFERROR(VLOOKUP(A2462,Sheet1!$E$3:$G$27,3,0),"")</f>
        <v/>
      </c>
      <c r="J2462" s="20"/>
      <c r="K2462" s="17"/>
      <c r="L2462" s="17"/>
      <c r="M2462" s="13"/>
      <c r="N2462" s="23"/>
      <c r="O2462" s="22"/>
      <c r="P2462" s="22"/>
    </row>
    <row r="2463" ht="22.5" customHeight="1">
      <c r="A2463" s="20"/>
      <c r="B2463" s="20" t="str">
        <f>IFERROR(VLOOKUP(A2463,Sheet1!$E$3:$H$27,4,0),"")</f>
        <v/>
      </c>
      <c r="C2463" s="15"/>
      <c r="D2463" s="20"/>
      <c r="E2463" s="13" t="str">
        <f>IFERROR(VLOOKUP(D2463,Sheet1!$B$1:$C$45,2,0),"")</f>
        <v/>
      </c>
      <c r="F2463" s="20"/>
      <c r="G2463" s="13" t="str">
        <f t="shared" si="9"/>
        <v/>
      </c>
      <c r="H2463" s="15" t="str">
        <f>IFERROR(VLOOKUP(A2463,Sheet1!$E$3:$F$27,2,),"")</f>
        <v/>
      </c>
      <c r="I2463" s="16" t="str">
        <f>IFERROR(VLOOKUP(A2463,Sheet1!$E$3:$G$27,3,0),"")</f>
        <v/>
      </c>
      <c r="J2463" s="20"/>
      <c r="K2463" s="17"/>
      <c r="L2463" s="17"/>
      <c r="M2463" s="13"/>
      <c r="N2463" s="23"/>
      <c r="O2463" s="22"/>
      <c r="P2463" s="22"/>
    </row>
    <row r="2464" ht="22.5" customHeight="1">
      <c r="A2464" s="20"/>
      <c r="B2464" s="20" t="str">
        <f>IFERROR(VLOOKUP(A2464,Sheet1!$E$3:$H$27,4,0),"")</f>
        <v/>
      </c>
      <c r="C2464" s="15"/>
      <c r="D2464" s="20"/>
      <c r="E2464" s="13" t="str">
        <f>IFERROR(VLOOKUP(D2464,Sheet1!$B$1:$C$45,2,0),"")</f>
        <v/>
      </c>
      <c r="F2464" s="20"/>
      <c r="G2464" s="13" t="str">
        <f t="shared" si="9"/>
        <v/>
      </c>
      <c r="H2464" s="15" t="str">
        <f>IFERROR(VLOOKUP(A2464,Sheet1!$E$3:$F$27,2,),"")</f>
        <v/>
      </c>
      <c r="I2464" s="16" t="str">
        <f>IFERROR(VLOOKUP(A2464,Sheet1!$E$3:$G$27,3,0),"")</f>
        <v/>
      </c>
      <c r="J2464" s="20"/>
      <c r="K2464" s="17"/>
      <c r="L2464" s="17"/>
      <c r="M2464" s="13"/>
      <c r="N2464" s="23"/>
      <c r="O2464" s="22"/>
      <c r="P2464" s="22"/>
    </row>
    <row r="2465" ht="22.5" customHeight="1">
      <c r="A2465" s="20"/>
      <c r="B2465" s="20" t="str">
        <f>IFERROR(VLOOKUP(A2465,Sheet1!$E$3:$H$27,4,0),"")</f>
        <v/>
      </c>
      <c r="C2465" s="15"/>
      <c r="D2465" s="20"/>
      <c r="E2465" s="13" t="str">
        <f>IFERROR(VLOOKUP(D2465,Sheet1!$B$1:$C$45,2,0),"")</f>
        <v/>
      </c>
      <c r="F2465" s="20"/>
      <c r="G2465" s="13" t="str">
        <f t="shared" si="9"/>
        <v/>
      </c>
      <c r="H2465" s="15" t="str">
        <f>IFERROR(VLOOKUP(A2465,Sheet1!$E$3:$F$27,2,),"")</f>
        <v/>
      </c>
      <c r="I2465" s="16" t="str">
        <f>IFERROR(VLOOKUP(A2465,Sheet1!$E$3:$G$27,3,0),"")</f>
        <v/>
      </c>
      <c r="J2465" s="20"/>
      <c r="K2465" s="17"/>
      <c r="L2465" s="17"/>
      <c r="M2465" s="13"/>
      <c r="N2465" s="23"/>
      <c r="O2465" s="22"/>
      <c r="P2465" s="22"/>
    </row>
    <row r="2466" ht="22.5" customHeight="1">
      <c r="A2466" s="20"/>
      <c r="B2466" s="20" t="str">
        <f>IFERROR(VLOOKUP(A2466,Sheet1!$E$3:$H$27,4,0),"")</f>
        <v/>
      </c>
      <c r="C2466" s="15"/>
      <c r="D2466" s="20"/>
      <c r="E2466" s="13" t="str">
        <f>IFERROR(VLOOKUP(D2466,Sheet1!$B$1:$C$45,2,0),"")</f>
        <v/>
      </c>
      <c r="F2466" s="20"/>
      <c r="G2466" s="13" t="str">
        <f t="shared" si="9"/>
        <v/>
      </c>
      <c r="H2466" s="15" t="str">
        <f>IFERROR(VLOOKUP(A2466,Sheet1!$E$3:$F$27,2,),"")</f>
        <v/>
      </c>
      <c r="I2466" s="16" t="str">
        <f>IFERROR(VLOOKUP(A2466,Sheet1!$E$3:$G$27,3,0),"")</f>
        <v/>
      </c>
      <c r="J2466" s="20"/>
      <c r="K2466" s="17"/>
      <c r="L2466" s="17"/>
      <c r="M2466" s="13"/>
      <c r="N2466" s="23"/>
      <c r="O2466" s="22"/>
      <c r="P2466" s="22"/>
    </row>
    <row r="2467" ht="22.5" customHeight="1">
      <c r="A2467" s="20"/>
      <c r="B2467" s="20" t="str">
        <f>IFERROR(VLOOKUP(A2467,Sheet1!$E$3:$H$27,4,0),"")</f>
        <v/>
      </c>
      <c r="C2467" s="15"/>
      <c r="D2467" s="20"/>
      <c r="E2467" s="13" t="str">
        <f>IFERROR(VLOOKUP(D2467,Sheet1!$B$1:$C$45,2,0),"")</f>
        <v/>
      </c>
      <c r="F2467" s="20"/>
      <c r="G2467" s="13" t="str">
        <f t="shared" si="9"/>
        <v/>
      </c>
      <c r="H2467" s="15" t="str">
        <f>IFERROR(VLOOKUP(A2467,Sheet1!$E$3:$F$27,2,),"")</f>
        <v/>
      </c>
      <c r="I2467" s="16" t="str">
        <f>IFERROR(VLOOKUP(A2467,Sheet1!$E$3:$G$27,3,0),"")</f>
        <v/>
      </c>
      <c r="J2467" s="20"/>
      <c r="K2467" s="17"/>
      <c r="L2467" s="17"/>
      <c r="M2467" s="13"/>
      <c r="N2467" s="23"/>
      <c r="O2467" s="22"/>
      <c r="P2467" s="22"/>
    </row>
    <row r="2468" ht="22.5" customHeight="1">
      <c r="A2468" s="20"/>
      <c r="B2468" s="20" t="str">
        <f>IFERROR(VLOOKUP(A2468,Sheet1!$E$3:$H$27,4,0),"")</f>
        <v/>
      </c>
      <c r="C2468" s="15"/>
      <c r="D2468" s="20"/>
      <c r="E2468" s="13" t="str">
        <f>IFERROR(VLOOKUP(D2468,Sheet1!$B$1:$C$45,2,0),"")</f>
        <v/>
      </c>
      <c r="F2468" s="20"/>
      <c r="G2468" s="13" t="str">
        <f t="shared" si="9"/>
        <v/>
      </c>
      <c r="H2468" s="15" t="str">
        <f>IFERROR(VLOOKUP(A2468,Sheet1!$E$3:$F$27,2,),"")</f>
        <v/>
      </c>
      <c r="I2468" s="16" t="str">
        <f>IFERROR(VLOOKUP(A2468,Sheet1!$E$3:$G$27,3,0),"")</f>
        <v/>
      </c>
      <c r="J2468" s="20"/>
      <c r="K2468" s="17"/>
      <c r="L2468" s="17"/>
      <c r="M2468" s="13"/>
      <c r="N2468" s="23"/>
      <c r="O2468" s="22"/>
      <c r="P2468" s="22"/>
    </row>
    <row r="2469" ht="22.5" customHeight="1">
      <c r="A2469" s="20"/>
      <c r="B2469" s="20" t="str">
        <f>IFERROR(VLOOKUP(A2469,Sheet1!$E$3:$H$27,4,0),"")</f>
        <v/>
      </c>
      <c r="C2469" s="15"/>
      <c r="D2469" s="20"/>
      <c r="E2469" s="13" t="str">
        <f>IFERROR(VLOOKUP(D2469,Sheet1!$B$1:$C$45,2,0),"")</f>
        <v/>
      </c>
      <c r="F2469" s="20"/>
      <c r="G2469" s="13" t="str">
        <f t="shared" si="9"/>
        <v/>
      </c>
      <c r="H2469" s="15" t="str">
        <f>IFERROR(VLOOKUP(A2469,Sheet1!$E$3:$F$27,2,),"")</f>
        <v/>
      </c>
      <c r="I2469" s="16" t="str">
        <f>IFERROR(VLOOKUP(A2469,Sheet1!$E$3:$G$27,3,0),"")</f>
        <v/>
      </c>
      <c r="J2469" s="20"/>
      <c r="K2469" s="17"/>
      <c r="L2469" s="17"/>
      <c r="M2469" s="13"/>
      <c r="N2469" s="23"/>
      <c r="O2469" s="22"/>
      <c r="P2469" s="22"/>
    </row>
    <row r="2470" ht="22.5" customHeight="1">
      <c r="A2470" s="20"/>
      <c r="B2470" s="20" t="str">
        <f>IFERROR(VLOOKUP(A2470,Sheet1!$E$3:$H$27,4,0),"")</f>
        <v/>
      </c>
      <c r="C2470" s="15"/>
      <c r="D2470" s="20"/>
      <c r="E2470" s="13" t="str">
        <f>IFERROR(VLOOKUP(D2470,Sheet1!$B$1:$C$45,2,0),"")</f>
        <v/>
      </c>
      <c r="F2470" s="20"/>
      <c r="G2470" s="13" t="str">
        <f t="shared" si="9"/>
        <v/>
      </c>
      <c r="H2470" s="15" t="str">
        <f>IFERROR(VLOOKUP(A2470,Sheet1!$E$3:$F$27,2,),"")</f>
        <v/>
      </c>
      <c r="I2470" s="16" t="str">
        <f>IFERROR(VLOOKUP(A2470,Sheet1!$E$3:$G$27,3,0),"")</f>
        <v/>
      </c>
      <c r="J2470" s="20"/>
      <c r="K2470" s="17"/>
      <c r="L2470" s="17"/>
      <c r="M2470" s="13"/>
      <c r="N2470" s="23"/>
      <c r="O2470" s="22"/>
      <c r="P2470" s="22"/>
    </row>
    <row r="2471" ht="22.5" customHeight="1">
      <c r="A2471" s="20"/>
      <c r="B2471" s="20" t="str">
        <f>IFERROR(VLOOKUP(A2471,Sheet1!$E$3:$H$27,4,0),"")</f>
        <v/>
      </c>
      <c r="C2471" s="15"/>
      <c r="D2471" s="20"/>
      <c r="E2471" s="13" t="str">
        <f>IFERROR(VLOOKUP(D2471,Sheet1!$B$1:$C$45,2,0),"")</f>
        <v/>
      </c>
      <c r="F2471" s="20"/>
      <c r="G2471" s="13" t="str">
        <f t="shared" si="9"/>
        <v/>
      </c>
      <c r="H2471" s="15" t="str">
        <f>IFERROR(VLOOKUP(A2471,Sheet1!$E$3:$F$27,2,),"")</f>
        <v/>
      </c>
      <c r="I2471" s="16" t="str">
        <f>IFERROR(VLOOKUP(A2471,Sheet1!$E$3:$G$27,3,0),"")</f>
        <v/>
      </c>
      <c r="J2471" s="20"/>
      <c r="K2471" s="17"/>
      <c r="L2471" s="17"/>
      <c r="M2471" s="13"/>
      <c r="N2471" s="23"/>
      <c r="O2471" s="22"/>
      <c r="P2471" s="22"/>
    </row>
    <row r="2472" ht="22.5" customHeight="1">
      <c r="A2472" s="20"/>
      <c r="B2472" s="20" t="str">
        <f>IFERROR(VLOOKUP(A2472,Sheet1!$E$3:$H$27,4,0),"")</f>
        <v/>
      </c>
      <c r="C2472" s="15"/>
      <c r="D2472" s="20"/>
      <c r="E2472" s="13" t="str">
        <f>IFERROR(VLOOKUP(D2472,Sheet1!$B$1:$C$45,2,0),"")</f>
        <v/>
      </c>
      <c r="F2472" s="20"/>
      <c r="G2472" s="13" t="str">
        <f t="shared" si="9"/>
        <v/>
      </c>
      <c r="H2472" s="15" t="str">
        <f>IFERROR(VLOOKUP(A2472,Sheet1!$E$3:$F$27,2,),"")</f>
        <v/>
      </c>
      <c r="I2472" s="16" t="str">
        <f>IFERROR(VLOOKUP(A2472,Sheet1!$E$3:$G$27,3,0),"")</f>
        <v/>
      </c>
      <c r="J2472" s="20"/>
      <c r="K2472" s="17"/>
      <c r="L2472" s="17"/>
      <c r="M2472" s="13"/>
      <c r="N2472" s="23"/>
      <c r="O2472" s="22"/>
      <c r="P2472" s="22"/>
    </row>
    <row r="2473" ht="22.5" customHeight="1">
      <c r="A2473" s="20"/>
      <c r="B2473" s="20" t="str">
        <f>IFERROR(VLOOKUP(A2473,Sheet1!$E$3:$H$27,4,0),"")</f>
        <v/>
      </c>
      <c r="C2473" s="15"/>
      <c r="D2473" s="20"/>
      <c r="E2473" s="13" t="str">
        <f>IFERROR(VLOOKUP(D2473,Sheet1!$B$1:$C$45,2,0),"")</f>
        <v/>
      </c>
      <c r="F2473" s="20"/>
      <c r="G2473" s="13" t="str">
        <f t="shared" si="9"/>
        <v/>
      </c>
      <c r="H2473" s="15" t="str">
        <f>IFERROR(VLOOKUP(A2473,Sheet1!$E$3:$F$27,2,),"")</f>
        <v/>
      </c>
      <c r="I2473" s="16" t="str">
        <f>IFERROR(VLOOKUP(A2473,Sheet1!$E$3:$G$27,3,0),"")</f>
        <v/>
      </c>
      <c r="J2473" s="20"/>
      <c r="K2473" s="17"/>
      <c r="L2473" s="17"/>
      <c r="M2473" s="13"/>
      <c r="N2473" s="23"/>
      <c r="O2473" s="22"/>
      <c r="P2473" s="22"/>
    </row>
    <row r="2474" ht="22.5" customHeight="1">
      <c r="A2474" s="20"/>
      <c r="B2474" s="20" t="str">
        <f>IFERROR(VLOOKUP(A2474,Sheet1!$E$3:$H$27,4,0),"")</f>
        <v/>
      </c>
      <c r="C2474" s="15"/>
      <c r="D2474" s="20"/>
      <c r="E2474" s="13" t="str">
        <f>IFERROR(VLOOKUP(D2474,Sheet1!$B$1:$C$45,2,0),"")</f>
        <v/>
      </c>
      <c r="F2474" s="20"/>
      <c r="G2474" s="13" t="str">
        <f t="shared" si="9"/>
        <v/>
      </c>
      <c r="H2474" s="15" t="str">
        <f>IFERROR(VLOOKUP(A2474,Sheet1!$E$3:$F$27,2,),"")</f>
        <v/>
      </c>
      <c r="I2474" s="16" t="str">
        <f>IFERROR(VLOOKUP(A2474,Sheet1!$E$3:$G$27,3,0),"")</f>
        <v/>
      </c>
      <c r="J2474" s="20"/>
      <c r="K2474" s="17"/>
      <c r="L2474" s="17"/>
      <c r="M2474" s="13"/>
      <c r="N2474" s="23"/>
      <c r="O2474" s="22"/>
      <c r="P2474" s="22"/>
    </row>
    <row r="2475" ht="22.5" customHeight="1">
      <c r="A2475" s="20"/>
      <c r="B2475" s="20" t="str">
        <f>IFERROR(VLOOKUP(A2475,Sheet1!$E$3:$H$27,4,0),"")</f>
        <v/>
      </c>
      <c r="C2475" s="15"/>
      <c r="D2475" s="20"/>
      <c r="E2475" s="13" t="str">
        <f>IFERROR(VLOOKUP(D2475,Sheet1!$B$1:$C$45,2,0),"")</f>
        <v/>
      </c>
      <c r="F2475" s="20"/>
      <c r="G2475" s="13" t="str">
        <f t="shared" si="9"/>
        <v/>
      </c>
      <c r="H2475" s="15" t="str">
        <f>IFERROR(VLOOKUP(A2475,Sheet1!$E$3:$F$27,2,),"")</f>
        <v/>
      </c>
      <c r="I2475" s="16" t="str">
        <f>IFERROR(VLOOKUP(A2475,Sheet1!$E$3:$G$27,3,0),"")</f>
        <v/>
      </c>
      <c r="J2475" s="20"/>
      <c r="K2475" s="17"/>
      <c r="L2475" s="17"/>
      <c r="M2475" s="13"/>
      <c r="N2475" s="23"/>
      <c r="O2475" s="22"/>
      <c r="P2475" s="22"/>
    </row>
    <row r="2476" ht="22.5" customHeight="1">
      <c r="A2476" s="20"/>
      <c r="B2476" s="20" t="str">
        <f>IFERROR(VLOOKUP(A2476,Sheet1!$E$3:$H$27,4,0),"")</f>
        <v/>
      </c>
      <c r="C2476" s="15"/>
      <c r="D2476" s="20"/>
      <c r="E2476" s="13" t="str">
        <f>IFERROR(VLOOKUP(D2476,Sheet1!$B$1:$C$45,2,0),"")</f>
        <v/>
      </c>
      <c r="F2476" s="20"/>
      <c r="G2476" s="13" t="str">
        <f t="shared" si="9"/>
        <v/>
      </c>
      <c r="H2476" s="15" t="str">
        <f>IFERROR(VLOOKUP(A2476,Sheet1!$E$3:$F$27,2,),"")</f>
        <v/>
      </c>
      <c r="I2476" s="16" t="str">
        <f>IFERROR(VLOOKUP(A2476,Sheet1!$E$3:$G$27,3,0),"")</f>
        <v/>
      </c>
      <c r="J2476" s="20"/>
      <c r="K2476" s="17"/>
      <c r="L2476" s="17"/>
      <c r="M2476" s="13"/>
      <c r="N2476" s="23"/>
      <c r="O2476" s="22"/>
      <c r="P2476" s="22"/>
    </row>
    <row r="2477" ht="22.5" customHeight="1">
      <c r="A2477" s="20"/>
      <c r="B2477" s="20" t="str">
        <f>IFERROR(VLOOKUP(A2477,Sheet1!$E$3:$H$27,4,0),"")</f>
        <v/>
      </c>
      <c r="C2477" s="15"/>
      <c r="D2477" s="20"/>
      <c r="E2477" s="13" t="str">
        <f>IFERROR(VLOOKUP(D2477,Sheet1!$B$1:$C$45,2,0),"")</f>
        <v/>
      </c>
      <c r="F2477" s="20"/>
      <c r="G2477" s="13" t="str">
        <f t="shared" si="9"/>
        <v/>
      </c>
      <c r="H2477" s="15" t="str">
        <f>IFERROR(VLOOKUP(A2477,Sheet1!$E$3:$F$27,2,),"")</f>
        <v/>
      </c>
      <c r="I2477" s="16" t="str">
        <f>IFERROR(VLOOKUP(A2477,Sheet1!$E$3:$G$27,3,0),"")</f>
        <v/>
      </c>
      <c r="J2477" s="20"/>
      <c r="K2477" s="17"/>
      <c r="L2477" s="17"/>
      <c r="M2477" s="13"/>
      <c r="N2477" s="23"/>
      <c r="O2477" s="22"/>
      <c r="P2477" s="22"/>
    </row>
    <row r="2478" ht="22.5" customHeight="1">
      <c r="A2478" s="20"/>
      <c r="B2478" s="20" t="str">
        <f>IFERROR(VLOOKUP(A2478,Sheet1!$E$3:$H$27,4,0),"")</f>
        <v/>
      </c>
      <c r="C2478" s="15"/>
      <c r="D2478" s="20"/>
      <c r="E2478" s="13" t="str">
        <f>IFERROR(VLOOKUP(D2478,Sheet1!$B$1:$C$45,2,0),"")</f>
        <v/>
      </c>
      <c r="F2478" s="20"/>
      <c r="G2478" s="13" t="str">
        <f t="shared" si="9"/>
        <v/>
      </c>
      <c r="H2478" s="15" t="str">
        <f>IFERROR(VLOOKUP(A2478,Sheet1!$E$3:$F$27,2,),"")</f>
        <v/>
      </c>
      <c r="I2478" s="16" t="str">
        <f>IFERROR(VLOOKUP(A2478,Sheet1!$E$3:$G$27,3,0),"")</f>
        <v/>
      </c>
      <c r="J2478" s="20"/>
      <c r="K2478" s="17"/>
      <c r="L2478" s="17"/>
      <c r="M2478" s="13"/>
      <c r="N2478" s="23"/>
      <c r="O2478" s="22"/>
      <c r="P2478" s="22"/>
    </row>
    <row r="2479" ht="22.5" customHeight="1">
      <c r="A2479" s="20"/>
      <c r="B2479" s="20" t="str">
        <f>IFERROR(VLOOKUP(A2479,Sheet1!$E$3:$H$27,4,0),"")</f>
        <v/>
      </c>
      <c r="C2479" s="15"/>
      <c r="D2479" s="20"/>
      <c r="E2479" s="13" t="str">
        <f>IFERROR(VLOOKUP(D2479,Sheet1!$B$1:$C$45,2,0),"")</f>
        <v/>
      </c>
      <c r="F2479" s="20"/>
      <c r="G2479" s="13" t="str">
        <f t="shared" si="9"/>
        <v/>
      </c>
      <c r="H2479" s="15" t="str">
        <f>IFERROR(VLOOKUP(A2479,Sheet1!$E$3:$F$27,2,),"")</f>
        <v/>
      </c>
      <c r="I2479" s="16" t="str">
        <f>IFERROR(VLOOKUP(A2479,Sheet1!$E$3:$G$27,3,0),"")</f>
        <v/>
      </c>
      <c r="J2479" s="20"/>
      <c r="K2479" s="17"/>
      <c r="L2479" s="17"/>
      <c r="M2479" s="13"/>
      <c r="N2479" s="23"/>
      <c r="O2479" s="22"/>
      <c r="P2479" s="22"/>
    </row>
    <row r="2480" ht="22.5" customHeight="1">
      <c r="A2480" s="20"/>
      <c r="B2480" s="20" t="str">
        <f>IFERROR(VLOOKUP(A2480,Sheet1!$E$3:$H$27,4,0),"")</f>
        <v/>
      </c>
      <c r="C2480" s="15"/>
      <c r="D2480" s="20"/>
      <c r="E2480" s="13" t="str">
        <f>IFERROR(VLOOKUP(D2480,Sheet1!$B$1:$C$45,2,0),"")</f>
        <v/>
      </c>
      <c r="F2480" s="20"/>
      <c r="G2480" s="13" t="str">
        <f t="shared" si="9"/>
        <v/>
      </c>
      <c r="H2480" s="15" t="str">
        <f>IFERROR(VLOOKUP(A2480,Sheet1!$E$3:$F$27,2,),"")</f>
        <v/>
      </c>
      <c r="I2480" s="16" t="str">
        <f>IFERROR(VLOOKUP(A2480,Sheet1!$E$3:$G$27,3,0),"")</f>
        <v/>
      </c>
      <c r="J2480" s="20"/>
      <c r="K2480" s="17"/>
      <c r="L2480" s="17"/>
      <c r="M2480" s="13"/>
      <c r="N2480" s="23"/>
      <c r="O2480" s="22"/>
      <c r="P2480" s="22"/>
    </row>
    <row r="2481" ht="22.5" customHeight="1">
      <c r="A2481" s="20"/>
      <c r="B2481" s="20" t="str">
        <f>IFERROR(VLOOKUP(A2481,Sheet1!$E$3:$H$27,4,0),"")</f>
        <v/>
      </c>
      <c r="C2481" s="15"/>
      <c r="D2481" s="20"/>
      <c r="E2481" s="13" t="str">
        <f>IFERROR(VLOOKUP(D2481,Sheet1!$B$1:$C$45,2,0),"")</f>
        <v/>
      </c>
      <c r="F2481" s="20"/>
      <c r="G2481" s="13" t="str">
        <f t="shared" si="9"/>
        <v/>
      </c>
      <c r="H2481" s="15" t="str">
        <f>IFERROR(VLOOKUP(A2481,Sheet1!$E$3:$F$27,2,),"")</f>
        <v/>
      </c>
      <c r="I2481" s="16" t="str">
        <f>IFERROR(VLOOKUP(A2481,Sheet1!$E$3:$G$27,3,0),"")</f>
        <v/>
      </c>
      <c r="J2481" s="20"/>
      <c r="K2481" s="17"/>
      <c r="L2481" s="17"/>
      <c r="M2481" s="13"/>
      <c r="N2481" s="23"/>
      <c r="O2481" s="22"/>
      <c r="P2481" s="22"/>
    </row>
    <row r="2482" ht="22.5" customHeight="1">
      <c r="A2482" s="20"/>
      <c r="B2482" s="20" t="str">
        <f>IFERROR(VLOOKUP(A2482,Sheet1!$E$3:$H$27,4,0),"")</f>
        <v/>
      </c>
      <c r="C2482" s="15"/>
      <c r="D2482" s="20"/>
      <c r="E2482" s="13" t="str">
        <f>IFERROR(VLOOKUP(D2482,Sheet1!$B$1:$C$45,2,0),"")</f>
        <v/>
      </c>
      <c r="F2482" s="20"/>
      <c r="G2482" s="13" t="str">
        <f t="shared" si="9"/>
        <v/>
      </c>
      <c r="H2482" s="15" t="str">
        <f>IFERROR(VLOOKUP(A2482,Sheet1!$E$3:$F$27,2,),"")</f>
        <v/>
      </c>
      <c r="I2482" s="16" t="str">
        <f>IFERROR(VLOOKUP(A2482,Sheet1!$E$3:$G$27,3,0),"")</f>
        <v/>
      </c>
      <c r="J2482" s="20"/>
      <c r="K2482" s="17"/>
      <c r="L2482" s="17"/>
      <c r="M2482" s="13"/>
      <c r="N2482" s="23"/>
      <c r="O2482" s="22"/>
      <c r="P2482" s="22"/>
    </row>
    <row r="2483" ht="22.5" customHeight="1">
      <c r="A2483" s="20"/>
      <c r="B2483" s="20" t="str">
        <f>IFERROR(VLOOKUP(A2483,Sheet1!$E$3:$H$27,4,0),"")</f>
        <v/>
      </c>
      <c r="C2483" s="15"/>
      <c r="D2483" s="20"/>
      <c r="E2483" s="13" t="str">
        <f>IFERROR(VLOOKUP(D2483,Sheet1!$B$1:$C$45,2,0),"")</f>
        <v/>
      </c>
      <c r="F2483" s="20"/>
      <c r="G2483" s="13" t="str">
        <f t="shared" si="9"/>
        <v/>
      </c>
      <c r="H2483" s="15" t="str">
        <f>IFERROR(VLOOKUP(A2483,Sheet1!$E$3:$F$27,2,),"")</f>
        <v/>
      </c>
      <c r="I2483" s="16" t="str">
        <f>IFERROR(VLOOKUP(A2483,Sheet1!$E$3:$G$27,3,0),"")</f>
        <v/>
      </c>
      <c r="J2483" s="20"/>
      <c r="K2483" s="17"/>
      <c r="L2483" s="17"/>
      <c r="M2483" s="13"/>
      <c r="N2483" s="23"/>
      <c r="O2483" s="22"/>
      <c r="P2483" s="22"/>
    </row>
    <row r="2484" ht="22.5" customHeight="1">
      <c r="A2484" s="20"/>
      <c r="B2484" s="20" t="str">
        <f>IFERROR(VLOOKUP(A2484,Sheet1!$E$3:$H$27,4,0),"")</f>
        <v/>
      </c>
      <c r="C2484" s="15"/>
      <c r="D2484" s="20"/>
      <c r="E2484" s="13" t="str">
        <f>IFERROR(VLOOKUP(D2484,Sheet1!$B$1:$C$45,2,0),"")</f>
        <v/>
      </c>
      <c r="F2484" s="20"/>
      <c r="G2484" s="13" t="str">
        <f t="shared" si="9"/>
        <v/>
      </c>
      <c r="H2484" s="15" t="str">
        <f>IFERROR(VLOOKUP(A2484,Sheet1!$E$3:$F$27,2,),"")</f>
        <v/>
      </c>
      <c r="I2484" s="16" t="str">
        <f>IFERROR(VLOOKUP(A2484,Sheet1!$E$3:$G$27,3,0),"")</f>
        <v/>
      </c>
      <c r="J2484" s="20"/>
      <c r="K2484" s="17"/>
      <c r="L2484" s="17"/>
      <c r="M2484" s="13"/>
      <c r="N2484" s="23"/>
      <c r="O2484" s="22"/>
      <c r="P2484" s="22"/>
    </row>
    <row r="2485" ht="22.5" customHeight="1">
      <c r="A2485" s="20"/>
      <c r="B2485" s="20" t="str">
        <f>IFERROR(VLOOKUP(A2485,Sheet1!$E$3:$H$27,4,0),"")</f>
        <v/>
      </c>
      <c r="C2485" s="15"/>
      <c r="D2485" s="20"/>
      <c r="E2485" s="13" t="str">
        <f>IFERROR(VLOOKUP(D2485,Sheet1!$B$1:$C$45,2,0),"")</f>
        <v/>
      </c>
      <c r="F2485" s="20"/>
      <c r="G2485" s="13" t="str">
        <f t="shared" si="9"/>
        <v/>
      </c>
      <c r="H2485" s="15" t="str">
        <f>IFERROR(VLOOKUP(A2485,Sheet1!$E$3:$F$27,2,),"")</f>
        <v/>
      </c>
      <c r="I2485" s="16" t="str">
        <f>IFERROR(VLOOKUP(A2485,Sheet1!$E$3:$G$27,3,0),"")</f>
        <v/>
      </c>
      <c r="J2485" s="20"/>
      <c r="K2485" s="17"/>
      <c r="L2485" s="17"/>
      <c r="M2485" s="13"/>
      <c r="N2485" s="23"/>
      <c r="O2485" s="22"/>
      <c r="P2485" s="22"/>
    </row>
    <row r="2486" ht="22.5" customHeight="1">
      <c r="A2486" s="20"/>
      <c r="B2486" s="20" t="str">
        <f>IFERROR(VLOOKUP(A2486,Sheet1!$E$3:$H$27,4,0),"")</f>
        <v/>
      </c>
      <c r="C2486" s="15"/>
      <c r="D2486" s="20"/>
      <c r="E2486" s="13" t="str">
        <f>IFERROR(VLOOKUP(D2486,Sheet1!$B$1:$C$45,2,0),"")</f>
        <v/>
      </c>
      <c r="F2486" s="20"/>
      <c r="G2486" s="13" t="str">
        <f t="shared" si="9"/>
        <v/>
      </c>
      <c r="H2486" s="15" t="str">
        <f>IFERROR(VLOOKUP(A2486,Sheet1!$E$3:$F$27,2,),"")</f>
        <v/>
      </c>
      <c r="I2486" s="16" t="str">
        <f>IFERROR(VLOOKUP(A2486,Sheet1!$E$3:$G$27,3,0),"")</f>
        <v/>
      </c>
      <c r="J2486" s="20"/>
      <c r="K2486" s="17"/>
      <c r="L2486" s="17"/>
      <c r="M2486" s="13"/>
      <c r="N2486" s="23"/>
      <c r="O2486" s="22"/>
      <c r="P2486" s="22"/>
    </row>
    <row r="2487" ht="22.5" customHeight="1">
      <c r="A2487" s="20"/>
      <c r="B2487" s="20" t="str">
        <f>IFERROR(VLOOKUP(A2487,Sheet1!$E$3:$H$27,4,0),"")</f>
        <v/>
      </c>
      <c r="C2487" s="15"/>
      <c r="D2487" s="20"/>
      <c r="E2487" s="13" t="str">
        <f>IFERROR(VLOOKUP(D2487,Sheet1!$B$1:$C$45,2,0),"")</f>
        <v/>
      </c>
      <c r="F2487" s="20"/>
      <c r="G2487" s="13" t="str">
        <f t="shared" si="9"/>
        <v/>
      </c>
      <c r="H2487" s="15" t="str">
        <f>IFERROR(VLOOKUP(A2487,Sheet1!$E$3:$F$27,2,),"")</f>
        <v/>
      </c>
      <c r="I2487" s="16" t="str">
        <f>IFERROR(VLOOKUP(A2487,Sheet1!$E$3:$G$27,3,0),"")</f>
        <v/>
      </c>
      <c r="J2487" s="20"/>
      <c r="K2487" s="17"/>
      <c r="L2487" s="17"/>
      <c r="M2487" s="13"/>
      <c r="N2487" s="23"/>
      <c r="O2487" s="22"/>
      <c r="P2487" s="22"/>
    </row>
    <row r="2488" ht="22.5" customHeight="1">
      <c r="A2488" s="20"/>
      <c r="B2488" s="20" t="str">
        <f>IFERROR(VLOOKUP(A2488,Sheet1!$E$3:$H$27,4,0),"")</f>
        <v/>
      </c>
      <c r="C2488" s="15"/>
      <c r="D2488" s="20"/>
      <c r="E2488" s="13" t="str">
        <f>IFERROR(VLOOKUP(D2488,Sheet1!$B$1:$C$45,2,0),"")</f>
        <v/>
      </c>
      <c r="F2488" s="20"/>
      <c r="G2488" s="13" t="str">
        <f t="shared" si="9"/>
        <v/>
      </c>
      <c r="H2488" s="15" t="str">
        <f>IFERROR(VLOOKUP(A2488,Sheet1!$E$3:$F$27,2,),"")</f>
        <v/>
      </c>
      <c r="I2488" s="16" t="str">
        <f>IFERROR(VLOOKUP(A2488,Sheet1!$E$3:$G$27,3,0),"")</f>
        <v/>
      </c>
      <c r="J2488" s="20"/>
      <c r="K2488" s="17"/>
      <c r="L2488" s="17"/>
      <c r="M2488" s="13"/>
      <c r="N2488" s="23"/>
      <c r="O2488" s="22"/>
      <c r="P2488" s="22"/>
    </row>
    <row r="2489" ht="22.5" customHeight="1">
      <c r="A2489" s="20"/>
      <c r="B2489" s="20" t="str">
        <f>IFERROR(VLOOKUP(A2489,Sheet1!$E$3:$H$27,4,0),"")</f>
        <v/>
      </c>
      <c r="C2489" s="15"/>
      <c r="D2489" s="20"/>
      <c r="E2489" s="13" t="str">
        <f>IFERROR(VLOOKUP(D2489,Sheet1!$B$1:$C$45,2,0),"")</f>
        <v/>
      </c>
      <c r="F2489" s="20"/>
      <c r="G2489" s="13" t="str">
        <f t="shared" si="9"/>
        <v/>
      </c>
      <c r="H2489" s="15" t="str">
        <f>IFERROR(VLOOKUP(A2489,Sheet1!$E$3:$F$27,2,),"")</f>
        <v/>
      </c>
      <c r="I2489" s="16" t="str">
        <f>IFERROR(VLOOKUP(A2489,Sheet1!$E$3:$G$27,3,0),"")</f>
        <v/>
      </c>
      <c r="J2489" s="20"/>
      <c r="K2489" s="17"/>
      <c r="L2489" s="17"/>
      <c r="M2489" s="13"/>
      <c r="N2489" s="23"/>
      <c r="O2489" s="22"/>
      <c r="P2489" s="22"/>
    </row>
    <row r="2490" ht="22.5" customHeight="1">
      <c r="A2490" s="20"/>
      <c r="B2490" s="20" t="str">
        <f>IFERROR(VLOOKUP(A2490,Sheet1!$E$3:$H$27,4,0),"")</f>
        <v/>
      </c>
      <c r="C2490" s="15"/>
      <c r="D2490" s="20"/>
      <c r="E2490" s="13" t="str">
        <f>IFERROR(VLOOKUP(D2490,Sheet1!$B$1:$C$45,2,0),"")</f>
        <v/>
      </c>
      <c r="F2490" s="20"/>
      <c r="G2490" s="13" t="str">
        <f t="shared" si="9"/>
        <v/>
      </c>
      <c r="H2490" s="15" t="str">
        <f>IFERROR(VLOOKUP(A2490,Sheet1!$E$3:$F$27,2,),"")</f>
        <v/>
      </c>
      <c r="I2490" s="16" t="str">
        <f>IFERROR(VLOOKUP(A2490,Sheet1!$E$3:$G$27,3,0),"")</f>
        <v/>
      </c>
      <c r="J2490" s="20"/>
      <c r="K2490" s="17"/>
      <c r="L2490" s="17"/>
      <c r="M2490" s="13"/>
      <c r="N2490" s="23"/>
      <c r="O2490" s="22"/>
      <c r="P2490" s="22"/>
    </row>
    <row r="2491" ht="22.5" customHeight="1">
      <c r="A2491" s="20"/>
      <c r="B2491" s="20" t="str">
        <f>IFERROR(VLOOKUP(A2491,Sheet1!$E$3:$H$27,4,0),"")</f>
        <v/>
      </c>
      <c r="C2491" s="15"/>
      <c r="D2491" s="20"/>
      <c r="E2491" s="13" t="str">
        <f>IFERROR(VLOOKUP(D2491,Sheet1!$B$1:$C$45,2,0),"")</f>
        <v/>
      </c>
      <c r="F2491" s="20"/>
      <c r="G2491" s="13" t="str">
        <f t="shared" si="9"/>
        <v/>
      </c>
      <c r="H2491" s="15" t="str">
        <f>IFERROR(VLOOKUP(A2491,Sheet1!$E$3:$F$27,2,),"")</f>
        <v/>
      </c>
      <c r="I2491" s="16" t="str">
        <f>IFERROR(VLOOKUP(A2491,Sheet1!$E$3:$G$27,3,0),"")</f>
        <v/>
      </c>
      <c r="J2491" s="20"/>
      <c r="K2491" s="17"/>
      <c r="L2491" s="17"/>
      <c r="M2491" s="13"/>
      <c r="N2491" s="23"/>
      <c r="O2491" s="22"/>
      <c r="P2491" s="22"/>
    </row>
    <row r="2492" ht="22.5" customHeight="1">
      <c r="A2492" s="20"/>
      <c r="B2492" s="20" t="str">
        <f>IFERROR(VLOOKUP(A2492,Sheet1!$E$3:$H$27,4,0),"")</f>
        <v/>
      </c>
      <c r="C2492" s="15"/>
      <c r="D2492" s="20"/>
      <c r="E2492" s="13" t="str">
        <f>IFERROR(VLOOKUP(D2492,Sheet1!$B$1:$C$45,2,0),"")</f>
        <v/>
      </c>
      <c r="F2492" s="20"/>
      <c r="G2492" s="13" t="str">
        <f t="shared" si="9"/>
        <v/>
      </c>
      <c r="H2492" s="15" t="str">
        <f>IFERROR(VLOOKUP(A2492,Sheet1!$E$3:$F$27,2,),"")</f>
        <v/>
      </c>
      <c r="I2492" s="16" t="str">
        <f>IFERROR(VLOOKUP(A2492,Sheet1!$E$3:$G$27,3,0),"")</f>
        <v/>
      </c>
      <c r="J2492" s="20"/>
      <c r="K2492" s="17"/>
      <c r="L2492" s="17"/>
      <c r="M2492" s="13"/>
      <c r="N2492" s="23"/>
      <c r="O2492" s="22"/>
      <c r="P2492" s="22"/>
    </row>
    <row r="2493" ht="22.5" customHeight="1">
      <c r="A2493" s="20"/>
      <c r="B2493" s="20" t="str">
        <f>IFERROR(VLOOKUP(A2493,Sheet1!$E$3:$H$27,4,0),"")</f>
        <v/>
      </c>
      <c r="C2493" s="15"/>
      <c r="D2493" s="20"/>
      <c r="E2493" s="13" t="str">
        <f>IFERROR(VLOOKUP(D2493,Sheet1!$B$1:$C$45,2,0),"")</f>
        <v/>
      </c>
      <c r="F2493" s="20"/>
      <c r="G2493" s="13" t="str">
        <f t="shared" si="9"/>
        <v/>
      </c>
      <c r="H2493" s="15" t="str">
        <f>IFERROR(VLOOKUP(A2493,Sheet1!$E$3:$F$27,2,),"")</f>
        <v/>
      </c>
      <c r="I2493" s="16" t="str">
        <f>IFERROR(VLOOKUP(A2493,Sheet1!$E$3:$G$27,3,0),"")</f>
        <v/>
      </c>
      <c r="J2493" s="20"/>
      <c r="K2493" s="17"/>
      <c r="L2493" s="17"/>
      <c r="M2493" s="13"/>
      <c r="N2493" s="23"/>
      <c r="O2493" s="22"/>
      <c r="P2493" s="22"/>
    </row>
    <row r="2494" ht="22.5" customHeight="1">
      <c r="A2494" s="20"/>
      <c r="B2494" s="20" t="str">
        <f>IFERROR(VLOOKUP(A2494,Sheet1!$E$3:$H$27,4,0),"")</f>
        <v/>
      </c>
      <c r="C2494" s="15"/>
      <c r="D2494" s="20"/>
      <c r="E2494" s="13" t="str">
        <f>IFERROR(VLOOKUP(D2494,Sheet1!$B$1:$C$45,2,0),"")</f>
        <v/>
      </c>
      <c r="F2494" s="20"/>
      <c r="G2494" s="13" t="str">
        <f t="shared" si="9"/>
        <v/>
      </c>
      <c r="H2494" s="15" t="str">
        <f>IFERROR(VLOOKUP(A2494,Sheet1!$E$3:$F$27,2,),"")</f>
        <v/>
      </c>
      <c r="I2494" s="16" t="str">
        <f>IFERROR(VLOOKUP(A2494,Sheet1!$E$3:$G$27,3,0),"")</f>
        <v/>
      </c>
      <c r="J2494" s="20"/>
      <c r="K2494" s="17"/>
      <c r="L2494" s="17"/>
      <c r="M2494" s="13"/>
      <c r="N2494" s="23"/>
      <c r="O2494" s="22"/>
      <c r="P2494" s="22"/>
    </row>
    <row r="2495" ht="22.5" customHeight="1">
      <c r="A2495" s="20"/>
      <c r="B2495" s="20" t="str">
        <f>IFERROR(VLOOKUP(A2495,Sheet1!$E$3:$H$27,4,0),"")</f>
        <v/>
      </c>
      <c r="C2495" s="15"/>
      <c r="D2495" s="20"/>
      <c r="E2495" s="13" t="str">
        <f>IFERROR(VLOOKUP(D2495,Sheet1!$B$1:$C$45,2,0),"")</f>
        <v/>
      </c>
      <c r="F2495" s="20"/>
      <c r="G2495" s="13" t="str">
        <f t="shared" si="9"/>
        <v/>
      </c>
      <c r="H2495" s="15" t="str">
        <f>IFERROR(VLOOKUP(A2495,Sheet1!$E$3:$F$27,2,),"")</f>
        <v/>
      </c>
      <c r="I2495" s="16" t="str">
        <f>IFERROR(VLOOKUP(A2495,Sheet1!$E$3:$G$27,3,0),"")</f>
        <v/>
      </c>
      <c r="J2495" s="20"/>
      <c r="K2495" s="17"/>
      <c r="L2495" s="17"/>
      <c r="M2495" s="13"/>
      <c r="N2495" s="23"/>
      <c r="O2495" s="22"/>
      <c r="P2495" s="22"/>
    </row>
    <row r="2496" ht="22.5" customHeight="1">
      <c r="A2496" s="20"/>
      <c r="B2496" s="20" t="str">
        <f>IFERROR(VLOOKUP(A2496,Sheet1!$E$3:$H$27,4,0),"")</f>
        <v/>
      </c>
      <c r="C2496" s="15"/>
      <c r="D2496" s="20"/>
      <c r="E2496" s="13" t="str">
        <f>IFERROR(VLOOKUP(D2496,Sheet1!$B$1:$C$45,2,0),"")</f>
        <v/>
      </c>
      <c r="F2496" s="20"/>
      <c r="G2496" s="13" t="str">
        <f t="shared" si="9"/>
        <v/>
      </c>
      <c r="H2496" s="15" t="str">
        <f>IFERROR(VLOOKUP(A2496,Sheet1!$E$3:$F$27,2,),"")</f>
        <v/>
      </c>
      <c r="I2496" s="16" t="str">
        <f>IFERROR(VLOOKUP(A2496,Sheet1!$E$3:$G$27,3,0),"")</f>
        <v/>
      </c>
      <c r="J2496" s="20"/>
      <c r="K2496" s="17"/>
      <c r="L2496" s="17"/>
      <c r="M2496" s="13"/>
      <c r="N2496" s="23"/>
      <c r="O2496" s="22"/>
      <c r="P2496" s="22"/>
    </row>
    <row r="2497" ht="22.5" customHeight="1">
      <c r="A2497" s="20"/>
      <c r="B2497" s="20" t="str">
        <f>IFERROR(VLOOKUP(A2497,Sheet1!$E$3:$H$27,4,0),"")</f>
        <v/>
      </c>
      <c r="C2497" s="15"/>
      <c r="D2497" s="20"/>
      <c r="E2497" s="13" t="str">
        <f>IFERROR(VLOOKUP(D2497,Sheet1!$B$1:$C$45,2,0),"")</f>
        <v/>
      </c>
      <c r="F2497" s="20"/>
      <c r="G2497" s="13" t="str">
        <f t="shared" si="9"/>
        <v/>
      </c>
      <c r="H2497" s="15" t="str">
        <f>IFERROR(VLOOKUP(A2497,Sheet1!$E$3:$F$27,2,),"")</f>
        <v/>
      </c>
      <c r="I2497" s="16" t="str">
        <f>IFERROR(VLOOKUP(A2497,Sheet1!$E$3:$G$27,3,0),"")</f>
        <v/>
      </c>
      <c r="J2497" s="20"/>
      <c r="K2497" s="17"/>
      <c r="L2497" s="17"/>
      <c r="M2497" s="13"/>
      <c r="N2497" s="23"/>
      <c r="O2497" s="22"/>
      <c r="P2497" s="22"/>
    </row>
    <row r="2498" ht="22.5" customHeight="1">
      <c r="A2498" s="20"/>
      <c r="B2498" s="20" t="str">
        <f>IFERROR(VLOOKUP(A2498,Sheet1!$E$3:$H$27,4,0),"")</f>
        <v/>
      </c>
      <c r="C2498" s="15"/>
      <c r="D2498" s="20"/>
      <c r="E2498" s="13" t="str">
        <f>IFERROR(VLOOKUP(D2498,Sheet1!$B$1:$C$45,2,0),"")</f>
        <v/>
      </c>
      <c r="F2498" s="20"/>
      <c r="G2498" s="13" t="str">
        <f t="shared" si="9"/>
        <v/>
      </c>
      <c r="H2498" s="15" t="str">
        <f>IFERROR(VLOOKUP(A2498,Sheet1!$E$3:$F$27,2,),"")</f>
        <v/>
      </c>
      <c r="I2498" s="16" t="str">
        <f>IFERROR(VLOOKUP(A2498,Sheet1!$E$3:$G$27,3,0),"")</f>
        <v/>
      </c>
      <c r="J2498" s="20"/>
      <c r="K2498" s="17"/>
      <c r="L2498" s="17"/>
      <c r="M2498" s="13"/>
      <c r="N2498" s="23"/>
      <c r="O2498" s="22"/>
      <c r="P2498" s="22"/>
    </row>
    <row r="2499" ht="22.5" customHeight="1">
      <c r="A2499" s="20"/>
      <c r="B2499" s="20" t="str">
        <f>IFERROR(VLOOKUP(A2499,Sheet1!$E$3:$H$27,4,0),"")</f>
        <v/>
      </c>
      <c r="C2499" s="15"/>
      <c r="D2499" s="20"/>
      <c r="E2499" s="13" t="str">
        <f>IFERROR(VLOOKUP(D2499,Sheet1!$B$1:$C$45,2,0),"")</f>
        <v/>
      </c>
      <c r="F2499" s="20"/>
      <c r="G2499" s="13" t="str">
        <f t="shared" si="9"/>
        <v/>
      </c>
      <c r="H2499" s="15" t="str">
        <f>IFERROR(VLOOKUP(A2499,Sheet1!$E$3:$F$27,2,),"")</f>
        <v/>
      </c>
      <c r="I2499" s="16" t="str">
        <f>IFERROR(VLOOKUP(A2499,Sheet1!$E$3:$G$27,3,0),"")</f>
        <v/>
      </c>
      <c r="J2499" s="20"/>
      <c r="K2499" s="17"/>
      <c r="L2499" s="17"/>
      <c r="M2499" s="13"/>
      <c r="N2499" s="23"/>
      <c r="O2499" s="22"/>
      <c r="P2499" s="22"/>
    </row>
    <row r="2500" ht="22.5" customHeight="1">
      <c r="A2500" s="20"/>
      <c r="B2500" s="20" t="str">
        <f>IFERROR(VLOOKUP(A2500,Sheet1!$E$3:$H$27,4,0),"")</f>
        <v/>
      </c>
      <c r="C2500" s="15"/>
      <c r="D2500" s="20"/>
      <c r="E2500" s="13" t="str">
        <f>IFERROR(VLOOKUP(D2500,Sheet1!$B$1:$C$45,2,0),"")</f>
        <v/>
      </c>
      <c r="F2500" s="20"/>
      <c r="G2500" s="13" t="str">
        <f t="shared" si="9"/>
        <v/>
      </c>
      <c r="H2500" s="15" t="str">
        <f>IFERROR(VLOOKUP(A2500,Sheet1!$E$3:$F$27,2,),"")</f>
        <v/>
      </c>
      <c r="I2500" s="16" t="str">
        <f>IFERROR(VLOOKUP(A2500,Sheet1!$E$3:$G$27,3,0),"")</f>
        <v/>
      </c>
      <c r="J2500" s="20"/>
      <c r="K2500" s="17"/>
      <c r="L2500" s="17"/>
      <c r="M2500" s="13"/>
      <c r="N2500" s="23"/>
      <c r="O2500" s="22"/>
      <c r="P2500" s="22"/>
    </row>
    <row r="2501" ht="22.5" customHeight="1">
      <c r="A2501" s="20"/>
      <c r="B2501" s="20" t="str">
        <f>IFERROR(VLOOKUP(A2501,Sheet1!$E$3:$H$27,4,0),"")</f>
        <v/>
      </c>
      <c r="C2501" s="15"/>
      <c r="D2501" s="20"/>
      <c r="E2501" s="13" t="str">
        <f>IFERROR(VLOOKUP(D2501,Sheet1!$B$1:$C$45,2,0),"")</f>
        <v/>
      </c>
      <c r="F2501" s="20"/>
      <c r="G2501" s="13" t="str">
        <f t="shared" si="9"/>
        <v/>
      </c>
      <c r="H2501" s="15" t="str">
        <f>IFERROR(VLOOKUP(A2501,Sheet1!$E$3:$F$27,2,),"")</f>
        <v/>
      </c>
      <c r="I2501" s="16" t="str">
        <f>IFERROR(VLOOKUP(A2501,Sheet1!$E$3:$G$27,3,0),"")</f>
        <v/>
      </c>
      <c r="J2501" s="20"/>
      <c r="K2501" s="17"/>
      <c r="L2501" s="17"/>
      <c r="M2501" s="13"/>
      <c r="N2501" s="23"/>
      <c r="O2501" s="22"/>
      <c r="P2501" s="22"/>
    </row>
    <row r="2502" ht="22.5" customHeight="1">
      <c r="A2502" s="20"/>
      <c r="B2502" s="20" t="str">
        <f>IFERROR(VLOOKUP(A2502,Sheet1!$E$3:$H$27,4,0),"")</f>
        <v/>
      </c>
      <c r="C2502" s="15"/>
      <c r="D2502" s="20"/>
      <c r="E2502" s="13" t="str">
        <f>IFERROR(VLOOKUP(D2502,Sheet1!$B$1:$C$45,2,0),"")</f>
        <v/>
      </c>
      <c r="F2502" s="20"/>
      <c r="G2502" s="13" t="str">
        <f t="shared" si="9"/>
        <v/>
      </c>
      <c r="H2502" s="15" t="str">
        <f>IFERROR(VLOOKUP(A2502,Sheet1!$E$3:$F$27,2,),"")</f>
        <v/>
      </c>
      <c r="I2502" s="16" t="str">
        <f>IFERROR(VLOOKUP(A2502,Sheet1!$E$3:$G$27,3,0),"")</f>
        <v/>
      </c>
      <c r="J2502" s="20"/>
      <c r="K2502" s="17"/>
      <c r="L2502" s="17"/>
      <c r="M2502" s="13"/>
      <c r="N2502" s="23"/>
      <c r="O2502" s="22"/>
      <c r="P2502" s="22"/>
    </row>
    <row r="2503" ht="22.5" customHeight="1">
      <c r="A2503" s="20"/>
      <c r="B2503" s="20" t="str">
        <f>IFERROR(VLOOKUP(A2503,Sheet1!$E$3:$H$27,4,0),"")</f>
        <v/>
      </c>
      <c r="C2503" s="15"/>
      <c r="D2503" s="20"/>
      <c r="E2503" s="13" t="str">
        <f>IFERROR(VLOOKUP(D2503,Sheet1!$B$1:$C$45,2,0),"")</f>
        <v/>
      </c>
      <c r="F2503" s="20"/>
      <c r="G2503" s="13" t="str">
        <f t="shared" si="9"/>
        <v/>
      </c>
      <c r="H2503" s="15" t="str">
        <f>IFERROR(VLOOKUP(A2503,Sheet1!$E$3:$F$27,2,),"")</f>
        <v/>
      </c>
      <c r="I2503" s="16" t="str">
        <f>IFERROR(VLOOKUP(A2503,Sheet1!$E$3:$G$27,3,0),"")</f>
        <v/>
      </c>
      <c r="J2503" s="20"/>
      <c r="K2503" s="17"/>
      <c r="L2503" s="17"/>
      <c r="M2503" s="13"/>
      <c r="N2503" s="23"/>
      <c r="O2503" s="22"/>
      <c r="P2503" s="22"/>
    </row>
    <row r="2504" ht="22.5" customHeight="1">
      <c r="A2504" s="20"/>
      <c r="B2504" s="20" t="str">
        <f>IFERROR(VLOOKUP(A2504,Sheet1!$E$3:$H$27,4,0),"")</f>
        <v/>
      </c>
      <c r="C2504" s="15"/>
      <c r="D2504" s="20"/>
      <c r="E2504" s="13" t="str">
        <f>IFERROR(VLOOKUP(D2504,Sheet1!$B$1:$C$45,2,0),"")</f>
        <v/>
      </c>
      <c r="F2504" s="20"/>
      <c r="G2504" s="13" t="str">
        <f t="shared" si="9"/>
        <v/>
      </c>
      <c r="H2504" s="15" t="str">
        <f>IFERROR(VLOOKUP(A2504,Sheet1!$E$3:$F$27,2,),"")</f>
        <v/>
      </c>
      <c r="I2504" s="16" t="str">
        <f>IFERROR(VLOOKUP(A2504,Sheet1!$E$3:$G$27,3,0),"")</f>
        <v/>
      </c>
      <c r="J2504" s="20"/>
      <c r="K2504" s="17"/>
      <c r="L2504" s="17"/>
      <c r="M2504" s="13"/>
      <c r="N2504" s="23"/>
      <c r="O2504" s="22"/>
      <c r="P2504" s="22"/>
    </row>
    <row r="2505" ht="22.5" customHeight="1">
      <c r="A2505" s="20"/>
      <c r="B2505" s="20" t="str">
        <f>IFERROR(VLOOKUP(A2505,Sheet1!$E$3:$H$27,4,0),"")</f>
        <v/>
      </c>
      <c r="C2505" s="15"/>
      <c r="D2505" s="20"/>
      <c r="E2505" s="13" t="str">
        <f>IFERROR(VLOOKUP(D2505,Sheet1!$B$1:$C$45,2,0),"")</f>
        <v/>
      </c>
      <c r="F2505" s="20"/>
      <c r="G2505" s="13" t="str">
        <f t="shared" si="9"/>
        <v/>
      </c>
      <c r="H2505" s="15" t="str">
        <f>IFERROR(VLOOKUP(A2505,Sheet1!$E$3:$F$27,2,),"")</f>
        <v/>
      </c>
      <c r="I2505" s="16" t="str">
        <f>IFERROR(VLOOKUP(A2505,Sheet1!$E$3:$G$27,3,0),"")</f>
        <v/>
      </c>
      <c r="J2505" s="20"/>
      <c r="K2505" s="17"/>
      <c r="L2505" s="17"/>
      <c r="M2505" s="13"/>
      <c r="N2505" s="23"/>
      <c r="O2505" s="22"/>
      <c r="P2505" s="22"/>
    </row>
    <row r="2506" ht="22.5" customHeight="1">
      <c r="A2506" s="20"/>
      <c r="B2506" s="20" t="str">
        <f>IFERROR(VLOOKUP(A2506,Sheet1!$E$3:$H$27,4,0),"")</f>
        <v/>
      </c>
      <c r="C2506" s="15"/>
      <c r="D2506" s="20"/>
      <c r="E2506" s="13" t="str">
        <f>IFERROR(VLOOKUP(D2506,Sheet1!$B$1:$C$45,2,0),"")</f>
        <v/>
      </c>
      <c r="F2506" s="20"/>
      <c r="G2506" s="13" t="str">
        <f t="shared" si="9"/>
        <v/>
      </c>
      <c r="H2506" s="15" t="str">
        <f>IFERROR(VLOOKUP(A2506,Sheet1!$E$3:$F$27,2,),"")</f>
        <v/>
      </c>
      <c r="I2506" s="16" t="str">
        <f>IFERROR(VLOOKUP(A2506,Sheet1!$E$3:$G$27,3,0),"")</f>
        <v/>
      </c>
      <c r="J2506" s="20"/>
      <c r="K2506" s="17"/>
      <c r="L2506" s="17"/>
      <c r="M2506" s="13"/>
      <c r="N2506" s="23"/>
      <c r="O2506" s="22"/>
      <c r="P2506" s="22"/>
    </row>
    <row r="2507" ht="22.5" customHeight="1">
      <c r="A2507" s="20"/>
      <c r="B2507" s="20" t="str">
        <f>IFERROR(VLOOKUP(A2507,Sheet1!$E$3:$H$27,4,0),"")</f>
        <v/>
      </c>
      <c r="C2507" s="15"/>
      <c r="D2507" s="20"/>
      <c r="E2507" s="13" t="str">
        <f>IFERROR(VLOOKUP(D2507,Sheet1!$B$1:$C$45,2,0),"")</f>
        <v/>
      </c>
      <c r="F2507" s="20"/>
      <c r="G2507" s="13" t="str">
        <f t="shared" si="9"/>
        <v/>
      </c>
      <c r="H2507" s="15" t="str">
        <f>IFERROR(VLOOKUP(A2507,Sheet1!$E$3:$F$27,2,),"")</f>
        <v/>
      </c>
      <c r="I2507" s="16" t="str">
        <f>IFERROR(VLOOKUP(A2507,Sheet1!$E$3:$G$27,3,0),"")</f>
        <v/>
      </c>
      <c r="J2507" s="20"/>
      <c r="K2507" s="17"/>
      <c r="L2507" s="17"/>
      <c r="M2507" s="13"/>
      <c r="N2507" s="23"/>
      <c r="O2507" s="22"/>
      <c r="P2507" s="22"/>
    </row>
    <row r="2508" ht="22.5" customHeight="1">
      <c r="A2508" s="20"/>
      <c r="B2508" s="20" t="str">
        <f>IFERROR(VLOOKUP(A2508,Sheet1!$E$3:$H$27,4,0),"")</f>
        <v/>
      </c>
      <c r="C2508" s="15"/>
      <c r="D2508" s="20"/>
      <c r="E2508" s="13" t="str">
        <f>IFERROR(VLOOKUP(D2508,Sheet1!$B$1:$C$45,2,0),"")</f>
        <v/>
      </c>
      <c r="F2508" s="20"/>
      <c r="G2508" s="13" t="str">
        <f t="shared" si="9"/>
        <v/>
      </c>
      <c r="H2508" s="15" t="str">
        <f>IFERROR(VLOOKUP(A2508,Sheet1!$E$3:$F$27,2,),"")</f>
        <v/>
      </c>
      <c r="I2508" s="16" t="str">
        <f>IFERROR(VLOOKUP(A2508,Sheet1!$E$3:$G$27,3,0),"")</f>
        <v/>
      </c>
      <c r="J2508" s="20"/>
      <c r="K2508" s="17"/>
      <c r="L2508" s="17"/>
      <c r="M2508" s="13"/>
      <c r="N2508" s="23"/>
      <c r="O2508" s="22"/>
      <c r="P2508" s="22"/>
    </row>
    <row r="2509" ht="22.5" customHeight="1">
      <c r="A2509" s="20"/>
      <c r="B2509" s="20" t="str">
        <f>IFERROR(VLOOKUP(A2509,Sheet1!$E$3:$H$27,4,0),"")</f>
        <v/>
      </c>
      <c r="C2509" s="15"/>
      <c r="D2509" s="20"/>
      <c r="E2509" s="13" t="str">
        <f>IFERROR(VLOOKUP(D2509,Sheet1!$B$1:$C$45,2,0),"")</f>
        <v/>
      </c>
      <c r="F2509" s="20"/>
      <c r="G2509" s="13" t="str">
        <f t="shared" si="9"/>
        <v/>
      </c>
      <c r="H2509" s="15" t="str">
        <f>IFERROR(VLOOKUP(A2509,Sheet1!$E$3:$F$27,2,),"")</f>
        <v/>
      </c>
      <c r="I2509" s="16" t="str">
        <f>IFERROR(VLOOKUP(A2509,Sheet1!$E$3:$G$27,3,0),"")</f>
        <v/>
      </c>
      <c r="J2509" s="20"/>
      <c r="K2509" s="17"/>
      <c r="L2509" s="17"/>
      <c r="M2509" s="13"/>
      <c r="N2509" s="23"/>
      <c r="O2509" s="22"/>
      <c r="P2509" s="22"/>
    </row>
    <row r="2510" ht="22.5" customHeight="1">
      <c r="A2510" s="20"/>
      <c r="B2510" s="20" t="str">
        <f>IFERROR(VLOOKUP(A2510,Sheet1!$E$3:$H$27,4,0),"")</f>
        <v/>
      </c>
      <c r="C2510" s="15"/>
      <c r="D2510" s="20"/>
      <c r="E2510" s="13" t="str">
        <f>IFERROR(VLOOKUP(D2510,Sheet1!$B$1:$C$45,2,0),"")</f>
        <v/>
      </c>
      <c r="F2510" s="20"/>
      <c r="G2510" s="13" t="str">
        <f t="shared" si="9"/>
        <v/>
      </c>
      <c r="H2510" s="15" t="str">
        <f>IFERROR(VLOOKUP(A2510,Sheet1!$E$3:$F$27,2,),"")</f>
        <v/>
      </c>
      <c r="I2510" s="16" t="str">
        <f>IFERROR(VLOOKUP(A2510,Sheet1!$E$3:$G$27,3,0),"")</f>
        <v/>
      </c>
      <c r="J2510" s="20"/>
      <c r="K2510" s="17"/>
      <c r="L2510" s="17"/>
      <c r="M2510" s="13"/>
      <c r="N2510" s="23"/>
      <c r="O2510" s="22"/>
      <c r="P2510" s="22"/>
    </row>
    <row r="2511" ht="22.5" customHeight="1">
      <c r="A2511" s="20"/>
      <c r="B2511" s="20" t="str">
        <f>IFERROR(VLOOKUP(A2511,Sheet1!$E$3:$H$27,4,0),"")</f>
        <v/>
      </c>
      <c r="C2511" s="15"/>
      <c r="D2511" s="20"/>
      <c r="E2511" s="13" t="str">
        <f>IFERROR(VLOOKUP(D2511,Sheet1!$B$1:$C$45,2,0),"")</f>
        <v/>
      </c>
      <c r="F2511" s="20"/>
      <c r="G2511" s="13" t="str">
        <f t="shared" si="9"/>
        <v/>
      </c>
      <c r="H2511" s="15" t="str">
        <f>IFERROR(VLOOKUP(A2511,Sheet1!$E$3:$F$27,2,),"")</f>
        <v/>
      </c>
      <c r="I2511" s="16" t="str">
        <f>IFERROR(VLOOKUP(A2511,Sheet1!$E$3:$G$27,3,0),"")</f>
        <v/>
      </c>
      <c r="J2511" s="20"/>
      <c r="K2511" s="17"/>
      <c r="L2511" s="17"/>
      <c r="M2511" s="13"/>
      <c r="N2511" s="23"/>
      <c r="O2511" s="22"/>
      <c r="P2511" s="22"/>
    </row>
    <row r="2512" ht="22.5" customHeight="1">
      <c r="A2512" s="20"/>
      <c r="B2512" s="20" t="str">
        <f>IFERROR(VLOOKUP(A2512,Sheet1!$E$3:$H$27,4,0),"")</f>
        <v/>
      </c>
      <c r="C2512" s="15"/>
      <c r="D2512" s="20"/>
      <c r="E2512" s="13" t="str">
        <f>IFERROR(VLOOKUP(D2512,Sheet1!$B$1:$C$45,2,0),"")</f>
        <v/>
      </c>
      <c r="F2512" s="20"/>
      <c r="G2512" s="13" t="str">
        <f t="shared" si="9"/>
        <v/>
      </c>
      <c r="H2512" s="15" t="str">
        <f>IFERROR(VLOOKUP(A2512,Sheet1!$E$3:$F$27,2,),"")</f>
        <v/>
      </c>
      <c r="I2512" s="16" t="str">
        <f>IFERROR(VLOOKUP(A2512,Sheet1!$E$3:$G$27,3,0),"")</f>
        <v/>
      </c>
      <c r="J2512" s="20"/>
      <c r="K2512" s="17"/>
      <c r="L2512" s="17"/>
      <c r="M2512" s="13"/>
      <c r="N2512" s="23"/>
      <c r="O2512" s="22"/>
      <c r="P2512" s="22"/>
    </row>
    <row r="2513" ht="22.5" customHeight="1">
      <c r="A2513" s="20"/>
      <c r="B2513" s="20" t="str">
        <f>IFERROR(VLOOKUP(A2513,Sheet1!$E$3:$H$27,4,0),"")</f>
        <v/>
      </c>
      <c r="C2513" s="15"/>
      <c r="D2513" s="20"/>
      <c r="E2513" s="13" t="str">
        <f>IFERROR(VLOOKUP(D2513,Sheet1!$B$1:$C$45,2,0),"")</f>
        <v/>
      </c>
      <c r="F2513" s="20"/>
      <c r="G2513" s="13" t="str">
        <f t="shared" si="9"/>
        <v/>
      </c>
      <c r="H2513" s="15" t="str">
        <f>IFERROR(VLOOKUP(A2513,Sheet1!$E$3:$F$27,2,),"")</f>
        <v/>
      </c>
      <c r="I2513" s="16" t="str">
        <f>IFERROR(VLOOKUP(A2513,Sheet1!$E$3:$G$27,3,0),"")</f>
        <v/>
      </c>
      <c r="J2513" s="20"/>
      <c r="K2513" s="17"/>
      <c r="L2513" s="17"/>
      <c r="M2513" s="13"/>
      <c r="N2513" s="23"/>
      <c r="O2513" s="22"/>
      <c r="P2513" s="22"/>
    </row>
    <row r="2514" ht="22.5" customHeight="1">
      <c r="A2514" s="20"/>
      <c r="B2514" s="20" t="str">
        <f>IFERROR(VLOOKUP(A2514,Sheet1!$E$3:$H$27,4,0),"")</f>
        <v/>
      </c>
      <c r="C2514" s="15"/>
      <c r="D2514" s="20"/>
      <c r="E2514" s="13" t="str">
        <f>IFERROR(VLOOKUP(D2514,Sheet1!$B$1:$C$45,2,0),"")</f>
        <v/>
      </c>
      <c r="F2514" s="20"/>
      <c r="G2514" s="13" t="str">
        <f t="shared" si="9"/>
        <v/>
      </c>
      <c r="H2514" s="15" t="str">
        <f>IFERROR(VLOOKUP(A2514,Sheet1!$E$3:$F$27,2,),"")</f>
        <v/>
      </c>
      <c r="I2514" s="16" t="str">
        <f>IFERROR(VLOOKUP(A2514,Sheet1!$E$3:$G$27,3,0),"")</f>
        <v/>
      </c>
      <c r="J2514" s="20"/>
      <c r="K2514" s="17"/>
      <c r="L2514" s="17"/>
      <c r="M2514" s="13"/>
      <c r="N2514" s="23"/>
      <c r="O2514" s="22"/>
      <c r="P2514" s="22"/>
    </row>
    <row r="2515" ht="22.5" customHeight="1">
      <c r="A2515" s="20"/>
      <c r="B2515" s="20" t="str">
        <f>IFERROR(VLOOKUP(A2515,Sheet1!$E$3:$H$27,4,0),"")</f>
        <v/>
      </c>
      <c r="C2515" s="15"/>
      <c r="D2515" s="20"/>
      <c r="E2515" s="13" t="str">
        <f>IFERROR(VLOOKUP(D2515,Sheet1!$B$1:$C$45,2,0),"")</f>
        <v/>
      </c>
      <c r="F2515" s="20"/>
      <c r="G2515" s="13" t="str">
        <f t="shared" si="9"/>
        <v/>
      </c>
      <c r="H2515" s="15" t="str">
        <f>IFERROR(VLOOKUP(A2515,Sheet1!$E$3:$F$27,2,),"")</f>
        <v/>
      </c>
      <c r="I2515" s="16" t="str">
        <f>IFERROR(VLOOKUP(A2515,Sheet1!$E$3:$G$27,3,0),"")</f>
        <v/>
      </c>
      <c r="J2515" s="20"/>
      <c r="K2515" s="17"/>
      <c r="L2515" s="17"/>
      <c r="M2515" s="13"/>
      <c r="N2515" s="23"/>
      <c r="O2515" s="22"/>
      <c r="P2515" s="22"/>
    </row>
    <row r="2516" ht="22.5" customHeight="1">
      <c r="A2516" s="20"/>
      <c r="B2516" s="20" t="str">
        <f>IFERROR(VLOOKUP(A2516,Sheet1!$E$3:$H$27,4,0),"")</f>
        <v/>
      </c>
      <c r="C2516" s="15"/>
      <c r="D2516" s="20"/>
      <c r="E2516" s="13" t="str">
        <f>IFERROR(VLOOKUP(D2516,Sheet1!$B$1:$C$45,2,0),"")</f>
        <v/>
      </c>
      <c r="F2516" s="20"/>
      <c r="G2516" s="13" t="str">
        <f t="shared" si="9"/>
        <v/>
      </c>
      <c r="H2516" s="15" t="str">
        <f>IFERROR(VLOOKUP(A2516,Sheet1!$E$3:$F$27,2,),"")</f>
        <v/>
      </c>
      <c r="I2516" s="16" t="str">
        <f>IFERROR(VLOOKUP(A2516,Sheet1!$E$3:$G$27,3,0),"")</f>
        <v/>
      </c>
      <c r="J2516" s="20"/>
      <c r="K2516" s="17"/>
      <c r="L2516" s="17"/>
      <c r="M2516" s="13"/>
      <c r="N2516" s="23"/>
      <c r="O2516" s="22"/>
      <c r="P2516" s="22"/>
    </row>
    <row r="2517" ht="22.5" customHeight="1">
      <c r="A2517" s="20"/>
      <c r="B2517" s="20" t="str">
        <f>IFERROR(VLOOKUP(A2517,Sheet1!$E$3:$H$27,4,0),"")</f>
        <v/>
      </c>
      <c r="C2517" s="15"/>
      <c r="D2517" s="20"/>
      <c r="E2517" s="13" t="str">
        <f>IFERROR(VLOOKUP(D2517,Sheet1!$B$1:$C$45,2,0),"")</f>
        <v/>
      </c>
      <c r="F2517" s="20"/>
      <c r="G2517" s="13" t="str">
        <f t="shared" si="9"/>
        <v/>
      </c>
      <c r="H2517" s="15" t="str">
        <f>IFERROR(VLOOKUP(A2517,Sheet1!$E$3:$F$27,2,),"")</f>
        <v/>
      </c>
      <c r="I2517" s="16" t="str">
        <f>IFERROR(VLOOKUP(A2517,Sheet1!$E$3:$G$27,3,0),"")</f>
        <v/>
      </c>
      <c r="J2517" s="20"/>
      <c r="K2517" s="17"/>
      <c r="L2517" s="17"/>
      <c r="M2517" s="13"/>
      <c r="N2517" s="23"/>
      <c r="O2517" s="22"/>
      <c r="P2517" s="22"/>
    </row>
    <row r="2518" ht="22.5" customHeight="1">
      <c r="A2518" s="20"/>
      <c r="B2518" s="20" t="str">
        <f>IFERROR(VLOOKUP(A2518,Sheet1!$E$3:$H$27,4,0),"")</f>
        <v/>
      </c>
      <c r="C2518" s="15"/>
      <c r="D2518" s="20"/>
      <c r="E2518" s="13" t="str">
        <f>IFERROR(VLOOKUP(D2518,Sheet1!$B$1:$C$45,2,0),"")</f>
        <v/>
      </c>
      <c r="F2518" s="20"/>
      <c r="G2518" s="13" t="str">
        <f t="shared" si="9"/>
        <v/>
      </c>
      <c r="H2518" s="15" t="str">
        <f>IFERROR(VLOOKUP(A2518,Sheet1!$E$3:$F$27,2,),"")</f>
        <v/>
      </c>
      <c r="I2518" s="16" t="str">
        <f>IFERROR(VLOOKUP(A2518,Sheet1!$E$3:$G$27,3,0),"")</f>
        <v/>
      </c>
      <c r="J2518" s="20"/>
      <c r="K2518" s="17"/>
      <c r="L2518" s="17"/>
      <c r="M2518" s="13"/>
      <c r="N2518" s="23"/>
      <c r="O2518" s="22"/>
      <c r="P2518" s="22"/>
    </row>
    <row r="2519" ht="22.5" customHeight="1">
      <c r="A2519" s="20"/>
      <c r="B2519" s="20" t="str">
        <f>IFERROR(VLOOKUP(A2519,Sheet1!$E$3:$H$27,4,0),"")</f>
        <v/>
      </c>
      <c r="C2519" s="15"/>
      <c r="D2519" s="20"/>
      <c r="E2519" s="13" t="str">
        <f>IFERROR(VLOOKUP(D2519,Sheet1!$B$1:$C$45,2,0),"")</f>
        <v/>
      </c>
      <c r="F2519" s="20"/>
      <c r="G2519" s="13" t="str">
        <f t="shared" si="9"/>
        <v/>
      </c>
      <c r="H2519" s="15" t="str">
        <f>IFERROR(VLOOKUP(A2519,Sheet1!$E$3:$F$27,2,),"")</f>
        <v/>
      </c>
      <c r="I2519" s="16" t="str">
        <f>IFERROR(VLOOKUP(A2519,Sheet1!$E$3:$G$27,3,0),"")</f>
        <v/>
      </c>
      <c r="J2519" s="20"/>
      <c r="K2519" s="17"/>
      <c r="L2519" s="17"/>
      <c r="M2519" s="13"/>
      <c r="N2519" s="23"/>
      <c r="O2519" s="22"/>
      <c r="P2519" s="22"/>
    </row>
    <row r="2520" ht="22.5" customHeight="1">
      <c r="A2520" s="20"/>
      <c r="B2520" s="20" t="str">
        <f>IFERROR(VLOOKUP(A2520,Sheet1!$E$3:$H$27,4,0),"")</f>
        <v/>
      </c>
      <c r="C2520" s="15"/>
      <c r="D2520" s="20"/>
      <c r="E2520" s="13" t="str">
        <f>IFERROR(VLOOKUP(D2520,Sheet1!$B$1:$C$45,2,0),"")</f>
        <v/>
      </c>
      <c r="F2520" s="20"/>
      <c r="G2520" s="13" t="str">
        <f t="shared" si="9"/>
        <v/>
      </c>
      <c r="H2520" s="15" t="str">
        <f>IFERROR(VLOOKUP(A2520,Sheet1!$E$3:$F$27,2,),"")</f>
        <v/>
      </c>
      <c r="I2520" s="16" t="str">
        <f>IFERROR(VLOOKUP(A2520,Sheet1!$E$3:$G$27,3,0),"")</f>
        <v/>
      </c>
      <c r="J2520" s="20"/>
      <c r="K2520" s="17"/>
      <c r="L2520" s="17"/>
      <c r="M2520" s="13"/>
      <c r="N2520" s="23"/>
      <c r="O2520" s="22"/>
      <c r="P2520" s="22"/>
    </row>
    <row r="2521" ht="22.5" customHeight="1">
      <c r="A2521" s="20"/>
      <c r="B2521" s="20" t="str">
        <f>IFERROR(VLOOKUP(A2521,Sheet1!$E$3:$H$27,4,0),"")</f>
        <v/>
      </c>
      <c r="C2521" s="15"/>
      <c r="D2521" s="20"/>
      <c r="E2521" s="13" t="str">
        <f>IFERROR(VLOOKUP(D2521,Sheet1!$B$1:$C$45,2,0),"")</f>
        <v/>
      </c>
      <c r="F2521" s="20"/>
      <c r="G2521" s="13" t="str">
        <f t="shared" si="9"/>
        <v/>
      </c>
      <c r="H2521" s="15" t="str">
        <f>IFERROR(VLOOKUP(A2521,Sheet1!$E$3:$F$27,2,),"")</f>
        <v/>
      </c>
      <c r="I2521" s="16" t="str">
        <f>IFERROR(VLOOKUP(A2521,Sheet1!$E$3:$G$27,3,0),"")</f>
        <v/>
      </c>
      <c r="J2521" s="20"/>
      <c r="K2521" s="17"/>
      <c r="L2521" s="17"/>
      <c r="M2521" s="13"/>
      <c r="N2521" s="23"/>
      <c r="O2521" s="22"/>
      <c r="P2521" s="22"/>
    </row>
    <row r="2522" ht="22.5" customHeight="1">
      <c r="A2522" s="20"/>
      <c r="B2522" s="20" t="str">
        <f>IFERROR(VLOOKUP(A2522,Sheet1!$E$3:$H$27,4,0),"")</f>
        <v/>
      </c>
      <c r="C2522" s="15"/>
      <c r="D2522" s="20"/>
      <c r="E2522" s="13" t="str">
        <f>IFERROR(VLOOKUP(D2522,Sheet1!$B$1:$C$45,2,0),"")</f>
        <v/>
      </c>
      <c r="F2522" s="20"/>
      <c r="G2522" s="13" t="str">
        <f t="shared" si="9"/>
        <v/>
      </c>
      <c r="H2522" s="15" t="str">
        <f>IFERROR(VLOOKUP(A2522,Sheet1!$E$3:$F$27,2,),"")</f>
        <v/>
      </c>
      <c r="I2522" s="16" t="str">
        <f>IFERROR(VLOOKUP(A2522,Sheet1!$E$3:$G$27,3,0),"")</f>
        <v/>
      </c>
      <c r="J2522" s="20"/>
      <c r="K2522" s="17"/>
      <c r="L2522" s="17"/>
      <c r="M2522" s="13"/>
      <c r="N2522" s="23"/>
      <c r="O2522" s="22"/>
      <c r="P2522" s="22"/>
    </row>
    <row r="2523" ht="22.5" customHeight="1">
      <c r="A2523" s="20"/>
      <c r="B2523" s="20" t="str">
        <f>IFERROR(VLOOKUP(A2523,Sheet1!$E$3:$H$27,4,0),"")</f>
        <v/>
      </c>
      <c r="C2523" s="15"/>
      <c r="D2523" s="20"/>
      <c r="E2523" s="13" t="str">
        <f>IFERROR(VLOOKUP(D2523,Sheet1!$B$1:$C$45,2,0),"")</f>
        <v/>
      </c>
      <c r="F2523" s="20"/>
      <c r="G2523" s="13" t="str">
        <f t="shared" si="9"/>
        <v/>
      </c>
      <c r="H2523" s="15" t="str">
        <f>IFERROR(VLOOKUP(A2523,Sheet1!$E$3:$F$27,2,),"")</f>
        <v/>
      </c>
      <c r="I2523" s="16" t="str">
        <f>IFERROR(VLOOKUP(A2523,Sheet1!$E$3:$G$27,3,0),"")</f>
        <v/>
      </c>
      <c r="J2523" s="20"/>
      <c r="K2523" s="17"/>
      <c r="L2523" s="17"/>
      <c r="M2523" s="13"/>
      <c r="N2523" s="23"/>
      <c r="O2523" s="22"/>
      <c r="P2523" s="22"/>
    </row>
    <row r="2524" ht="22.5" customHeight="1">
      <c r="A2524" s="20"/>
      <c r="B2524" s="20" t="str">
        <f>IFERROR(VLOOKUP(A2524,Sheet1!$E$3:$H$27,4,0),"")</f>
        <v/>
      </c>
      <c r="C2524" s="15"/>
      <c r="D2524" s="20"/>
      <c r="E2524" s="13" t="str">
        <f>IFERROR(VLOOKUP(D2524,Sheet1!$B$1:$C$45,2,0),"")</f>
        <v/>
      </c>
      <c r="F2524" s="20"/>
      <c r="G2524" s="13" t="str">
        <f t="shared" si="9"/>
        <v/>
      </c>
      <c r="H2524" s="15" t="str">
        <f>IFERROR(VLOOKUP(A2524,Sheet1!$E$3:$F$27,2,),"")</f>
        <v/>
      </c>
      <c r="I2524" s="16" t="str">
        <f>IFERROR(VLOOKUP(A2524,Sheet1!$E$3:$G$27,3,0),"")</f>
        <v/>
      </c>
      <c r="J2524" s="20"/>
      <c r="K2524" s="17"/>
      <c r="L2524" s="17"/>
      <c r="M2524" s="13"/>
      <c r="N2524" s="23"/>
      <c r="O2524" s="22"/>
      <c r="P2524" s="22"/>
    </row>
    <row r="2525" ht="22.5" customHeight="1">
      <c r="A2525" s="20"/>
      <c r="B2525" s="20" t="str">
        <f>IFERROR(VLOOKUP(A2525,Sheet1!$E$3:$H$27,4,0),"")</f>
        <v/>
      </c>
      <c r="C2525" s="15"/>
      <c r="D2525" s="20"/>
      <c r="E2525" s="13" t="str">
        <f>IFERROR(VLOOKUP(D2525,Sheet1!$B$1:$C$45,2,0),"")</f>
        <v/>
      </c>
      <c r="F2525" s="20"/>
      <c r="G2525" s="13" t="str">
        <f t="shared" si="9"/>
        <v/>
      </c>
      <c r="H2525" s="15" t="str">
        <f>IFERROR(VLOOKUP(A2525,Sheet1!$E$3:$F$27,2,),"")</f>
        <v/>
      </c>
      <c r="I2525" s="16" t="str">
        <f>IFERROR(VLOOKUP(A2525,Sheet1!$E$3:$G$27,3,0),"")</f>
        <v/>
      </c>
      <c r="J2525" s="20"/>
      <c r="K2525" s="17"/>
      <c r="L2525" s="17"/>
      <c r="M2525" s="13"/>
      <c r="N2525" s="23"/>
      <c r="O2525" s="22"/>
      <c r="P2525" s="22"/>
    </row>
    <row r="2526" ht="22.5" customHeight="1">
      <c r="A2526" s="20"/>
      <c r="B2526" s="20" t="str">
        <f>IFERROR(VLOOKUP(A2526,Sheet1!$E$3:$H$27,4,0),"")</f>
        <v/>
      </c>
      <c r="C2526" s="15"/>
      <c r="D2526" s="20"/>
      <c r="E2526" s="13" t="str">
        <f>IFERROR(VLOOKUP(D2526,Sheet1!$B$1:$C$45,2,0),"")</f>
        <v/>
      </c>
      <c r="F2526" s="20"/>
      <c r="G2526" s="13" t="str">
        <f t="shared" si="9"/>
        <v/>
      </c>
      <c r="H2526" s="15" t="str">
        <f>IFERROR(VLOOKUP(A2526,Sheet1!$E$3:$F$27,2,),"")</f>
        <v/>
      </c>
      <c r="I2526" s="16" t="str">
        <f>IFERROR(VLOOKUP(A2526,Sheet1!$E$3:$G$27,3,0),"")</f>
        <v/>
      </c>
      <c r="J2526" s="20"/>
      <c r="K2526" s="17"/>
      <c r="L2526" s="17"/>
      <c r="M2526" s="13"/>
      <c r="N2526" s="23"/>
      <c r="O2526" s="22"/>
      <c r="P2526" s="22"/>
    </row>
    <row r="2527" ht="22.5" customHeight="1">
      <c r="A2527" s="20"/>
      <c r="B2527" s="20" t="str">
        <f>IFERROR(VLOOKUP(A2527,Sheet1!$E$3:$H$27,4,0),"")</f>
        <v/>
      </c>
      <c r="C2527" s="15"/>
      <c r="D2527" s="20"/>
      <c r="E2527" s="13" t="str">
        <f>IFERROR(VLOOKUP(D2527,Sheet1!$B$1:$C$45,2,0),"")</f>
        <v/>
      </c>
      <c r="F2527" s="20"/>
      <c r="G2527" s="13" t="str">
        <f t="shared" si="9"/>
        <v/>
      </c>
      <c r="H2527" s="15" t="str">
        <f>IFERROR(VLOOKUP(A2527,Sheet1!$E$3:$F$27,2,),"")</f>
        <v/>
      </c>
      <c r="I2527" s="16" t="str">
        <f>IFERROR(VLOOKUP(A2527,Sheet1!$E$3:$G$27,3,0),"")</f>
        <v/>
      </c>
      <c r="J2527" s="20"/>
      <c r="K2527" s="17"/>
      <c r="L2527" s="17"/>
      <c r="M2527" s="13"/>
      <c r="N2527" s="23"/>
      <c r="O2527" s="22"/>
      <c r="P2527" s="22"/>
    </row>
    <row r="2528" ht="22.5" customHeight="1">
      <c r="A2528" s="20"/>
      <c r="B2528" s="20" t="str">
        <f>IFERROR(VLOOKUP(A2528,Sheet1!$E$3:$H$27,4,0),"")</f>
        <v/>
      </c>
      <c r="C2528" s="15"/>
      <c r="D2528" s="20"/>
      <c r="E2528" s="13" t="str">
        <f>IFERROR(VLOOKUP(D2528,Sheet1!$B$1:$C$45,2,0),"")</f>
        <v/>
      </c>
      <c r="F2528" s="20"/>
      <c r="G2528" s="13" t="str">
        <f t="shared" si="9"/>
        <v/>
      </c>
      <c r="H2528" s="15" t="str">
        <f>IFERROR(VLOOKUP(A2528,Sheet1!$E$3:$F$27,2,),"")</f>
        <v/>
      </c>
      <c r="I2528" s="16" t="str">
        <f>IFERROR(VLOOKUP(A2528,Sheet1!$E$3:$G$27,3,0),"")</f>
        <v/>
      </c>
      <c r="J2528" s="20"/>
      <c r="K2528" s="17"/>
      <c r="L2528" s="17"/>
      <c r="M2528" s="13"/>
      <c r="N2528" s="23"/>
      <c r="O2528" s="22"/>
      <c r="P2528" s="22"/>
    </row>
    <row r="2529" ht="22.5" customHeight="1">
      <c r="A2529" s="20"/>
      <c r="B2529" s="20" t="str">
        <f>IFERROR(VLOOKUP(A2529,Sheet1!$E$3:$H$27,4,0),"")</f>
        <v/>
      </c>
      <c r="C2529" s="15"/>
      <c r="D2529" s="20"/>
      <c r="E2529" s="13" t="str">
        <f>IFERROR(VLOOKUP(D2529,Sheet1!$B$1:$C$45,2,0),"")</f>
        <v/>
      </c>
      <c r="F2529" s="20"/>
      <c r="G2529" s="13" t="str">
        <f t="shared" si="9"/>
        <v/>
      </c>
      <c r="H2529" s="15" t="str">
        <f>IFERROR(VLOOKUP(A2529,Sheet1!$E$3:$F$27,2,),"")</f>
        <v/>
      </c>
      <c r="I2529" s="16" t="str">
        <f>IFERROR(VLOOKUP(A2529,Sheet1!$E$3:$G$27,3,0),"")</f>
        <v/>
      </c>
      <c r="J2529" s="20"/>
      <c r="K2529" s="17"/>
      <c r="L2529" s="17"/>
      <c r="M2529" s="13"/>
      <c r="N2529" s="23"/>
      <c r="O2529" s="22"/>
      <c r="P2529" s="22"/>
    </row>
    <row r="2530" ht="22.5" customHeight="1">
      <c r="A2530" s="20"/>
      <c r="B2530" s="20" t="str">
        <f>IFERROR(VLOOKUP(A2530,Sheet1!$E$3:$H$27,4,0),"")</f>
        <v/>
      </c>
      <c r="C2530" s="15"/>
      <c r="D2530" s="20"/>
      <c r="E2530" s="13" t="str">
        <f>IFERROR(VLOOKUP(D2530,Sheet1!$B$1:$C$45,2,0),"")</f>
        <v/>
      </c>
      <c r="F2530" s="20"/>
      <c r="G2530" s="13" t="str">
        <f t="shared" si="9"/>
        <v/>
      </c>
      <c r="H2530" s="15" t="str">
        <f>IFERROR(VLOOKUP(A2530,Sheet1!$E$3:$F$27,2,),"")</f>
        <v/>
      </c>
      <c r="I2530" s="16" t="str">
        <f>IFERROR(VLOOKUP(A2530,Sheet1!$E$3:$G$27,3,0),"")</f>
        <v/>
      </c>
      <c r="J2530" s="20"/>
      <c r="K2530" s="17"/>
      <c r="L2530" s="17"/>
      <c r="M2530" s="13"/>
      <c r="N2530" s="23"/>
      <c r="O2530" s="22"/>
      <c r="P2530" s="22"/>
    </row>
    <row r="2531" ht="22.5" customHeight="1">
      <c r="A2531" s="20"/>
      <c r="B2531" s="20" t="str">
        <f>IFERROR(VLOOKUP(A2531,Sheet1!$E$3:$H$27,4,0),"")</f>
        <v/>
      </c>
      <c r="C2531" s="15"/>
      <c r="D2531" s="20"/>
      <c r="E2531" s="13" t="str">
        <f>IFERROR(VLOOKUP(D2531,Sheet1!$B$1:$C$45,2,0),"")</f>
        <v/>
      </c>
      <c r="F2531" s="20"/>
      <c r="G2531" s="13" t="str">
        <f t="shared" si="9"/>
        <v/>
      </c>
      <c r="H2531" s="15" t="str">
        <f>IFERROR(VLOOKUP(A2531,Sheet1!$E$3:$F$27,2,),"")</f>
        <v/>
      </c>
      <c r="I2531" s="16" t="str">
        <f>IFERROR(VLOOKUP(A2531,Sheet1!$E$3:$G$27,3,0),"")</f>
        <v/>
      </c>
      <c r="J2531" s="20"/>
      <c r="K2531" s="17"/>
      <c r="L2531" s="17"/>
      <c r="M2531" s="13"/>
      <c r="N2531" s="23"/>
      <c r="O2531" s="22"/>
      <c r="P2531" s="22"/>
    </row>
    <row r="2532" ht="22.5" customHeight="1">
      <c r="A2532" s="20"/>
      <c r="B2532" s="20" t="str">
        <f>IFERROR(VLOOKUP(A2532,Sheet1!$E$3:$H$27,4,0),"")</f>
        <v/>
      </c>
      <c r="C2532" s="15"/>
      <c r="D2532" s="20"/>
      <c r="E2532" s="13" t="str">
        <f>IFERROR(VLOOKUP(D2532,Sheet1!$B$1:$C$45,2,0),"")</f>
        <v/>
      </c>
      <c r="F2532" s="20"/>
      <c r="G2532" s="13" t="str">
        <f t="shared" si="9"/>
        <v/>
      </c>
      <c r="H2532" s="15" t="str">
        <f>IFERROR(VLOOKUP(A2532,Sheet1!$E$3:$F$27,2,),"")</f>
        <v/>
      </c>
      <c r="I2532" s="16" t="str">
        <f>IFERROR(VLOOKUP(A2532,Sheet1!$E$3:$G$27,3,0),"")</f>
        <v/>
      </c>
      <c r="J2532" s="20"/>
      <c r="K2532" s="17"/>
      <c r="L2532" s="17"/>
      <c r="M2532" s="13"/>
      <c r="N2532" s="23"/>
      <c r="O2532" s="22"/>
      <c r="P2532" s="22"/>
    </row>
    <row r="2533" ht="22.5" customHeight="1">
      <c r="A2533" s="20"/>
      <c r="B2533" s="20" t="str">
        <f>IFERROR(VLOOKUP(A2533,Sheet1!$E$3:$H$27,4,0),"")</f>
        <v/>
      </c>
      <c r="C2533" s="15"/>
      <c r="D2533" s="20"/>
      <c r="E2533" s="13" t="str">
        <f>IFERROR(VLOOKUP(D2533,Sheet1!$B$1:$C$45,2,0),"")</f>
        <v/>
      </c>
      <c r="F2533" s="20"/>
      <c r="G2533" s="13" t="str">
        <f t="shared" si="9"/>
        <v/>
      </c>
      <c r="H2533" s="15" t="str">
        <f>IFERROR(VLOOKUP(A2533,Sheet1!$E$3:$F$27,2,),"")</f>
        <v/>
      </c>
      <c r="I2533" s="16" t="str">
        <f>IFERROR(VLOOKUP(A2533,Sheet1!$E$3:$G$27,3,0),"")</f>
        <v/>
      </c>
      <c r="J2533" s="20"/>
      <c r="K2533" s="17"/>
      <c r="L2533" s="17"/>
      <c r="M2533" s="13"/>
      <c r="N2533" s="23"/>
      <c r="O2533" s="22"/>
      <c r="P2533" s="22"/>
    </row>
    <row r="2534" ht="22.5" customHeight="1">
      <c r="A2534" s="20"/>
      <c r="B2534" s="20" t="str">
        <f>IFERROR(VLOOKUP(A2534,Sheet1!$E$3:$H$27,4,0),"")</f>
        <v/>
      </c>
      <c r="C2534" s="15"/>
      <c r="D2534" s="20"/>
      <c r="E2534" s="13" t="str">
        <f>IFERROR(VLOOKUP(D2534,Sheet1!$B$1:$C$45,2,0),"")</f>
        <v/>
      </c>
      <c r="F2534" s="20"/>
      <c r="G2534" s="13" t="str">
        <f t="shared" si="9"/>
        <v/>
      </c>
      <c r="H2534" s="15" t="str">
        <f>IFERROR(VLOOKUP(A2534,Sheet1!$E$3:$F$27,2,),"")</f>
        <v/>
      </c>
      <c r="I2534" s="16" t="str">
        <f>IFERROR(VLOOKUP(A2534,Sheet1!$E$3:$G$27,3,0),"")</f>
        <v/>
      </c>
      <c r="J2534" s="20"/>
      <c r="K2534" s="17"/>
      <c r="L2534" s="17"/>
      <c r="M2534" s="13"/>
      <c r="N2534" s="23"/>
      <c r="O2534" s="22"/>
      <c r="P2534" s="22"/>
    </row>
    <row r="2535" ht="22.5" customHeight="1">
      <c r="A2535" s="20"/>
      <c r="B2535" s="20" t="str">
        <f>IFERROR(VLOOKUP(A2535,Sheet1!$E$3:$H$27,4,0),"")</f>
        <v/>
      </c>
      <c r="C2535" s="15"/>
      <c r="D2535" s="20"/>
      <c r="E2535" s="13" t="str">
        <f>IFERROR(VLOOKUP(D2535,Sheet1!$B$1:$C$45,2,0),"")</f>
        <v/>
      </c>
      <c r="F2535" s="20"/>
      <c r="G2535" s="13" t="str">
        <f t="shared" si="9"/>
        <v/>
      </c>
      <c r="H2535" s="15" t="str">
        <f>IFERROR(VLOOKUP(A2535,Sheet1!$E$3:$F$27,2,),"")</f>
        <v/>
      </c>
      <c r="I2535" s="16" t="str">
        <f>IFERROR(VLOOKUP(A2535,Sheet1!$E$3:$G$27,3,0),"")</f>
        <v/>
      </c>
      <c r="J2535" s="20"/>
      <c r="K2535" s="17"/>
      <c r="L2535" s="17"/>
      <c r="M2535" s="13"/>
      <c r="N2535" s="23"/>
      <c r="O2535" s="22"/>
      <c r="P2535" s="22"/>
    </row>
    <row r="2536" ht="22.5" customHeight="1">
      <c r="A2536" s="20"/>
      <c r="B2536" s="20" t="str">
        <f>IFERROR(VLOOKUP(A2536,Sheet1!$E$3:$H$27,4,0),"")</f>
        <v/>
      </c>
      <c r="C2536" s="15"/>
      <c r="D2536" s="20"/>
      <c r="E2536" s="13" t="str">
        <f>IFERROR(VLOOKUP(D2536,Sheet1!$B$1:$C$45,2,0),"")</f>
        <v/>
      </c>
      <c r="F2536" s="20"/>
      <c r="G2536" s="13" t="str">
        <f t="shared" si="9"/>
        <v/>
      </c>
      <c r="H2536" s="15" t="str">
        <f>IFERROR(VLOOKUP(A2536,Sheet1!$E$3:$F$27,2,),"")</f>
        <v/>
      </c>
      <c r="I2536" s="16" t="str">
        <f>IFERROR(VLOOKUP(A2536,Sheet1!$E$3:$G$27,3,0),"")</f>
        <v/>
      </c>
      <c r="J2536" s="20"/>
      <c r="K2536" s="17"/>
      <c r="L2536" s="17"/>
      <c r="M2536" s="13"/>
      <c r="N2536" s="23"/>
      <c r="O2536" s="22"/>
      <c r="P2536" s="22"/>
    </row>
    <row r="2537" ht="22.5" customHeight="1">
      <c r="A2537" s="20"/>
      <c r="B2537" s="20" t="str">
        <f>IFERROR(VLOOKUP(A2537,Sheet1!$E$3:$H$27,4,0),"")</f>
        <v/>
      </c>
      <c r="C2537" s="15"/>
      <c r="D2537" s="20"/>
      <c r="E2537" s="13" t="str">
        <f>IFERROR(VLOOKUP(D2537,Sheet1!$B$1:$C$45,2,0),"")</f>
        <v/>
      </c>
      <c r="F2537" s="20"/>
      <c r="G2537" s="13" t="str">
        <f t="shared" si="9"/>
        <v/>
      </c>
      <c r="H2537" s="15" t="str">
        <f>IFERROR(VLOOKUP(A2537,Sheet1!$E$3:$F$27,2,),"")</f>
        <v/>
      </c>
      <c r="I2537" s="16" t="str">
        <f>IFERROR(VLOOKUP(A2537,Sheet1!$E$3:$G$27,3,0),"")</f>
        <v/>
      </c>
      <c r="J2537" s="20"/>
      <c r="K2537" s="17"/>
      <c r="L2537" s="17"/>
      <c r="M2537" s="13"/>
      <c r="N2537" s="23"/>
      <c r="O2537" s="22"/>
      <c r="P2537" s="22"/>
    </row>
    <row r="2538" ht="22.5" customHeight="1">
      <c r="A2538" s="20"/>
      <c r="B2538" s="20" t="str">
        <f>IFERROR(VLOOKUP(A2538,Sheet1!$E$3:$H$27,4,0),"")</f>
        <v/>
      </c>
      <c r="C2538" s="15"/>
      <c r="D2538" s="20"/>
      <c r="E2538" s="13" t="str">
        <f>IFERROR(VLOOKUP(D2538,Sheet1!$B$1:$C$45,2,0),"")</f>
        <v/>
      </c>
      <c r="F2538" s="20"/>
      <c r="G2538" s="13" t="str">
        <f t="shared" si="9"/>
        <v/>
      </c>
      <c r="H2538" s="15" t="str">
        <f>IFERROR(VLOOKUP(A2538,Sheet1!$E$3:$F$27,2,),"")</f>
        <v/>
      </c>
      <c r="I2538" s="16" t="str">
        <f>IFERROR(VLOOKUP(A2538,Sheet1!$E$3:$G$27,3,0),"")</f>
        <v/>
      </c>
      <c r="J2538" s="20"/>
      <c r="K2538" s="17"/>
      <c r="L2538" s="17"/>
      <c r="M2538" s="13"/>
      <c r="N2538" s="23"/>
      <c r="O2538" s="22"/>
      <c r="P2538" s="22"/>
    </row>
    <row r="2539" ht="22.5" customHeight="1">
      <c r="A2539" s="20"/>
      <c r="B2539" s="20" t="str">
        <f>IFERROR(VLOOKUP(A2539,Sheet1!$E$3:$H$27,4,0),"")</f>
        <v/>
      </c>
      <c r="C2539" s="15"/>
      <c r="D2539" s="20"/>
      <c r="E2539" s="13" t="str">
        <f>IFERROR(VLOOKUP(D2539,Sheet1!$B$1:$C$45,2,0),"")</f>
        <v/>
      </c>
      <c r="F2539" s="20"/>
      <c r="G2539" s="13" t="str">
        <f t="shared" si="9"/>
        <v/>
      </c>
      <c r="H2539" s="15" t="str">
        <f>IFERROR(VLOOKUP(A2539,Sheet1!$E$3:$F$27,2,),"")</f>
        <v/>
      </c>
      <c r="I2539" s="16" t="str">
        <f>IFERROR(VLOOKUP(A2539,Sheet1!$E$3:$G$27,3,0),"")</f>
        <v/>
      </c>
      <c r="J2539" s="20"/>
      <c r="K2539" s="17"/>
      <c r="L2539" s="17"/>
      <c r="M2539" s="13"/>
      <c r="N2539" s="23"/>
      <c r="O2539" s="22"/>
      <c r="P2539" s="22"/>
    </row>
    <row r="2540" ht="22.5" customHeight="1">
      <c r="A2540" s="20"/>
      <c r="B2540" s="20" t="str">
        <f>IFERROR(VLOOKUP(A2540,Sheet1!$E$3:$H$27,4,0),"")</f>
        <v/>
      </c>
      <c r="C2540" s="15"/>
      <c r="D2540" s="20"/>
      <c r="E2540" s="13" t="str">
        <f>IFERROR(VLOOKUP(D2540,Sheet1!$B$1:$C$45,2,0),"")</f>
        <v/>
      </c>
      <c r="F2540" s="20"/>
      <c r="G2540" s="13" t="str">
        <f t="shared" si="9"/>
        <v/>
      </c>
      <c r="H2540" s="15" t="str">
        <f>IFERROR(VLOOKUP(A2540,Sheet1!$E$3:$F$27,2,),"")</f>
        <v/>
      </c>
      <c r="I2540" s="16" t="str">
        <f>IFERROR(VLOOKUP(A2540,Sheet1!$E$3:$G$27,3,0),"")</f>
        <v/>
      </c>
      <c r="J2540" s="20"/>
      <c r="K2540" s="17"/>
      <c r="L2540" s="17"/>
      <c r="M2540" s="13"/>
      <c r="N2540" s="23"/>
      <c r="O2540" s="22"/>
      <c r="P2540" s="22"/>
    </row>
    <row r="2541" ht="22.5" customHeight="1">
      <c r="A2541" s="20"/>
      <c r="B2541" s="20" t="str">
        <f>IFERROR(VLOOKUP(A2541,Sheet1!$E$3:$H$27,4,0),"")</f>
        <v/>
      </c>
      <c r="C2541" s="15"/>
      <c r="D2541" s="20"/>
      <c r="E2541" s="13" t="str">
        <f>IFERROR(VLOOKUP(D2541,Sheet1!$B$1:$C$45,2,0),"")</f>
        <v/>
      </c>
      <c r="F2541" s="20"/>
      <c r="G2541" s="13" t="str">
        <f t="shared" si="9"/>
        <v/>
      </c>
      <c r="H2541" s="15" t="str">
        <f>IFERROR(VLOOKUP(A2541,Sheet1!$E$3:$F$27,2,),"")</f>
        <v/>
      </c>
      <c r="I2541" s="16" t="str">
        <f>IFERROR(VLOOKUP(A2541,Sheet1!$E$3:$G$27,3,0),"")</f>
        <v/>
      </c>
      <c r="J2541" s="20"/>
      <c r="K2541" s="17"/>
      <c r="L2541" s="17"/>
      <c r="M2541" s="13"/>
      <c r="N2541" s="23"/>
      <c r="O2541" s="22"/>
      <c r="P2541" s="22"/>
    </row>
    <row r="2542" ht="22.5" customHeight="1">
      <c r="A2542" s="20"/>
      <c r="B2542" s="20" t="str">
        <f>IFERROR(VLOOKUP(A2542,Sheet1!$E$3:$H$27,4,0),"")</f>
        <v/>
      </c>
      <c r="C2542" s="15"/>
      <c r="D2542" s="20"/>
      <c r="E2542" s="13" t="str">
        <f>IFERROR(VLOOKUP(D2542,Sheet1!$B$1:$C$45,2,0),"")</f>
        <v/>
      </c>
      <c r="F2542" s="20"/>
      <c r="G2542" s="13" t="str">
        <f t="shared" si="9"/>
        <v/>
      </c>
      <c r="H2542" s="15" t="str">
        <f>IFERROR(VLOOKUP(A2542,Sheet1!$E$3:$F$27,2,),"")</f>
        <v/>
      </c>
      <c r="I2542" s="16" t="str">
        <f>IFERROR(VLOOKUP(A2542,Sheet1!$E$3:$G$27,3,0),"")</f>
        <v/>
      </c>
      <c r="J2542" s="20"/>
      <c r="K2542" s="17"/>
      <c r="L2542" s="17"/>
      <c r="M2542" s="13"/>
      <c r="N2542" s="23"/>
      <c r="O2542" s="22"/>
      <c r="P2542" s="22"/>
    </row>
    <row r="2543" ht="22.5" customHeight="1">
      <c r="A2543" s="20"/>
      <c r="B2543" s="20" t="str">
        <f>IFERROR(VLOOKUP(A2543,Sheet1!$E$3:$H$27,4,0),"")</f>
        <v/>
      </c>
      <c r="C2543" s="15"/>
      <c r="D2543" s="20"/>
      <c r="E2543" s="13" t="str">
        <f>IFERROR(VLOOKUP(D2543,Sheet1!$B$1:$C$45,2,0),"")</f>
        <v/>
      </c>
      <c r="F2543" s="20"/>
      <c r="G2543" s="13" t="str">
        <f t="shared" si="9"/>
        <v/>
      </c>
      <c r="H2543" s="15" t="str">
        <f>IFERROR(VLOOKUP(A2543,Sheet1!$E$3:$F$27,2,),"")</f>
        <v/>
      </c>
      <c r="I2543" s="16" t="str">
        <f>IFERROR(VLOOKUP(A2543,Sheet1!$E$3:$G$27,3,0),"")</f>
        <v/>
      </c>
      <c r="J2543" s="20"/>
      <c r="K2543" s="17"/>
      <c r="L2543" s="17"/>
      <c r="M2543" s="13"/>
      <c r="N2543" s="23"/>
      <c r="O2543" s="22"/>
      <c r="P2543" s="22"/>
    </row>
    <row r="2544" ht="22.5" customHeight="1">
      <c r="A2544" s="20"/>
      <c r="B2544" s="20" t="str">
        <f>IFERROR(VLOOKUP(A2544,Sheet1!$E$3:$H$27,4,0),"")</f>
        <v/>
      </c>
      <c r="C2544" s="15"/>
      <c r="D2544" s="20"/>
      <c r="E2544" s="13" t="str">
        <f>IFERROR(VLOOKUP(D2544,Sheet1!$B$1:$C$45,2,0),"")</f>
        <v/>
      </c>
      <c r="F2544" s="20"/>
      <c r="G2544" s="13" t="str">
        <f t="shared" si="9"/>
        <v/>
      </c>
      <c r="H2544" s="15" t="str">
        <f>IFERROR(VLOOKUP(A2544,Sheet1!$E$3:$F$27,2,),"")</f>
        <v/>
      </c>
      <c r="I2544" s="16" t="str">
        <f>IFERROR(VLOOKUP(A2544,Sheet1!$E$3:$G$27,3,0),"")</f>
        <v/>
      </c>
      <c r="J2544" s="20"/>
      <c r="K2544" s="17"/>
      <c r="L2544" s="17"/>
      <c r="M2544" s="13"/>
      <c r="N2544" s="23"/>
      <c r="O2544" s="22"/>
      <c r="P2544" s="22"/>
    </row>
    <row r="2545" ht="22.5" customHeight="1">
      <c r="A2545" s="20"/>
      <c r="B2545" s="20" t="str">
        <f>IFERROR(VLOOKUP(A2545,Sheet1!$E$3:$H$27,4,0),"")</f>
        <v/>
      </c>
      <c r="C2545" s="15"/>
      <c r="D2545" s="20"/>
      <c r="E2545" s="13" t="str">
        <f>IFERROR(VLOOKUP(D2545,Sheet1!$B$1:$C$45,2,0),"")</f>
        <v/>
      </c>
      <c r="F2545" s="20"/>
      <c r="G2545" s="13" t="str">
        <f t="shared" si="9"/>
        <v/>
      </c>
      <c r="H2545" s="15" t="str">
        <f>IFERROR(VLOOKUP(A2545,Sheet1!$E$3:$F$27,2,),"")</f>
        <v/>
      </c>
      <c r="I2545" s="16" t="str">
        <f>IFERROR(VLOOKUP(A2545,Sheet1!$E$3:$G$27,3,0),"")</f>
        <v/>
      </c>
      <c r="J2545" s="20"/>
      <c r="K2545" s="17"/>
      <c r="L2545" s="17"/>
      <c r="M2545" s="13"/>
      <c r="N2545" s="23"/>
      <c r="O2545" s="22"/>
      <c r="P2545" s="22"/>
    </row>
    <row r="2546" ht="22.5" customHeight="1">
      <c r="A2546" s="20"/>
      <c r="B2546" s="20" t="str">
        <f>IFERROR(VLOOKUP(A2546,Sheet1!$E$3:$H$27,4,0),"")</f>
        <v/>
      </c>
      <c r="C2546" s="15"/>
      <c r="D2546" s="20"/>
      <c r="E2546" s="13" t="str">
        <f>IFERROR(VLOOKUP(D2546,Sheet1!$B$1:$C$45,2,0),"")</f>
        <v/>
      </c>
      <c r="F2546" s="20"/>
      <c r="G2546" s="13" t="str">
        <f t="shared" si="9"/>
        <v/>
      </c>
      <c r="H2546" s="15" t="str">
        <f>IFERROR(VLOOKUP(A2546,Sheet1!$E$3:$F$27,2,),"")</f>
        <v/>
      </c>
      <c r="I2546" s="16" t="str">
        <f>IFERROR(VLOOKUP(A2546,Sheet1!$E$3:$G$27,3,0),"")</f>
        <v/>
      </c>
      <c r="J2546" s="20"/>
      <c r="K2546" s="17"/>
      <c r="L2546" s="17"/>
      <c r="M2546" s="13"/>
      <c r="N2546" s="23"/>
      <c r="O2546" s="22"/>
      <c r="P2546" s="22"/>
    </row>
    <row r="2547" ht="22.5" customHeight="1">
      <c r="A2547" s="20"/>
      <c r="B2547" s="20" t="str">
        <f>IFERROR(VLOOKUP(A2547,Sheet1!$E$3:$H$27,4,0),"")</f>
        <v/>
      </c>
      <c r="C2547" s="15"/>
      <c r="D2547" s="20"/>
      <c r="E2547" s="13" t="str">
        <f>IFERROR(VLOOKUP(D2547,Sheet1!$B$1:$C$45,2,0),"")</f>
        <v/>
      </c>
      <c r="F2547" s="20"/>
      <c r="G2547" s="13" t="str">
        <f t="shared" si="9"/>
        <v/>
      </c>
      <c r="H2547" s="15" t="str">
        <f>IFERROR(VLOOKUP(A2547,Sheet1!$E$3:$F$27,2,),"")</f>
        <v/>
      </c>
      <c r="I2547" s="16" t="str">
        <f>IFERROR(VLOOKUP(A2547,Sheet1!$E$3:$G$27,3,0),"")</f>
        <v/>
      </c>
      <c r="J2547" s="20"/>
      <c r="K2547" s="17"/>
      <c r="L2547" s="17"/>
      <c r="M2547" s="13"/>
      <c r="N2547" s="23"/>
      <c r="O2547" s="22"/>
      <c r="P2547" s="22"/>
    </row>
    <row r="2548" ht="22.5" customHeight="1">
      <c r="A2548" s="20"/>
      <c r="B2548" s="20" t="str">
        <f>IFERROR(VLOOKUP(A2548,Sheet1!$E$3:$H$27,4,0),"")</f>
        <v/>
      </c>
      <c r="C2548" s="15"/>
      <c r="D2548" s="20"/>
      <c r="E2548" s="13" t="str">
        <f>IFERROR(VLOOKUP(D2548,Sheet1!$B$1:$C$45,2,0),"")</f>
        <v/>
      </c>
      <c r="F2548" s="20"/>
      <c r="G2548" s="13" t="str">
        <f t="shared" si="9"/>
        <v/>
      </c>
      <c r="H2548" s="15" t="str">
        <f>IFERROR(VLOOKUP(A2548,Sheet1!$E$3:$F$27,2,),"")</f>
        <v/>
      </c>
      <c r="I2548" s="16" t="str">
        <f>IFERROR(VLOOKUP(A2548,Sheet1!$E$3:$G$27,3,0),"")</f>
        <v/>
      </c>
      <c r="J2548" s="20"/>
      <c r="K2548" s="17"/>
      <c r="L2548" s="17"/>
      <c r="M2548" s="13"/>
      <c r="N2548" s="23"/>
      <c r="O2548" s="22"/>
      <c r="P2548" s="22"/>
    </row>
    <row r="2549" ht="22.5" customHeight="1">
      <c r="A2549" s="20"/>
      <c r="B2549" s="20" t="str">
        <f>IFERROR(VLOOKUP(A2549,Sheet1!$E$3:$H$27,4,0),"")</f>
        <v/>
      </c>
      <c r="C2549" s="15"/>
      <c r="D2549" s="20"/>
      <c r="E2549" s="13" t="str">
        <f>IFERROR(VLOOKUP(D2549,Sheet1!$B$1:$C$45,2,0),"")</f>
        <v/>
      </c>
      <c r="F2549" s="20"/>
      <c r="G2549" s="13" t="str">
        <f t="shared" si="9"/>
        <v/>
      </c>
      <c r="H2549" s="15" t="str">
        <f>IFERROR(VLOOKUP(A2549,Sheet1!$E$3:$F$27,2,),"")</f>
        <v/>
      </c>
      <c r="I2549" s="16" t="str">
        <f>IFERROR(VLOOKUP(A2549,Sheet1!$E$3:$G$27,3,0),"")</f>
        <v/>
      </c>
      <c r="J2549" s="20"/>
      <c r="K2549" s="17"/>
      <c r="L2549" s="17"/>
      <c r="M2549" s="13"/>
      <c r="N2549" s="23"/>
      <c r="O2549" s="22"/>
      <c r="P2549" s="22"/>
    </row>
    <row r="2550" ht="22.5" customHeight="1">
      <c r="A2550" s="20"/>
      <c r="B2550" s="20" t="str">
        <f>IFERROR(VLOOKUP(A2550,Sheet1!$E$3:$H$27,4,0),"")</f>
        <v/>
      </c>
      <c r="C2550" s="15"/>
      <c r="D2550" s="20"/>
      <c r="E2550" s="13" t="str">
        <f>IFERROR(VLOOKUP(D2550,Sheet1!$B$1:$C$45,2,0),"")</f>
        <v/>
      </c>
      <c r="F2550" s="20"/>
      <c r="G2550" s="13" t="str">
        <f t="shared" si="9"/>
        <v/>
      </c>
      <c r="H2550" s="15" t="str">
        <f>IFERROR(VLOOKUP(A2550,Sheet1!$E$3:$F$27,2,),"")</f>
        <v/>
      </c>
      <c r="I2550" s="16" t="str">
        <f>IFERROR(VLOOKUP(A2550,Sheet1!$E$3:$G$27,3,0),"")</f>
        <v/>
      </c>
      <c r="J2550" s="20"/>
      <c r="K2550" s="17"/>
      <c r="L2550" s="17"/>
      <c r="M2550" s="13"/>
      <c r="N2550" s="23"/>
      <c r="O2550" s="22"/>
      <c r="P2550" s="22"/>
    </row>
    <row r="2551" ht="22.5" customHeight="1">
      <c r="A2551" s="20"/>
      <c r="B2551" s="20" t="str">
        <f>IFERROR(VLOOKUP(A2551,Sheet1!$E$3:$H$27,4,0),"")</f>
        <v/>
      </c>
      <c r="C2551" s="15"/>
      <c r="D2551" s="20"/>
      <c r="E2551" s="13" t="str">
        <f>IFERROR(VLOOKUP(D2551,Sheet1!$B$1:$C$45,2,0),"")</f>
        <v/>
      </c>
      <c r="F2551" s="20"/>
      <c r="G2551" s="13" t="str">
        <f t="shared" si="9"/>
        <v/>
      </c>
      <c r="H2551" s="15" t="str">
        <f>IFERROR(VLOOKUP(A2551,Sheet1!$E$3:$F$27,2,),"")</f>
        <v/>
      </c>
      <c r="I2551" s="16" t="str">
        <f>IFERROR(VLOOKUP(A2551,Sheet1!$E$3:$G$27,3,0),"")</f>
        <v/>
      </c>
      <c r="J2551" s="20"/>
      <c r="K2551" s="17"/>
      <c r="L2551" s="17"/>
      <c r="M2551" s="13"/>
      <c r="N2551" s="23"/>
      <c r="O2551" s="22"/>
      <c r="P2551" s="22"/>
    </row>
    <row r="2552" ht="22.5" customHeight="1">
      <c r="A2552" s="20"/>
      <c r="B2552" s="20" t="str">
        <f>IFERROR(VLOOKUP(A2552,Sheet1!$E$3:$H$27,4,0),"")</f>
        <v/>
      </c>
      <c r="C2552" s="15"/>
      <c r="D2552" s="20"/>
      <c r="E2552" s="13" t="str">
        <f>IFERROR(VLOOKUP(D2552,Sheet1!$B$1:$C$45,2,0),"")</f>
        <v/>
      </c>
      <c r="F2552" s="20"/>
      <c r="G2552" s="13" t="str">
        <f t="shared" si="9"/>
        <v/>
      </c>
      <c r="H2552" s="15" t="str">
        <f>IFERROR(VLOOKUP(A2552,Sheet1!$E$3:$F$27,2,),"")</f>
        <v/>
      </c>
      <c r="I2552" s="16" t="str">
        <f>IFERROR(VLOOKUP(A2552,Sheet1!$E$3:$G$27,3,0),"")</f>
        <v/>
      </c>
      <c r="J2552" s="20"/>
      <c r="K2552" s="17"/>
      <c r="L2552" s="17"/>
      <c r="M2552" s="13"/>
      <c r="N2552" s="23"/>
      <c r="O2552" s="22"/>
      <c r="P2552" s="22"/>
    </row>
    <row r="2553" ht="22.5" customHeight="1">
      <c r="A2553" s="20"/>
      <c r="B2553" s="20" t="str">
        <f>IFERROR(VLOOKUP(A2553,Sheet1!$E$3:$H$27,4,0),"")</f>
        <v/>
      </c>
      <c r="C2553" s="15"/>
      <c r="D2553" s="20"/>
      <c r="E2553" s="13" t="str">
        <f>IFERROR(VLOOKUP(D2553,Sheet1!$B$1:$C$45,2,0),"")</f>
        <v/>
      </c>
      <c r="F2553" s="20"/>
      <c r="G2553" s="13" t="str">
        <f t="shared" si="9"/>
        <v/>
      </c>
      <c r="H2553" s="15" t="str">
        <f>IFERROR(VLOOKUP(A2553,Sheet1!$E$3:$F$27,2,),"")</f>
        <v/>
      </c>
      <c r="I2553" s="16" t="str">
        <f>IFERROR(VLOOKUP(A2553,Sheet1!$E$3:$G$27,3,0),"")</f>
        <v/>
      </c>
      <c r="J2553" s="20"/>
      <c r="K2553" s="17"/>
      <c r="L2553" s="17"/>
      <c r="M2553" s="13"/>
      <c r="N2553" s="23"/>
      <c r="O2553" s="22"/>
      <c r="P2553" s="22"/>
    </row>
    <row r="2554" ht="22.5" customHeight="1">
      <c r="A2554" s="20"/>
      <c r="B2554" s="20" t="str">
        <f>IFERROR(VLOOKUP(A2554,Sheet1!$E$3:$H$27,4,0),"")</f>
        <v/>
      </c>
      <c r="C2554" s="15"/>
      <c r="D2554" s="20"/>
      <c r="E2554" s="13" t="str">
        <f>IFERROR(VLOOKUP(D2554,Sheet1!$B$1:$C$45,2,0),"")</f>
        <v/>
      </c>
      <c r="F2554" s="20"/>
      <c r="G2554" s="13" t="str">
        <f t="shared" si="9"/>
        <v/>
      </c>
      <c r="H2554" s="15" t="str">
        <f>IFERROR(VLOOKUP(A2554,Sheet1!$E$3:$F$27,2,),"")</f>
        <v/>
      </c>
      <c r="I2554" s="16" t="str">
        <f>IFERROR(VLOOKUP(A2554,Sheet1!$E$3:$G$27,3,0),"")</f>
        <v/>
      </c>
      <c r="J2554" s="20"/>
      <c r="K2554" s="17"/>
      <c r="L2554" s="17"/>
      <c r="M2554" s="13"/>
      <c r="N2554" s="23"/>
      <c r="O2554" s="22"/>
      <c r="P2554" s="22"/>
    </row>
    <row r="2555" ht="22.5" customHeight="1">
      <c r="A2555" s="20"/>
      <c r="B2555" s="20" t="str">
        <f>IFERROR(VLOOKUP(A2555,Sheet1!$E$3:$H$27,4,0),"")</f>
        <v/>
      </c>
      <c r="C2555" s="15"/>
      <c r="D2555" s="20"/>
      <c r="E2555" s="13" t="str">
        <f>IFERROR(VLOOKUP(D2555,Sheet1!$B$1:$C$45,2,0),"")</f>
        <v/>
      </c>
      <c r="F2555" s="20"/>
      <c r="G2555" s="13" t="str">
        <f t="shared" si="9"/>
        <v/>
      </c>
      <c r="H2555" s="15" t="str">
        <f>IFERROR(VLOOKUP(A2555,Sheet1!$E$3:$F$27,2,),"")</f>
        <v/>
      </c>
      <c r="I2555" s="16" t="str">
        <f>IFERROR(VLOOKUP(A2555,Sheet1!$E$3:$G$27,3,0),"")</f>
        <v/>
      </c>
      <c r="J2555" s="20"/>
      <c r="K2555" s="17"/>
      <c r="L2555" s="17"/>
      <c r="M2555" s="13"/>
      <c r="N2555" s="23"/>
      <c r="O2555" s="22"/>
      <c r="P2555" s="22"/>
    </row>
    <row r="2556" ht="22.5" customHeight="1">
      <c r="A2556" s="20"/>
      <c r="B2556" s="20" t="str">
        <f>IFERROR(VLOOKUP(A2556,Sheet1!$E$3:$H$27,4,0),"")</f>
        <v/>
      </c>
      <c r="C2556" s="15"/>
      <c r="D2556" s="20"/>
      <c r="E2556" s="13" t="str">
        <f>IFERROR(VLOOKUP(D2556,Sheet1!$B$1:$C$45,2,0),"")</f>
        <v/>
      </c>
      <c r="F2556" s="20"/>
      <c r="G2556" s="13" t="str">
        <f t="shared" si="9"/>
        <v/>
      </c>
      <c r="H2556" s="15" t="str">
        <f>IFERROR(VLOOKUP(A2556,Sheet1!$E$3:$F$27,2,),"")</f>
        <v/>
      </c>
      <c r="I2556" s="16" t="str">
        <f>IFERROR(VLOOKUP(A2556,Sheet1!$E$3:$G$27,3,0),"")</f>
        <v/>
      </c>
      <c r="J2556" s="20"/>
      <c r="K2556" s="17"/>
      <c r="L2556" s="17"/>
      <c r="M2556" s="13"/>
      <c r="N2556" s="23"/>
      <c r="O2556" s="22"/>
      <c r="P2556" s="22"/>
    </row>
    <row r="2557" ht="22.5" customHeight="1">
      <c r="A2557" s="20"/>
      <c r="B2557" s="20" t="str">
        <f>IFERROR(VLOOKUP(A2557,Sheet1!$E$3:$H$27,4,0),"")</f>
        <v/>
      </c>
      <c r="C2557" s="15"/>
      <c r="D2557" s="20"/>
      <c r="E2557" s="13" t="str">
        <f>IFERROR(VLOOKUP(D2557,Sheet1!$B$1:$C$45,2,0),"")</f>
        <v/>
      </c>
      <c r="F2557" s="20"/>
      <c r="G2557" s="13" t="str">
        <f t="shared" si="9"/>
        <v/>
      </c>
      <c r="H2557" s="15" t="str">
        <f>IFERROR(VLOOKUP(A2557,Sheet1!$E$3:$F$27,2,),"")</f>
        <v/>
      </c>
      <c r="I2557" s="16" t="str">
        <f>IFERROR(VLOOKUP(A2557,Sheet1!$E$3:$G$27,3,0),"")</f>
        <v/>
      </c>
      <c r="J2557" s="20"/>
      <c r="K2557" s="17"/>
      <c r="L2557" s="17"/>
      <c r="M2557" s="13"/>
      <c r="N2557" s="23"/>
      <c r="O2557" s="22"/>
      <c r="P2557" s="22"/>
    </row>
    <row r="2558" ht="22.5" customHeight="1">
      <c r="A2558" s="20"/>
      <c r="B2558" s="20" t="str">
        <f>IFERROR(VLOOKUP(A2558,Sheet1!$E$3:$H$27,4,0),"")</f>
        <v/>
      </c>
      <c r="C2558" s="15"/>
      <c r="D2558" s="20"/>
      <c r="E2558" s="13" t="str">
        <f>IFERROR(VLOOKUP(D2558,Sheet1!$B$1:$C$45,2,0),"")</f>
        <v/>
      </c>
      <c r="F2558" s="20"/>
      <c r="G2558" s="13" t="str">
        <f t="shared" si="9"/>
        <v/>
      </c>
      <c r="H2558" s="15" t="str">
        <f>IFERROR(VLOOKUP(A2558,Sheet1!$E$3:$F$27,2,),"")</f>
        <v/>
      </c>
      <c r="I2558" s="16" t="str">
        <f>IFERROR(VLOOKUP(A2558,Sheet1!$E$3:$G$27,3,0),"")</f>
        <v/>
      </c>
      <c r="J2558" s="20"/>
      <c r="K2558" s="17"/>
      <c r="L2558" s="17"/>
      <c r="M2558" s="13"/>
      <c r="N2558" s="23"/>
      <c r="O2558" s="22"/>
      <c r="P2558" s="22"/>
    </row>
    <row r="2559" ht="22.5" customHeight="1">
      <c r="A2559" s="20"/>
      <c r="B2559" s="20" t="str">
        <f>IFERROR(VLOOKUP(A2559,Sheet1!$E$3:$H$27,4,0),"")</f>
        <v/>
      </c>
      <c r="C2559" s="15"/>
      <c r="D2559" s="20"/>
      <c r="E2559" s="13" t="str">
        <f>IFERROR(VLOOKUP(D2559,Sheet1!$B$1:$C$45,2,0),"")</f>
        <v/>
      </c>
      <c r="F2559" s="20"/>
      <c r="G2559" s="13" t="str">
        <f t="shared" si="9"/>
        <v/>
      </c>
      <c r="H2559" s="15" t="str">
        <f>IFERROR(VLOOKUP(A2559,Sheet1!$E$3:$F$27,2,),"")</f>
        <v/>
      </c>
      <c r="I2559" s="16" t="str">
        <f>IFERROR(VLOOKUP(A2559,Sheet1!$E$3:$G$27,3,0),"")</f>
        <v/>
      </c>
      <c r="J2559" s="20"/>
      <c r="K2559" s="17"/>
      <c r="L2559" s="17"/>
      <c r="M2559" s="13"/>
      <c r="N2559" s="23"/>
      <c r="O2559" s="22"/>
      <c r="P2559" s="22"/>
    </row>
    <row r="2560" ht="22.5" customHeight="1">
      <c r="A2560" s="20"/>
      <c r="B2560" s="20" t="str">
        <f>IFERROR(VLOOKUP(A2560,Sheet1!$E$3:$H$27,4,0),"")</f>
        <v/>
      </c>
      <c r="C2560" s="15"/>
      <c r="D2560" s="20"/>
      <c r="E2560" s="13" t="str">
        <f>IFERROR(VLOOKUP(D2560,Sheet1!$B$1:$C$45,2,0),"")</f>
        <v/>
      </c>
      <c r="F2560" s="20"/>
      <c r="G2560" s="13" t="str">
        <f t="shared" si="9"/>
        <v/>
      </c>
      <c r="H2560" s="15" t="str">
        <f>IFERROR(VLOOKUP(A2560,Sheet1!$E$3:$F$27,2,),"")</f>
        <v/>
      </c>
      <c r="I2560" s="16" t="str">
        <f>IFERROR(VLOOKUP(A2560,Sheet1!$E$3:$G$27,3,0),"")</f>
        <v/>
      </c>
      <c r="J2560" s="20"/>
      <c r="K2560" s="17"/>
      <c r="L2560" s="17"/>
      <c r="M2560" s="13"/>
      <c r="N2560" s="23"/>
      <c r="O2560" s="22"/>
      <c r="P2560" s="22"/>
    </row>
    <row r="2561" ht="22.5" customHeight="1">
      <c r="A2561" s="20"/>
      <c r="B2561" s="20" t="str">
        <f>IFERROR(VLOOKUP(A2561,Sheet1!$E$3:$H$27,4,0),"")</f>
        <v/>
      </c>
      <c r="C2561" s="15"/>
      <c r="D2561" s="20"/>
      <c r="E2561" s="13" t="str">
        <f>IFERROR(VLOOKUP(D2561,Sheet1!$B$1:$C$45,2,0),"")</f>
        <v/>
      </c>
      <c r="F2561" s="20"/>
      <c r="G2561" s="13" t="str">
        <f t="shared" si="9"/>
        <v/>
      </c>
      <c r="H2561" s="15" t="str">
        <f>IFERROR(VLOOKUP(A2561,Sheet1!$E$3:$F$27,2,),"")</f>
        <v/>
      </c>
      <c r="I2561" s="16" t="str">
        <f>IFERROR(VLOOKUP(A2561,Sheet1!$E$3:$G$27,3,0),"")</f>
        <v/>
      </c>
      <c r="J2561" s="20"/>
      <c r="K2561" s="17"/>
      <c r="L2561" s="17"/>
      <c r="M2561" s="13"/>
      <c r="N2561" s="23"/>
      <c r="O2561" s="22"/>
      <c r="P2561" s="22"/>
    </row>
    <row r="2562" ht="22.5" customHeight="1">
      <c r="A2562" s="20"/>
      <c r="B2562" s="20" t="str">
        <f>IFERROR(VLOOKUP(A2562,Sheet1!$E$3:$H$27,4,0),"")</f>
        <v/>
      </c>
      <c r="C2562" s="15"/>
      <c r="D2562" s="20"/>
      <c r="E2562" s="13" t="str">
        <f>IFERROR(VLOOKUP(D2562,Sheet1!$B$1:$C$45,2,0),"")</f>
        <v/>
      </c>
      <c r="F2562" s="20"/>
      <c r="G2562" s="13" t="str">
        <f t="shared" si="9"/>
        <v/>
      </c>
      <c r="H2562" s="15" t="str">
        <f>IFERROR(VLOOKUP(A2562,Sheet1!$E$3:$F$27,2,),"")</f>
        <v/>
      </c>
      <c r="I2562" s="16" t="str">
        <f>IFERROR(VLOOKUP(A2562,Sheet1!$E$3:$G$27,3,0),"")</f>
        <v/>
      </c>
      <c r="J2562" s="20"/>
      <c r="K2562" s="17"/>
      <c r="L2562" s="17"/>
      <c r="M2562" s="13"/>
      <c r="N2562" s="23"/>
      <c r="O2562" s="22"/>
      <c r="P2562" s="22"/>
    </row>
    <row r="2563" ht="22.5" customHeight="1">
      <c r="A2563" s="20"/>
      <c r="B2563" s="20" t="str">
        <f>IFERROR(VLOOKUP(A2563,Sheet1!$E$3:$H$27,4,0),"")</f>
        <v/>
      </c>
      <c r="C2563" s="15"/>
      <c r="D2563" s="20"/>
      <c r="E2563" s="13" t="str">
        <f>IFERROR(VLOOKUP(D2563,Sheet1!$B$1:$C$45,2,0),"")</f>
        <v/>
      </c>
      <c r="F2563" s="20"/>
      <c r="G2563" s="13" t="str">
        <f t="shared" si="9"/>
        <v/>
      </c>
      <c r="H2563" s="15" t="str">
        <f>IFERROR(VLOOKUP(A2563,Sheet1!$E$3:$F$27,2,),"")</f>
        <v/>
      </c>
      <c r="I2563" s="16" t="str">
        <f>IFERROR(VLOOKUP(A2563,Sheet1!$E$3:$G$27,3,0),"")</f>
        <v/>
      </c>
      <c r="J2563" s="20"/>
      <c r="K2563" s="17"/>
      <c r="L2563" s="17"/>
      <c r="M2563" s="13"/>
      <c r="N2563" s="23"/>
      <c r="O2563" s="22"/>
      <c r="P2563" s="22"/>
    </row>
    <row r="2564" ht="22.5" customHeight="1">
      <c r="A2564" s="20"/>
      <c r="B2564" s="20" t="str">
        <f>IFERROR(VLOOKUP(A2564,Sheet1!$E$3:$H$27,4,0),"")</f>
        <v/>
      </c>
      <c r="C2564" s="15"/>
      <c r="D2564" s="20"/>
      <c r="E2564" s="13" t="str">
        <f>IFERROR(VLOOKUP(D2564,Sheet1!$B$1:$C$45,2,0),"")</f>
        <v/>
      </c>
      <c r="F2564" s="20"/>
      <c r="G2564" s="13" t="str">
        <f t="shared" si="9"/>
        <v/>
      </c>
      <c r="H2564" s="15" t="str">
        <f>IFERROR(VLOOKUP(A2564,Sheet1!$E$3:$F$27,2,),"")</f>
        <v/>
      </c>
      <c r="I2564" s="16" t="str">
        <f>IFERROR(VLOOKUP(A2564,Sheet1!$E$3:$G$27,3,0),"")</f>
        <v/>
      </c>
      <c r="J2564" s="20"/>
      <c r="K2564" s="17"/>
      <c r="L2564" s="17"/>
      <c r="M2564" s="13"/>
      <c r="N2564" s="23"/>
      <c r="O2564" s="22"/>
      <c r="P2564" s="22"/>
    </row>
    <row r="2565" ht="22.5" customHeight="1">
      <c r="A2565" s="20"/>
      <c r="B2565" s="20" t="str">
        <f>IFERROR(VLOOKUP(A2565,Sheet1!$E$3:$H$27,4,0),"")</f>
        <v/>
      </c>
      <c r="C2565" s="15"/>
      <c r="D2565" s="20"/>
      <c r="E2565" s="13" t="str">
        <f>IFERROR(VLOOKUP(D2565,Sheet1!$B$1:$C$45,2,0),"")</f>
        <v/>
      </c>
      <c r="F2565" s="20"/>
      <c r="G2565" s="13" t="str">
        <f t="shared" si="9"/>
        <v/>
      </c>
      <c r="H2565" s="15" t="str">
        <f>IFERROR(VLOOKUP(A2565,Sheet1!$E$3:$F$27,2,),"")</f>
        <v/>
      </c>
      <c r="I2565" s="16" t="str">
        <f>IFERROR(VLOOKUP(A2565,Sheet1!$E$3:$G$27,3,0),"")</f>
        <v/>
      </c>
      <c r="J2565" s="20"/>
      <c r="K2565" s="17"/>
      <c r="L2565" s="17"/>
      <c r="M2565" s="13"/>
      <c r="N2565" s="23"/>
      <c r="O2565" s="22"/>
      <c r="P2565" s="22"/>
    </row>
    <row r="2566" ht="22.5" customHeight="1">
      <c r="A2566" s="20"/>
      <c r="B2566" s="20" t="str">
        <f>IFERROR(VLOOKUP(A2566,Sheet1!$E$3:$H$27,4,0),"")</f>
        <v/>
      </c>
      <c r="C2566" s="15"/>
      <c r="D2566" s="20"/>
      <c r="E2566" s="13" t="str">
        <f>IFERROR(VLOOKUP(D2566,Sheet1!$B$1:$C$45,2,0),"")</f>
        <v/>
      </c>
      <c r="F2566" s="20"/>
      <c r="G2566" s="13" t="str">
        <f t="shared" si="9"/>
        <v/>
      </c>
      <c r="H2566" s="15" t="str">
        <f>IFERROR(VLOOKUP(A2566,Sheet1!$E$3:$F$27,2,),"")</f>
        <v/>
      </c>
      <c r="I2566" s="16" t="str">
        <f>IFERROR(VLOOKUP(A2566,Sheet1!$E$3:$G$27,3,0),"")</f>
        <v/>
      </c>
      <c r="J2566" s="20"/>
      <c r="K2566" s="17"/>
      <c r="L2566" s="17"/>
      <c r="M2566" s="13"/>
      <c r="N2566" s="23"/>
      <c r="O2566" s="22"/>
      <c r="P2566" s="22"/>
    </row>
    <row r="2567" ht="22.5" customHeight="1">
      <c r="A2567" s="20"/>
      <c r="B2567" s="20" t="str">
        <f>IFERROR(VLOOKUP(A2567,Sheet1!$E$3:$H$27,4,0),"")</f>
        <v/>
      </c>
      <c r="C2567" s="15"/>
      <c r="D2567" s="20"/>
      <c r="E2567" s="13" t="str">
        <f>IFERROR(VLOOKUP(D2567,Sheet1!$B$1:$C$45,2,0),"")</f>
        <v/>
      </c>
      <c r="F2567" s="20"/>
      <c r="G2567" s="13" t="str">
        <f t="shared" si="9"/>
        <v/>
      </c>
      <c r="H2567" s="15" t="str">
        <f>IFERROR(VLOOKUP(A2567,Sheet1!$E$3:$F$27,2,),"")</f>
        <v/>
      </c>
      <c r="I2567" s="16" t="str">
        <f>IFERROR(VLOOKUP(A2567,Sheet1!$E$3:$G$27,3,0),"")</f>
        <v/>
      </c>
      <c r="J2567" s="20"/>
      <c r="K2567" s="17"/>
      <c r="L2567" s="17"/>
      <c r="M2567" s="13"/>
      <c r="N2567" s="23"/>
      <c r="O2567" s="22"/>
      <c r="P2567" s="22"/>
    </row>
    <row r="2568" ht="22.5" customHeight="1">
      <c r="A2568" s="20"/>
      <c r="B2568" s="20" t="str">
        <f>IFERROR(VLOOKUP(A2568,Sheet1!$E$3:$H$27,4,0),"")</f>
        <v/>
      </c>
      <c r="C2568" s="15"/>
      <c r="D2568" s="20"/>
      <c r="E2568" s="13" t="str">
        <f>IFERROR(VLOOKUP(D2568,Sheet1!$B$1:$C$45,2,0),"")</f>
        <v/>
      </c>
      <c r="F2568" s="20"/>
      <c r="G2568" s="13" t="str">
        <f t="shared" si="9"/>
        <v/>
      </c>
      <c r="H2568" s="15" t="str">
        <f>IFERROR(VLOOKUP(A2568,Sheet1!$E$3:$F$27,2,),"")</f>
        <v/>
      </c>
      <c r="I2568" s="16" t="str">
        <f>IFERROR(VLOOKUP(A2568,Sheet1!$E$3:$G$27,3,0),"")</f>
        <v/>
      </c>
      <c r="J2568" s="20"/>
      <c r="K2568" s="17"/>
      <c r="L2568" s="17"/>
      <c r="M2568" s="13"/>
      <c r="N2568" s="23"/>
      <c r="O2568" s="22"/>
      <c r="P2568" s="22"/>
    </row>
    <row r="2569" ht="22.5" customHeight="1">
      <c r="A2569" s="20"/>
      <c r="B2569" s="20" t="str">
        <f>IFERROR(VLOOKUP(A2569,Sheet1!$E$3:$H$27,4,0),"")</f>
        <v/>
      </c>
      <c r="C2569" s="15"/>
      <c r="D2569" s="20"/>
      <c r="E2569" s="13" t="str">
        <f>IFERROR(VLOOKUP(D2569,Sheet1!$B$1:$C$45,2,0),"")</f>
        <v/>
      </c>
      <c r="F2569" s="20"/>
      <c r="G2569" s="13" t="str">
        <f t="shared" si="9"/>
        <v/>
      </c>
      <c r="H2569" s="15" t="str">
        <f>IFERROR(VLOOKUP(A2569,Sheet1!$E$3:$F$27,2,),"")</f>
        <v/>
      </c>
      <c r="I2569" s="16" t="str">
        <f>IFERROR(VLOOKUP(A2569,Sheet1!$E$3:$G$27,3,0),"")</f>
        <v/>
      </c>
      <c r="J2569" s="20"/>
      <c r="K2569" s="17"/>
      <c r="L2569" s="17"/>
      <c r="M2569" s="13"/>
      <c r="N2569" s="23"/>
      <c r="O2569" s="22"/>
      <c r="P2569" s="22"/>
    </row>
    <row r="2570" ht="22.5" customHeight="1">
      <c r="A2570" s="20"/>
      <c r="B2570" s="20" t="str">
        <f>IFERROR(VLOOKUP(A2570,Sheet1!$E$3:$H$27,4,0),"")</f>
        <v/>
      </c>
      <c r="C2570" s="15"/>
      <c r="D2570" s="20"/>
      <c r="E2570" s="13" t="str">
        <f>IFERROR(VLOOKUP(D2570,Sheet1!$B$1:$C$45,2,0),"")</f>
        <v/>
      </c>
      <c r="F2570" s="20"/>
      <c r="G2570" s="13" t="str">
        <f t="shared" si="9"/>
        <v/>
      </c>
      <c r="H2570" s="15" t="str">
        <f>IFERROR(VLOOKUP(A2570,Sheet1!$E$3:$F$27,2,),"")</f>
        <v/>
      </c>
      <c r="I2570" s="16" t="str">
        <f>IFERROR(VLOOKUP(A2570,Sheet1!$E$3:$G$27,3,0),"")</f>
        <v/>
      </c>
      <c r="J2570" s="20"/>
      <c r="K2570" s="17"/>
      <c r="L2570" s="17"/>
      <c r="M2570" s="13"/>
      <c r="N2570" s="23"/>
      <c r="O2570" s="22"/>
      <c r="P2570" s="22"/>
    </row>
    <row r="2571" ht="22.5" customHeight="1">
      <c r="A2571" s="20"/>
      <c r="B2571" s="20" t="str">
        <f>IFERROR(VLOOKUP(A2571,Sheet1!$E$3:$H$27,4,0),"")</f>
        <v/>
      </c>
      <c r="C2571" s="15"/>
      <c r="D2571" s="20"/>
      <c r="E2571" s="13" t="str">
        <f>IFERROR(VLOOKUP(D2571,Sheet1!$B$1:$C$45,2,0),"")</f>
        <v/>
      </c>
      <c r="F2571" s="20"/>
      <c r="G2571" s="13" t="str">
        <f t="shared" si="9"/>
        <v/>
      </c>
      <c r="H2571" s="15" t="str">
        <f>IFERROR(VLOOKUP(A2571,Sheet1!$E$3:$F$27,2,),"")</f>
        <v/>
      </c>
      <c r="I2571" s="16" t="str">
        <f>IFERROR(VLOOKUP(A2571,Sheet1!$E$3:$G$27,3,0),"")</f>
        <v/>
      </c>
      <c r="J2571" s="20"/>
      <c r="K2571" s="17"/>
      <c r="L2571" s="17"/>
      <c r="M2571" s="13"/>
      <c r="N2571" s="23"/>
      <c r="O2571" s="22"/>
      <c r="P2571" s="22"/>
    </row>
    <row r="2572" ht="22.5" customHeight="1">
      <c r="A2572" s="20"/>
      <c r="B2572" s="20" t="str">
        <f>IFERROR(VLOOKUP(A2572,Sheet1!$E$3:$H$27,4,0),"")</f>
        <v/>
      </c>
      <c r="C2572" s="15"/>
      <c r="D2572" s="20"/>
      <c r="E2572" s="13" t="str">
        <f>IFERROR(VLOOKUP(D2572,Sheet1!$B$1:$C$45,2,0),"")</f>
        <v/>
      </c>
      <c r="F2572" s="20"/>
      <c r="G2572" s="13" t="str">
        <f t="shared" si="9"/>
        <v/>
      </c>
      <c r="H2572" s="15" t="str">
        <f>IFERROR(VLOOKUP(A2572,Sheet1!$E$3:$F$27,2,),"")</f>
        <v/>
      </c>
      <c r="I2572" s="16" t="str">
        <f>IFERROR(VLOOKUP(A2572,Sheet1!$E$3:$G$27,3,0),"")</f>
        <v/>
      </c>
      <c r="J2572" s="20"/>
      <c r="K2572" s="17"/>
      <c r="L2572" s="17"/>
      <c r="M2572" s="13"/>
      <c r="N2572" s="23"/>
      <c r="O2572" s="22"/>
      <c r="P2572" s="22"/>
    </row>
    <row r="2573" ht="22.5" customHeight="1">
      <c r="A2573" s="20"/>
      <c r="B2573" s="20" t="str">
        <f>IFERROR(VLOOKUP(A2573,Sheet1!$E$3:$H$27,4,0),"")</f>
        <v/>
      </c>
      <c r="C2573" s="15"/>
      <c r="D2573" s="20"/>
      <c r="E2573" s="13" t="str">
        <f>IFERROR(VLOOKUP(D2573,Sheet1!$B$1:$C$45,2,0),"")</f>
        <v/>
      </c>
      <c r="F2573" s="20"/>
      <c r="G2573" s="13" t="str">
        <f t="shared" si="9"/>
        <v/>
      </c>
      <c r="H2573" s="15" t="str">
        <f>IFERROR(VLOOKUP(A2573,Sheet1!$E$3:$F$27,2,),"")</f>
        <v/>
      </c>
      <c r="I2573" s="16" t="str">
        <f>IFERROR(VLOOKUP(A2573,Sheet1!$E$3:$G$27,3,0),"")</f>
        <v/>
      </c>
      <c r="J2573" s="20"/>
      <c r="K2573" s="17"/>
      <c r="L2573" s="17"/>
      <c r="M2573" s="13"/>
      <c r="N2573" s="23"/>
      <c r="O2573" s="22"/>
      <c r="P2573" s="22"/>
    </row>
    <row r="2574" ht="22.5" customHeight="1">
      <c r="A2574" s="20"/>
      <c r="B2574" s="20" t="str">
        <f>IFERROR(VLOOKUP(A2574,Sheet1!$E$3:$H$27,4,0),"")</f>
        <v/>
      </c>
      <c r="C2574" s="15"/>
      <c r="D2574" s="20"/>
      <c r="E2574" s="13" t="str">
        <f>IFERROR(VLOOKUP(D2574,Sheet1!$B$1:$C$45,2,0),"")</f>
        <v/>
      </c>
      <c r="F2574" s="20"/>
      <c r="G2574" s="13" t="str">
        <f t="shared" si="9"/>
        <v/>
      </c>
      <c r="H2574" s="15" t="str">
        <f>IFERROR(VLOOKUP(A2574,Sheet1!$E$3:$F$27,2,),"")</f>
        <v/>
      </c>
      <c r="I2574" s="16" t="str">
        <f>IFERROR(VLOOKUP(A2574,Sheet1!$E$3:$G$27,3,0),"")</f>
        <v/>
      </c>
      <c r="J2574" s="20"/>
      <c r="K2574" s="17"/>
      <c r="L2574" s="17"/>
      <c r="M2574" s="13"/>
      <c r="N2574" s="23"/>
      <c r="O2574" s="22"/>
      <c r="P2574" s="22"/>
    </row>
    <row r="2575" ht="22.5" customHeight="1">
      <c r="A2575" s="20"/>
      <c r="B2575" s="20" t="str">
        <f>IFERROR(VLOOKUP(A2575,Sheet1!$E$3:$H$27,4,0),"")</f>
        <v/>
      </c>
      <c r="C2575" s="15"/>
      <c r="D2575" s="20"/>
      <c r="E2575" s="13" t="str">
        <f>IFERROR(VLOOKUP(D2575,Sheet1!$B$1:$C$45,2,0),"")</f>
        <v/>
      </c>
      <c r="F2575" s="20"/>
      <c r="G2575" s="13" t="str">
        <f t="shared" si="9"/>
        <v/>
      </c>
      <c r="H2575" s="15" t="str">
        <f>IFERROR(VLOOKUP(A2575,Sheet1!$E$3:$F$27,2,),"")</f>
        <v/>
      </c>
      <c r="I2575" s="16" t="str">
        <f>IFERROR(VLOOKUP(A2575,Sheet1!$E$3:$G$27,3,0),"")</f>
        <v/>
      </c>
      <c r="J2575" s="20"/>
      <c r="K2575" s="17"/>
      <c r="L2575" s="17"/>
      <c r="M2575" s="13"/>
      <c r="N2575" s="23"/>
      <c r="O2575" s="22"/>
      <c r="P2575" s="22"/>
    </row>
    <row r="2576" ht="22.5" customHeight="1">
      <c r="A2576" s="20"/>
      <c r="B2576" s="20" t="str">
        <f>IFERROR(VLOOKUP(A2576,Sheet1!$E$3:$H$27,4,0),"")</f>
        <v/>
      </c>
      <c r="C2576" s="15"/>
      <c r="D2576" s="20"/>
      <c r="E2576" s="13" t="str">
        <f>IFERROR(VLOOKUP(D2576,Sheet1!$B$1:$C$45,2,0),"")</f>
        <v/>
      </c>
      <c r="F2576" s="20"/>
      <c r="G2576" s="13" t="str">
        <f t="shared" si="9"/>
        <v/>
      </c>
      <c r="H2576" s="15" t="str">
        <f>IFERROR(VLOOKUP(A2576,Sheet1!$E$3:$F$27,2,),"")</f>
        <v/>
      </c>
      <c r="I2576" s="16" t="str">
        <f>IFERROR(VLOOKUP(A2576,Sheet1!$E$3:$G$27,3,0),"")</f>
        <v/>
      </c>
      <c r="J2576" s="20"/>
      <c r="K2576" s="17"/>
      <c r="L2576" s="17"/>
      <c r="M2576" s="13"/>
      <c r="N2576" s="23"/>
      <c r="O2576" s="22"/>
      <c r="P2576" s="22"/>
    </row>
    <row r="2577" ht="22.5" customHeight="1">
      <c r="A2577" s="20"/>
      <c r="B2577" s="20" t="str">
        <f>IFERROR(VLOOKUP(A2577,Sheet1!$E$3:$H$27,4,0),"")</f>
        <v/>
      </c>
      <c r="C2577" s="15"/>
      <c r="D2577" s="20"/>
      <c r="E2577" s="13" t="str">
        <f>IFERROR(VLOOKUP(D2577,Sheet1!$B$1:$C$45,2,0),"")</f>
        <v/>
      </c>
      <c r="F2577" s="20"/>
      <c r="G2577" s="13" t="str">
        <f t="shared" si="9"/>
        <v/>
      </c>
      <c r="H2577" s="15" t="str">
        <f>IFERROR(VLOOKUP(A2577,Sheet1!$E$3:$F$27,2,),"")</f>
        <v/>
      </c>
      <c r="I2577" s="16" t="str">
        <f>IFERROR(VLOOKUP(A2577,Sheet1!$E$3:$G$27,3,0),"")</f>
        <v/>
      </c>
      <c r="J2577" s="20"/>
      <c r="K2577" s="17"/>
      <c r="L2577" s="17"/>
      <c r="M2577" s="13"/>
      <c r="N2577" s="23"/>
      <c r="O2577" s="22"/>
      <c r="P2577" s="22"/>
    </row>
    <row r="2578" ht="22.5" customHeight="1">
      <c r="A2578" s="20"/>
      <c r="B2578" s="20" t="str">
        <f>IFERROR(VLOOKUP(A2578,Sheet1!$E$3:$H$27,4,0),"")</f>
        <v/>
      </c>
      <c r="C2578" s="15"/>
      <c r="D2578" s="20"/>
      <c r="E2578" s="13" t="str">
        <f>IFERROR(VLOOKUP(D2578,Sheet1!$B$1:$C$45,2,0),"")</f>
        <v/>
      </c>
      <c r="F2578" s="20"/>
      <c r="G2578" s="13" t="str">
        <f t="shared" si="9"/>
        <v/>
      </c>
      <c r="H2578" s="15" t="str">
        <f>IFERROR(VLOOKUP(A2578,Sheet1!$E$3:$F$27,2,),"")</f>
        <v/>
      </c>
      <c r="I2578" s="16" t="str">
        <f>IFERROR(VLOOKUP(A2578,Sheet1!$E$3:$G$27,3,0),"")</f>
        <v/>
      </c>
      <c r="J2578" s="20"/>
      <c r="K2578" s="17"/>
      <c r="L2578" s="17"/>
      <c r="M2578" s="13"/>
      <c r="N2578" s="23"/>
      <c r="O2578" s="22"/>
      <c r="P2578" s="22"/>
    </row>
    <row r="2579" ht="22.5" customHeight="1">
      <c r="A2579" s="20"/>
      <c r="B2579" s="20" t="str">
        <f>IFERROR(VLOOKUP(A2579,Sheet1!$E$3:$H$27,4,0),"")</f>
        <v/>
      </c>
      <c r="C2579" s="15"/>
      <c r="D2579" s="20"/>
      <c r="E2579" s="13" t="str">
        <f>IFERROR(VLOOKUP(D2579,Sheet1!$B$1:$C$45,2,0),"")</f>
        <v/>
      </c>
      <c r="F2579" s="20"/>
      <c r="G2579" s="13" t="str">
        <f t="shared" si="9"/>
        <v/>
      </c>
      <c r="H2579" s="15" t="str">
        <f>IFERROR(VLOOKUP(A2579,Sheet1!$E$3:$F$27,2,),"")</f>
        <v/>
      </c>
      <c r="I2579" s="16" t="str">
        <f>IFERROR(VLOOKUP(A2579,Sheet1!$E$3:$G$27,3,0),"")</f>
        <v/>
      </c>
      <c r="J2579" s="20"/>
      <c r="K2579" s="17"/>
      <c r="L2579" s="17"/>
      <c r="M2579" s="13"/>
      <c r="N2579" s="23"/>
      <c r="O2579" s="22"/>
      <c r="P2579" s="22"/>
    </row>
    <row r="2580" ht="22.5" customHeight="1">
      <c r="A2580" s="20"/>
      <c r="B2580" s="20" t="str">
        <f>IFERROR(VLOOKUP(A2580,Sheet1!$E$3:$H$27,4,0),"")</f>
        <v/>
      </c>
      <c r="C2580" s="15"/>
      <c r="D2580" s="20"/>
      <c r="E2580" s="13" t="str">
        <f>IFERROR(VLOOKUP(D2580,Sheet1!$B$1:$C$45,2,0),"")</f>
        <v/>
      </c>
      <c r="F2580" s="20"/>
      <c r="G2580" s="13" t="str">
        <f t="shared" si="9"/>
        <v/>
      </c>
      <c r="H2580" s="15" t="str">
        <f>IFERROR(VLOOKUP(A2580,Sheet1!$E$3:$F$27,2,),"")</f>
        <v/>
      </c>
      <c r="I2580" s="16" t="str">
        <f>IFERROR(VLOOKUP(A2580,Sheet1!$E$3:$G$27,3,0),"")</f>
        <v/>
      </c>
      <c r="J2580" s="20"/>
      <c r="K2580" s="17"/>
      <c r="L2580" s="17"/>
      <c r="M2580" s="13"/>
      <c r="N2580" s="23"/>
      <c r="O2580" s="22"/>
      <c r="P2580" s="22"/>
    </row>
    <row r="2581" ht="22.5" customHeight="1">
      <c r="A2581" s="20"/>
      <c r="B2581" s="20" t="str">
        <f>IFERROR(VLOOKUP(A2581,Sheet1!$E$3:$H$27,4,0),"")</f>
        <v/>
      </c>
      <c r="C2581" s="15"/>
      <c r="D2581" s="20"/>
      <c r="E2581" s="13" t="str">
        <f>IFERROR(VLOOKUP(D2581,Sheet1!$B$1:$C$45,2,0),"")</f>
        <v/>
      </c>
      <c r="F2581" s="20"/>
      <c r="G2581" s="13" t="str">
        <f t="shared" si="9"/>
        <v/>
      </c>
      <c r="H2581" s="15" t="str">
        <f>IFERROR(VLOOKUP(A2581,Sheet1!$E$3:$F$27,2,),"")</f>
        <v/>
      </c>
      <c r="I2581" s="16" t="str">
        <f>IFERROR(VLOOKUP(A2581,Sheet1!$E$3:$G$27,3,0),"")</f>
        <v/>
      </c>
      <c r="J2581" s="20"/>
      <c r="K2581" s="17"/>
      <c r="L2581" s="17"/>
      <c r="M2581" s="13"/>
      <c r="N2581" s="23"/>
      <c r="O2581" s="22"/>
      <c r="P2581" s="22"/>
    </row>
    <row r="2582" ht="22.5" customHeight="1">
      <c r="A2582" s="20"/>
      <c r="B2582" s="20" t="str">
        <f>IFERROR(VLOOKUP(A2582,Sheet1!$E$3:$H$27,4,0),"")</f>
        <v/>
      </c>
      <c r="C2582" s="15"/>
      <c r="D2582" s="20"/>
      <c r="E2582" s="13" t="str">
        <f>IFERROR(VLOOKUP(D2582,Sheet1!$B$1:$C$45,2,0),"")</f>
        <v/>
      </c>
      <c r="F2582" s="20"/>
      <c r="G2582" s="13" t="str">
        <f t="shared" si="9"/>
        <v/>
      </c>
      <c r="H2582" s="15" t="str">
        <f>IFERROR(VLOOKUP(A2582,Sheet1!$E$3:$F$27,2,),"")</f>
        <v/>
      </c>
      <c r="I2582" s="16" t="str">
        <f>IFERROR(VLOOKUP(A2582,Sheet1!$E$3:$G$27,3,0),"")</f>
        <v/>
      </c>
      <c r="J2582" s="20"/>
      <c r="K2582" s="17"/>
      <c r="L2582" s="17"/>
      <c r="M2582" s="13"/>
      <c r="N2582" s="23"/>
      <c r="O2582" s="22"/>
      <c r="P2582" s="22"/>
    </row>
    <row r="2583" ht="22.5" customHeight="1">
      <c r="A2583" s="20"/>
      <c r="B2583" s="20" t="str">
        <f>IFERROR(VLOOKUP(A2583,Sheet1!$E$3:$H$27,4,0),"")</f>
        <v/>
      </c>
      <c r="C2583" s="15"/>
      <c r="D2583" s="20"/>
      <c r="E2583" s="13" t="str">
        <f>IFERROR(VLOOKUP(D2583,Sheet1!$B$1:$C$45,2,0),"")</f>
        <v/>
      </c>
      <c r="F2583" s="20"/>
      <c r="G2583" s="13" t="str">
        <f t="shared" si="9"/>
        <v/>
      </c>
      <c r="H2583" s="15" t="str">
        <f>IFERROR(VLOOKUP(A2583,Sheet1!$E$3:$F$27,2,),"")</f>
        <v/>
      </c>
      <c r="I2583" s="16" t="str">
        <f>IFERROR(VLOOKUP(A2583,Sheet1!$E$3:$G$27,3,0),"")</f>
        <v/>
      </c>
      <c r="J2583" s="20"/>
      <c r="K2583" s="17"/>
      <c r="L2583" s="17"/>
      <c r="M2583" s="13"/>
      <c r="N2583" s="23"/>
      <c r="O2583" s="22"/>
      <c r="P2583" s="22"/>
    </row>
    <row r="2584" ht="22.5" customHeight="1">
      <c r="A2584" s="20"/>
      <c r="B2584" s="20" t="str">
        <f>IFERROR(VLOOKUP(A2584,Sheet1!$E$3:$H$27,4,0),"")</f>
        <v/>
      </c>
      <c r="C2584" s="15"/>
      <c r="D2584" s="20"/>
      <c r="E2584" s="13" t="str">
        <f>IFERROR(VLOOKUP(D2584,Sheet1!$B$1:$C$45,2,0),"")</f>
        <v/>
      </c>
      <c r="F2584" s="20"/>
      <c r="G2584" s="13" t="str">
        <f t="shared" si="9"/>
        <v/>
      </c>
      <c r="H2584" s="15" t="str">
        <f>IFERROR(VLOOKUP(A2584,Sheet1!$E$3:$F$27,2,),"")</f>
        <v/>
      </c>
      <c r="I2584" s="16" t="str">
        <f>IFERROR(VLOOKUP(A2584,Sheet1!$E$3:$G$27,3,0),"")</f>
        <v/>
      </c>
      <c r="J2584" s="20"/>
      <c r="K2584" s="17"/>
      <c r="L2584" s="17"/>
      <c r="M2584" s="13"/>
      <c r="N2584" s="23"/>
      <c r="O2584" s="22"/>
      <c r="P2584" s="22"/>
    </row>
    <row r="2585" ht="22.5" customHeight="1">
      <c r="A2585" s="20"/>
      <c r="B2585" s="20" t="str">
        <f>IFERROR(VLOOKUP(A2585,Sheet1!$E$3:$H$27,4,0),"")</f>
        <v/>
      </c>
      <c r="C2585" s="15"/>
      <c r="D2585" s="20"/>
      <c r="E2585" s="13" t="str">
        <f>IFERROR(VLOOKUP(D2585,Sheet1!$B$1:$C$45,2,0),"")</f>
        <v/>
      </c>
      <c r="F2585" s="20"/>
      <c r="G2585" s="13" t="str">
        <f t="shared" si="9"/>
        <v/>
      </c>
      <c r="H2585" s="15" t="str">
        <f>IFERROR(VLOOKUP(A2585,Sheet1!$E$3:$F$27,2,),"")</f>
        <v/>
      </c>
      <c r="I2585" s="16" t="str">
        <f>IFERROR(VLOOKUP(A2585,Sheet1!$E$3:$G$27,3,0),"")</f>
        <v/>
      </c>
      <c r="J2585" s="20"/>
      <c r="K2585" s="17"/>
      <c r="L2585" s="17"/>
      <c r="M2585" s="13"/>
      <c r="N2585" s="23"/>
      <c r="O2585" s="22"/>
      <c r="P2585" s="22"/>
    </row>
    <row r="2586" ht="22.5" customHeight="1">
      <c r="A2586" s="20"/>
      <c r="B2586" s="20" t="str">
        <f>IFERROR(VLOOKUP(A2586,Sheet1!$E$3:$H$27,4,0),"")</f>
        <v/>
      </c>
      <c r="C2586" s="15"/>
      <c r="D2586" s="20"/>
      <c r="E2586" s="13" t="str">
        <f>IFERROR(VLOOKUP(D2586,Sheet1!$B$1:$C$45,2,0),"")</f>
        <v/>
      </c>
      <c r="F2586" s="20"/>
      <c r="G2586" s="13" t="str">
        <f t="shared" si="9"/>
        <v/>
      </c>
      <c r="H2586" s="15" t="str">
        <f>IFERROR(VLOOKUP(A2586,Sheet1!$E$3:$F$27,2,),"")</f>
        <v/>
      </c>
      <c r="I2586" s="16" t="str">
        <f>IFERROR(VLOOKUP(A2586,Sheet1!$E$3:$G$27,3,0),"")</f>
        <v/>
      </c>
      <c r="J2586" s="20"/>
      <c r="K2586" s="17"/>
      <c r="L2586" s="17"/>
      <c r="M2586" s="13"/>
      <c r="N2586" s="23"/>
      <c r="O2586" s="22"/>
      <c r="P2586" s="22"/>
    </row>
    <row r="2587" ht="22.5" customHeight="1">
      <c r="A2587" s="20"/>
      <c r="B2587" s="20" t="str">
        <f>IFERROR(VLOOKUP(A2587,Sheet1!$E$3:$H$27,4,0),"")</f>
        <v/>
      </c>
      <c r="C2587" s="15"/>
      <c r="D2587" s="20"/>
      <c r="E2587" s="13" t="str">
        <f>IFERROR(VLOOKUP(D2587,Sheet1!$B$1:$C$45,2,0),"")</f>
        <v/>
      </c>
      <c r="F2587" s="20"/>
      <c r="G2587" s="13" t="str">
        <f t="shared" si="9"/>
        <v/>
      </c>
      <c r="H2587" s="15" t="str">
        <f>IFERROR(VLOOKUP(A2587,Sheet1!$E$3:$F$27,2,),"")</f>
        <v/>
      </c>
      <c r="I2587" s="16" t="str">
        <f>IFERROR(VLOOKUP(A2587,Sheet1!$E$3:$G$27,3,0),"")</f>
        <v/>
      </c>
      <c r="J2587" s="20"/>
      <c r="K2587" s="17"/>
      <c r="L2587" s="17"/>
      <c r="M2587" s="13"/>
      <c r="N2587" s="23"/>
      <c r="O2587" s="22"/>
      <c r="P2587" s="22"/>
    </row>
    <row r="2588" ht="22.5" customHeight="1">
      <c r="A2588" s="20"/>
      <c r="B2588" s="20" t="str">
        <f>IFERROR(VLOOKUP(A2588,Sheet1!$E$3:$H$27,4,0),"")</f>
        <v/>
      </c>
      <c r="C2588" s="15"/>
      <c r="D2588" s="20"/>
      <c r="E2588" s="13" t="str">
        <f>IFERROR(VLOOKUP(D2588,Sheet1!$B$1:$C$45,2,0),"")</f>
        <v/>
      </c>
      <c r="F2588" s="20"/>
      <c r="G2588" s="13" t="str">
        <f t="shared" si="9"/>
        <v/>
      </c>
      <c r="H2588" s="15" t="str">
        <f>IFERROR(VLOOKUP(A2588,Sheet1!$E$3:$F$27,2,),"")</f>
        <v/>
      </c>
      <c r="I2588" s="16" t="str">
        <f>IFERROR(VLOOKUP(A2588,Sheet1!$E$3:$G$27,3,0),"")</f>
        <v/>
      </c>
      <c r="J2588" s="20"/>
      <c r="K2588" s="17"/>
      <c r="L2588" s="17"/>
      <c r="M2588" s="13"/>
      <c r="N2588" s="23"/>
      <c r="O2588" s="22"/>
      <c r="P2588" s="22"/>
    </row>
    <row r="2589" ht="22.5" customHeight="1">
      <c r="A2589" s="20"/>
      <c r="B2589" s="20" t="str">
        <f>IFERROR(VLOOKUP(A2589,Sheet1!$E$3:$H$27,4,0),"")</f>
        <v/>
      </c>
      <c r="C2589" s="15"/>
      <c r="D2589" s="20"/>
      <c r="E2589" s="13" t="str">
        <f>IFERROR(VLOOKUP(D2589,Sheet1!$B$1:$C$45,2,0),"")</f>
        <v/>
      </c>
      <c r="F2589" s="20"/>
      <c r="G2589" s="13" t="str">
        <f t="shared" si="9"/>
        <v/>
      </c>
      <c r="H2589" s="15" t="str">
        <f>IFERROR(VLOOKUP(A2589,Sheet1!$E$3:$F$27,2,),"")</f>
        <v/>
      </c>
      <c r="I2589" s="16" t="str">
        <f>IFERROR(VLOOKUP(A2589,Sheet1!$E$3:$G$27,3,0),"")</f>
        <v/>
      </c>
      <c r="J2589" s="20"/>
      <c r="K2589" s="17"/>
      <c r="L2589" s="17"/>
      <c r="M2589" s="13"/>
      <c r="N2589" s="23"/>
      <c r="O2589" s="22"/>
      <c r="P2589" s="22"/>
    </row>
    <row r="2590" ht="22.5" customHeight="1">
      <c r="A2590" s="20"/>
      <c r="B2590" s="20" t="str">
        <f>IFERROR(VLOOKUP(A2590,Sheet1!$E$3:$H$27,4,0),"")</f>
        <v/>
      </c>
      <c r="C2590" s="15"/>
      <c r="D2590" s="20"/>
      <c r="E2590" s="13" t="str">
        <f>IFERROR(VLOOKUP(D2590,Sheet1!$B$1:$C$45,2,0),"")</f>
        <v/>
      </c>
      <c r="F2590" s="20"/>
      <c r="G2590" s="13" t="str">
        <f t="shared" si="9"/>
        <v/>
      </c>
      <c r="H2590" s="15" t="str">
        <f>IFERROR(VLOOKUP(A2590,Sheet1!$E$3:$F$27,2,),"")</f>
        <v/>
      </c>
      <c r="I2590" s="16" t="str">
        <f>IFERROR(VLOOKUP(A2590,Sheet1!$E$3:$G$27,3,0),"")</f>
        <v/>
      </c>
      <c r="J2590" s="20"/>
      <c r="K2590" s="17"/>
      <c r="L2590" s="17"/>
      <c r="M2590" s="13"/>
      <c r="N2590" s="23"/>
      <c r="O2590" s="22"/>
      <c r="P2590" s="22"/>
    </row>
    <row r="2591" ht="22.5" customHeight="1">
      <c r="A2591" s="20"/>
      <c r="B2591" s="20" t="str">
        <f>IFERROR(VLOOKUP(A2591,Sheet1!$E$3:$H$27,4,0),"")</f>
        <v/>
      </c>
      <c r="C2591" s="15"/>
      <c r="D2591" s="20"/>
      <c r="E2591" s="13" t="str">
        <f>IFERROR(VLOOKUP(D2591,Sheet1!$B$1:$C$45,2,0),"")</f>
        <v/>
      </c>
      <c r="F2591" s="20"/>
      <c r="G2591" s="13" t="str">
        <f t="shared" si="9"/>
        <v/>
      </c>
      <c r="H2591" s="15" t="str">
        <f>IFERROR(VLOOKUP(A2591,Sheet1!$E$3:$F$27,2,),"")</f>
        <v/>
      </c>
      <c r="I2591" s="16" t="str">
        <f>IFERROR(VLOOKUP(A2591,Sheet1!$E$3:$G$27,3,0),"")</f>
        <v/>
      </c>
      <c r="J2591" s="20"/>
      <c r="K2591" s="17"/>
      <c r="L2591" s="17"/>
      <c r="M2591" s="13"/>
      <c r="N2591" s="23"/>
      <c r="O2591" s="22"/>
      <c r="P2591" s="22"/>
    </row>
    <row r="2592" ht="22.5" customHeight="1">
      <c r="A2592" s="20"/>
      <c r="B2592" s="20" t="str">
        <f>IFERROR(VLOOKUP(A2592,Sheet1!$E$3:$H$27,4,0),"")</f>
        <v/>
      </c>
      <c r="C2592" s="15"/>
      <c r="D2592" s="20"/>
      <c r="E2592" s="13" t="str">
        <f>IFERROR(VLOOKUP(D2592,Sheet1!$B$1:$C$45,2,0),"")</f>
        <v/>
      </c>
      <c r="F2592" s="20"/>
      <c r="G2592" s="13" t="str">
        <f t="shared" si="9"/>
        <v/>
      </c>
      <c r="H2592" s="15" t="str">
        <f>IFERROR(VLOOKUP(A2592,Sheet1!$E$3:$F$27,2,),"")</f>
        <v/>
      </c>
      <c r="I2592" s="16" t="str">
        <f>IFERROR(VLOOKUP(A2592,Sheet1!$E$3:$G$27,3,0),"")</f>
        <v/>
      </c>
      <c r="J2592" s="20"/>
      <c r="K2592" s="17"/>
      <c r="L2592" s="17"/>
      <c r="M2592" s="13"/>
      <c r="N2592" s="23"/>
      <c r="O2592" s="22"/>
      <c r="P2592" s="22"/>
    </row>
    <row r="2593" ht="22.5" customHeight="1">
      <c r="A2593" s="20"/>
      <c r="B2593" s="20" t="str">
        <f>IFERROR(VLOOKUP(A2593,Sheet1!$E$3:$H$27,4,0),"")</f>
        <v/>
      </c>
      <c r="C2593" s="15"/>
      <c r="D2593" s="20"/>
      <c r="E2593" s="13" t="str">
        <f>IFERROR(VLOOKUP(D2593,Sheet1!$B$1:$C$45,2,0),"")</f>
        <v/>
      </c>
      <c r="F2593" s="20"/>
      <c r="G2593" s="13" t="str">
        <f t="shared" si="9"/>
        <v/>
      </c>
      <c r="H2593" s="15" t="str">
        <f>IFERROR(VLOOKUP(A2593,Sheet1!$E$3:$F$27,2,),"")</f>
        <v/>
      </c>
      <c r="I2593" s="16" t="str">
        <f>IFERROR(VLOOKUP(A2593,Sheet1!$E$3:$G$27,3,0),"")</f>
        <v/>
      </c>
      <c r="J2593" s="20"/>
      <c r="K2593" s="17"/>
      <c r="L2593" s="17"/>
      <c r="M2593" s="13"/>
      <c r="N2593" s="23"/>
      <c r="O2593" s="22"/>
      <c r="P2593" s="22"/>
    </row>
    <row r="2594" ht="22.5" customHeight="1">
      <c r="A2594" s="20"/>
      <c r="B2594" s="20" t="str">
        <f>IFERROR(VLOOKUP(A2594,Sheet1!$E$3:$H$27,4,0),"")</f>
        <v/>
      </c>
      <c r="C2594" s="15"/>
      <c r="D2594" s="20"/>
      <c r="E2594" s="13" t="str">
        <f>IFERROR(VLOOKUP(D2594,Sheet1!$B$1:$C$45,2,0),"")</f>
        <v/>
      </c>
      <c r="F2594" s="20"/>
      <c r="G2594" s="13" t="str">
        <f t="shared" si="9"/>
        <v/>
      </c>
      <c r="H2594" s="15" t="str">
        <f>IFERROR(VLOOKUP(A2594,Sheet1!$E$3:$F$27,2,),"")</f>
        <v/>
      </c>
      <c r="I2594" s="16" t="str">
        <f>IFERROR(VLOOKUP(A2594,Sheet1!$E$3:$G$27,3,0),"")</f>
        <v/>
      </c>
      <c r="J2594" s="20"/>
      <c r="K2594" s="17"/>
      <c r="L2594" s="17"/>
      <c r="M2594" s="13"/>
      <c r="N2594" s="23"/>
      <c r="O2594" s="22"/>
      <c r="P2594" s="22"/>
    </row>
    <row r="2595" ht="22.5" customHeight="1">
      <c r="A2595" s="20"/>
      <c r="B2595" s="20" t="str">
        <f>IFERROR(VLOOKUP(A2595,Sheet1!$E$3:$H$27,4,0),"")</f>
        <v/>
      </c>
      <c r="C2595" s="15"/>
      <c r="D2595" s="20"/>
      <c r="E2595" s="13" t="str">
        <f>IFERROR(VLOOKUP(D2595,Sheet1!$B$1:$C$45,2,0),"")</f>
        <v/>
      </c>
      <c r="F2595" s="20"/>
      <c r="G2595" s="13" t="str">
        <f t="shared" si="9"/>
        <v/>
      </c>
      <c r="H2595" s="15" t="str">
        <f>IFERROR(VLOOKUP(A2595,Sheet1!$E$3:$F$27,2,),"")</f>
        <v/>
      </c>
      <c r="I2595" s="16" t="str">
        <f>IFERROR(VLOOKUP(A2595,Sheet1!$E$3:$G$27,3,0),"")</f>
        <v/>
      </c>
      <c r="J2595" s="20"/>
      <c r="K2595" s="17"/>
      <c r="L2595" s="17"/>
      <c r="M2595" s="13"/>
      <c r="N2595" s="23"/>
      <c r="O2595" s="22"/>
      <c r="P2595" s="22"/>
    </row>
    <row r="2596" ht="22.5" customHeight="1">
      <c r="A2596" s="20"/>
      <c r="B2596" s="20" t="str">
        <f>IFERROR(VLOOKUP(A2596,Sheet1!$E$3:$H$27,4,0),"")</f>
        <v/>
      </c>
      <c r="C2596" s="15"/>
      <c r="D2596" s="20"/>
      <c r="E2596" s="13" t="str">
        <f>IFERROR(VLOOKUP(D2596,Sheet1!$B$1:$C$45,2,0),"")</f>
        <v/>
      </c>
      <c r="F2596" s="20"/>
      <c r="G2596" s="13" t="str">
        <f t="shared" si="9"/>
        <v/>
      </c>
      <c r="H2596" s="15" t="str">
        <f>IFERROR(VLOOKUP(A2596,Sheet1!$E$3:$F$27,2,),"")</f>
        <v/>
      </c>
      <c r="I2596" s="16" t="str">
        <f>IFERROR(VLOOKUP(A2596,Sheet1!$E$3:$G$27,3,0),"")</f>
        <v/>
      </c>
      <c r="J2596" s="20"/>
      <c r="K2596" s="17"/>
      <c r="L2596" s="17"/>
      <c r="M2596" s="13"/>
      <c r="N2596" s="23"/>
      <c r="O2596" s="22"/>
      <c r="P2596" s="22"/>
    </row>
    <row r="2597" ht="22.5" customHeight="1">
      <c r="A2597" s="20"/>
      <c r="B2597" s="20" t="str">
        <f>IFERROR(VLOOKUP(A2597,Sheet1!$E$3:$H$27,4,0),"")</f>
        <v/>
      </c>
      <c r="C2597" s="15"/>
      <c r="D2597" s="20"/>
      <c r="E2597" s="13" t="str">
        <f>IFERROR(VLOOKUP(D2597,Sheet1!$B$1:$C$45,2,0),"")</f>
        <v/>
      </c>
      <c r="F2597" s="20"/>
      <c r="G2597" s="13" t="str">
        <f t="shared" si="9"/>
        <v/>
      </c>
      <c r="H2597" s="15" t="str">
        <f>IFERROR(VLOOKUP(A2597,Sheet1!$E$3:$F$27,2,),"")</f>
        <v/>
      </c>
      <c r="I2597" s="16" t="str">
        <f>IFERROR(VLOOKUP(A2597,Sheet1!$E$3:$G$27,3,0),"")</f>
        <v/>
      </c>
      <c r="J2597" s="20"/>
      <c r="K2597" s="17"/>
      <c r="L2597" s="17"/>
      <c r="M2597" s="13"/>
      <c r="N2597" s="23"/>
      <c r="O2597" s="22"/>
      <c r="P2597" s="22"/>
    </row>
    <row r="2598" ht="22.5" customHeight="1">
      <c r="A2598" s="20"/>
      <c r="B2598" s="20" t="str">
        <f>IFERROR(VLOOKUP(A2598,Sheet1!$E$3:$H$27,4,0),"")</f>
        <v/>
      </c>
      <c r="C2598" s="15"/>
      <c r="D2598" s="20"/>
      <c r="E2598" s="13" t="str">
        <f>IFERROR(VLOOKUP(D2598,Sheet1!$B$1:$C$45,2,0),"")</f>
        <v/>
      </c>
      <c r="F2598" s="20"/>
      <c r="G2598" s="13" t="str">
        <f t="shared" si="9"/>
        <v/>
      </c>
      <c r="H2598" s="15" t="str">
        <f>IFERROR(VLOOKUP(A2598,Sheet1!$E$3:$F$27,2,),"")</f>
        <v/>
      </c>
      <c r="I2598" s="16" t="str">
        <f>IFERROR(VLOOKUP(A2598,Sheet1!$E$3:$G$27,3,0),"")</f>
        <v/>
      </c>
      <c r="J2598" s="20"/>
      <c r="K2598" s="17"/>
      <c r="L2598" s="17"/>
      <c r="M2598" s="13"/>
      <c r="N2598" s="23"/>
      <c r="O2598" s="22"/>
      <c r="P2598" s="22"/>
    </row>
    <row r="2599" ht="22.5" customHeight="1">
      <c r="A2599" s="20"/>
      <c r="B2599" s="20" t="str">
        <f>IFERROR(VLOOKUP(A2599,Sheet1!$E$3:$H$27,4,0),"")</f>
        <v/>
      </c>
      <c r="C2599" s="15"/>
      <c r="D2599" s="20"/>
      <c r="E2599" s="13" t="str">
        <f>IFERROR(VLOOKUP(D2599,Sheet1!$B$1:$C$45,2,0),"")</f>
        <v/>
      </c>
      <c r="F2599" s="20"/>
      <c r="G2599" s="13" t="str">
        <f t="shared" si="9"/>
        <v/>
      </c>
      <c r="H2599" s="15" t="str">
        <f>IFERROR(VLOOKUP(A2599,Sheet1!$E$3:$F$27,2,),"")</f>
        <v/>
      </c>
      <c r="I2599" s="16" t="str">
        <f>IFERROR(VLOOKUP(A2599,Sheet1!$E$3:$G$27,3,0),"")</f>
        <v/>
      </c>
      <c r="J2599" s="20"/>
      <c r="K2599" s="17"/>
      <c r="L2599" s="17"/>
      <c r="M2599" s="13"/>
      <c r="N2599" s="23"/>
      <c r="O2599" s="22"/>
      <c r="P2599" s="22"/>
    </row>
    <row r="2600" ht="22.5" customHeight="1">
      <c r="A2600" s="20"/>
      <c r="B2600" s="20" t="str">
        <f>IFERROR(VLOOKUP(A2600,Sheet1!$E$3:$H$27,4,0),"")</f>
        <v/>
      </c>
      <c r="C2600" s="15"/>
      <c r="D2600" s="20"/>
      <c r="E2600" s="13" t="str">
        <f>IFERROR(VLOOKUP(D2600,Sheet1!$B$1:$C$45,2,0),"")</f>
        <v/>
      </c>
      <c r="F2600" s="20"/>
      <c r="G2600" s="13" t="str">
        <f t="shared" si="9"/>
        <v/>
      </c>
      <c r="H2600" s="15" t="str">
        <f>IFERROR(VLOOKUP(A2600,Sheet1!$E$3:$F$27,2,),"")</f>
        <v/>
      </c>
      <c r="I2600" s="16" t="str">
        <f>IFERROR(VLOOKUP(A2600,Sheet1!$E$3:$G$27,3,0),"")</f>
        <v/>
      </c>
      <c r="J2600" s="20"/>
      <c r="K2600" s="17"/>
      <c r="L2600" s="17"/>
      <c r="M2600" s="13"/>
      <c r="N2600" s="23"/>
      <c r="O2600" s="22"/>
      <c r="P2600" s="22"/>
    </row>
    <row r="2601" ht="22.5" customHeight="1">
      <c r="A2601" s="20"/>
      <c r="B2601" s="20" t="str">
        <f>IFERROR(VLOOKUP(A2601,Sheet1!$E$3:$H$27,4,0),"")</f>
        <v/>
      </c>
      <c r="C2601" s="15"/>
      <c r="D2601" s="20"/>
      <c r="E2601" s="13" t="str">
        <f>IFERROR(VLOOKUP(D2601,Sheet1!$B$1:$C$45,2,0),"")</f>
        <v/>
      </c>
      <c r="F2601" s="20"/>
      <c r="G2601" s="13" t="str">
        <f t="shared" si="9"/>
        <v/>
      </c>
      <c r="H2601" s="15" t="str">
        <f>IFERROR(VLOOKUP(A2601,Sheet1!$E$3:$F$27,2,),"")</f>
        <v/>
      </c>
      <c r="I2601" s="16" t="str">
        <f>IFERROR(VLOOKUP(A2601,Sheet1!$E$3:$G$27,3,0),"")</f>
        <v/>
      </c>
      <c r="J2601" s="20"/>
      <c r="K2601" s="17"/>
      <c r="L2601" s="17"/>
      <c r="M2601" s="13"/>
      <c r="N2601" s="23"/>
      <c r="O2601" s="22"/>
      <c r="P2601" s="22"/>
    </row>
    <row r="2602" ht="22.5" customHeight="1">
      <c r="A2602" s="20"/>
      <c r="B2602" s="20" t="str">
        <f>IFERROR(VLOOKUP(A2602,Sheet1!$E$3:$H$27,4,0),"")</f>
        <v/>
      </c>
      <c r="C2602" s="15"/>
      <c r="D2602" s="20"/>
      <c r="E2602" s="13" t="str">
        <f>IFERROR(VLOOKUP(D2602,Sheet1!$B$1:$C$45,2,0),"")</f>
        <v/>
      </c>
      <c r="F2602" s="20"/>
      <c r="G2602" s="13" t="str">
        <f t="shared" si="9"/>
        <v/>
      </c>
      <c r="H2602" s="15" t="str">
        <f>IFERROR(VLOOKUP(A2602,Sheet1!$E$3:$F$27,2,),"")</f>
        <v/>
      </c>
      <c r="I2602" s="16" t="str">
        <f>IFERROR(VLOOKUP(A2602,Sheet1!$E$3:$G$27,3,0),"")</f>
        <v/>
      </c>
      <c r="J2602" s="20"/>
      <c r="K2602" s="17"/>
      <c r="L2602" s="17"/>
      <c r="M2602" s="13"/>
      <c r="N2602" s="23"/>
      <c r="O2602" s="22"/>
      <c r="P2602" s="22"/>
    </row>
    <row r="2603" ht="22.5" customHeight="1">
      <c r="A2603" s="20"/>
      <c r="B2603" s="20" t="str">
        <f>IFERROR(VLOOKUP(A2603,Sheet1!$E$3:$H$27,4,0),"")</f>
        <v/>
      </c>
      <c r="C2603" s="15"/>
      <c r="D2603" s="20"/>
      <c r="E2603" s="13" t="str">
        <f>IFERROR(VLOOKUP(D2603,Sheet1!$B$1:$C$45,2,0),"")</f>
        <v/>
      </c>
      <c r="F2603" s="20"/>
      <c r="G2603" s="13" t="str">
        <f t="shared" si="9"/>
        <v/>
      </c>
      <c r="H2603" s="15" t="str">
        <f>IFERROR(VLOOKUP(A2603,Sheet1!$E$3:$F$27,2,),"")</f>
        <v/>
      </c>
      <c r="I2603" s="16" t="str">
        <f>IFERROR(VLOOKUP(A2603,Sheet1!$E$3:$G$27,3,0),"")</f>
        <v/>
      </c>
      <c r="J2603" s="20"/>
      <c r="K2603" s="17"/>
      <c r="L2603" s="17"/>
      <c r="M2603" s="13"/>
      <c r="N2603" s="23"/>
      <c r="O2603" s="22"/>
      <c r="P2603" s="22"/>
    </row>
    <row r="2604" ht="22.5" customHeight="1">
      <c r="A2604" s="20"/>
      <c r="B2604" s="20" t="str">
        <f>IFERROR(VLOOKUP(A2604,Sheet1!$E$3:$H$27,4,0),"")</f>
        <v/>
      </c>
      <c r="C2604" s="15"/>
      <c r="D2604" s="20"/>
      <c r="E2604" s="13" t="str">
        <f>IFERROR(VLOOKUP(D2604,Sheet1!$B$1:$C$45,2,0),"")</f>
        <v/>
      </c>
      <c r="F2604" s="20"/>
      <c r="G2604" s="13" t="str">
        <f t="shared" si="9"/>
        <v/>
      </c>
      <c r="H2604" s="15" t="str">
        <f>IFERROR(VLOOKUP(A2604,Sheet1!$E$3:$F$27,2,),"")</f>
        <v/>
      </c>
      <c r="I2604" s="16" t="str">
        <f>IFERROR(VLOOKUP(A2604,Sheet1!$E$3:$G$27,3,0),"")</f>
        <v/>
      </c>
      <c r="J2604" s="20"/>
      <c r="K2604" s="17"/>
      <c r="L2604" s="17"/>
      <c r="M2604" s="13"/>
      <c r="N2604" s="23"/>
      <c r="O2604" s="22"/>
      <c r="P2604" s="22"/>
    </row>
    <row r="2605" ht="22.5" customHeight="1">
      <c r="A2605" s="20"/>
      <c r="B2605" s="20" t="str">
        <f>IFERROR(VLOOKUP(A2605,Sheet1!$E$3:$H$27,4,0),"")</f>
        <v/>
      </c>
      <c r="C2605" s="15"/>
      <c r="D2605" s="20"/>
      <c r="E2605" s="13" t="str">
        <f>IFERROR(VLOOKUP(D2605,Sheet1!$B$1:$C$45,2,0),"")</f>
        <v/>
      </c>
      <c r="F2605" s="20"/>
      <c r="G2605" s="13" t="str">
        <f t="shared" si="9"/>
        <v/>
      </c>
      <c r="H2605" s="15" t="str">
        <f>IFERROR(VLOOKUP(A2605,Sheet1!$E$3:$F$27,2,),"")</f>
        <v/>
      </c>
      <c r="I2605" s="16" t="str">
        <f>IFERROR(VLOOKUP(A2605,Sheet1!$E$3:$G$27,3,0),"")</f>
        <v/>
      </c>
      <c r="J2605" s="20"/>
      <c r="K2605" s="17"/>
      <c r="L2605" s="17"/>
      <c r="M2605" s="13"/>
      <c r="N2605" s="23"/>
      <c r="O2605" s="22"/>
      <c r="P2605" s="22"/>
    </row>
    <row r="2606" ht="22.5" customHeight="1">
      <c r="A2606" s="20"/>
      <c r="B2606" s="20" t="str">
        <f>IFERROR(VLOOKUP(A2606,Sheet1!$E$3:$H$27,4,0),"")</f>
        <v/>
      </c>
      <c r="C2606" s="15"/>
      <c r="D2606" s="20"/>
      <c r="E2606" s="13" t="str">
        <f>IFERROR(VLOOKUP(D2606,Sheet1!$B$1:$C$45,2,0),"")</f>
        <v/>
      </c>
      <c r="F2606" s="20"/>
      <c r="G2606" s="13" t="str">
        <f t="shared" si="9"/>
        <v/>
      </c>
      <c r="H2606" s="15" t="str">
        <f>IFERROR(VLOOKUP(A2606,Sheet1!$E$3:$F$27,2,),"")</f>
        <v/>
      </c>
      <c r="I2606" s="16" t="str">
        <f>IFERROR(VLOOKUP(A2606,Sheet1!$E$3:$G$27,3,0),"")</f>
        <v/>
      </c>
      <c r="J2606" s="20"/>
      <c r="K2606" s="17"/>
      <c r="L2606" s="17"/>
      <c r="M2606" s="13"/>
      <c r="N2606" s="23"/>
      <c r="O2606" s="22"/>
      <c r="P2606" s="22"/>
    </row>
    <row r="2607" ht="22.5" customHeight="1">
      <c r="A2607" s="20"/>
      <c r="B2607" s="20" t="str">
        <f>IFERROR(VLOOKUP(A2607,Sheet1!$E$3:$H$27,4,0),"")</f>
        <v/>
      </c>
      <c r="C2607" s="15"/>
      <c r="D2607" s="20"/>
      <c r="E2607" s="13" t="str">
        <f>IFERROR(VLOOKUP(D2607,Sheet1!$B$1:$C$45,2,0),"")</f>
        <v/>
      </c>
      <c r="F2607" s="20"/>
      <c r="G2607" s="13" t="str">
        <f t="shared" si="9"/>
        <v/>
      </c>
      <c r="H2607" s="15" t="str">
        <f>IFERROR(VLOOKUP(A2607,Sheet1!$E$3:$F$27,2,),"")</f>
        <v/>
      </c>
      <c r="I2607" s="16" t="str">
        <f>IFERROR(VLOOKUP(A2607,Sheet1!$E$3:$G$27,3,0),"")</f>
        <v/>
      </c>
      <c r="J2607" s="20"/>
      <c r="K2607" s="17"/>
      <c r="L2607" s="17"/>
      <c r="M2607" s="13"/>
      <c r="N2607" s="23"/>
      <c r="O2607" s="22"/>
      <c r="P2607" s="22"/>
    </row>
    <row r="2608" ht="22.5" customHeight="1">
      <c r="A2608" s="20"/>
      <c r="B2608" s="20" t="str">
        <f>IFERROR(VLOOKUP(A2608,Sheet1!$E$3:$H$27,4,0),"")</f>
        <v/>
      </c>
      <c r="C2608" s="15"/>
      <c r="D2608" s="20"/>
      <c r="E2608" s="13" t="str">
        <f>IFERROR(VLOOKUP(D2608,Sheet1!$B$1:$C$45,2,0),"")</f>
        <v/>
      </c>
      <c r="F2608" s="20"/>
      <c r="G2608" s="13" t="str">
        <f t="shared" si="9"/>
        <v/>
      </c>
      <c r="H2608" s="15" t="str">
        <f>IFERROR(VLOOKUP(A2608,Sheet1!$E$3:$F$27,2,),"")</f>
        <v/>
      </c>
      <c r="I2608" s="16" t="str">
        <f>IFERROR(VLOOKUP(A2608,Sheet1!$E$3:$G$27,3,0),"")</f>
        <v/>
      </c>
      <c r="J2608" s="20"/>
      <c r="K2608" s="17"/>
      <c r="L2608" s="17"/>
      <c r="M2608" s="13"/>
      <c r="N2608" s="23"/>
      <c r="O2608" s="22"/>
      <c r="P2608" s="22"/>
    </row>
    <row r="2609" ht="22.5" customHeight="1">
      <c r="A2609" s="20"/>
      <c r="B2609" s="20" t="str">
        <f>IFERROR(VLOOKUP(A2609,Sheet1!$E$3:$H$27,4,0),"")</f>
        <v/>
      </c>
      <c r="C2609" s="15"/>
      <c r="D2609" s="20"/>
      <c r="E2609" s="13" t="str">
        <f>IFERROR(VLOOKUP(D2609,Sheet1!$B$1:$C$45,2,0),"")</f>
        <v/>
      </c>
      <c r="F2609" s="20"/>
      <c r="G2609" s="13" t="str">
        <f t="shared" si="9"/>
        <v/>
      </c>
      <c r="H2609" s="15" t="str">
        <f>IFERROR(VLOOKUP(A2609,Sheet1!$E$3:$F$27,2,),"")</f>
        <v/>
      </c>
      <c r="I2609" s="16" t="str">
        <f>IFERROR(VLOOKUP(A2609,Sheet1!$E$3:$G$27,3,0),"")</f>
        <v/>
      </c>
      <c r="J2609" s="20"/>
      <c r="K2609" s="17"/>
      <c r="L2609" s="17"/>
      <c r="M2609" s="13"/>
      <c r="N2609" s="23"/>
      <c r="O2609" s="22"/>
      <c r="P2609" s="22"/>
    </row>
    <row r="2610" ht="22.5" customHeight="1">
      <c r="A2610" s="20"/>
      <c r="B2610" s="20" t="str">
        <f>IFERROR(VLOOKUP(A2610,Sheet1!$E$3:$H$27,4,0),"")</f>
        <v/>
      </c>
      <c r="C2610" s="15"/>
      <c r="D2610" s="20"/>
      <c r="E2610" s="13" t="str">
        <f>IFERROR(VLOOKUP(D2610,Sheet1!$B$1:$C$45,2,0),"")</f>
        <v/>
      </c>
      <c r="F2610" s="20"/>
      <c r="G2610" s="13" t="str">
        <f t="shared" si="9"/>
        <v/>
      </c>
      <c r="H2610" s="15" t="str">
        <f>IFERROR(VLOOKUP(A2610,Sheet1!$E$3:$F$27,2,),"")</f>
        <v/>
      </c>
      <c r="I2610" s="16" t="str">
        <f>IFERROR(VLOOKUP(A2610,Sheet1!$E$3:$G$27,3,0),"")</f>
        <v/>
      </c>
      <c r="J2610" s="20"/>
      <c r="K2610" s="17"/>
      <c r="L2610" s="17"/>
      <c r="M2610" s="13"/>
      <c r="N2610" s="23"/>
      <c r="O2610" s="22"/>
      <c r="P2610" s="22"/>
    </row>
    <row r="2611" ht="22.5" customHeight="1">
      <c r="A2611" s="20"/>
      <c r="B2611" s="20" t="str">
        <f>IFERROR(VLOOKUP(A2611,Sheet1!$E$3:$H$27,4,0),"")</f>
        <v/>
      </c>
      <c r="C2611" s="15"/>
      <c r="D2611" s="20"/>
      <c r="E2611" s="13" t="str">
        <f>IFERROR(VLOOKUP(D2611,Sheet1!$B$1:$C$45,2,0),"")</f>
        <v/>
      </c>
      <c r="F2611" s="20"/>
      <c r="G2611" s="13" t="str">
        <f t="shared" si="9"/>
        <v/>
      </c>
      <c r="H2611" s="15" t="str">
        <f>IFERROR(VLOOKUP(A2611,Sheet1!$E$3:$F$27,2,),"")</f>
        <v/>
      </c>
      <c r="I2611" s="16" t="str">
        <f>IFERROR(VLOOKUP(A2611,Sheet1!$E$3:$G$27,3,0),"")</f>
        <v/>
      </c>
      <c r="J2611" s="20"/>
      <c r="K2611" s="17"/>
      <c r="L2611" s="17"/>
      <c r="M2611" s="13"/>
      <c r="N2611" s="23"/>
      <c r="O2611" s="22"/>
      <c r="P2611" s="22"/>
    </row>
    <row r="2612" ht="22.5" customHeight="1">
      <c r="A2612" s="20"/>
      <c r="B2612" s="20" t="str">
        <f>IFERROR(VLOOKUP(A2612,Sheet1!$E$3:$H$27,4,0),"")</f>
        <v/>
      </c>
      <c r="C2612" s="15"/>
      <c r="D2612" s="20"/>
      <c r="E2612" s="13" t="str">
        <f>IFERROR(VLOOKUP(D2612,Sheet1!$B$1:$C$45,2,0),"")</f>
        <v/>
      </c>
      <c r="F2612" s="20"/>
      <c r="G2612" s="13" t="str">
        <f t="shared" si="9"/>
        <v/>
      </c>
      <c r="H2612" s="15" t="str">
        <f>IFERROR(VLOOKUP(A2612,Sheet1!$E$3:$F$27,2,),"")</f>
        <v/>
      </c>
      <c r="I2612" s="16" t="str">
        <f>IFERROR(VLOOKUP(A2612,Sheet1!$E$3:$G$27,3,0),"")</f>
        <v/>
      </c>
      <c r="J2612" s="20"/>
      <c r="K2612" s="17"/>
      <c r="L2612" s="17"/>
      <c r="M2612" s="13"/>
      <c r="N2612" s="23"/>
      <c r="O2612" s="22"/>
      <c r="P2612" s="22"/>
    </row>
    <row r="2613" ht="22.5" customHeight="1">
      <c r="A2613" s="20"/>
      <c r="B2613" s="20" t="str">
        <f>IFERROR(VLOOKUP(A2613,Sheet1!$E$3:$H$27,4,0),"")</f>
        <v/>
      </c>
      <c r="C2613" s="15"/>
      <c r="D2613" s="20"/>
      <c r="E2613" s="13" t="str">
        <f>IFERROR(VLOOKUP(D2613,Sheet1!$B$1:$C$45,2,0),"")</f>
        <v/>
      </c>
      <c r="F2613" s="20"/>
      <c r="G2613" s="13" t="str">
        <f t="shared" si="9"/>
        <v/>
      </c>
      <c r="H2613" s="15" t="str">
        <f>IFERROR(VLOOKUP(A2613,Sheet1!$E$3:$F$27,2,),"")</f>
        <v/>
      </c>
      <c r="I2613" s="16" t="str">
        <f>IFERROR(VLOOKUP(A2613,Sheet1!$E$3:$G$27,3,0),"")</f>
        <v/>
      </c>
      <c r="J2613" s="20"/>
      <c r="K2613" s="17"/>
      <c r="L2613" s="17"/>
      <c r="M2613" s="13"/>
      <c r="N2613" s="23"/>
      <c r="O2613" s="22"/>
      <c r="P2613" s="22"/>
    </row>
    <row r="2614" ht="22.5" customHeight="1">
      <c r="A2614" s="20"/>
      <c r="B2614" s="20" t="str">
        <f>IFERROR(VLOOKUP(A2614,Sheet1!$E$3:$H$27,4,0),"")</f>
        <v/>
      </c>
      <c r="C2614" s="15"/>
      <c r="D2614" s="20"/>
      <c r="E2614" s="13" t="str">
        <f>IFERROR(VLOOKUP(D2614,Sheet1!$B$1:$C$45,2,0),"")</f>
        <v/>
      </c>
      <c r="F2614" s="20"/>
      <c r="G2614" s="13" t="str">
        <f t="shared" si="9"/>
        <v/>
      </c>
      <c r="H2614" s="15" t="str">
        <f>IFERROR(VLOOKUP(A2614,Sheet1!$E$3:$F$27,2,),"")</f>
        <v/>
      </c>
      <c r="I2614" s="16" t="str">
        <f>IFERROR(VLOOKUP(A2614,Sheet1!$E$3:$G$27,3,0),"")</f>
        <v/>
      </c>
      <c r="J2614" s="20"/>
      <c r="K2614" s="17"/>
      <c r="L2614" s="17"/>
      <c r="M2614" s="13"/>
      <c r="N2614" s="23"/>
      <c r="O2614" s="22"/>
      <c r="P2614" s="22"/>
    </row>
    <row r="2615" ht="22.5" customHeight="1">
      <c r="A2615" s="20"/>
      <c r="B2615" s="20" t="str">
        <f>IFERROR(VLOOKUP(A2615,Sheet1!$E$3:$H$27,4,0),"")</f>
        <v/>
      </c>
      <c r="C2615" s="15"/>
      <c r="D2615" s="20"/>
      <c r="E2615" s="13" t="str">
        <f>IFERROR(VLOOKUP(D2615,Sheet1!$B$1:$C$45,2,0),"")</f>
        <v/>
      </c>
      <c r="F2615" s="20"/>
      <c r="G2615" s="13" t="str">
        <f t="shared" si="9"/>
        <v/>
      </c>
      <c r="H2615" s="15" t="str">
        <f>IFERROR(VLOOKUP(A2615,Sheet1!$E$3:$F$27,2,),"")</f>
        <v/>
      </c>
      <c r="I2615" s="16" t="str">
        <f>IFERROR(VLOOKUP(A2615,Sheet1!$E$3:$G$27,3,0),"")</f>
        <v/>
      </c>
      <c r="J2615" s="20"/>
      <c r="K2615" s="17"/>
      <c r="L2615" s="17"/>
      <c r="M2615" s="13"/>
      <c r="N2615" s="23"/>
      <c r="O2615" s="22"/>
      <c r="P2615" s="22"/>
    </row>
    <row r="2616" ht="22.5" customHeight="1">
      <c r="A2616" s="20"/>
      <c r="B2616" s="20" t="str">
        <f>IFERROR(VLOOKUP(A2616,Sheet1!$E$3:$H$27,4,0),"")</f>
        <v/>
      </c>
      <c r="C2616" s="15"/>
      <c r="D2616" s="20"/>
      <c r="E2616" s="13" t="str">
        <f>IFERROR(VLOOKUP(D2616,Sheet1!$B$1:$C$45,2,0),"")</f>
        <v/>
      </c>
      <c r="F2616" s="20"/>
      <c r="G2616" s="13" t="str">
        <f t="shared" si="9"/>
        <v/>
      </c>
      <c r="H2616" s="15" t="str">
        <f>IFERROR(VLOOKUP(A2616,Sheet1!$E$3:$F$27,2,),"")</f>
        <v/>
      </c>
      <c r="I2616" s="16" t="str">
        <f>IFERROR(VLOOKUP(A2616,Sheet1!$E$3:$G$27,3,0),"")</f>
        <v/>
      </c>
      <c r="J2616" s="20"/>
      <c r="K2616" s="17"/>
      <c r="L2616" s="17"/>
      <c r="M2616" s="13"/>
      <c r="N2616" s="23"/>
      <c r="O2616" s="22"/>
      <c r="P2616" s="22"/>
    </row>
    <row r="2617" ht="22.5" customHeight="1">
      <c r="A2617" s="20"/>
      <c r="B2617" s="20" t="str">
        <f>IFERROR(VLOOKUP(A2617,Sheet1!$E$3:$H$27,4,0),"")</f>
        <v/>
      </c>
      <c r="C2617" s="15"/>
      <c r="D2617" s="20"/>
      <c r="E2617" s="13" t="str">
        <f>IFERROR(VLOOKUP(D2617,Sheet1!$B$1:$C$45,2,0),"")</f>
        <v/>
      </c>
      <c r="F2617" s="20"/>
      <c r="G2617" s="13" t="str">
        <f t="shared" si="9"/>
        <v/>
      </c>
      <c r="H2617" s="15" t="str">
        <f>IFERROR(VLOOKUP(A2617,Sheet1!$E$3:$F$27,2,),"")</f>
        <v/>
      </c>
      <c r="I2617" s="16" t="str">
        <f>IFERROR(VLOOKUP(A2617,Sheet1!$E$3:$G$27,3,0),"")</f>
        <v/>
      </c>
      <c r="J2617" s="20"/>
      <c r="K2617" s="17"/>
      <c r="L2617" s="17"/>
      <c r="M2617" s="13"/>
      <c r="N2617" s="23"/>
      <c r="O2617" s="22"/>
      <c r="P2617" s="22"/>
    </row>
    <row r="2618" ht="22.5" customHeight="1">
      <c r="A2618" s="20"/>
      <c r="B2618" s="20" t="str">
        <f>IFERROR(VLOOKUP(A2618,Sheet1!$E$3:$H$27,4,0),"")</f>
        <v/>
      </c>
      <c r="C2618" s="15"/>
      <c r="D2618" s="20"/>
      <c r="E2618" s="13" t="str">
        <f>IFERROR(VLOOKUP(D2618,Sheet1!$B$1:$C$45,2,0),"")</f>
        <v/>
      </c>
      <c r="F2618" s="20"/>
      <c r="G2618" s="13" t="str">
        <f t="shared" si="9"/>
        <v/>
      </c>
      <c r="H2618" s="15" t="str">
        <f>IFERROR(VLOOKUP(A2618,Sheet1!$E$3:$F$27,2,),"")</f>
        <v/>
      </c>
      <c r="I2618" s="16" t="str">
        <f>IFERROR(VLOOKUP(A2618,Sheet1!$E$3:$G$27,3,0),"")</f>
        <v/>
      </c>
      <c r="J2618" s="20"/>
      <c r="K2618" s="17"/>
      <c r="L2618" s="17"/>
      <c r="M2618" s="13"/>
      <c r="N2618" s="23"/>
      <c r="O2618" s="22"/>
      <c r="P2618" s="22"/>
    </row>
    <row r="2619" ht="22.5" customHeight="1">
      <c r="A2619" s="20"/>
      <c r="B2619" s="20" t="str">
        <f>IFERROR(VLOOKUP(A2619,Sheet1!$E$3:$H$27,4,0),"")</f>
        <v/>
      </c>
      <c r="C2619" s="15"/>
      <c r="D2619" s="20"/>
      <c r="E2619" s="13" t="str">
        <f>IFERROR(VLOOKUP(D2619,Sheet1!$B$1:$C$45,2,0),"")</f>
        <v/>
      </c>
      <c r="F2619" s="20"/>
      <c r="G2619" s="13" t="str">
        <f t="shared" si="9"/>
        <v/>
      </c>
      <c r="H2619" s="15" t="str">
        <f>IFERROR(VLOOKUP(A2619,Sheet1!$E$3:$F$27,2,),"")</f>
        <v/>
      </c>
      <c r="I2619" s="16" t="str">
        <f>IFERROR(VLOOKUP(A2619,Sheet1!$E$3:$G$27,3,0),"")</f>
        <v/>
      </c>
      <c r="J2619" s="20"/>
      <c r="K2619" s="17"/>
      <c r="L2619" s="17"/>
      <c r="M2619" s="13"/>
      <c r="N2619" s="23"/>
      <c r="O2619" s="22"/>
      <c r="P2619" s="22"/>
    </row>
    <row r="2620" ht="22.5" customHeight="1">
      <c r="A2620" s="20"/>
      <c r="B2620" s="20" t="str">
        <f>IFERROR(VLOOKUP(A2620,Sheet1!$E$3:$H$27,4,0),"")</f>
        <v/>
      </c>
      <c r="C2620" s="15"/>
      <c r="D2620" s="20"/>
      <c r="E2620" s="13" t="str">
        <f>IFERROR(VLOOKUP(D2620,Sheet1!$B$1:$C$45,2,0),"")</f>
        <v/>
      </c>
      <c r="F2620" s="20"/>
      <c r="G2620" s="13" t="str">
        <f t="shared" si="9"/>
        <v/>
      </c>
      <c r="H2620" s="15" t="str">
        <f>IFERROR(VLOOKUP(A2620,Sheet1!$E$3:$F$27,2,),"")</f>
        <v/>
      </c>
      <c r="I2620" s="16" t="str">
        <f>IFERROR(VLOOKUP(A2620,Sheet1!$E$3:$G$27,3,0),"")</f>
        <v/>
      </c>
      <c r="J2620" s="20"/>
      <c r="K2620" s="17"/>
      <c r="L2620" s="17"/>
      <c r="M2620" s="13"/>
      <c r="N2620" s="23"/>
      <c r="O2620" s="22"/>
      <c r="P2620" s="22"/>
    </row>
    <row r="2621" ht="22.5" customHeight="1">
      <c r="A2621" s="20"/>
      <c r="B2621" s="20" t="str">
        <f>IFERROR(VLOOKUP(A2621,Sheet1!$E$3:$H$27,4,0),"")</f>
        <v/>
      </c>
      <c r="C2621" s="15"/>
      <c r="D2621" s="20"/>
      <c r="E2621" s="13" t="str">
        <f>IFERROR(VLOOKUP(D2621,Sheet1!$B$1:$C$45,2,0),"")</f>
        <v/>
      </c>
      <c r="F2621" s="20"/>
      <c r="G2621" s="13" t="str">
        <f t="shared" si="9"/>
        <v/>
      </c>
      <c r="H2621" s="15" t="str">
        <f>IFERROR(VLOOKUP(A2621,Sheet1!$E$3:$F$27,2,),"")</f>
        <v/>
      </c>
      <c r="I2621" s="16" t="str">
        <f>IFERROR(VLOOKUP(A2621,Sheet1!$E$3:$G$27,3,0),"")</f>
        <v/>
      </c>
      <c r="J2621" s="20"/>
      <c r="K2621" s="17"/>
      <c r="L2621" s="17"/>
      <c r="M2621" s="13"/>
      <c r="N2621" s="23"/>
      <c r="O2621" s="22"/>
      <c r="P2621" s="22"/>
    </row>
    <row r="2622" ht="22.5" customHeight="1">
      <c r="A2622" s="20"/>
      <c r="B2622" s="20" t="str">
        <f>IFERROR(VLOOKUP(A2622,Sheet1!$E$3:$H$27,4,0),"")</f>
        <v/>
      </c>
      <c r="C2622" s="15"/>
      <c r="D2622" s="20"/>
      <c r="E2622" s="13" t="str">
        <f>IFERROR(VLOOKUP(D2622,Sheet1!$B$1:$C$45,2,0),"")</f>
        <v/>
      </c>
      <c r="F2622" s="20"/>
      <c r="G2622" s="13" t="str">
        <f t="shared" si="9"/>
        <v/>
      </c>
      <c r="H2622" s="15" t="str">
        <f>IFERROR(VLOOKUP(A2622,Sheet1!$E$3:$F$27,2,),"")</f>
        <v/>
      </c>
      <c r="I2622" s="16" t="str">
        <f>IFERROR(VLOOKUP(A2622,Sheet1!$E$3:$G$27,3,0),"")</f>
        <v/>
      </c>
      <c r="J2622" s="20"/>
      <c r="K2622" s="17"/>
      <c r="L2622" s="17"/>
      <c r="M2622" s="13"/>
      <c r="N2622" s="23"/>
      <c r="O2622" s="22"/>
      <c r="P2622" s="22"/>
    </row>
    <row r="2623" ht="22.5" customHeight="1">
      <c r="A2623" s="20"/>
      <c r="B2623" s="20" t="str">
        <f>IFERROR(VLOOKUP(A2623,Sheet1!$E$3:$H$27,4,0),"")</f>
        <v/>
      </c>
      <c r="C2623" s="15"/>
      <c r="D2623" s="20"/>
      <c r="E2623" s="13" t="str">
        <f>IFERROR(VLOOKUP(D2623,Sheet1!$B$1:$C$45,2,0),"")</f>
        <v/>
      </c>
      <c r="F2623" s="20"/>
      <c r="G2623" s="13" t="str">
        <f t="shared" si="9"/>
        <v/>
      </c>
      <c r="H2623" s="15" t="str">
        <f>IFERROR(VLOOKUP(A2623,Sheet1!$E$3:$F$27,2,),"")</f>
        <v/>
      </c>
      <c r="I2623" s="16" t="str">
        <f>IFERROR(VLOOKUP(A2623,Sheet1!$E$3:$G$27,3,0),"")</f>
        <v/>
      </c>
      <c r="J2623" s="20"/>
      <c r="K2623" s="17"/>
      <c r="L2623" s="17"/>
      <c r="M2623" s="13"/>
      <c r="N2623" s="23"/>
      <c r="O2623" s="22"/>
      <c r="P2623" s="22"/>
    </row>
    <row r="2624" ht="22.5" customHeight="1">
      <c r="A2624" s="20"/>
      <c r="B2624" s="20" t="str">
        <f>IFERROR(VLOOKUP(A2624,Sheet1!$E$3:$H$27,4,0),"")</f>
        <v/>
      </c>
      <c r="C2624" s="15"/>
      <c r="D2624" s="20"/>
      <c r="E2624" s="13" t="str">
        <f>IFERROR(VLOOKUP(D2624,Sheet1!$B$1:$C$45,2,0),"")</f>
        <v/>
      </c>
      <c r="F2624" s="20"/>
      <c r="G2624" s="13" t="str">
        <f t="shared" si="9"/>
        <v/>
      </c>
      <c r="H2624" s="15" t="str">
        <f>IFERROR(VLOOKUP(A2624,Sheet1!$E$3:$F$27,2,),"")</f>
        <v/>
      </c>
      <c r="I2624" s="16" t="str">
        <f>IFERROR(VLOOKUP(A2624,Sheet1!$E$3:$G$27,3,0),"")</f>
        <v/>
      </c>
      <c r="J2624" s="20"/>
      <c r="K2624" s="17"/>
      <c r="L2624" s="17"/>
      <c r="M2624" s="13"/>
      <c r="N2624" s="23"/>
      <c r="O2624" s="22"/>
      <c r="P2624" s="22"/>
    </row>
    <row r="2625" ht="22.5" customHeight="1">
      <c r="A2625" s="20"/>
      <c r="B2625" s="20" t="str">
        <f>IFERROR(VLOOKUP(A2625,Sheet1!$E$3:$H$27,4,0),"")</f>
        <v/>
      </c>
      <c r="C2625" s="15"/>
      <c r="D2625" s="20"/>
      <c r="E2625" s="13" t="str">
        <f>IFERROR(VLOOKUP(D2625,Sheet1!$B$1:$C$45,2,0),"")</f>
        <v/>
      </c>
      <c r="F2625" s="20"/>
      <c r="G2625" s="13" t="str">
        <f t="shared" si="9"/>
        <v/>
      </c>
      <c r="H2625" s="15" t="str">
        <f>IFERROR(VLOOKUP(A2625,Sheet1!$E$3:$F$27,2,),"")</f>
        <v/>
      </c>
      <c r="I2625" s="16" t="str">
        <f>IFERROR(VLOOKUP(A2625,Sheet1!$E$3:$G$27,3,0),"")</f>
        <v/>
      </c>
      <c r="J2625" s="20"/>
      <c r="K2625" s="17"/>
      <c r="L2625" s="17"/>
      <c r="M2625" s="13"/>
      <c r="N2625" s="23"/>
      <c r="O2625" s="22"/>
      <c r="P2625" s="22"/>
    </row>
    <row r="2626" ht="22.5" customHeight="1">
      <c r="A2626" s="20"/>
      <c r="B2626" s="20" t="str">
        <f>IFERROR(VLOOKUP(A2626,Sheet1!$E$3:$H$27,4,0),"")</f>
        <v/>
      </c>
      <c r="C2626" s="15"/>
      <c r="D2626" s="20"/>
      <c r="E2626" s="13" t="str">
        <f>IFERROR(VLOOKUP(D2626,Sheet1!$B$1:$C$45,2,0),"")</f>
        <v/>
      </c>
      <c r="F2626" s="20"/>
      <c r="G2626" s="13" t="str">
        <f t="shared" si="9"/>
        <v/>
      </c>
      <c r="H2626" s="15" t="str">
        <f>IFERROR(VLOOKUP(A2626,Sheet1!$E$3:$F$27,2,),"")</f>
        <v/>
      </c>
      <c r="I2626" s="16" t="str">
        <f>IFERROR(VLOOKUP(A2626,Sheet1!$E$3:$G$27,3,0),"")</f>
        <v/>
      </c>
      <c r="J2626" s="20"/>
      <c r="K2626" s="17"/>
      <c r="L2626" s="17"/>
      <c r="M2626" s="13"/>
      <c r="N2626" s="23"/>
      <c r="O2626" s="22"/>
      <c r="P2626" s="22"/>
    </row>
    <row r="2627" ht="22.5" customHeight="1">
      <c r="A2627" s="20"/>
      <c r="B2627" s="20" t="str">
        <f>IFERROR(VLOOKUP(A2627,Sheet1!$E$3:$H$27,4,0),"")</f>
        <v/>
      </c>
      <c r="C2627" s="15"/>
      <c r="D2627" s="20"/>
      <c r="E2627" s="13" t="str">
        <f>IFERROR(VLOOKUP(D2627,Sheet1!$B$1:$C$45,2,0),"")</f>
        <v/>
      </c>
      <c r="F2627" s="20"/>
      <c r="G2627" s="13" t="str">
        <f t="shared" si="9"/>
        <v/>
      </c>
      <c r="H2627" s="15" t="str">
        <f>IFERROR(VLOOKUP(A2627,Sheet1!$E$3:$F$27,2,),"")</f>
        <v/>
      </c>
      <c r="I2627" s="16" t="str">
        <f>IFERROR(VLOOKUP(A2627,Sheet1!$E$3:$G$27,3,0),"")</f>
        <v/>
      </c>
      <c r="J2627" s="20"/>
      <c r="K2627" s="17"/>
      <c r="L2627" s="17"/>
      <c r="M2627" s="13"/>
      <c r="N2627" s="23"/>
      <c r="O2627" s="22"/>
      <c r="P2627" s="22"/>
    </row>
    <row r="2628" ht="22.5" customHeight="1">
      <c r="A2628" s="20"/>
      <c r="B2628" s="20" t="str">
        <f>IFERROR(VLOOKUP(A2628,Sheet1!$E$3:$H$27,4,0),"")</f>
        <v/>
      </c>
      <c r="C2628" s="15"/>
      <c r="D2628" s="20"/>
      <c r="E2628" s="13" t="str">
        <f>IFERROR(VLOOKUP(D2628,Sheet1!$B$1:$C$45,2,0),"")</f>
        <v/>
      </c>
      <c r="F2628" s="20"/>
      <c r="G2628" s="13" t="str">
        <f t="shared" si="9"/>
        <v/>
      </c>
      <c r="H2628" s="15" t="str">
        <f>IFERROR(VLOOKUP(A2628,Sheet1!$E$3:$F$27,2,),"")</f>
        <v/>
      </c>
      <c r="I2628" s="16" t="str">
        <f>IFERROR(VLOOKUP(A2628,Sheet1!$E$3:$G$27,3,0),"")</f>
        <v/>
      </c>
      <c r="J2628" s="20"/>
      <c r="K2628" s="17"/>
      <c r="L2628" s="17"/>
      <c r="M2628" s="13"/>
      <c r="N2628" s="23"/>
      <c r="O2628" s="22"/>
      <c r="P2628" s="22"/>
    </row>
    <row r="2629" ht="22.5" customHeight="1">
      <c r="A2629" s="20"/>
      <c r="B2629" s="20" t="str">
        <f>IFERROR(VLOOKUP(A2629,Sheet1!$E$3:$H$27,4,0),"")</f>
        <v/>
      </c>
      <c r="C2629" s="15"/>
      <c r="D2629" s="20"/>
      <c r="E2629" s="13" t="str">
        <f>IFERROR(VLOOKUP(D2629,Sheet1!$B$1:$C$45,2,0),"")</f>
        <v/>
      </c>
      <c r="F2629" s="20"/>
      <c r="G2629" s="13" t="str">
        <f t="shared" si="9"/>
        <v/>
      </c>
      <c r="H2629" s="15" t="str">
        <f>IFERROR(VLOOKUP(A2629,Sheet1!$E$3:$F$27,2,),"")</f>
        <v/>
      </c>
      <c r="I2629" s="16" t="str">
        <f>IFERROR(VLOOKUP(A2629,Sheet1!$E$3:$G$27,3,0),"")</f>
        <v/>
      </c>
      <c r="J2629" s="20"/>
      <c r="K2629" s="17"/>
      <c r="L2629" s="17"/>
      <c r="M2629" s="13"/>
      <c r="N2629" s="23"/>
      <c r="O2629" s="22"/>
      <c r="P2629" s="22"/>
    </row>
    <row r="2630" ht="22.5" customHeight="1">
      <c r="A2630" s="20"/>
      <c r="B2630" s="20" t="str">
        <f>IFERROR(VLOOKUP(A2630,Sheet1!$E$3:$H$27,4,0),"")</f>
        <v/>
      </c>
      <c r="C2630" s="15"/>
      <c r="D2630" s="20"/>
      <c r="E2630" s="13" t="str">
        <f>IFERROR(VLOOKUP(D2630,Sheet1!$B$1:$C$45,2,0),"")</f>
        <v/>
      </c>
      <c r="F2630" s="20"/>
      <c r="G2630" s="13" t="str">
        <f t="shared" si="9"/>
        <v/>
      </c>
      <c r="H2630" s="15" t="str">
        <f>IFERROR(VLOOKUP(A2630,Sheet1!$E$3:$F$27,2,),"")</f>
        <v/>
      </c>
      <c r="I2630" s="16" t="str">
        <f>IFERROR(VLOOKUP(A2630,Sheet1!$E$3:$G$27,3,0),"")</f>
        <v/>
      </c>
      <c r="J2630" s="20"/>
      <c r="K2630" s="17"/>
      <c r="L2630" s="17"/>
      <c r="M2630" s="13"/>
      <c r="N2630" s="23"/>
      <c r="O2630" s="22"/>
      <c r="P2630" s="22"/>
    </row>
    <row r="2631" ht="22.5" customHeight="1">
      <c r="A2631" s="20"/>
      <c r="B2631" s="20" t="str">
        <f>IFERROR(VLOOKUP(A2631,Sheet1!$E$3:$H$27,4,0),"")</f>
        <v/>
      </c>
      <c r="C2631" s="15"/>
      <c r="D2631" s="20"/>
      <c r="E2631" s="13" t="str">
        <f>IFERROR(VLOOKUP(D2631,Sheet1!$B$1:$C$45,2,0),"")</f>
        <v/>
      </c>
      <c r="F2631" s="20"/>
      <c r="G2631" s="13" t="str">
        <f t="shared" si="9"/>
        <v/>
      </c>
      <c r="H2631" s="15" t="str">
        <f>IFERROR(VLOOKUP(A2631,Sheet1!$E$3:$F$27,2,),"")</f>
        <v/>
      </c>
      <c r="I2631" s="16" t="str">
        <f>IFERROR(VLOOKUP(A2631,Sheet1!$E$3:$G$27,3,0),"")</f>
        <v/>
      </c>
      <c r="J2631" s="20"/>
      <c r="K2631" s="17"/>
      <c r="L2631" s="17"/>
      <c r="M2631" s="13"/>
      <c r="N2631" s="23"/>
      <c r="O2631" s="22"/>
      <c r="P2631" s="22"/>
    </row>
    <row r="2632" ht="22.5" customHeight="1">
      <c r="A2632" s="20"/>
      <c r="B2632" s="20" t="str">
        <f>IFERROR(VLOOKUP(A2632,Sheet1!$E$3:$H$27,4,0),"")</f>
        <v/>
      </c>
      <c r="C2632" s="15"/>
      <c r="D2632" s="20"/>
      <c r="E2632" s="13" t="str">
        <f>IFERROR(VLOOKUP(D2632,Sheet1!$B$1:$C$45,2,0),"")</f>
        <v/>
      </c>
      <c r="F2632" s="20"/>
      <c r="G2632" s="13" t="str">
        <f t="shared" si="9"/>
        <v/>
      </c>
      <c r="H2632" s="15" t="str">
        <f>IFERROR(VLOOKUP(A2632,Sheet1!$E$3:$F$27,2,),"")</f>
        <v/>
      </c>
      <c r="I2632" s="16" t="str">
        <f>IFERROR(VLOOKUP(A2632,Sheet1!$E$3:$G$27,3,0),"")</f>
        <v/>
      </c>
      <c r="J2632" s="20"/>
      <c r="K2632" s="17"/>
      <c r="L2632" s="17"/>
      <c r="M2632" s="13"/>
      <c r="N2632" s="23"/>
      <c r="O2632" s="22"/>
      <c r="P2632" s="22"/>
    </row>
    <row r="2633" ht="22.5" customHeight="1">
      <c r="A2633" s="20"/>
      <c r="B2633" s="20" t="str">
        <f>IFERROR(VLOOKUP(A2633,Sheet1!$E$3:$H$27,4,0),"")</f>
        <v/>
      </c>
      <c r="C2633" s="15"/>
      <c r="D2633" s="20"/>
      <c r="E2633" s="13" t="str">
        <f>IFERROR(VLOOKUP(D2633,Sheet1!$B$1:$C$45,2,0),"")</f>
        <v/>
      </c>
      <c r="F2633" s="20"/>
      <c r="G2633" s="13" t="str">
        <f t="shared" si="9"/>
        <v/>
      </c>
      <c r="H2633" s="15" t="str">
        <f>IFERROR(VLOOKUP(A2633,Sheet1!$E$3:$F$27,2,),"")</f>
        <v/>
      </c>
      <c r="I2633" s="16" t="str">
        <f>IFERROR(VLOOKUP(A2633,Sheet1!$E$3:$G$27,3,0),"")</f>
        <v/>
      </c>
      <c r="J2633" s="20"/>
      <c r="K2633" s="17"/>
      <c r="L2633" s="17"/>
      <c r="M2633" s="13"/>
      <c r="N2633" s="23"/>
      <c r="O2633" s="22"/>
      <c r="P2633" s="22"/>
    </row>
    <row r="2634" ht="22.5" customHeight="1">
      <c r="A2634" s="20"/>
      <c r="B2634" s="20" t="str">
        <f>IFERROR(VLOOKUP(A2634,Sheet1!$E$3:$H$27,4,0),"")</f>
        <v/>
      </c>
      <c r="C2634" s="15"/>
      <c r="D2634" s="20"/>
      <c r="E2634" s="13" t="str">
        <f>IFERROR(VLOOKUP(D2634,Sheet1!$B$1:$C$45,2,0),"")</f>
        <v/>
      </c>
      <c r="F2634" s="20"/>
      <c r="G2634" s="13" t="str">
        <f t="shared" si="9"/>
        <v/>
      </c>
      <c r="H2634" s="15" t="str">
        <f>IFERROR(VLOOKUP(A2634,Sheet1!$E$3:$F$27,2,),"")</f>
        <v/>
      </c>
      <c r="I2634" s="16" t="str">
        <f>IFERROR(VLOOKUP(A2634,Sheet1!$E$3:$G$27,3,0),"")</f>
        <v/>
      </c>
      <c r="J2634" s="20"/>
      <c r="K2634" s="17"/>
      <c r="L2634" s="17"/>
      <c r="M2634" s="13"/>
      <c r="N2634" s="23"/>
      <c r="O2634" s="22"/>
      <c r="P2634" s="22"/>
    </row>
    <row r="2635" ht="22.5" customHeight="1">
      <c r="A2635" s="20"/>
      <c r="B2635" s="20" t="str">
        <f>IFERROR(VLOOKUP(A2635,Sheet1!$E$3:$H$27,4,0),"")</f>
        <v/>
      </c>
      <c r="C2635" s="15"/>
      <c r="D2635" s="20"/>
      <c r="E2635" s="13" t="str">
        <f>IFERROR(VLOOKUP(D2635,Sheet1!$B$1:$C$45,2,0),"")</f>
        <v/>
      </c>
      <c r="F2635" s="20"/>
      <c r="G2635" s="13" t="str">
        <f t="shared" si="9"/>
        <v/>
      </c>
      <c r="H2635" s="15" t="str">
        <f>IFERROR(VLOOKUP(A2635,Sheet1!$E$3:$F$27,2,),"")</f>
        <v/>
      </c>
      <c r="I2635" s="16" t="str">
        <f>IFERROR(VLOOKUP(A2635,Sheet1!$E$3:$G$27,3,0),"")</f>
        <v/>
      </c>
      <c r="J2635" s="20"/>
      <c r="K2635" s="17"/>
      <c r="L2635" s="17"/>
      <c r="M2635" s="13"/>
      <c r="N2635" s="23"/>
      <c r="O2635" s="22"/>
      <c r="P2635" s="22"/>
    </row>
    <row r="2636" ht="22.5" customHeight="1">
      <c r="A2636" s="20"/>
      <c r="B2636" s="20" t="str">
        <f>IFERROR(VLOOKUP(A2636,Sheet1!$E$3:$H$27,4,0),"")</f>
        <v/>
      </c>
      <c r="C2636" s="15"/>
      <c r="D2636" s="20"/>
      <c r="E2636" s="13" t="str">
        <f>IFERROR(VLOOKUP(D2636,Sheet1!$B$1:$C$45,2,0),"")</f>
        <v/>
      </c>
      <c r="F2636" s="20"/>
      <c r="G2636" s="13" t="str">
        <f t="shared" si="9"/>
        <v/>
      </c>
      <c r="H2636" s="15" t="str">
        <f>IFERROR(VLOOKUP(A2636,Sheet1!$E$3:$F$27,2,),"")</f>
        <v/>
      </c>
      <c r="I2636" s="16" t="str">
        <f>IFERROR(VLOOKUP(A2636,Sheet1!$E$3:$G$27,3,0),"")</f>
        <v/>
      </c>
      <c r="J2636" s="20"/>
      <c r="K2636" s="17"/>
      <c r="L2636" s="17"/>
      <c r="M2636" s="13"/>
      <c r="N2636" s="23"/>
      <c r="O2636" s="22"/>
      <c r="P2636" s="22"/>
    </row>
    <row r="2637" ht="22.5" customHeight="1">
      <c r="A2637" s="20"/>
      <c r="B2637" s="20" t="str">
        <f>IFERROR(VLOOKUP(A2637,Sheet1!$E$3:$H$27,4,0),"")</f>
        <v/>
      </c>
      <c r="C2637" s="15"/>
      <c r="D2637" s="20"/>
      <c r="E2637" s="13" t="str">
        <f>IFERROR(VLOOKUP(D2637,Sheet1!$B$1:$C$45,2,0),"")</f>
        <v/>
      </c>
      <c r="F2637" s="20"/>
      <c r="G2637" s="13" t="str">
        <f t="shared" si="9"/>
        <v/>
      </c>
      <c r="H2637" s="15" t="str">
        <f>IFERROR(VLOOKUP(A2637,Sheet1!$E$3:$F$27,2,),"")</f>
        <v/>
      </c>
      <c r="I2637" s="16" t="str">
        <f>IFERROR(VLOOKUP(A2637,Sheet1!$E$3:$G$27,3,0),"")</f>
        <v/>
      </c>
      <c r="J2637" s="20"/>
      <c r="K2637" s="17"/>
      <c r="L2637" s="17"/>
      <c r="M2637" s="13"/>
      <c r="N2637" s="23"/>
      <c r="O2637" s="22"/>
      <c r="P2637" s="22"/>
    </row>
    <row r="2638" ht="22.5" customHeight="1">
      <c r="A2638" s="20"/>
      <c r="B2638" s="20" t="str">
        <f>IFERROR(VLOOKUP(A2638,Sheet1!$E$3:$H$27,4,0),"")</f>
        <v/>
      </c>
      <c r="C2638" s="15"/>
      <c r="D2638" s="20"/>
      <c r="E2638" s="13" t="str">
        <f>IFERROR(VLOOKUP(D2638,Sheet1!$B$1:$C$45,2,0),"")</f>
        <v/>
      </c>
      <c r="F2638" s="20"/>
      <c r="G2638" s="13" t="str">
        <f t="shared" si="9"/>
        <v/>
      </c>
      <c r="H2638" s="15" t="str">
        <f>IFERROR(VLOOKUP(A2638,Sheet1!$E$3:$F$27,2,),"")</f>
        <v/>
      </c>
      <c r="I2638" s="16" t="str">
        <f>IFERROR(VLOOKUP(A2638,Sheet1!$E$3:$G$27,3,0),"")</f>
        <v/>
      </c>
      <c r="J2638" s="20"/>
      <c r="K2638" s="17"/>
      <c r="L2638" s="17"/>
      <c r="M2638" s="13"/>
      <c r="N2638" s="23"/>
      <c r="O2638" s="22"/>
      <c r="P2638" s="22"/>
    </row>
    <row r="2639" ht="22.5" customHeight="1">
      <c r="A2639" s="20"/>
      <c r="B2639" s="20" t="str">
        <f>IFERROR(VLOOKUP(A2639,Sheet1!$E$3:$H$27,4,0),"")</f>
        <v/>
      </c>
      <c r="C2639" s="15"/>
      <c r="D2639" s="20"/>
      <c r="E2639" s="13" t="str">
        <f>IFERROR(VLOOKUP(D2639,Sheet1!$B$1:$C$45,2,0),"")</f>
        <v/>
      </c>
      <c r="F2639" s="20"/>
      <c r="G2639" s="13" t="str">
        <f t="shared" si="9"/>
        <v/>
      </c>
      <c r="H2639" s="15" t="str">
        <f>IFERROR(VLOOKUP(A2639,Sheet1!$E$3:$F$27,2,),"")</f>
        <v/>
      </c>
      <c r="I2639" s="16" t="str">
        <f>IFERROR(VLOOKUP(A2639,Sheet1!$E$3:$G$27,3,0),"")</f>
        <v/>
      </c>
      <c r="J2639" s="20"/>
      <c r="K2639" s="17"/>
      <c r="L2639" s="17"/>
      <c r="M2639" s="13"/>
      <c r="N2639" s="23"/>
      <c r="O2639" s="22"/>
      <c r="P2639" s="22"/>
    </row>
    <row r="2640" ht="22.5" customHeight="1">
      <c r="A2640" s="20"/>
      <c r="B2640" s="20" t="str">
        <f>IFERROR(VLOOKUP(A2640,Sheet1!$E$3:$H$27,4,0),"")</f>
        <v/>
      </c>
      <c r="C2640" s="15"/>
      <c r="D2640" s="20"/>
      <c r="E2640" s="13" t="str">
        <f>IFERROR(VLOOKUP(D2640,Sheet1!$B$1:$C$45,2,0),"")</f>
        <v/>
      </c>
      <c r="F2640" s="20"/>
      <c r="G2640" s="13" t="str">
        <f t="shared" si="9"/>
        <v/>
      </c>
      <c r="H2640" s="15" t="str">
        <f>IFERROR(VLOOKUP(A2640,Sheet1!$E$3:$F$27,2,),"")</f>
        <v/>
      </c>
      <c r="I2640" s="16" t="str">
        <f>IFERROR(VLOOKUP(A2640,Sheet1!$E$3:$G$27,3,0),"")</f>
        <v/>
      </c>
      <c r="J2640" s="20"/>
      <c r="K2640" s="17"/>
      <c r="L2640" s="17"/>
      <c r="M2640" s="13"/>
      <c r="N2640" s="23"/>
      <c r="O2640" s="22"/>
      <c r="P2640" s="22"/>
    </row>
    <row r="2641" ht="22.5" customHeight="1">
      <c r="A2641" s="20"/>
      <c r="B2641" s="20" t="str">
        <f>IFERROR(VLOOKUP(A2641,Sheet1!$E$3:$H$27,4,0),"")</f>
        <v/>
      </c>
      <c r="C2641" s="15"/>
      <c r="D2641" s="20"/>
      <c r="E2641" s="13" t="str">
        <f>IFERROR(VLOOKUP(D2641,Sheet1!$B$1:$C$45,2,0),"")</f>
        <v/>
      </c>
      <c r="F2641" s="20"/>
      <c r="G2641" s="13" t="str">
        <f t="shared" si="9"/>
        <v/>
      </c>
      <c r="H2641" s="15" t="str">
        <f>IFERROR(VLOOKUP(A2641,Sheet1!$E$3:$F$27,2,),"")</f>
        <v/>
      </c>
      <c r="I2641" s="16" t="str">
        <f>IFERROR(VLOOKUP(A2641,Sheet1!$E$3:$G$27,3,0),"")</f>
        <v/>
      </c>
      <c r="J2641" s="20"/>
      <c r="K2641" s="17"/>
      <c r="L2641" s="17"/>
      <c r="M2641" s="13"/>
      <c r="N2641" s="23"/>
      <c r="O2641" s="22"/>
      <c r="P2641" s="22"/>
    </row>
    <row r="2642" ht="22.5" customHeight="1">
      <c r="A2642" s="20"/>
      <c r="B2642" s="20" t="str">
        <f>IFERROR(VLOOKUP(A2642,Sheet1!$E$3:$H$27,4,0),"")</f>
        <v/>
      </c>
      <c r="C2642" s="15"/>
      <c r="D2642" s="20"/>
      <c r="E2642" s="13" t="str">
        <f>IFERROR(VLOOKUP(D2642,Sheet1!$B$1:$C$45,2,0),"")</f>
        <v/>
      </c>
      <c r="F2642" s="20"/>
      <c r="G2642" s="13" t="str">
        <f t="shared" si="9"/>
        <v/>
      </c>
      <c r="H2642" s="15" t="str">
        <f>IFERROR(VLOOKUP(A2642,Sheet1!$E$3:$F$27,2,),"")</f>
        <v/>
      </c>
      <c r="I2642" s="16" t="str">
        <f>IFERROR(VLOOKUP(A2642,Sheet1!$E$3:$G$27,3,0),"")</f>
        <v/>
      </c>
      <c r="J2642" s="20"/>
      <c r="K2642" s="17"/>
      <c r="L2642" s="17"/>
      <c r="M2642" s="13"/>
      <c r="N2642" s="23"/>
      <c r="O2642" s="22"/>
      <c r="P2642" s="22"/>
    </row>
    <row r="2643" ht="22.5" customHeight="1">
      <c r="A2643" s="20"/>
      <c r="B2643" s="20" t="str">
        <f>IFERROR(VLOOKUP(A2643,Sheet1!$E$3:$H$27,4,0),"")</f>
        <v/>
      </c>
      <c r="C2643" s="15"/>
      <c r="D2643" s="20"/>
      <c r="E2643" s="13" t="str">
        <f>IFERROR(VLOOKUP(D2643,Sheet1!$B$1:$C$45,2,0),"")</f>
        <v/>
      </c>
      <c r="F2643" s="20"/>
      <c r="G2643" s="13" t="str">
        <f t="shared" si="9"/>
        <v/>
      </c>
      <c r="H2643" s="15" t="str">
        <f>IFERROR(VLOOKUP(A2643,Sheet1!$E$3:$F$27,2,),"")</f>
        <v/>
      </c>
      <c r="I2643" s="16" t="str">
        <f>IFERROR(VLOOKUP(A2643,Sheet1!$E$3:$G$27,3,0),"")</f>
        <v/>
      </c>
      <c r="J2643" s="20"/>
      <c r="K2643" s="17"/>
      <c r="L2643" s="17"/>
      <c r="M2643" s="13"/>
      <c r="N2643" s="23"/>
      <c r="O2643" s="22"/>
      <c r="P2643" s="22"/>
    </row>
    <row r="2644" ht="22.5" customHeight="1">
      <c r="A2644" s="20"/>
      <c r="B2644" s="20" t="str">
        <f>IFERROR(VLOOKUP(A2644,Sheet1!$E$3:$H$27,4,0),"")</f>
        <v/>
      </c>
      <c r="C2644" s="15"/>
      <c r="D2644" s="20"/>
      <c r="E2644" s="13" t="str">
        <f>IFERROR(VLOOKUP(D2644,Sheet1!$B$1:$C$45,2,0),"")</f>
        <v/>
      </c>
      <c r="F2644" s="20"/>
      <c r="G2644" s="13" t="str">
        <f t="shared" si="9"/>
        <v/>
      </c>
      <c r="H2644" s="15" t="str">
        <f>IFERROR(VLOOKUP(A2644,Sheet1!$E$3:$F$27,2,),"")</f>
        <v/>
      </c>
      <c r="I2644" s="16" t="str">
        <f>IFERROR(VLOOKUP(A2644,Sheet1!$E$3:$G$27,3,0),"")</f>
        <v/>
      </c>
      <c r="J2644" s="20"/>
      <c r="K2644" s="17"/>
      <c r="L2644" s="17"/>
      <c r="M2644" s="13"/>
      <c r="N2644" s="23"/>
      <c r="O2644" s="22"/>
      <c r="P2644" s="22"/>
    </row>
    <row r="2645" ht="22.5" customHeight="1">
      <c r="A2645" s="20"/>
      <c r="B2645" s="20" t="str">
        <f>IFERROR(VLOOKUP(A2645,Sheet1!$E$3:$H$27,4,0),"")</f>
        <v/>
      </c>
      <c r="C2645" s="15"/>
      <c r="D2645" s="20"/>
      <c r="E2645" s="13" t="str">
        <f>IFERROR(VLOOKUP(D2645,Sheet1!$B$1:$C$45,2,0),"")</f>
        <v/>
      </c>
      <c r="F2645" s="20"/>
      <c r="G2645" s="13" t="str">
        <f t="shared" si="9"/>
        <v/>
      </c>
      <c r="H2645" s="15" t="str">
        <f>IFERROR(VLOOKUP(A2645,Sheet1!$E$3:$F$27,2,),"")</f>
        <v/>
      </c>
      <c r="I2645" s="16" t="str">
        <f>IFERROR(VLOOKUP(A2645,Sheet1!$E$3:$G$27,3,0),"")</f>
        <v/>
      </c>
      <c r="J2645" s="20"/>
      <c r="K2645" s="17"/>
      <c r="L2645" s="17"/>
      <c r="M2645" s="13"/>
      <c r="N2645" s="23"/>
      <c r="O2645" s="22"/>
      <c r="P2645" s="22"/>
    </row>
    <row r="2646" ht="22.5" customHeight="1">
      <c r="A2646" s="20"/>
      <c r="B2646" s="20" t="str">
        <f>IFERROR(VLOOKUP(A2646,Sheet1!$E$3:$H$27,4,0),"")</f>
        <v/>
      </c>
      <c r="C2646" s="15"/>
      <c r="D2646" s="20"/>
      <c r="E2646" s="13" t="str">
        <f>IFERROR(VLOOKUP(D2646,Sheet1!$B$1:$C$45,2,0),"")</f>
        <v/>
      </c>
      <c r="F2646" s="20"/>
      <c r="G2646" s="13" t="str">
        <f t="shared" si="9"/>
        <v/>
      </c>
      <c r="H2646" s="15" t="str">
        <f>IFERROR(VLOOKUP(A2646,Sheet1!$E$3:$F$27,2,),"")</f>
        <v/>
      </c>
      <c r="I2646" s="16" t="str">
        <f>IFERROR(VLOOKUP(A2646,Sheet1!$E$3:$G$27,3,0),"")</f>
        <v/>
      </c>
      <c r="J2646" s="20"/>
      <c r="K2646" s="17"/>
      <c r="L2646" s="17"/>
      <c r="M2646" s="13"/>
      <c r="N2646" s="23"/>
      <c r="O2646" s="22"/>
      <c r="P2646" s="22"/>
    </row>
    <row r="2647" ht="22.5" customHeight="1">
      <c r="A2647" s="20"/>
      <c r="B2647" s="20" t="str">
        <f>IFERROR(VLOOKUP(A2647,Sheet1!$E$3:$H$27,4,0),"")</f>
        <v/>
      </c>
      <c r="C2647" s="15"/>
      <c r="D2647" s="20"/>
      <c r="E2647" s="13" t="str">
        <f>IFERROR(VLOOKUP(D2647,Sheet1!$B$1:$C$45,2,0),"")</f>
        <v/>
      </c>
      <c r="F2647" s="20"/>
      <c r="G2647" s="13" t="str">
        <f t="shared" si="9"/>
        <v/>
      </c>
      <c r="H2647" s="15" t="str">
        <f>IFERROR(VLOOKUP(A2647,Sheet1!$E$3:$F$27,2,),"")</f>
        <v/>
      </c>
      <c r="I2647" s="16" t="str">
        <f>IFERROR(VLOOKUP(A2647,Sheet1!$E$3:$G$27,3,0),"")</f>
        <v/>
      </c>
      <c r="J2647" s="20"/>
      <c r="K2647" s="17"/>
      <c r="L2647" s="17"/>
      <c r="M2647" s="13"/>
      <c r="N2647" s="23"/>
      <c r="O2647" s="22"/>
      <c r="P2647" s="22"/>
    </row>
    <row r="2648" ht="22.5" customHeight="1">
      <c r="A2648" s="20"/>
      <c r="B2648" s="20" t="str">
        <f>IFERROR(VLOOKUP(A2648,Sheet1!$E$3:$H$27,4,0),"")</f>
        <v/>
      </c>
      <c r="C2648" s="15"/>
      <c r="D2648" s="20"/>
      <c r="E2648" s="13" t="str">
        <f>IFERROR(VLOOKUP(D2648,Sheet1!$B$1:$C$45,2,0),"")</f>
        <v/>
      </c>
      <c r="F2648" s="20"/>
      <c r="G2648" s="13" t="str">
        <f t="shared" si="9"/>
        <v/>
      </c>
      <c r="H2648" s="15" t="str">
        <f>IFERROR(VLOOKUP(A2648,Sheet1!$E$3:$F$27,2,),"")</f>
        <v/>
      </c>
      <c r="I2648" s="16" t="str">
        <f>IFERROR(VLOOKUP(A2648,Sheet1!$E$3:$G$27,3,0),"")</f>
        <v/>
      </c>
      <c r="J2648" s="20"/>
      <c r="K2648" s="17"/>
      <c r="L2648" s="17"/>
      <c r="M2648" s="13"/>
      <c r="N2648" s="23"/>
      <c r="O2648" s="22"/>
      <c r="P2648" s="22"/>
    </row>
    <row r="2649" ht="22.5" customHeight="1">
      <c r="A2649" s="20"/>
      <c r="B2649" s="20" t="str">
        <f>IFERROR(VLOOKUP(A2649,Sheet1!$E$3:$H$27,4,0),"")</f>
        <v/>
      </c>
      <c r="C2649" s="15"/>
      <c r="D2649" s="20"/>
      <c r="E2649" s="13" t="str">
        <f>IFERROR(VLOOKUP(D2649,Sheet1!$B$1:$C$45,2,0),"")</f>
        <v/>
      </c>
      <c r="F2649" s="20"/>
      <c r="G2649" s="13" t="str">
        <f t="shared" si="9"/>
        <v/>
      </c>
      <c r="H2649" s="15" t="str">
        <f>IFERROR(VLOOKUP(A2649,Sheet1!$E$3:$F$27,2,),"")</f>
        <v/>
      </c>
      <c r="I2649" s="16" t="str">
        <f>IFERROR(VLOOKUP(A2649,Sheet1!$E$3:$G$27,3,0),"")</f>
        <v/>
      </c>
      <c r="J2649" s="20"/>
      <c r="K2649" s="17"/>
      <c r="L2649" s="17"/>
      <c r="M2649" s="13"/>
      <c r="N2649" s="23"/>
      <c r="O2649" s="22"/>
      <c r="P2649" s="22"/>
    </row>
    <row r="2650" ht="22.5" customHeight="1">
      <c r="A2650" s="20"/>
      <c r="B2650" s="20" t="str">
        <f>IFERROR(VLOOKUP(A2650,Sheet1!$E$3:$H$27,4,0),"")</f>
        <v/>
      </c>
      <c r="C2650" s="15"/>
      <c r="D2650" s="20"/>
      <c r="E2650" s="13" t="str">
        <f>IFERROR(VLOOKUP(D2650,Sheet1!$B$1:$C$45,2,0),"")</f>
        <v/>
      </c>
      <c r="F2650" s="20"/>
      <c r="G2650" s="13" t="str">
        <f t="shared" si="9"/>
        <v/>
      </c>
      <c r="H2650" s="15" t="str">
        <f>IFERROR(VLOOKUP(A2650,Sheet1!$E$3:$F$27,2,),"")</f>
        <v/>
      </c>
      <c r="I2650" s="16" t="str">
        <f>IFERROR(VLOOKUP(A2650,Sheet1!$E$3:$G$27,3,0),"")</f>
        <v/>
      </c>
      <c r="J2650" s="20"/>
      <c r="K2650" s="17"/>
      <c r="L2650" s="17"/>
      <c r="M2650" s="13"/>
      <c r="N2650" s="23"/>
      <c r="O2650" s="22"/>
      <c r="P2650" s="22"/>
    </row>
    <row r="2651" ht="22.5" customHeight="1">
      <c r="A2651" s="20"/>
      <c r="B2651" s="20" t="str">
        <f>IFERROR(VLOOKUP(A2651,Sheet1!$E$3:$H$27,4,0),"")</f>
        <v/>
      </c>
      <c r="C2651" s="15"/>
      <c r="D2651" s="20"/>
      <c r="E2651" s="13" t="str">
        <f>IFERROR(VLOOKUP(D2651,Sheet1!$B$1:$C$45,2,0),"")</f>
        <v/>
      </c>
      <c r="F2651" s="20"/>
      <c r="G2651" s="13" t="str">
        <f t="shared" si="9"/>
        <v/>
      </c>
      <c r="H2651" s="15" t="str">
        <f>IFERROR(VLOOKUP(A2651,Sheet1!$E$3:$F$27,2,),"")</f>
        <v/>
      </c>
      <c r="I2651" s="16" t="str">
        <f>IFERROR(VLOOKUP(A2651,Sheet1!$E$3:$G$27,3,0),"")</f>
        <v/>
      </c>
      <c r="J2651" s="20"/>
      <c r="K2651" s="17"/>
      <c r="L2651" s="17"/>
      <c r="M2651" s="13"/>
      <c r="N2651" s="23"/>
      <c r="O2651" s="22"/>
      <c r="P2651" s="22"/>
    </row>
    <row r="2652" ht="22.5" customHeight="1">
      <c r="A2652" s="20"/>
      <c r="B2652" s="20" t="str">
        <f>IFERROR(VLOOKUP(A2652,Sheet1!$E$3:$H$27,4,0),"")</f>
        <v/>
      </c>
      <c r="C2652" s="15"/>
      <c r="D2652" s="20"/>
      <c r="E2652" s="13" t="str">
        <f>IFERROR(VLOOKUP(D2652,Sheet1!$B$1:$C$45,2,0),"")</f>
        <v/>
      </c>
      <c r="F2652" s="20"/>
      <c r="G2652" s="13" t="str">
        <f t="shared" si="9"/>
        <v/>
      </c>
      <c r="H2652" s="15" t="str">
        <f>IFERROR(VLOOKUP(A2652,Sheet1!$E$3:$F$27,2,),"")</f>
        <v/>
      </c>
      <c r="I2652" s="16" t="str">
        <f>IFERROR(VLOOKUP(A2652,Sheet1!$E$3:$G$27,3,0),"")</f>
        <v/>
      </c>
      <c r="J2652" s="20"/>
      <c r="K2652" s="17"/>
      <c r="L2652" s="17"/>
      <c r="M2652" s="13"/>
      <c r="N2652" s="23"/>
      <c r="O2652" s="22"/>
      <c r="P2652" s="22"/>
    </row>
    <row r="2653" ht="22.5" customHeight="1">
      <c r="A2653" s="20"/>
      <c r="B2653" s="20" t="str">
        <f>IFERROR(VLOOKUP(A2653,Sheet1!$E$3:$H$27,4,0),"")</f>
        <v/>
      </c>
      <c r="C2653" s="15"/>
      <c r="D2653" s="20"/>
      <c r="E2653" s="13" t="str">
        <f>IFERROR(VLOOKUP(D2653,Sheet1!$B$1:$C$45,2,0),"")</f>
        <v/>
      </c>
      <c r="F2653" s="20"/>
      <c r="G2653" s="13" t="str">
        <f t="shared" si="9"/>
        <v/>
      </c>
      <c r="H2653" s="15" t="str">
        <f>IFERROR(VLOOKUP(A2653,Sheet1!$E$3:$F$27,2,),"")</f>
        <v/>
      </c>
      <c r="I2653" s="16" t="str">
        <f>IFERROR(VLOOKUP(A2653,Sheet1!$E$3:$G$27,3,0),"")</f>
        <v/>
      </c>
      <c r="J2653" s="20"/>
      <c r="K2653" s="17"/>
      <c r="L2653" s="17"/>
      <c r="M2653" s="13"/>
      <c r="N2653" s="23"/>
      <c r="O2653" s="22"/>
      <c r="P2653" s="22"/>
    </row>
    <row r="2654" ht="22.5" customHeight="1">
      <c r="A2654" s="20"/>
      <c r="B2654" s="20" t="str">
        <f>IFERROR(VLOOKUP(A2654,Sheet1!$E$3:$H$27,4,0),"")</f>
        <v/>
      </c>
      <c r="C2654" s="15"/>
      <c r="D2654" s="20"/>
      <c r="E2654" s="13" t="str">
        <f>IFERROR(VLOOKUP(D2654,Sheet1!$B$1:$C$45,2,0),"")</f>
        <v/>
      </c>
      <c r="F2654" s="20"/>
      <c r="G2654" s="13" t="str">
        <f t="shared" si="9"/>
        <v/>
      </c>
      <c r="H2654" s="15" t="str">
        <f>IFERROR(VLOOKUP(A2654,Sheet1!$E$3:$F$27,2,),"")</f>
        <v/>
      </c>
      <c r="I2654" s="16" t="str">
        <f>IFERROR(VLOOKUP(A2654,Sheet1!$E$3:$G$27,3,0),"")</f>
        <v/>
      </c>
      <c r="J2654" s="20"/>
      <c r="K2654" s="17"/>
      <c r="L2654" s="17"/>
      <c r="M2654" s="13"/>
      <c r="N2654" s="23"/>
      <c r="O2654" s="22"/>
      <c r="P2654" s="22"/>
    </row>
    <row r="2655" ht="22.5" customHeight="1">
      <c r="A2655" s="20"/>
      <c r="B2655" s="20" t="str">
        <f>IFERROR(VLOOKUP(A2655,Sheet1!$E$3:$H$27,4,0),"")</f>
        <v/>
      </c>
      <c r="C2655" s="15"/>
      <c r="D2655" s="20"/>
      <c r="E2655" s="13" t="str">
        <f>IFERROR(VLOOKUP(D2655,Sheet1!$B$1:$C$45,2,0),"")</f>
        <v/>
      </c>
      <c r="F2655" s="20"/>
      <c r="G2655" s="13" t="str">
        <f t="shared" si="9"/>
        <v/>
      </c>
      <c r="H2655" s="15" t="str">
        <f>IFERROR(VLOOKUP(A2655,Sheet1!$E$3:$F$27,2,),"")</f>
        <v/>
      </c>
      <c r="I2655" s="16" t="str">
        <f>IFERROR(VLOOKUP(A2655,Sheet1!$E$3:$G$27,3,0),"")</f>
        <v/>
      </c>
      <c r="J2655" s="20"/>
      <c r="K2655" s="17"/>
      <c r="L2655" s="17"/>
      <c r="M2655" s="13"/>
      <c r="N2655" s="23"/>
      <c r="O2655" s="22"/>
      <c r="P2655" s="22"/>
    </row>
    <row r="2656" ht="22.5" customHeight="1">
      <c r="A2656" s="20"/>
      <c r="B2656" s="20" t="str">
        <f>IFERROR(VLOOKUP(A2656,Sheet1!$E$3:$H$27,4,0),"")</f>
        <v/>
      </c>
      <c r="C2656" s="15"/>
      <c r="D2656" s="20"/>
      <c r="E2656" s="13" t="str">
        <f>IFERROR(VLOOKUP(D2656,Sheet1!$B$1:$C$45,2,0),"")</f>
        <v/>
      </c>
      <c r="F2656" s="20"/>
      <c r="G2656" s="13" t="str">
        <f t="shared" si="9"/>
        <v/>
      </c>
      <c r="H2656" s="15" t="str">
        <f>IFERROR(VLOOKUP(A2656,Sheet1!$E$3:$F$27,2,),"")</f>
        <v/>
      </c>
      <c r="I2656" s="16" t="str">
        <f>IFERROR(VLOOKUP(A2656,Sheet1!$E$3:$G$27,3,0),"")</f>
        <v/>
      </c>
      <c r="J2656" s="20"/>
      <c r="K2656" s="17"/>
      <c r="L2656" s="17"/>
      <c r="M2656" s="13"/>
      <c r="N2656" s="23"/>
      <c r="O2656" s="22"/>
      <c r="P2656" s="22"/>
    </row>
    <row r="2657" ht="22.5" customHeight="1">
      <c r="A2657" s="20"/>
      <c r="B2657" s="20" t="str">
        <f>IFERROR(VLOOKUP(A2657,Sheet1!$E$3:$H$27,4,0),"")</f>
        <v/>
      </c>
      <c r="C2657" s="15"/>
      <c r="D2657" s="20"/>
      <c r="E2657" s="13" t="str">
        <f>IFERROR(VLOOKUP(D2657,Sheet1!$B$1:$C$45,2,0),"")</f>
        <v/>
      </c>
      <c r="F2657" s="20"/>
      <c r="G2657" s="13" t="str">
        <f t="shared" si="9"/>
        <v/>
      </c>
      <c r="H2657" s="15" t="str">
        <f>IFERROR(VLOOKUP(A2657,Sheet1!$E$3:$F$27,2,),"")</f>
        <v/>
      </c>
      <c r="I2657" s="16" t="str">
        <f>IFERROR(VLOOKUP(A2657,Sheet1!$E$3:$G$27,3,0),"")</f>
        <v/>
      </c>
      <c r="J2657" s="20"/>
      <c r="K2657" s="17"/>
      <c r="L2657" s="17"/>
      <c r="M2657" s="13"/>
      <c r="N2657" s="23"/>
      <c r="O2657" s="22"/>
      <c r="P2657" s="22"/>
    </row>
    <row r="2658" ht="22.5" customHeight="1">
      <c r="A2658" s="20"/>
      <c r="B2658" s="20" t="str">
        <f>IFERROR(VLOOKUP(A2658,Sheet1!$E$3:$H$27,4,0),"")</f>
        <v/>
      </c>
      <c r="C2658" s="15"/>
      <c r="D2658" s="20"/>
      <c r="E2658" s="13" t="str">
        <f>IFERROR(VLOOKUP(D2658,Sheet1!$B$1:$C$45,2,0),"")</f>
        <v/>
      </c>
      <c r="F2658" s="20"/>
      <c r="G2658" s="13" t="str">
        <f t="shared" si="9"/>
        <v/>
      </c>
      <c r="H2658" s="15" t="str">
        <f>IFERROR(VLOOKUP(A2658,Sheet1!$E$3:$F$27,2,),"")</f>
        <v/>
      </c>
      <c r="I2658" s="16" t="str">
        <f>IFERROR(VLOOKUP(A2658,Sheet1!$E$3:$G$27,3,0),"")</f>
        <v/>
      </c>
      <c r="J2658" s="20"/>
      <c r="K2658" s="17"/>
      <c r="L2658" s="17"/>
      <c r="M2658" s="13"/>
      <c r="N2658" s="23"/>
      <c r="O2658" s="22"/>
      <c r="P2658" s="22"/>
    </row>
    <row r="2659" ht="22.5" customHeight="1">
      <c r="A2659" s="20"/>
      <c r="B2659" s="20" t="str">
        <f>IFERROR(VLOOKUP(A2659,Sheet1!$E$3:$H$27,4,0),"")</f>
        <v/>
      </c>
      <c r="C2659" s="15"/>
      <c r="D2659" s="20"/>
      <c r="E2659" s="13" t="str">
        <f>IFERROR(VLOOKUP(D2659,Sheet1!$B$1:$C$45,2,0),"")</f>
        <v/>
      </c>
      <c r="F2659" s="20"/>
      <c r="G2659" s="13" t="str">
        <f t="shared" si="9"/>
        <v/>
      </c>
      <c r="H2659" s="15" t="str">
        <f>IFERROR(VLOOKUP(A2659,Sheet1!$E$3:$F$27,2,),"")</f>
        <v/>
      </c>
      <c r="I2659" s="16" t="str">
        <f>IFERROR(VLOOKUP(A2659,Sheet1!$E$3:$G$27,3,0),"")</f>
        <v/>
      </c>
      <c r="J2659" s="20"/>
      <c r="K2659" s="17"/>
      <c r="L2659" s="17"/>
      <c r="M2659" s="13"/>
      <c r="N2659" s="23"/>
      <c r="O2659" s="22"/>
      <c r="P2659" s="22"/>
    </row>
    <row r="2660" ht="22.5" customHeight="1">
      <c r="A2660" s="20"/>
      <c r="B2660" s="20" t="str">
        <f>IFERROR(VLOOKUP(A2660,Sheet1!$E$3:$H$27,4,0),"")</f>
        <v/>
      </c>
      <c r="C2660" s="15"/>
      <c r="D2660" s="20"/>
      <c r="E2660" s="13" t="str">
        <f>IFERROR(VLOOKUP(D2660,Sheet1!$B$1:$C$45,2,0),"")</f>
        <v/>
      </c>
      <c r="F2660" s="20"/>
      <c r="G2660" s="13" t="str">
        <f t="shared" si="9"/>
        <v/>
      </c>
      <c r="H2660" s="15" t="str">
        <f>IFERROR(VLOOKUP(A2660,Sheet1!$E$3:$F$27,2,),"")</f>
        <v/>
      </c>
      <c r="I2660" s="16" t="str">
        <f>IFERROR(VLOOKUP(A2660,Sheet1!$E$3:$G$27,3,0),"")</f>
        <v/>
      </c>
      <c r="J2660" s="20"/>
      <c r="K2660" s="17"/>
      <c r="L2660" s="17"/>
      <c r="M2660" s="13"/>
      <c r="N2660" s="23"/>
      <c r="O2660" s="22"/>
      <c r="P2660" s="22"/>
    </row>
    <row r="2661" ht="22.5" customHeight="1">
      <c r="A2661" s="20"/>
      <c r="B2661" s="20" t="str">
        <f>IFERROR(VLOOKUP(A2661,Sheet1!$E$3:$H$27,4,0),"")</f>
        <v/>
      </c>
      <c r="C2661" s="15"/>
      <c r="D2661" s="20"/>
      <c r="E2661" s="13" t="str">
        <f>IFERROR(VLOOKUP(D2661,Sheet1!$B$1:$C$45,2,0),"")</f>
        <v/>
      </c>
      <c r="F2661" s="20"/>
      <c r="G2661" s="13" t="str">
        <f t="shared" si="9"/>
        <v/>
      </c>
      <c r="H2661" s="15" t="str">
        <f>IFERROR(VLOOKUP(A2661,Sheet1!$E$3:$F$27,2,),"")</f>
        <v/>
      </c>
      <c r="I2661" s="16" t="str">
        <f>IFERROR(VLOOKUP(A2661,Sheet1!$E$3:$G$27,3,0),"")</f>
        <v/>
      </c>
      <c r="J2661" s="20"/>
      <c r="K2661" s="17"/>
      <c r="L2661" s="17"/>
      <c r="M2661" s="13"/>
      <c r="N2661" s="23"/>
      <c r="O2661" s="22"/>
      <c r="P2661" s="22"/>
    </row>
    <row r="2662" ht="22.5" customHeight="1">
      <c r="A2662" s="20"/>
      <c r="B2662" s="20" t="str">
        <f>IFERROR(VLOOKUP(A2662,Sheet1!$E$3:$H$27,4,0),"")</f>
        <v/>
      </c>
      <c r="C2662" s="15"/>
      <c r="D2662" s="20"/>
      <c r="E2662" s="13" t="str">
        <f>IFERROR(VLOOKUP(D2662,Sheet1!$B$1:$C$45,2,0),"")</f>
        <v/>
      </c>
      <c r="F2662" s="20"/>
      <c r="G2662" s="13" t="str">
        <f t="shared" si="9"/>
        <v/>
      </c>
      <c r="H2662" s="15" t="str">
        <f>IFERROR(VLOOKUP(A2662,Sheet1!$E$3:$F$27,2,),"")</f>
        <v/>
      </c>
      <c r="I2662" s="16" t="str">
        <f>IFERROR(VLOOKUP(A2662,Sheet1!$E$3:$G$27,3,0),"")</f>
        <v/>
      </c>
      <c r="J2662" s="20"/>
      <c r="K2662" s="17"/>
      <c r="L2662" s="17"/>
      <c r="M2662" s="13"/>
      <c r="N2662" s="23"/>
      <c r="O2662" s="22"/>
      <c r="P2662" s="22"/>
    </row>
    <row r="2663" ht="22.5" customHeight="1">
      <c r="A2663" s="20"/>
      <c r="B2663" s="20" t="str">
        <f>IFERROR(VLOOKUP(A2663,Sheet1!$E$3:$H$27,4,0),"")</f>
        <v/>
      </c>
      <c r="C2663" s="15"/>
      <c r="D2663" s="20"/>
      <c r="E2663" s="13" t="str">
        <f>IFERROR(VLOOKUP(D2663,Sheet1!$B$1:$C$45,2,0),"")</f>
        <v/>
      </c>
      <c r="F2663" s="20"/>
      <c r="G2663" s="13" t="str">
        <f t="shared" si="9"/>
        <v/>
      </c>
      <c r="H2663" s="15" t="str">
        <f>IFERROR(VLOOKUP(A2663,Sheet1!$E$3:$F$27,2,),"")</f>
        <v/>
      </c>
      <c r="I2663" s="16" t="str">
        <f>IFERROR(VLOOKUP(A2663,Sheet1!$E$3:$G$27,3,0),"")</f>
        <v/>
      </c>
      <c r="J2663" s="20"/>
      <c r="K2663" s="17"/>
      <c r="L2663" s="17"/>
      <c r="M2663" s="13"/>
      <c r="N2663" s="23"/>
      <c r="O2663" s="22"/>
      <c r="P2663" s="22"/>
    </row>
    <row r="2664" ht="22.5" customHeight="1">
      <c r="A2664" s="20"/>
      <c r="B2664" s="20" t="str">
        <f>IFERROR(VLOOKUP(A2664,Sheet1!$E$3:$H$27,4,0),"")</f>
        <v/>
      </c>
      <c r="C2664" s="15"/>
      <c r="D2664" s="20"/>
      <c r="E2664" s="13" t="str">
        <f>IFERROR(VLOOKUP(D2664,Sheet1!$B$1:$C$45,2,0),"")</f>
        <v/>
      </c>
      <c r="F2664" s="20"/>
      <c r="G2664" s="13" t="str">
        <f t="shared" si="9"/>
        <v/>
      </c>
      <c r="H2664" s="15" t="str">
        <f>IFERROR(VLOOKUP(A2664,Sheet1!$E$3:$F$27,2,),"")</f>
        <v/>
      </c>
      <c r="I2664" s="16" t="str">
        <f>IFERROR(VLOOKUP(A2664,Sheet1!$E$3:$G$27,3,0),"")</f>
        <v/>
      </c>
      <c r="J2664" s="20"/>
      <c r="K2664" s="17"/>
      <c r="L2664" s="17"/>
      <c r="M2664" s="13"/>
      <c r="N2664" s="23"/>
      <c r="O2664" s="22"/>
      <c r="P2664" s="22"/>
    </row>
    <row r="2665" ht="22.5" customHeight="1">
      <c r="A2665" s="20"/>
      <c r="B2665" s="20" t="str">
        <f>IFERROR(VLOOKUP(A2665,Sheet1!$E$3:$H$27,4,0),"")</f>
        <v/>
      </c>
      <c r="C2665" s="15"/>
      <c r="D2665" s="20"/>
      <c r="E2665" s="13" t="str">
        <f>IFERROR(VLOOKUP(D2665,Sheet1!$B$1:$C$45,2,0),"")</f>
        <v/>
      </c>
      <c r="F2665" s="20"/>
      <c r="G2665" s="13" t="str">
        <f t="shared" si="9"/>
        <v/>
      </c>
      <c r="H2665" s="15" t="str">
        <f>IFERROR(VLOOKUP(A2665,Sheet1!$E$3:$F$27,2,),"")</f>
        <v/>
      </c>
      <c r="I2665" s="16" t="str">
        <f>IFERROR(VLOOKUP(A2665,Sheet1!$E$3:$G$27,3,0),"")</f>
        <v/>
      </c>
      <c r="J2665" s="20"/>
      <c r="K2665" s="17"/>
      <c r="L2665" s="17"/>
      <c r="M2665" s="13"/>
      <c r="N2665" s="23"/>
      <c r="O2665" s="22"/>
      <c r="P2665" s="22"/>
    </row>
    <row r="2666" ht="22.5" customHeight="1">
      <c r="A2666" s="20"/>
      <c r="B2666" s="20" t="str">
        <f>IFERROR(VLOOKUP(A2666,Sheet1!$E$3:$H$27,4,0),"")</f>
        <v/>
      </c>
      <c r="C2666" s="15"/>
      <c r="D2666" s="20"/>
      <c r="E2666" s="13" t="str">
        <f>IFERROR(VLOOKUP(D2666,Sheet1!$B$1:$C$45,2,0),"")</f>
        <v/>
      </c>
      <c r="F2666" s="20"/>
      <c r="G2666" s="13" t="str">
        <f t="shared" si="9"/>
        <v/>
      </c>
      <c r="H2666" s="15" t="str">
        <f>IFERROR(VLOOKUP(A2666,Sheet1!$E$3:$F$27,2,),"")</f>
        <v/>
      </c>
      <c r="I2666" s="16" t="str">
        <f>IFERROR(VLOOKUP(A2666,Sheet1!$E$3:$G$27,3,0),"")</f>
        <v/>
      </c>
      <c r="J2666" s="20"/>
      <c r="K2666" s="17"/>
      <c r="L2666" s="17"/>
      <c r="M2666" s="13"/>
      <c r="N2666" s="23"/>
      <c r="O2666" s="22"/>
      <c r="P2666" s="22"/>
    </row>
    <row r="2667" ht="22.5" customHeight="1">
      <c r="A2667" s="20"/>
      <c r="B2667" s="20" t="str">
        <f>IFERROR(VLOOKUP(A2667,Sheet1!$E$3:$H$27,4,0),"")</f>
        <v/>
      </c>
      <c r="C2667" s="15"/>
      <c r="D2667" s="20"/>
      <c r="E2667" s="13" t="str">
        <f>IFERROR(VLOOKUP(D2667,Sheet1!$B$1:$C$45,2,0),"")</f>
        <v/>
      </c>
      <c r="F2667" s="20"/>
      <c r="G2667" s="13" t="str">
        <f t="shared" si="9"/>
        <v/>
      </c>
      <c r="H2667" s="15" t="str">
        <f>IFERROR(VLOOKUP(A2667,Sheet1!$E$3:$F$27,2,),"")</f>
        <v/>
      </c>
      <c r="I2667" s="16" t="str">
        <f>IFERROR(VLOOKUP(A2667,Sheet1!$E$3:$G$27,3,0),"")</f>
        <v/>
      </c>
      <c r="J2667" s="20"/>
      <c r="K2667" s="17"/>
      <c r="L2667" s="17"/>
      <c r="M2667" s="13"/>
      <c r="N2667" s="23"/>
      <c r="O2667" s="22"/>
      <c r="P2667" s="22"/>
    </row>
    <row r="2668" ht="22.5" customHeight="1">
      <c r="A2668" s="20"/>
      <c r="B2668" s="20" t="str">
        <f>IFERROR(VLOOKUP(A2668,Sheet1!$E$3:$H$27,4,0),"")</f>
        <v/>
      </c>
      <c r="C2668" s="15"/>
      <c r="D2668" s="20"/>
      <c r="E2668" s="13" t="str">
        <f>IFERROR(VLOOKUP(D2668,Sheet1!$B$1:$C$45,2,0),"")</f>
        <v/>
      </c>
      <c r="F2668" s="20"/>
      <c r="G2668" s="13" t="str">
        <f t="shared" si="9"/>
        <v/>
      </c>
      <c r="H2668" s="15" t="str">
        <f>IFERROR(VLOOKUP(A2668,Sheet1!$E$3:$F$27,2,),"")</f>
        <v/>
      </c>
      <c r="I2668" s="16" t="str">
        <f>IFERROR(VLOOKUP(A2668,Sheet1!$E$3:$G$27,3,0),"")</f>
        <v/>
      </c>
      <c r="J2668" s="20"/>
      <c r="K2668" s="17"/>
      <c r="L2668" s="17"/>
      <c r="M2668" s="13"/>
      <c r="N2668" s="23"/>
      <c r="O2668" s="22"/>
      <c r="P2668" s="22"/>
    </row>
    <row r="2669" ht="22.5" customHeight="1">
      <c r="A2669" s="20"/>
      <c r="B2669" s="20" t="str">
        <f>IFERROR(VLOOKUP(A2669,Sheet1!$E$3:$H$27,4,0),"")</f>
        <v/>
      </c>
      <c r="C2669" s="15"/>
      <c r="D2669" s="20"/>
      <c r="E2669" s="13" t="str">
        <f>IFERROR(VLOOKUP(D2669,Sheet1!$B$1:$C$45,2,0),"")</f>
        <v/>
      </c>
      <c r="F2669" s="20"/>
      <c r="G2669" s="13" t="str">
        <f t="shared" si="9"/>
        <v/>
      </c>
      <c r="H2669" s="15" t="str">
        <f>IFERROR(VLOOKUP(A2669,Sheet1!$E$3:$F$27,2,),"")</f>
        <v/>
      </c>
      <c r="I2669" s="16" t="str">
        <f>IFERROR(VLOOKUP(A2669,Sheet1!$E$3:$G$27,3,0),"")</f>
        <v/>
      </c>
      <c r="J2669" s="20"/>
      <c r="K2669" s="17"/>
      <c r="L2669" s="17"/>
      <c r="M2669" s="13"/>
      <c r="N2669" s="23"/>
      <c r="O2669" s="22"/>
      <c r="P2669" s="22"/>
    </row>
    <row r="2670" ht="22.5" customHeight="1">
      <c r="A2670" s="20"/>
      <c r="B2670" s="20" t="str">
        <f>IFERROR(VLOOKUP(A2670,Sheet1!$E$3:$H$27,4,0),"")</f>
        <v/>
      </c>
      <c r="C2670" s="15"/>
      <c r="D2670" s="20"/>
      <c r="E2670" s="13" t="str">
        <f>IFERROR(VLOOKUP(D2670,Sheet1!$B$1:$C$45,2,0),"")</f>
        <v/>
      </c>
      <c r="F2670" s="20"/>
      <c r="G2670" s="13" t="str">
        <f t="shared" si="9"/>
        <v/>
      </c>
      <c r="H2670" s="15" t="str">
        <f>IFERROR(VLOOKUP(A2670,Sheet1!$E$3:$F$27,2,),"")</f>
        <v/>
      </c>
      <c r="I2670" s="16" t="str">
        <f>IFERROR(VLOOKUP(A2670,Sheet1!$E$3:$G$27,3,0),"")</f>
        <v/>
      </c>
      <c r="J2670" s="20"/>
      <c r="K2670" s="17"/>
      <c r="L2670" s="17"/>
      <c r="M2670" s="13"/>
      <c r="N2670" s="23"/>
      <c r="O2670" s="22"/>
      <c r="P2670" s="22"/>
    </row>
    <row r="2671" ht="22.5" customHeight="1">
      <c r="A2671" s="20"/>
      <c r="B2671" s="20" t="str">
        <f>IFERROR(VLOOKUP(A2671,Sheet1!$E$3:$H$27,4,0),"")</f>
        <v/>
      </c>
      <c r="C2671" s="15"/>
      <c r="D2671" s="20"/>
      <c r="E2671" s="13" t="str">
        <f>IFERROR(VLOOKUP(D2671,Sheet1!$B$1:$C$45,2,0),"")</f>
        <v/>
      </c>
      <c r="F2671" s="20"/>
      <c r="G2671" s="13" t="str">
        <f t="shared" si="9"/>
        <v/>
      </c>
      <c r="H2671" s="15" t="str">
        <f>IFERROR(VLOOKUP(A2671,Sheet1!$E$3:$F$27,2,),"")</f>
        <v/>
      </c>
      <c r="I2671" s="16" t="str">
        <f>IFERROR(VLOOKUP(A2671,Sheet1!$E$3:$G$27,3,0),"")</f>
        <v/>
      </c>
      <c r="J2671" s="20"/>
      <c r="K2671" s="17"/>
      <c r="L2671" s="17"/>
      <c r="M2671" s="13"/>
      <c r="N2671" s="23"/>
      <c r="O2671" s="22"/>
      <c r="P2671" s="22"/>
    </row>
    <row r="2672" ht="22.5" customHeight="1">
      <c r="A2672" s="20"/>
      <c r="B2672" s="20" t="str">
        <f>IFERROR(VLOOKUP(A2672,Sheet1!$E$3:$H$27,4,0),"")</f>
        <v/>
      </c>
      <c r="C2672" s="15"/>
      <c r="D2672" s="20"/>
      <c r="E2672" s="13" t="str">
        <f>IFERROR(VLOOKUP(D2672,Sheet1!$B$1:$C$45,2,0),"")</f>
        <v/>
      </c>
      <c r="F2672" s="20"/>
      <c r="G2672" s="13" t="str">
        <f t="shared" si="9"/>
        <v/>
      </c>
      <c r="H2672" s="15" t="str">
        <f>IFERROR(VLOOKUP(A2672,Sheet1!$E$3:$F$27,2,),"")</f>
        <v/>
      </c>
      <c r="I2672" s="16" t="str">
        <f>IFERROR(VLOOKUP(A2672,Sheet1!$E$3:$G$27,3,0),"")</f>
        <v/>
      </c>
      <c r="J2672" s="20"/>
      <c r="K2672" s="17"/>
      <c r="L2672" s="17"/>
      <c r="M2672" s="13"/>
      <c r="N2672" s="23"/>
      <c r="O2672" s="22"/>
      <c r="P2672" s="22"/>
    </row>
    <row r="2673" ht="22.5" customHeight="1">
      <c r="A2673" s="20"/>
      <c r="B2673" s="20" t="str">
        <f>IFERROR(VLOOKUP(A2673,Sheet1!$E$3:$H$27,4,0),"")</f>
        <v/>
      </c>
      <c r="C2673" s="15"/>
      <c r="D2673" s="20"/>
      <c r="E2673" s="13" t="str">
        <f>IFERROR(VLOOKUP(D2673,Sheet1!$B$1:$C$45,2,0),"")</f>
        <v/>
      </c>
      <c r="F2673" s="20"/>
      <c r="G2673" s="13" t="str">
        <f t="shared" si="9"/>
        <v/>
      </c>
      <c r="H2673" s="15" t="str">
        <f>IFERROR(VLOOKUP(A2673,Sheet1!$E$3:$F$27,2,),"")</f>
        <v/>
      </c>
      <c r="I2673" s="16" t="str">
        <f>IFERROR(VLOOKUP(A2673,Sheet1!$E$3:$G$27,3,0),"")</f>
        <v/>
      </c>
      <c r="J2673" s="20"/>
      <c r="K2673" s="17"/>
      <c r="L2673" s="17"/>
      <c r="M2673" s="13"/>
      <c r="N2673" s="23"/>
      <c r="O2673" s="22"/>
      <c r="P2673" s="22"/>
    </row>
    <row r="2674" ht="22.5" customHeight="1">
      <c r="A2674" s="20"/>
      <c r="B2674" s="20" t="str">
        <f>IFERROR(VLOOKUP(A2674,Sheet1!$E$3:$H$27,4,0),"")</f>
        <v/>
      </c>
      <c r="C2674" s="15"/>
      <c r="D2674" s="20"/>
      <c r="E2674" s="13" t="str">
        <f>IFERROR(VLOOKUP(D2674,Sheet1!$B$1:$C$45,2,0),"")</f>
        <v/>
      </c>
      <c r="F2674" s="20"/>
      <c r="G2674" s="13" t="str">
        <f t="shared" si="9"/>
        <v/>
      </c>
      <c r="H2674" s="15" t="str">
        <f>IFERROR(VLOOKUP(A2674,Sheet1!$E$3:$F$27,2,),"")</f>
        <v/>
      </c>
      <c r="I2674" s="16" t="str">
        <f>IFERROR(VLOOKUP(A2674,Sheet1!$E$3:$G$27,3,0),"")</f>
        <v/>
      </c>
      <c r="J2674" s="20"/>
      <c r="K2674" s="17"/>
      <c r="L2674" s="17"/>
      <c r="M2674" s="13"/>
      <c r="N2674" s="23"/>
      <c r="O2674" s="22"/>
      <c r="P2674" s="22"/>
    </row>
    <row r="2675" ht="22.5" customHeight="1">
      <c r="A2675" s="20"/>
      <c r="B2675" s="20" t="str">
        <f>IFERROR(VLOOKUP(A2675,Sheet1!$E$3:$H$27,4,0),"")</f>
        <v/>
      </c>
      <c r="C2675" s="15"/>
      <c r="D2675" s="20"/>
      <c r="E2675" s="13" t="str">
        <f>IFERROR(VLOOKUP(D2675,Sheet1!$B$1:$C$45,2,0),"")</f>
        <v/>
      </c>
      <c r="F2675" s="20"/>
      <c r="G2675" s="13" t="str">
        <f t="shared" si="9"/>
        <v/>
      </c>
      <c r="H2675" s="15" t="str">
        <f>IFERROR(VLOOKUP(A2675,Sheet1!$E$3:$F$27,2,),"")</f>
        <v/>
      </c>
      <c r="I2675" s="16" t="str">
        <f>IFERROR(VLOOKUP(A2675,Sheet1!$E$3:$G$27,3,0),"")</f>
        <v/>
      </c>
      <c r="J2675" s="20"/>
      <c r="K2675" s="17"/>
      <c r="L2675" s="17"/>
      <c r="M2675" s="13"/>
      <c r="N2675" s="23"/>
      <c r="O2675" s="22"/>
      <c r="P2675" s="22"/>
    </row>
    <row r="2676" ht="22.5" customHeight="1">
      <c r="A2676" s="20"/>
      <c r="B2676" s="20" t="str">
        <f>IFERROR(VLOOKUP(A2676,Sheet1!$E$3:$H$27,4,0),"")</f>
        <v/>
      </c>
      <c r="C2676" s="15"/>
      <c r="D2676" s="20"/>
      <c r="E2676" s="13" t="str">
        <f>IFERROR(VLOOKUP(D2676,Sheet1!$B$1:$C$45,2,0),"")</f>
        <v/>
      </c>
      <c r="F2676" s="20"/>
      <c r="G2676" s="13" t="str">
        <f t="shared" si="9"/>
        <v/>
      </c>
      <c r="H2676" s="15" t="str">
        <f>IFERROR(VLOOKUP(A2676,Sheet1!$E$3:$F$27,2,),"")</f>
        <v/>
      </c>
      <c r="I2676" s="16" t="str">
        <f>IFERROR(VLOOKUP(A2676,Sheet1!$E$3:$G$27,3,0),"")</f>
        <v/>
      </c>
      <c r="J2676" s="20"/>
      <c r="K2676" s="17"/>
      <c r="L2676" s="17"/>
      <c r="M2676" s="13"/>
      <c r="N2676" s="23"/>
      <c r="O2676" s="22"/>
      <c r="P2676" s="22"/>
    </row>
    <row r="2677" ht="22.5" customHeight="1">
      <c r="A2677" s="20"/>
      <c r="B2677" s="20" t="str">
        <f>IFERROR(VLOOKUP(A2677,Sheet1!$E$3:$H$27,4,0),"")</f>
        <v/>
      </c>
      <c r="C2677" s="15"/>
      <c r="D2677" s="20"/>
      <c r="E2677" s="13" t="str">
        <f>IFERROR(VLOOKUP(D2677,Sheet1!$B$1:$C$45,2,0),"")</f>
        <v/>
      </c>
      <c r="F2677" s="20"/>
      <c r="G2677" s="13" t="str">
        <f t="shared" si="9"/>
        <v/>
      </c>
      <c r="H2677" s="15" t="str">
        <f>IFERROR(VLOOKUP(A2677,Sheet1!$E$3:$F$27,2,),"")</f>
        <v/>
      </c>
      <c r="I2677" s="16" t="str">
        <f>IFERROR(VLOOKUP(A2677,Sheet1!$E$3:$G$27,3,0),"")</f>
        <v/>
      </c>
      <c r="J2677" s="20"/>
      <c r="K2677" s="17"/>
      <c r="L2677" s="17"/>
      <c r="M2677" s="13"/>
      <c r="N2677" s="23"/>
      <c r="O2677" s="22"/>
      <c r="P2677" s="22"/>
    </row>
    <row r="2678" ht="22.5" customHeight="1">
      <c r="A2678" s="20"/>
      <c r="B2678" s="20" t="str">
        <f>IFERROR(VLOOKUP(A2678,Sheet1!$E$3:$H$27,4,0),"")</f>
        <v/>
      </c>
      <c r="C2678" s="15"/>
      <c r="D2678" s="20"/>
      <c r="E2678" s="13" t="str">
        <f>IFERROR(VLOOKUP(D2678,Sheet1!$B$1:$C$45,2,0),"")</f>
        <v/>
      </c>
      <c r="F2678" s="20"/>
      <c r="G2678" s="13" t="str">
        <f t="shared" si="9"/>
        <v/>
      </c>
      <c r="H2678" s="15" t="str">
        <f>IFERROR(VLOOKUP(A2678,Sheet1!$E$3:$F$27,2,),"")</f>
        <v/>
      </c>
      <c r="I2678" s="16" t="str">
        <f>IFERROR(VLOOKUP(A2678,Sheet1!$E$3:$G$27,3,0),"")</f>
        <v/>
      </c>
      <c r="J2678" s="20"/>
      <c r="K2678" s="17"/>
      <c r="L2678" s="17"/>
      <c r="M2678" s="13"/>
      <c r="N2678" s="23"/>
      <c r="O2678" s="22"/>
      <c r="P2678" s="22"/>
    </row>
    <row r="2679" ht="22.5" customHeight="1">
      <c r="A2679" s="20"/>
      <c r="B2679" s="20" t="str">
        <f>IFERROR(VLOOKUP(A2679,Sheet1!$E$3:$H$27,4,0),"")</f>
        <v/>
      </c>
      <c r="C2679" s="15"/>
      <c r="D2679" s="20"/>
      <c r="E2679" s="13" t="str">
        <f>IFERROR(VLOOKUP(D2679,Sheet1!$B$1:$C$45,2,0),"")</f>
        <v/>
      </c>
      <c r="F2679" s="20"/>
      <c r="G2679" s="13" t="str">
        <f t="shared" si="9"/>
        <v/>
      </c>
      <c r="H2679" s="15" t="str">
        <f>IFERROR(VLOOKUP(A2679,Sheet1!$E$3:$F$27,2,),"")</f>
        <v/>
      </c>
      <c r="I2679" s="16" t="str">
        <f>IFERROR(VLOOKUP(A2679,Sheet1!$E$3:$G$27,3,0),"")</f>
        <v/>
      </c>
      <c r="J2679" s="20"/>
      <c r="K2679" s="17"/>
      <c r="L2679" s="17"/>
      <c r="M2679" s="13"/>
      <c r="N2679" s="23"/>
      <c r="O2679" s="22"/>
      <c r="P2679" s="22"/>
    </row>
    <row r="2680" ht="22.5" customHeight="1">
      <c r="A2680" s="20"/>
      <c r="B2680" s="20" t="str">
        <f>IFERROR(VLOOKUP(A2680,Sheet1!$E$3:$H$27,4,0),"")</f>
        <v/>
      </c>
      <c r="C2680" s="15"/>
      <c r="D2680" s="20"/>
      <c r="E2680" s="13" t="str">
        <f>IFERROR(VLOOKUP(D2680,Sheet1!$B$1:$C$45,2,0),"")</f>
        <v/>
      </c>
      <c r="F2680" s="20"/>
      <c r="G2680" s="13" t="str">
        <f t="shared" si="9"/>
        <v/>
      </c>
      <c r="H2680" s="15" t="str">
        <f>IFERROR(VLOOKUP(A2680,Sheet1!$E$3:$F$27,2,),"")</f>
        <v/>
      </c>
      <c r="I2680" s="16" t="str">
        <f>IFERROR(VLOOKUP(A2680,Sheet1!$E$3:$G$27,3,0),"")</f>
        <v/>
      </c>
      <c r="J2680" s="20"/>
      <c r="K2680" s="17"/>
      <c r="L2680" s="17"/>
      <c r="M2680" s="13"/>
      <c r="N2680" s="23"/>
      <c r="O2680" s="22"/>
      <c r="P2680" s="22"/>
    </row>
    <row r="2681" ht="22.5" customHeight="1">
      <c r="A2681" s="20"/>
      <c r="B2681" s="20" t="str">
        <f>IFERROR(VLOOKUP(A2681,Sheet1!$E$3:$H$27,4,0),"")</f>
        <v/>
      </c>
      <c r="C2681" s="15"/>
      <c r="D2681" s="20"/>
      <c r="E2681" s="13" t="str">
        <f>IFERROR(VLOOKUP(D2681,Sheet1!$B$1:$C$45,2,0),"")</f>
        <v/>
      </c>
      <c r="F2681" s="20"/>
      <c r="G2681" s="13" t="str">
        <f t="shared" si="9"/>
        <v/>
      </c>
      <c r="H2681" s="15" t="str">
        <f>IFERROR(VLOOKUP(A2681,Sheet1!$E$3:$F$27,2,),"")</f>
        <v/>
      </c>
      <c r="I2681" s="16" t="str">
        <f>IFERROR(VLOOKUP(A2681,Sheet1!$E$3:$G$27,3,0),"")</f>
        <v/>
      </c>
      <c r="J2681" s="20"/>
      <c r="K2681" s="17"/>
      <c r="L2681" s="17"/>
      <c r="M2681" s="13"/>
      <c r="N2681" s="23"/>
      <c r="O2681" s="22"/>
      <c r="P2681" s="22"/>
    </row>
    <row r="2682" ht="22.5" customHeight="1">
      <c r="A2682" s="20"/>
      <c r="B2682" s="20" t="str">
        <f>IFERROR(VLOOKUP(A2682,Sheet1!$E$3:$H$27,4,0),"")</f>
        <v/>
      </c>
      <c r="C2682" s="15"/>
      <c r="D2682" s="20"/>
      <c r="E2682" s="13" t="str">
        <f>IFERROR(VLOOKUP(D2682,Sheet1!$B$1:$C$45,2,0),"")</f>
        <v/>
      </c>
      <c r="F2682" s="20"/>
      <c r="G2682" s="13" t="str">
        <f t="shared" si="9"/>
        <v/>
      </c>
      <c r="H2682" s="15" t="str">
        <f>IFERROR(VLOOKUP(A2682,Sheet1!$E$3:$F$27,2,),"")</f>
        <v/>
      </c>
      <c r="I2682" s="16" t="str">
        <f>IFERROR(VLOOKUP(A2682,Sheet1!$E$3:$G$27,3,0),"")</f>
        <v/>
      </c>
      <c r="J2682" s="20"/>
      <c r="K2682" s="17"/>
      <c r="L2682" s="17"/>
      <c r="M2682" s="13"/>
      <c r="N2682" s="23"/>
      <c r="O2682" s="22"/>
      <c r="P2682" s="22"/>
    </row>
    <row r="2683" ht="22.5" customHeight="1">
      <c r="A2683" s="20"/>
      <c r="B2683" s="20" t="str">
        <f>IFERROR(VLOOKUP(A2683,Sheet1!$E$3:$H$27,4,0),"")</f>
        <v/>
      </c>
      <c r="C2683" s="15"/>
      <c r="D2683" s="20"/>
      <c r="E2683" s="13" t="str">
        <f>IFERROR(VLOOKUP(D2683,Sheet1!$B$1:$C$45,2,0),"")</f>
        <v/>
      </c>
      <c r="F2683" s="20"/>
      <c r="G2683" s="13" t="str">
        <f t="shared" si="9"/>
        <v/>
      </c>
      <c r="H2683" s="15" t="str">
        <f>IFERROR(VLOOKUP(A2683,Sheet1!$E$3:$F$27,2,),"")</f>
        <v/>
      </c>
      <c r="I2683" s="16" t="str">
        <f>IFERROR(VLOOKUP(A2683,Sheet1!$E$3:$G$27,3,0),"")</f>
        <v/>
      </c>
      <c r="J2683" s="20"/>
      <c r="K2683" s="17"/>
      <c r="L2683" s="17"/>
      <c r="M2683" s="13"/>
      <c r="N2683" s="23"/>
      <c r="O2683" s="22"/>
      <c r="P2683" s="22"/>
    </row>
    <row r="2684" ht="22.5" customHeight="1">
      <c r="A2684" s="20"/>
      <c r="B2684" s="20" t="str">
        <f>IFERROR(VLOOKUP(A2684,Sheet1!$E$3:$H$27,4,0),"")</f>
        <v/>
      </c>
      <c r="C2684" s="15"/>
      <c r="D2684" s="20"/>
      <c r="E2684" s="13" t="str">
        <f>IFERROR(VLOOKUP(D2684,Sheet1!$B$1:$C$45,2,0),"")</f>
        <v/>
      </c>
      <c r="F2684" s="20"/>
      <c r="G2684" s="13" t="str">
        <f t="shared" si="9"/>
        <v/>
      </c>
      <c r="H2684" s="15" t="str">
        <f>IFERROR(VLOOKUP(A2684,Sheet1!$E$3:$F$27,2,),"")</f>
        <v/>
      </c>
      <c r="I2684" s="16" t="str">
        <f>IFERROR(VLOOKUP(A2684,Sheet1!$E$3:$G$27,3,0),"")</f>
        <v/>
      </c>
      <c r="J2684" s="20"/>
      <c r="K2684" s="17"/>
      <c r="L2684" s="17"/>
      <c r="M2684" s="13"/>
      <c r="N2684" s="23"/>
      <c r="O2684" s="22"/>
      <c r="P2684" s="22"/>
    </row>
    <row r="2685" ht="22.5" customHeight="1">
      <c r="A2685" s="20"/>
      <c r="B2685" s="20" t="str">
        <f>IFERROR(VLOOKUP(A2685,Sheet1!$E$3:$H$27,4,0),"")</f>
        <v/>
      </c>
      <c r="C2685" s="15"/>
      <c r="D2685" s="20"/>
      <c r="E2685" s="13" t="str">
        <f>IFERROR(VLOOKUP(D2685,Sheet1!$B$1:$C$45,2,0),"")</f>
        <v/>
      </c>
      <c r="F2685" s="20"/>
      <c r="G2685" s="13" t="str">
        <f t="shared" si="9"/>
        <v/>
      </c>
      <c r="H2685" s="15" t="str">
        <f>IFERROR(VLOOKUP(A2685,Sheet1!$E$3:$F$27,2,),"")</f>
        <v/>
      </c>
      <c r="I2685" s="16" t="str">
        <f>IFERROR(VLOOKUP(A2685,Sheet1!$E$3:$G$27,3,0),"")</f>
        <v/>
      </c>
      <c r="J2685" s="20"/>
      <c r="K2685" s="17"/>
      <c r="L2685" s="17"/>
      <c r="M2685" s="13"/>
      <c r="N2685" s="23"/>
      <c r="O2685" s="22"/>
      <c r="P2685" s="22"/>
    </row>
    <row r="2686" ht="22.5" customHeight="1">
      <c r="A2686" s="20"/>
      <c r="B2686" s="20" t="str">
        <f>IFERROR(VLOOKUP(A2686,Sheet1!$E$3:$H$27,4,0),"")</f>
        <v/>
      </c>
      <c r="C2686" s="15"/>
      <c r="D2686" s="20"/>
      <c r="E2686" s="13" t="str">
        <f>IFERROR(VLOOKUP(D2686,Sheet1!$B$1:$C$45,2,0),"")</f>
        <v/>
      </c>
      <c r="F2686" s="20"/>
      <c r="G2686" s="13" t="str">
        <f t="shared" si="9"/>
        <v/>
      </c>
      <c r="H2686" s="15" t="str">
        <f>IFERROR(VLOOKUP(A2686,Sheet1!$E$3:$F$27,2,),"")</f>
        <v/>
      </c>
      <c r="I2686" s="16" t="str">
        <f>IFERROR(VLOOKUP(A2686,Sheet1!$E$3:$G$27,3,0),"")</f>
        <v/>
      </c>
      <c r="J2686" s="20"/>
      <c r="K2686" s="17"/>
      <c r="L2686" s="17"/>
      <c r="M2686" s="13"/>
      <c r="N2686" s="23"/>
      <c r="O2686" s="22"/>
      <c r="P2686" s="22"/>
    </row>
    <row r="2687" ht="22.5" customHeight="1">
      <c r="A2687" s="20"/>
      <c r="B2687" s="20" t="str">
        <f>IFERROR(VLOOKUP(A2687,Sheet1!$E$3:$H$27,4,0),"")</f>
        <v/>
      </c>
      <c r="C2687" s="15"/>
      <c r="D2687" s="20"/>
      <c r="E2687" s="13" t="str">
        <f>IFERROR(VLOOKUP(D2687,Sheet1!$B$1:$C$45,2,0),"")</f>
        <v/>
      </c>
      <c r="F2687" s="20"/>
      <c r="G2687" s="13" t="str">
        <f t="shared" si="9"/>
        <v/>
      </c>
      <c r="H2687" s="15" t="str">
        <f>IFERROR(VLOOKUP(A2687,Sheet1!$E$3:$F$27,2,),"")</f>
        <v/>
      </c>
      <c r="I2687" s="16" t="str">
        <f>IFERROR(VLOOKUP(A2687,Sheet1!$E$3:$G$27,3,0),"")</f>
        <v/>
      </c>
      <c r="J2687" s="20"/>
      <c r="K2687" s="17"/>
      <c r="L2687" s="17"/>
      <c r="M2687" s="13"/>
      <c r="N2687" s="23"/>
      <c r="O2687" s="22"/>
      <c r="P2687" s="22"/>
    </row>
    <row r="2688" ht="22.5" customHeight="1">
      <c r="A2688" s="20"/>
      <c r="B2688" s="20" t="str">
        <f>IFERROR(VLOOKUP(A2688,Sheet1!$E$3:$H$27,4,0),"")</f>
        <v/>
      </c>
      <c r="C2688" s="15"/>
      <c r="D2688" s="20"/>
      <c r="E2688" s="13" t="str">
        <f>IFERROR(VLOOKUP(D2688,Sheet1!$B$1:$C$45,2,0),"")</f>
        <v/>
      </c>
      <c r="F2688" s="20"/>
      <c r="G2688" s="13" t="str">
        <f t="shared" si="9"/>
        <v/>
      </c>
      <c r="H2688" s="15" t="str">
        <f>IFERROR(VLOOKUP(A2688,Sheet1!$E$3:$F$27,2,),"")</f>
        <v/>
      </c>
      <c r="I2688" s="16" t="str">
        <f>IFERROR(VLOOKUP(A2688,Sheet1!$E$3:$G$27,3,0),"")</f>
        <v/>
      </c>
      <c r="J2688" s="20"/>
      <c r="K2688" s="17"/>
      <c r="L2688" s="17"/>
      <c r="M2688" s="13"/>
      <c r="N2688" s="23"/>
      <c r="O2688" s="22"/>
      <c r="P2688" s="22"/>
    </row>
    <row r="2689" ht="22.5" customHeight="1">
      <c r="A2689" s="20"/>
      <c r="B2689" s="20" t="str">
        <f>IFERROR(VLOOKUP(A2689,Sheet1!$E$3:$H$27,4,0),"")</f>
        <v/>
      </c>
      <c r="C2689" s="15"/>
      <c r="D2689" s="20"/>
      <c r="E2689" s="13" t="str">
        <f>IFERROR(VLOOKUP(D2689,Sheet1!$B$1:$C$45,2,0),"")</f>
        <v/>
      </c>
      <c r="F2689" s="20"/>
      <c r="G2689" s="13" t="str">
        <f t="shared" si="9"/>
        <v/>
      </c>
      <c r="H2689" s="15" t="str">
        <f>IFERROR(VLOOKUP(A2689,Sheet1!$E$3:$F$27,2,),"")</f>
        <v/>
      </c>
      <c r="I2689" s="16" t="str">
        <f>IFERROR(VLOOKUP(A2689,Sheet1!$E$3:$G$27,3,0),"")</f>
        <v/>
      </c>
      <c r="J2689" s="20"/>
      <c r="K2689" s="17"/>
      <c r="L2689" s="17"/>
      <c r="M2689" s="13"/>
      <c r="N2689" s="23"/>
      <c r="O2689" s="22"/>
      <c r="P2689" s="22"/>
    </row>
    <row r="2690" ht="22.5" customHeight="1">
      <c r="A2690" s="20"/>
      <c r="B2690" s="20" t="str">
        <f>IFERROR(VLOOKUP(A2690,Sheet1!$E$3:$H$27,4,0),"")</f>
        <v/>
      </c>
      <c r="C2690" s="15"/>
      <c r="D2690" s="20"/>
      <c r="E2690" s="13" t="str">
        <f>IFERROR(VLOOKUP(D2690,Sheet1!$B$1:$C$45,2,0),"")</f>
        <v/>
      </c>
      <c r="F2690" s="20"/>
      <c r="G2690" s="13" t="str">
        <f t="shared" si="9"/>
        <v/>
      </c>
      <c r="H2690" s="15" t="str">
        <f>IFERROR(VLOOKUP(A2690,Sheet1!$E$3:$F$27,2,),"")</f>
        <v/>
      </c>
      <c r="I2690" s="16" t="str">
        <f>IFERROR(VLOOKUP(A2690,Sheet1!$E$3:$G$27,3,0),"")</f>
        <v/>
      </c>
      <c r="J2690" s="20"/>
      <c r="K2690" s="17"/>
      <c r="L2690" s="17"/>
      <c r="M2690" s="13"/>
      <c r="N2690" s="23"/>
      <c r="O2690" s="22"/>
      <c r="P2690" s="22"/>
    </row>
    <row r="2691" ht="22.5" customHeight="1">
      <c r="A2691" s="20"/>
      <c r="B2691" s="20" t="str">
        <f>IFERROR(VLOOKUP(A2691,Sheet1!$E$3:$H$27,4,0),"")</f>
        <v/>
      </c>
      <c r="C2691" s="15"/>
      <c r="D2691" s="20"/>
      <c r="E2691" s="13" t="str">
        <f>IFERROR(VLOOKUP(D2691,Sheet1!$B$1:$C$45,2,0),"")</f>
        <v/>
      </c>
      <c r="F2691" s="20"/>
      <c r="G2691" s="13" t="str">
        <f t="shared" si="9"/>
        <v/>
      </c>
      <c r="H2691" s="15" t="str">
        <f>IFERROR(VLOOKUP(A2691,Sheet1!$E$3:$F$27,2,),"")</f>
        <v/>
      </c>
      <c r="I2691" s="16" t="str">
        <f>IFERROR(VLOOKUP(A2691,Sheet1!$E$3:$G$27,3,0),"")</f>
        <v/>
      </c>
      <c r="J2691" s="20"/>
      <c r="K2691" s="17"/>
      <c r="L2691" s="17"/>
      <c r="M2691" s="13"/>
      <c r="N2691" s="23"/>
      <c r="O2691" s="22"/>
      <c r="P2691" s="22"/>
    </row>
    <row r="2692" ht="22.5" customHeight="1">
      <c r="A2692" s="20"/>
      <c r="B2692" s="20" t="str">
        <f>IFERROR(VLOOKUP(A2692,Sheet1!$E$3:$H$27,4,0),"")</f>
        <v/>
      </c>
      <c r="C2692" s="15"/>
      <c r="D2692" s="20"/>
      <c r="E2692" s="13" t="str">
        <f>IFERROR(VLOOKUP(D2692,Sheet1!$B$1:$C$45,2,0),"")</f>
        <v/>
      </c>
      <c r="F2692" s="20"/>
      <c r="G2692" s="13" t="str">
        <f t="shared" si="9"/>
        <v/>
      </c>
      <c r="H2692" s="15" t="str">
        <f>IFERROR(VLOOKUP(A2692,Sheet1!$E$3:$F$27,2,),"")</f>
        <v/>
      </c>
      <c r="I2692" s="16" t="str">
        <f>IFERROR(VLOOKUP(A2692,Sheet1!$E$3:$G$27,3,0),"")</f>
        <v/>
      </c>
      <c r="J2692" s="20"/>
      <c r="K2692" s="17"/>
      <c r="L2692" s="17"/>
      <c r="M2692" s="13"/>
      <c r="N2692" s="23"/>
      <c r="O2692" s="22"/>
      <c r="P2692" s="22"/>
    </row>
    <row r="2693" ht="22.5" customHeight="1">
      <c r="A2693" s="20"/>
      <c r="B2693" s="20" t="str">
        <f>IFERROR(VLOOKUP(A2693,Sheet1!$E$3:$H$27,4,0),"")</f>
        <v/>
      </c>
      <c r="C2693" s="15"/>
      <c r="D2693" s="20"/>
      <c r="E2693" s="13" t="str">
        <f>IFERROR(VLOOKUP(D2693,Sheet1!$B$1:$C$45,2,0),"")</f>
        <v/>
      </c>
      <c r="F2693" s="20"/>
      <c r="G2693" s="13" t="str">
        <f t="shared" si="9"/>
        <v/>
      </c>
      <c r="H2693" s="15" t="str">
        <f>IFERROR(VLOOKUP(A2693,Sheet1!$E$3:$F$27,2,),"")</f>
        <v/>
      </c>
      <c r="I2693" s="16" t="str">
        <f>IFERROR(VLOOKUP(A2693,Sheet1!$E$3:$G$27,3,0),"")</f>
        <v/>
      </c>
      <c r="J2693" s="20"/>
      <c r="K2693" s="17"/>
      <c r="L2693" s="17"/>
      <c r="M2693" s="13"/>
      <c r="N2693" s="23"/>
      <c r="O2693" s="22"/>
      <c r="P2693" s="22"/>
    </row>
    <row r="2694" ht="22.5" customHeight="1">
      <c r="A2694" s="20"/>
      <c r="B2694" s="20" t="str">
        <f>IFERROR(VLOOKUP(A2694,Sheet1!$E$3:$H$27,4,0),"")</f>
        <v/>
      </c>
      <c r="C2694" s="15"/>
      <c r="D2694" s="20"/>
      <c r="E2694" s="13" t="str">
        <f>IFERROR(VLOOKUP(D2694,Sheet1!$B$1:$C$45,2,0),"")</f>
        <v/>
      </c>
      <c r="F2694" s="20"/>
      <c r="G2694" s="13" t="str">
        <f t="shared" si="9"/>
        <v/>
      </c>
      <c r="H2694" s="15" t="str">
        <f>IFERROR(VLOOKUP(A2694,Sheet1!$E$3:$F$27,2,),"")</f>
        <v/>
      </c>
      <c r="I2694" s="16" t="str">
        <f>IFERROR(VLOOKUP(A2694,Sheet1!$E$3:$G$27,3,0),"")</f>
        <v/>
      </c>
      <c r="J2694" s="20"/>
      <c r="K2694" s="17"/>
      <c r="L2694" s="17"/>
      <c r="M2694" s="13"/>
      <c r="N2694" s="23"/>
      <c r="O2694" s="22"/>
      <c r="P2694" s="22"/>
    </row>
    <row r="2695" ht="22.5" customHeight="1">
      <c r="A2695" s="20"/>
      <c r="B2695" s="20" t="str">
        <f>IFERROR(VLOOKUP(A2695,Sheet1!$E$3:$H$27,4,0),"")</f>
        <v/>
      </c>
      <c r="C2695" s="15"/>
      <c r="D2695" s="20"/>
      <c r="E2695" s="13" t="str">
        <f>IFERROR(VLOOKUP(D2695,Sheet1!$B$1:$C$45,2,0),"")</f>
        <v/>
      </c>
      <c r="F2695" s="20"/>
      <c r="G2695" s="13" t="str">
        <f t="shared" si="9"/>
        <v/>
      </c>
      <c r="H2695" s="15" t="str">
        <f>IFERROR(VLOOKUP(A2695,Sheet1!$E$3:$F$27,2,),"")</f>
        <v/>
      </c>
      <c r="I2695" s="16" t="str">
        <f>IFERROR(VLOOKUP(A2695,Sheet1!$E$3:$G$27,3,0),"")</f>
        <v/>
      </c>
      <c r="J2695" s="20"/>
      <c r="K2695" s="17"/>
      <c r="L2695" s="17"/>
      <c r="M2695" s="13"/>
      <c r="N2695" s="23"/>
      <c r="O2695" s="22"/>
      <c r="P2695" s="22"/>
    </row>
    <row r="2696" ht="22.5" customHeight="1">
      <c r="A2696" s="20"/>
      <c r="B2696" s="20" t="str">
        <f>IFERROR(VLOOKUP(A2696,Sheet1!$E$3:$H$27,4,0),"")</f>
        <v/>
      </c>
      <c r="C2696" s="15"/>
      <c r="D2696" s="20"/>
      <c r="E2696" s="13" t="str">
        <f>IFERROR(VLOOKUP(D2696,Sheet1!$B$1:$C$45,2,0),"")</f>
        <v/>
      </c>
      <c r="F2696" s="20"/>
      <c r="G2696" s="13" t="str">
        <f t="shared" si="9"/>
        <v/>
      </c>
      <c r="H2696" s="15" t="str">
        <f>IFERROR(VLOOKUP(A2696,Sheet1!$E$3:$F$27,2,),"")</f>
        <v/>
      </c>
      <c r="I2696" s="16" t="str">
        <f>IFERROR(VLOOKUP(A2696,Sheet1!$E$3:$G$27,3,0),"")</f>
        <v/>
      </c>
      <c r="J2696" s="20"/>
      <c r="K2696" s="17"/>
      <c r="L2696" s="17"/>
      <c r="M2696" s="13"/>
      <c r="N2696" s="23"/>
      <c r="O2696" s="22"/>
      <c r="P2696" s="22"/>
    </row>
    <row r="2697" ht="22.5" customHeight="1">
      <c r="A2697" s="20"/>
      <c r="B2697" s="20" t="str">
        <f>IFERROR(VLOOKUP(A2697,Sheet1!$E$3:$H$27,4,0),"")</f>
        <v/>
      </c>
      <c r="C2697" s="15"/>
      <c r="D2697" s="20"/>
      <c r="E2697" s="13" t="str">
        <f>IFERROR(VLOOKUP(D2697,Sheet1!$B$1:$C$45,2,0),"")</f>
        <v/>
      </c>
      <c r="F2697" s="20"/>
      <c r="G2697" s="13" t="str">
        <f t="shared" si="9"/>
        <v/>
      </c>
      <c r="H2697" s="15" t="str">
        <f>IFERROR(VLOOKUP(A2697,Sheet1!$E$3:$F$27,2,),"")</f>
        <v/>
      </c>
      <c r="I2697" s="16" t="str">
        <f>IFERROR(VLOOKUP(A2697,Sheet1!$E$3:$G$27,3,0),"")</f>
        <v/>
      </c>
      <c r="J2697" s="20"/>
      <c r="K2697" s="17"/>
      <c r="L2697" s="17"/>
      <c r="M2697" s="13"/>
      <c r="N2697" s="23"/>
      <c r="O2697" s="22"/>
      <c r="P2697" s="22"/>
    </row>
    <row r="2698" ht="22.5" customHeight="1">
      <c r="A2698" s="20"/>
      <c r="B2698" s="20" t="str">
        <f>IFERROR(VLOOKUP(A2698,Sheet1!$E$3:$H$27,4,0),"")</f>
        <v/>
      </c>
      <c r="C2698" s="15"/>
      <c r="D2698" s="20"/>
      <c r="E2698" s="13" t="str">
        <f>IFERROR(VLOOKUP(D2698,Sheet1!$B$1:$C$45,2,0),"")</f>
        <v/>
      </c>
      <c r="F2698" s="20"/>
      <c r="G2698" s="13" t="str">
        <f t="shared" si="9"/>
        <v/>
      </c>
      <c r="H2698" s="15" t="str">
        <f>IFERROR(VLOOKUP(A2698,Sheet1!$E$3:$F$27,2,),"")</f>
        <v/>
      </c>
      <c r="I2698" s="16" t="str">
        <f>IFERROR(VLOOKUP(A2698,Sheet1!$E$3:$G$27,3,0),"")</f>
        <v/>
      </c>
      <c r="J2698" s="20"/>
      <c r="K2698" s="17"/>
      <c r="L2698" s="17"/>
      <c r="M2698" s="13"/>
      <c r="N2698" s="23"/>
      <c r="O2698" s="22"/>
      <c r="P2698" s="22"/>
    </row>
    <row r="2699" ht="22.5" customHeight="1">
      <c r="A2699" s="20"/>
      <c r="B2699" s="20" t="str">
        <f>IFERROR(VLOOKUP(A2699,Sheet1!$E$3:$H$27,4,0),"")</f>
        <v/>
      </c>
      <c r="C2699" s="15"/>
      <c r="D2699" s="20"/>
      <c r="E2699" s="13" t="str">
        <f>IFERROR(VLOOKUP(D2699,Sheet1!$B$1:$C$45,2,0),"")</f>
        <v/>
      </c>
      <c r="F2699" s="20"/>
      <c r="G2699" s="13" t="str">
        <f t="shared" si="9"/>
        <v/>
      </c>
      <c r="H2699" s="15" t="str">
        <f>IFERROR(VLOOKUP(A2699,Sheet1!$E$3:$F$27,2,),"")</f>
        <v/>
      </c>
      <c r="I2699" s="16" t="str">
        <f>IFERROR(VLOOKUP(A2699,Sheet1!$E$3:$G$27,3,0),"")</f>
        <v/>
      </c>
      <c r="J2699" s="20"/>
      <c r="K2699" s="17"/>
      <c r="L2699" s="17"/>
      <c r="M2699" s="13"/>
      <c r="N2699" s="23"/>
      <c r="O2699" s="22"/>
      <c r="P2699" s="22"/>
    </row>
    <row r="2700" ht="22.5" customHeight="1">
      <c r="A2700" s="20"/>
      <c r="B2700" s="20" t="str">
        <f>IFERROR(VLOOKUP(A2700,Sheet1!$E$3:$H$27,4,0),"")</f>
        <v/>
      </c>
      <c r="C2700" s="15"/>
      <c r="D2700" s="20"/>
      <c r="E2700" s="13" t="str">
        <f>IFERROR(VLOOKUP(D2700,Sheet1!$B$1:$C$45,2,0),"")</f>
        <v/>
      </c>
      <c r="F2700" s="20"/>
      <c r="G2700" s="13" t="str">
        <f t="shared" si="9"/>
        <v/>
      </c>
      <c r="H2700" s="15" t="str">
        <f>IFERROR(VLOOKUP(A2700,Sheet1!$E$3:$F$27,2,),"")</f>
        <v/>
      </c>
      <c r="I2700" s="16" t="str">
        <f>IFERROR(VLOOKUP(A2700,Sheet1!$E$3:$G$27,3,0),"")</f>
        <v/>
      </c>
      <c r="J2700" s="20"/>
      <c r="K2700" s="17"/>
      <c r="L2700" s="17"/>
      <c r="M2700" s="13"/>
      <c r="N2700" s="23"/>
      <c r="O2700" s="22"/>
      <c r="P2700" s="22"/>
    </row>
    <row r="2701" ht="22.5" customHeight="1">
      <c r="A2701" s="20"/>
      <c r="B2701" s="20" t="str">
        <f>IFERROR(VLOOKUP(A2701,Sheet1!$E$3:$H$27,4,0),"")</f>
        <v/>
      </c>
      <c r="C2701" s="15"/>
      <c r="D2701" s="20"/>
      <c r="E2701" s="13" t="str">
        <f>IFERROR(VLOOKUP(D2701,Sheet1!$B$1:$C$45,2,0),"")</f>
        <v/>
      </c>
      <c r="F2701" s="20"/>
      <c r="G2701" s="13" t="str">
        <f t="shared" si="9"/>
        <v/>
      </c>
      <c r="H2701" s="15" t="str">
        <f>IFERROR(VLOOKUP(A2701,Sheet1!$E$3:$F$27,2,),"")</f>
        <v/>
      </c>
      <c r="I2701" s="16" t="str">
        <f>IFERROR(VLOOKUP(A2701,Sheet1!$E$3:$G$27,3,0),"")</f>
        <v/>
      </c>
      <c r="J2701" s="20"/>
      <c r="K2701" s="17"/>
      <c r="L2701" s="17"/>
      <c r="M2701" s="13"/>
      <c r="N2701" s="23"/>
      <c r="O2701" s="22"/>
      <c r="P2701" s="22"/>
    </row>
    <row r="2702" ht="22.5" customHeight="1">
      <c r="A2702" s="20"/>
      <c r="B2702" s="20" t="str">
        <f>IFERROR(VLOOKUP(A2702,Sheet1!$E$3:$H$27,4,0),"")</f>
        <v/>
      </c>
      <c r="C2702" s="15"/>
      <c r="D2702" s="20"/>
      <c r="E2702" s="13" t="str">
        <f>IFERROR(VLOOKUP(D2702,Sheet1!$B$1:$C$45,2,0),"")</f>
        <v/>
      </c>
      <c r="F2702" s="20"/>
      <c r="G2702" s="13" t="str">
        <f t="shared" si="9"/>
        <v/>
      </c>
      <c r="H2702" s="15" t="str">
        <f>IFERROR(VLOOKUP(A2702,Sheet1!$E$3:$F$27,2,),"")</f>
        <v/>
      </c>
      <c r="I2702" s="16" t="str">
        <f>IFERROR(VLOOKUP(A2702,Sheet1!$E$3:$G$27,3,0),"")</f>
        <v/>
      </c>
      <c r="J2702" s="20"/>
      <c r="K2702" s="17"/>
      <c r="L2702" s="17"/>
      <c r="M2702" s="13"/>
      <c r="N2702" s="23"/>
      <c r="O2702" s="22"/>
      <c r="P2702" s="22"/>
    </row>
    <row r="2703" ht="22.5" customHeight="1">
      <c r="A2703" s="20"/>
      <c r="B2703" s="20" t="str">
        <f>IFERROR(VLOOKUP(A2703,Sheet1!$E$3:$H$27,4,0),"")</f>
        <v/>
      </c>
      <c r="C2703" s="15"/>
      <c r="D2703" s="20"/>
      <c r="E2703" s="13" t="str">
        <f>IFERROR(VLOOKUP(D2703,Sheet1!$B$1:$C$45,2,0),"")</f>
        <v/>
      </c>
      <c r="F2703" s="20"/>
      <c r="G2703" s="13" t="str">
        <f t="shared" si="9"/>
        <v/>
      </c>
      <c r="H2703" s="15" t="str">
        <f>IFERROR(VLOOKUP(A2703,Sheet1!$E$3:$F$27,2,),"")</f>
        <v/>
      </c>
      <c r="I2703" s="16" t="str">
        <f>IFERROR(VLOOKUP(A2703,Sheet1!$E$3:$G$27,3,0),"")</f>
        <v/>
      </c>
      <c r="J2703" s="20"/>
      <c r="K2703" s="17"/>
      <c r="L2703" s="17"/>
      <c r="M2703" s="13"/>
      <c r="N2703" s="23"/>
      <c r="O2703" s="22"/>
      <c r="P2703" s="22"/>
    </row>
    <row r="2704" ht="22.5" customHeight="1">
      <c r="A2704" s="20"/>
      <c r="B2704" s="20" t="str">
        <f>IFERROR(VLOOKUP(A2704,Sheet1!$E$3:$H$27,4,0),"")</f>
        <v/>
      </c>
      <c r="C2704" s="15"/>
      <c r="D2704" s="20"/>
      <c r="E2704" s="13" t="str">
        <f>IFERROR(VLOOKUP(D2704,Sheet1!$B$1:$C$45,2,0),"")</f>
        <v/>
      </c>
      <c r="F2704" s="20"/>
      <c r="G2704" s="13" t="str">
        <f t="shared" si="9"/>
        <v/>
      </c>
      <c r="H2704" s="15" t="str">
        <f>IFERROR(VLOOKUP(A2704,Sheet1!$E$3:$F$27,2,),"")</f>
        <v/>
      </c>
      <c r="I2704" s="16" t="str">
        <f>IFERROR(VLOOKUP(A2704,Sheet1!$E$3:$G$27,3,0),"")</f>
        <v/>
      </c>
      <c r="J2704" s="20"/>
      <c r="K2704" s="17"/>
      <c r="L2704" s="17"/>
      <c r="M2704" s="13"/>
      <c r="N2704" s="23"/>
      <c r="O2704" s="22"/>
      <c r="P2704" s="22"/>
    </row>
    <row r="2705" ht="22.5" customHeight="1">
      <c r="A2705" s="20"/>
      <c r="B2705" s="20" t="str">
        <f>IFERROR(VLOOKUP(A2705,Sheet1!$E$3:$H$27,4,0),"")</f>
        <v/>
      </c>
      <c r="C2705" s="15"/>
      <c r="D2705" s="20"/>
      <c r="E2705" s="13" t="str">
        <f>IFERROR(VLOOKUP(D2705,Sheet1!$B$1:$C$45,2,0),"")</f>
        <v/>
      </c>
      <c r="F2705" s="20"/>
      <c r="G2705" s="13" t="str">
        <f t="shared" si="9"/>
        <v/>
      </c>
      <c r="H2705" s="15" t="str">
        <f>IFERROR(VLOOKUP(A2705,Sheet1!$E$3:$F$27,2,),"")</f>
        <v/>
      </c>
      <c r="I2705" s="16" t="str">
        <f>IFERROR(VLOOKUP(A2705,Sheet1!$E$3:$G$27,3,0),"")</f>
        <v/>
      </c>
      <c r="J2705" s="20"/>
      <c r="K2705" s="17"/>
      <c r="L2705" s="17"/>
      <c r="M2705" s="13"/>
      <c r="N2705" s="23"/>
      <c r="O2705" s="22"/>
      <c r="P2705" s="22"/>
    </row>
    <row r="2706" ht="22.5" customHeight="1">
      <c r="A2706" s="20"/>
      <c r="B2706" s="20" t="str">
        <f>IFERROR(VLOOKUP(A2706,Sheet1!$E$3:$H$27,4,0),"")</f>
        <v/>
      </c>
      <c r="C2706" s="15"/>
      <c r="D2706" s="20"/>
      <c r="E2706" s="13" t="str">
        <f>IFERROR(VLOOKUP(D2706,Sheet1!$B$1:$C$45,2,0),"")</f>
        <v/>
      </c>
      <c r="F2706" s="20"/>
      <c r="G2706" s="13" t="str">
        <f t="shared" si="9"/>
        <v/>
      </c>
      <c r="H2706" s="15" t="str">
        <f>IFERROR(VLOOKUP(A2706,Sheet1!$E$3:$F$27,2,),"")</f>
        <v/>
      </c>
      <c r="I2706" s="16" t="str">
        <f>IFERROR(VLOOKUP(A2706,Sheet1!$E$3:$G$27,3,0),"")</f>
        <v/>
      </c>
      <c r="J2706" s="20"/>
      <c r="K2706" s="17"/>
      <c r="L2706" s="17"/>
      <c r="M2706" s="13"/>
      <c r="N2706" s="23"/>
      <c r="O2706" s="22"/>
      <c r="P2706" s="22"/>
    </row>
    <row r="2707" ht="22.5" customHeight="1">
      <c r="A2707" s="20"/>
      <c r="B2707" s="20" t="str">
        <f>IFERROR(VLOOKUP(A2707,Sheet1!$E$3:$H$27,4,0),"")</f>
        <v/>
      </c>
      <c r="C2707" s="15"/>
      <c r="D2707" s="20"/>
      <c r="E2707" s="13" t="str">
        <f>IFERROR(VLOOKUP(D2707,Sheet1!$B$1:$C$45,2,0),"")</f>
        <v/>
      </c>
      <c r="F2707" s="20"/>
      <c r="G2707" s="13" t="str">
        <f t="shared" si="9"/>
        <v/>
      </c>
      <c r="H2707" s="15" t="str">
        <f>IFERROR(VLOOKUP(A2707,Sheet1!$E$3:$F$27,2,),"")</f>
        <v/>
      </c>
      <c r="I2707" s="16" t="str">
        <f>IFERROR(VLOOKUP(A2707,Sheet1!$E$3:$G$27,3,0),"")</f>
        <v/>
      </c>
      <c r="J2707" s="20"/>
      <c r="K2707" s="17"/>
      <c r="L2707" s="17"/>
      <c r="M2707" s="13"/>
      <c r="N2707" s="23"/>
      <c r="O2707" s="22"/>
      <c r="P2707" s="22"/>
    </row>
    <row r="2708" ht="22.5" customHeight="1">
      <c r="A2708" s="20"/>
      <c r="B2708" s="20" t="str">
        <f>IFERROR(VLOOKUP(A2708,Sheet1!$E$3:$H$27,4,0),"")</f>
        <v/>
      </c>
      <c r="C2708" s="15"/>
      <c r="D2708" s="20"/>
      <c r="E2708" s="13" t="str">
        <f>IFERROR(VLOOKUP(D2708,Sheet1!$B$1:$C$45,2,0),"")</f>
        <v/>
      </c>
      <c r="F2708" s="20"/>
      <c r="G2708" s="13" t="str">
        <f t="shared" si="9"/>
        <v/>
      </c>
      <c r="H2708" s="15" t="str">
        <f>IFERROR(VLOOKUP(A2708,Sheet1!$E$3:$F$27,2,),"")</f>
        <v/>
      </c>
      <c r="I2708" s="16" t="str">
        <f>IFERROR(VLOOKUP(A2708,Sheet1!$E$3:$G$27,3,0),"")</f>
        <v/>
      </c>
      <c r="J2708" s="20"/>
      <c r="K2708" s="17"/>
      <c r="L2708" s="17"/>
      <c r="M2708" s="13"/>
      <c r="N2708" s="23"/>
      <c r="O2708" s="22"/>
      <c r="P2708" s="22"/>
    </row>
    <row r="2709" ht="22.5" customHeight="1">
      <c r="A2709" s="20"/>
      <c r="B2709" s="20" t="str">
        <f>IFERROR(VLOOKUP(A2709,Sheet1!$E$3:$H$27,4,0),"")</f>
        <v/>
      </c>
      <c r="C2709" s="15"/>
      <c r="D2709" s="20"/>
      <c r="E2709" s="13" t="str">
        <f>IFERROR(VLOOKUP(D2709,Sheet1!$B$1:$C$45,2,0),"")</f>
        <v/>
      </c>
      <c r="F2709" s="20"/>
      <c r="G2709" s="13" t="str">
        <f t="shared" si="9"/>
        <v/>
      </c>
      <c r="H2709" s="15" t="str">
        <f>IFERROR(VLOOKUP(A2709,Sheet1!$E$3:$F$27,2,),"")</f>
        <v/>
      </c>
      <c r="I2709" s="16" t="str">
        <f>IFERROR(VLOOKUP(A2709,Sheet1!$E$3:$G$27,3,0),"")</f>
        <v/>
      </c>
      <c r="J2709" s="20"/>
      <c r="K2709" s="17"/>
      <c r="L2709" s="17"/>
      <c r="M2709" s="13"/>
      <c r="N2709" s="23"/>
      <c r="O2709" s="22"/>
      <c r="P2709" s="22"/>
    </row>
    <row r="2710" ht="22.5" customHeight="1">
      <c r="A2710" s="20"/>
      <c r="B2710" s="20" t="str">
        <f>IFERROR(VLOOKUP(A2710,Sheet1!$E$3:$H$27,4,0),"")</f>
        <v/>
      </c>
      <c r="C2710" s="15"/>
      <c r="D2710" s="20"/>
      <c r="E2710" s="13" t="str">
        <f>IFERROR(VLOOKUP(D2710,Sheet1!$B$1:$C$45,2,0),"")</f>
        <v/>
      </c>
      <c r="F2710" s="20"/>
      <c r="G2710" s="13" t="str">
        <f t="shared" si="9"/>
        <v/>
      </c>
      <c r="H2710" s="15" t="str">
        <f>IFERROR(VLOOKUP(A2710,Sheet1!$E$3:$F$27,2,),"")</f>
        <v/>
      </c>
      <c r="I2710" s="16" t="str">
        <f>IFERROR(VLOOKUP(A2710,Sheet1!$E$3:$G$27,3,0),"")</f>
        <v/>
      </c>
      <c r="J2710" s="20"/>
      <c r="K2710" s="17"/>
      <c r="L2710" s="17"/>
      <c r="M2710" s="13"/>
      <c r="N2710" s="23"/>
      <c r="O2710" s="22"/>
      <c r="P2710" s="22"/>
    </row>
    <row r="2711" ht="22.5" customHeight="1">
      <c r="A2711" s="20"/>
      <c r="B2711" s="20" t="str">
        <f>IFERROR(VLOOKUP(A2711,Sheet1!$E$3:$H$27,4,0),"")</f>
        <v/>
      </c>
      <c r="C2711" s="15"/>
      <c r="D2711" s="20"/>
      <c r="E2711" s="13" t="str">
        <f>IFERROR(VLOOKUP(D2711,Sheet1!$B$1:$C$45,2,0),"")</f>
        <v/>
      </c>
      <c r="F2711" s="20"/>
      <c r="G2711" s="13" t="str">
        <f t="shared" si="9"/>
        <v/>
      </c>
      <c r="H2711" s="15" t="str">
        <f>IFERROR(VLOOKUP(A2711,Sheet1!$E$3:$F$27,2,),"")</f>
        <v/>
      </c>
      <c r="I2711" s="16" t="str">
        <f>IFERROR(VLOOKUP(A2711,Sheet1!$E$3:$G$27,3,0),"")</f>
        <v/>
      </c>
      <c r="J2711" s="20"/>
      <c r="K2711" s="17"/>
      <c r="L2711" s="17"/>
      <c r="M2711" s="13"/>
      <c r="N2711" s="23"/>
      <c r="O2711" s="22"/>
      <c r="P2711" s="22"/>
    </row>
    <row r="2712" ht="22.5" customHeight="1">
      <c r="A2712" s="20"/>
      <c r="B2712" s="20" t="str">
        <f>IFERROR(VLOOKUP(A2712,Sheet1!$E$3:$H$27,4,0),"")</f>
        <v/>
      </c>
      <c r="C2712" s="15"/>
      <c r="D2712" s="20"/>
      <c r="E2712" s="13" t="str">
        <f>IFERROR(VLOOKUP(D2712,Sheet1!$B$1:$C$45,2,0),"")</f>
        <v/>
      </c>
      <c r="F2712" s="20"/>
      <c r="G2712" s="13" t="str">
        <f t="shared" si="9"/>
        <v/>
      </c>
      <c r="H2712" s="15" t="str">
        <f>IFERROR(VLOOKUP(A2712,Sheet1!$E$3:$F$27,2,),"")</f>
        <v/>
      </c>
      <c r="I2712" s="16" t="str">
        <f>IFERROR(VLOOKUP(A2712,Sheet1!$E$3:$G$27,3,0),"")</f>
        <v/>
      </c>
      <c r="J2712" s="20"/>
      <c r="K2712" s="17"/>
      <c r="L2712" s="17"/>
      <c r="M2712" s="13"/>
      <c r="N2712" s="23"/>
      <c r="O2712" s="22"/>
      <c r="P2712" s="22"/>
    </row>
    <row r="2713" ht="22.5" customHeight="1">
      <c r="A2713" s="20"/>
      <c r="B2713" s="20" t="str">
        <f>IFERROR(VLOOKUP(A2713,Sheet1!$E$3:$H$27,4,0),"")</f>
        <v/>
      </c>
      <c r="C2713" s="15"/>
      <c r="D2713" s="20"/>
      <c r="E2713" s="13" t="str">
        <f>IFERROR(VLOOKUP(D2713,Sheet1!$B$1:$C$45,2,0),"")</f>
        <v/>
      </c>
      <c r="F2713" s="20"/>
      <c r="G2713" s="13" t="str">
        <f t="shared" si="9"/>
        <v/>
      </c>
      <c r="H2713" s="15" t="str">
        <f>IFERROR(VLOOKUP(A2713,Sheet1!$E$3:$F$27,2,),"")</f>
        <v/>
      </c>
      <c r="I2713" s="16" t="str">
        <f>IFERROR(VLOOKUP(A2713,Sheet1!$E$3:$G$27,3,0),"")</f>
        <v/>
      </c>
      <c r="J2713" s="20"/>
      <c r="K2713" s="17"/>
      <c r="L2713" s="17"/>
      <c r="M2713" s="13"/>
      <c r="N2713" s="23"/>
      <c r="O2713" s="22"/>
      <c r="P2713" s="22"/>
    </row>
    <row r="2714" ht="22.5" customHeight="1">
      <c r="A2714" s="20"/>
      <c r="B2714" s="20" t="str">
        <f>IFERROR(VLOOKUP(A2714,Sheet1!$E$3:$H$27,4,0),"")</f>
        <v/>
      </c>
      <c r="C2714" s="15"/>
      <c r="D2714" s="20"/>
      <c r="E2714" s="13" t="str">
        <f>IFERROR(VLOOKUP(D2714,Sheet1!$B$1:$C$45,2,0),"")</f>
        <v/>
      </c>
      <c r="F2714" s="20"/>
      <c r="G2714" s="13" t="str">
        <f t="shared" si="9"/>
        <v/>
      </c>
      <c r="H2714" s="15" t="str">
        <f>IFERROR(VLOOKUP(A2714,Sheet1!$E$3:$F$27,2,),"")</f>
        <v/>
      </c>
      <c r="I2714" s="16" t="str">
        <f>IFERROR(VLOOKUP(A2714,Sheet1!$E$3:$G$27,3,0),"")</f>
        <v/>
      </c>
      <c r="J2714" s="20"/>
      <c r="K2714" s="17"/>
      <c r="L2714" s="17"/>
      <c r="M2714" s="13"/>
      <c r="N2714" s="23"/>
      <c r="O2714" s="22"/>
      <c r="P2714" s="22"/>
    </row>
    <row r="2715" ht="22.5" customHeight="1">
      <c r="A2715" s="20"/>
      <c r="B2715" s="20" t="str">
        <f>IFERROR(VLOOKUP(A2715,Sheet1!$E$3:$H$27,4,0),"")</f>
        <v/>
      </c>
      <c r="C2715" s="15"/>
      <c r="D2715" s="20"/>
      <c r="E2715" s="13" t="str">
        <f>IFERROR(VLOOKUP(D2715,Sheet1!$B$1:$C$45,2,0),"")</f>
        <v/>
      </c>
      <c r="F2715" s="20"/>
      <c r="G2715" s="13" t="str">
        <f t="shared" si="9"/>
        <v/>
      </c>
      <c r="H2715" s="15" t="str">
        <f>IFERROR(VLOOKUP(A2715,Sheet1!$E$3:$F$27,2,),"")</f>
        <v/>
      </c>
      <c r="I2715" s="16" t="str">
        <f>IFERROR(VLOOKUP(A2715,Sheet1!$E$3:$G$27,3,0),"")</f>
        <v/>
      </c>
      <c r="J2715" s="20"/>
      <c r="K2715" s="17"/>
      <c r="L2715" s="17"/>
      <c r="M2715" s="13"/>
      <c r="N2715" s="23"/>
      <c r="O2715" s="22"/>
      <c r="P2715" s="22"/>
    </row>
    <row r="2716" ht="22.5" customHeight="1">
      <c r="A2716" s="20"/>
      <c r="B2716" s="20" t="str">
        <f>IFERROR(VLOOKUP(A2716,Sheet1!$E$3:$H$27,4,0),"")</f>
        <v/>
      </c>
      <c r="C2716" s="15"/>
      <c r="D2716" s="20"/>
      <c r="E2716" s="13" t="str">
        <f>IFERROR(VLOOKUP(D2716,Sheet1!$B$1:$C$45,2,0),"")</f>
        <v/>
      </c>
      <c r="F2716" s="20"/>
      <c r="G2716" s="13" t="str">
        <f t="shared" si="9"/>
        <v/>
      </c>
      <c r="H2716" s="15" t="str">
        <f>IFERROR(VLOOKUP(A2716,Sheet1!$E$3:$F$27,2,),"")</f>
        <v/>
      </c>
      <c r="I2716" s="16" t="str">
        <f>IFERROR(VLOOKUP(A2716,Sheet1!$E$3:$G$27,3,0),"")</f>
        <v/>
      </c>
      <c r="J2716" s="20"/>
      <c r="K2716" s="17"/>
      <c r="L2716" s="17"/>
      <c r="M2716" s="13"/>
      <c r="N2716" s="23"/>
      <c r="O2716" s="22"/>
      <c r="P2716" s="22"/>
    </row>
    <row r="2717" ht="22.5" customHeight="1">
      <c r="A2717" s="20"/>
      <c r="B2717" s="20" t="str">
        <f>IFERROR(VLOOKUP(A2717,Sheet1!$E$3:$H$27,4,0),"")</f>
        <v/>
      </c>
      <c r="C2717" s="15"/>
      <c r="D2717" s="20"/>
      <c r="E2717" s="13" t="str">
        <f>IFERROR(VLOOKUP(D2717,Sheet1!$B$1:$C$45,2,0),"")</f>
        <v/>
      </c>
      <c r="F2717" s="20"/>
      <c r="G2717" s="13" t="str">
        <f t="shared" si="9"/>
        <v/>
      </c>
      <c r="H2717" s="15" t="str">
        <f>IFERROR(VLOOKUP(A2717,Sheet1!$E$3:$F$27,2,),"")</f>
        <v/>
      </c>
      <c r="I2717" s="16" t="str">
        <f>IFERROR(VLOOKUP(A2717,Sheet1!$E$3:$G$27,3,0),"")</f>
        <v/>
      </c>
      <c r="J2717" s="20"/>
      <c r="K2717" s="17"/>
      <c r="L2717" s="17"/>
      <c r="M2717" s="13"/>
      <c r="N2717" s="23"/>
      <c r="O2717" s="22"/>
      <c r="P2717" s="22"/>
    </row>
    <row r="2718" ht="22.5" customHeight="1">
      <c r="A2718" s="20"/>
      <c r="B2718" s="20" t="str">
        <f>IFERROR(VLOOKUP(A2718,Sheet1!$E$3:$H$27,4,0),"")</f>
        <v/>
      </c>
      <c r="C2718" s="15"/>
      <c r="D2718" s="20"/>
      <c r="E2718" s="13" t="str">
        <f>IFERROR(VLOOKUP(D2718,Sheet1!$B$1:$C$45,2,0),"")</f>
        <v/>
      </c>
      <c r="F2718" s="20"/>
      <c r="G2718" s="13" t="str">
        <f t="shared" si="9"/>
        <v/>
      </c>
      <c r="H2718" s="15" t="str">
        <f>IFERROR(VLOOKUP(A2718,Sheet1!$E$3:$F$27,2,),"")</f>
        <v/>
      </c>
      <c r="I2718" s="16" t="str">
        <f>IFERROR(VLOOKUP(A2718,Sheet1!$E$3:$G$27,3,0),"")</f>
        <v/>
      </c>
      <c r="J2718" s="20"/>
      <c r="K2718" s="17"/>
      <c r="L2718" s="17"/>
      <c r="M2718" s="13"/>
      <c r="N2718" s="23"/>
      <c r="O2718" s="22"/>
      <c r="P2718" s="22"/>
    </row>
    <row r="2719" ht="22.5" customHeight="1">
      <c r="A2719" s="20"/>
      <c r="B2719" s="20" t="str">
        <f>IFERROR(VLOOKUP(A2719,Sheet1!$E$3:$H$27,4,0),"")</f>
        <v/>
      </c>
      <c r="C2719" s="15"/>
      <c r="D2719" s="20"/>
      <c r="E2719" s="13" t="str">
        <f>IFERROR(VLOOKUP(D2719,Sheet1!$B$1:$C$45,2,0),"")</f>
        <v/>
      </c>
      <c r="F2719" s="20"/>
      <c r="G2719" s="13" t="str">
        <f t="shared" si="9"/>
        <v/>
      </c>
      <c r="H2719" s="15" t="str">
        <f>IFERROR(VLOOKUP(A2719,Sheet1!$E$3:$F$27,2,),"")</f>
        <v/>
      </c>
      <c r="I2719" s="16" t="str">
        <f>IFERROR(VLOOKUP(A2719,Sheet1!$E$3:$G$27,3,0),"")</f>
        <v/>
      </c>
      <c r="J2719" s="20"/>
      <c r="K2719" s="17"/>
      <c r="L2719" s="17"/>
      <c r="M2719" s="13"/>
      <c r="N2719" s="23"/>
      <c r="O2719" s="22"/>
      <c r="P2719" s="22"/>
    </row>
    <row r="2720" ht="22.5" customHeight="1">
      <c r="A2720" s="20"/>
      <c r="B2720" s="20" t="str">
        <f>IFERROR(VLOOKUP(A2720,Sheet1!$E$3:$H$27,4,0),"")</f>
        <v/>
      </c>
      <c r="C2720" s="15"/>
      <c r="D2720" s="20"/>
      <c r="E2720" s="13" t="str">
        <f>IFERROR(VLOOKUP(D2720,Sheet1!$B$1:$C$45,2,0),"")</f>
        <v/>
      </c>
      <c r="F2720" s="20"/>
      <c r="G2720" s="13" t="str">
        <f t="shared" si="9"/>
        <v/>
      </c>
      <c r="H2720" s="15" t="str">
        <f>IFERROR(VLOOKUP(A2720,Sheet1!$E$3:$F$27,2,),"")</f>
        <v/>
      </c>
      <c r="I2720" s="16" t="str">
        <f>IFERROR(VLOOKUP(A2720,Sheet1!$E$3:$G$27,3,0),"")</f>
        <v/>
      </c>
      <c r="J2720" s="20"/>
      <c r="K2720" s="17"/>
      <c r="L2720" s="17"/>
      <c r="M2720" s="13"/>
      <c r="N2720" s="23"/>
      <c r="O2720" s="22"/>
      <c r="P2720" s="22"/>
    </row>
    <row r="2721" ht="22.5" customHeight="1">
      <c r="A2721" s="20"/>
      <c r="B2721" s="20" t="str">
        <f>IFERROR(VLOOKUP(A2721,Sheet1!$E$3:$H$27,4,0),"")</f>
        <v/>
      </c>
      <c r="C2721" s="15"/>
      <c r="D2721" s="20"/>
      <c r="E2721" s="13" t="str">
        <f>IFERROR(VLOOKUP(D2721,Sheet1!$B$1:$C$45,2,0),"")</f>
        <v/>
      </c>
      <c r="F2721" s="20"/>
      <c r="G2721" s="13" t="str">
        <f t="shared" si="9"/>
        <v/>
      </c>
      <c r="H2721" s="15" t="str">
        <f>IFERROR(VLOOKUP(A2721,Sheet1!$E$3:$F$27,2,),"")</f>
        <v/>
      </c>
      <c r="I2721" s="16" t="str">
        <f>IFERROR(VLOOKUP(A2721,Sheet1!$E$3:$G$27,3,0),"")</f>
        <v/>
      </c>
      <c r="J2721" s="20"/>
      <c r="K2721" s="17"/>
      <c r="L2721" s="17"/>
      <c r="M2721" s="13"/>
      <c r="N2721" s="23"/>
      <c r="O2721" s="22"/>
      <c r="P2721" s="22"/>
    </row>
    <row r="2722" ht="22.5" customHeight="1">
      <c r="A2722" s="20"/>
      <c r="B2722" s="20" t="str">
        <f>IFERROR(VLOOKUP(A2722,Sheet1!$E$3:$H$27,4,0),"")</f>
        <v/>
      </c>
      <c r="C2722" s="15"/>
      <c r="D2722" s="20"/>
      <c r="E2722" s="13" t="str">
        <f>IFERROR(VLOOKUP(D2722,Sheet1!$B$1:$C$45,2,0),"")</f>
        <v/>
      </c>
      <c r="F2722" s="20"/>
      <c r="G2722" s="13" t="str">
        <f t="shared" si="9"/>
        <v/>
      </c>
      <c r="H2722" s="15" t="str">
        <f>IFERROR(VLOOKUP(A2722,Sheet1!$E$3:$F$27,2,),"")</f>
        <v/>
      </c>
      <c r="I2722" s="16" t="str">
        <f>IFERROR(VLOOKUP(A2722,Sheet1!$E$3:$G$27,3,0),"")</f>
        <v/>
      </c>
      <c r="J2722" s="20"/>
      <c r="K2722" s="17"/>
      <c r="L2722" s="17"/>
      <c r="M2722" s="13"/>
      <c r="N2722" s="23"/>
      <c r="O2722" s="22"/>
      <c r="P2722" s="22"/>
    </row>
    <row r="2723" ht="22.5" customHeight="1">
      <c r="A2723" s="20"/>
      <c r="B2723" s="20" t="str">
        <f>IFERROR(VLOOKUP(A2723,Sheet1!$E$3:$H$27,4,0),"")</f>
        <v/>
      </c>
      <c r="C2723" s="15"/>
      <c r="D2723" s="20"/>
      <c r="E2723" s="13" t="str">
        <f>IFERROR(VLOOKUP(D2723,Sheet1!$B$1:$C$45,2,0),"")</f>
        <v/>
      </c>
      <c r="F2723" s="20"/>
      <c r="G2723" s="13" t="str">
        <f t="shared" si="9"/>
        <v/>
      </c>
      <c r="H2723" s="15" t="str">
        <f>IFERROR(VLOOKUP(A2723,Sheet1!$E$3:$F$27,2,),"")</f>
        <v/>
      </c>
      <c r="I2723" s="16" t="str">
        <f>IFERROR(VLOOKUP(A2723,Sheet1!$E$3:$G$27,3,0),"")</f>
        <v/>
      </c>
      <c r="J2723" s="20"/>
      <c r="K2723" s="17"/>
      <c r="L2723" s="17"/>
      <c r="M2723" s="13"/>
      <c r="N2723" s="23"/>
      <c r="O2723" s="22"/>
      <c r="P2723" s="22"/>
    </row>
    <row r="2724" ht="22.5" customHeight="1">
      <c r="A2724" s="20"/>
      <c r="B2724" s="20" t="str">
        <f>IFERROR(VLOOKUP(A2724,Sheet1!$E$3:$H$27,4,0),"")</f>
        <v/>
      </c>
      <c r="C2724" s="15"/>
      <c r="D2724" s="20"/>
      <c r="E2724" s="13" t="str">
        <f>IFERROR(VLOOKUP(D2724,Sheet1!$B$1:$C$45,2,0),"")</f>
        <v/>
      </c>
      <c r="F2724" s="20"/>
      <c r="G2724" s="13" t="str">
        <f t="shared" si="9"/>
        <v/>
      </c>
      <c r="H2724" s="15" t="str">
        <f>IFERROR(VLOOKUP(A2724,Sheet1!$E$3:$F$27,2,),"")</f>
        <v/>
      </c>
      <c r="I2724" s="16" t="str">
        <f>IFERROR(VLOOKUP(A2724,Sheet1!$E$3:$G$27,3,0),"")</f>
        <v/>
      </c>
      <c r="J2724" s="20"/>
      <c r="K2724" s="17"/>
      <c r="L2724" s="17"/>
      <c r="M2724" s="13"/>
      <c r="N2724" s="23"/>
      <c r="O2724" s="22"/>
      <c r="P2724" s="22"/>
    </row>
    <row r="2725" ht="22.5" customHeight="1">
      <c r="A2725" s="20"/>
      <c r="B2725" s="20" t="str">
        <f>IFERROR(VLOOKUP(A2725,Sheet1!$E$3:$H$27,4,0),"")</f>
        <v/>
      </c>
      <c r="C2725" s="15"/>
      <c r="D2725" s="20"/>
      <c r="E2725" s="13" t="str">
        <f>IFERROR(VLOOKUP(D2725,Sheet1!$B$1:$C$45,2,0),"")</f>
        <v/>
      </c>
      <c r="F2725" s="20"/>
      <c r="G2725" s="13" t="str">
        <f t="shared" si="9"/>
        <v/>
      </c>
      <c r="H2725" s="15" t="str">
        <f>IFERROR(VLOOKUP(A2725,Sheet1!$E$3:$F$27,2,),"")</f>
        <v/>
      </c>
      <c r="I2725" s="16" t="str">
        <f>IFERROR(VLOOKUP(A2725,Sheet1!$E$3:$G$27,3,0),"")</f>
        <v/>
      </c>
      <c r="J2725" s="20"/>
      <c r="K2725" s="17"/>
      <c r="L2725" s="17"/>
      <c r="M2725" s="13"/>
      <c r="N2725" s="23"/>
      <c r="O2725" s="22"/>
      <c r="P2725" s="22"/>
    </row>
    <row r="2726" ht="22.5" customHeight="1">
      <c r="A2726" s="20"/>
      <c r="B2726" s="20" t="str">
        <f>IFERROR(VLOOKUP(A2726,Sheet1!$E$3:$H$27,4,0),"")</f>
        <v/>
      </c>
      <c r="C2726" s="15"/>
      <c r="D2726" s="20"/>
      <c r="E2726" s="13" t="str">
        <f>IFERROR(VLOOKUP(D2726,Sheet1!$B$1:$C$45,2,0),"")</f>
        <v/>
      </c>
      <c r="F2726" s="20"/>
      <c r="G2726" s="13" t="str">
        <f t="shared" si="9"/>
        <v/>
      </c>
      <c r="H2726" s="15" t="str">
        <f>IFERROR(VLOOKUP(A2726,Sheet1!$E$3:$F$27,2,),"")</f>
        <v/>
      </c>
      <c r="I2726" s="16" t="str">
        <f>IFERROR(VLOOKUP(A2726,Sheet1!$E$3:$G$27,3,0),"")</f>
        <v/>
      </c>
      <c r="J2726" s="20"/>
      <c r="K2726" s="17"/>
      <c r="L2726" s="17"/>
      <c r="M2726" s="13"/>
      <c r="N2726" s="23"/>
      <c r="O2726" s="22"/>
      <c r="P2726" s="22"/>
    </row>
    <row r="2727" ht="22.5" customHeight="1">
      <c r="A2727" s="20"/>
      <c r="B2727" s="20" t="str">
        <f>IFERROR(VLOOKUP(A2727,Sheet1!$E$3:$H$27,4,0),"")</f>
        <v/>
      </c>
      <c r="C2727" s="15"/>
      <c r="D2727" s="20"/>
      <c r="E2727" s="13" t="str">
        <f>IFERROR(VLOOKUP(D2727,Sheet1!$B$1:$C$45,2,0),"")</f>
        <v/>
      </c>
      <c r="F2727" s="20"/>
      <c r="G2727" s="13" t="str">
        <f t="shared" si="9"/>
        <v/>
      </c>
      <c r="H2727" s="15" t="str">
        <f>IFERROR(VLOOKUP(A2727,Sheet1!$E$3:$F$27,2,),"")</f>
        <v/>
      </c>
      <c r="I2727" s="16" t="str">
        <f>IFERROR(VLOOKUP(A2727,Sheet1!$E$3:$G$27,3,0),"")</f>
        <v/>
      </c>
      <c r="J2727" s="20"/>
      <c r="K2727" s="17"/>
      <c r="L2727" s="17"/>
      <c r="M2727" s="13"/>
      <c r="N2727" s="23"/>
      <c r="O2727" s="22"/>
      <c r="P2727" s="22"/>
    </row>
    <row r="2728" ht="22.5" customHeight="1">
      <c r="A2728" s="20"/>
      <c r="B2728" s="20" t="str">
        <f>IFERROR(VLOOKUP(A2728,Sheet1!$E$3:$H$27,4,0),"")</f>
        <v/>
      </c>
      <c r="C2728" s="15"/>
      <c r="D2728" s="20"/>
      <c r="E2728" s="13" t="str">
        <f>IFERROR(VLOOKUP(D2728,Sheet1!$B$1:$C$45,2,0),"")</f>
        <v/>
      </c>
      <c r="F2728" s="20"/>
      <c r="G2728" s="13" t="str">
        <f t="shared" si="9"/>
        <v/>
      </c>
      <c r="H2728" s="15" t="str">
        <f>IFERROR(VLOOKUP(A2728,Sheet1!$E$3:$F$27,2,),"")</f>
        <v/>
      </c>
      <c r="I2728" s="16" t="str">
        <f>IFERROR(VLOOKUP(A2728,Sheet1!$E$3:$G$27,3,0),"")</f>
        <v/>
      </c>
      <c r="J2728" s="20"/>
      <c r="K2728" s="17"/>
      <c r="L2728" s="17"/>
      <c r="M2728" s="13"/>
      <c r="N2728" s="23"/>
      <c r="O2728" s="22"/>
      <c r="P2728" s="22"/>
    </row>
    <row r="2729" ht="22.5" customHeight="1">
      <c r="A2729" s="20"/>
      <c r="B2729" s="20" t="str">
        <f>IFERROR(VLOOKUP(A2729,Sheet1!$E$3:$H$27,4,0),"")</f>
        <v/>
      </c>
      <c r="C2729" s="15"/>
      <c r="D2729" s="20"/>
      <c r="E2729" s="13" t="str">
        <f>IFERROR(VLOOKUP(D2729,Sheet1!$B$1:$C$45,2,0),"")</f>
        <v/>
      </c>
      <c r="F2729" s="20"/>
      <c r="G2729" s="13" t="str">
        <f t="shared" si="9"/>
        <v/>
      </c>
      <c r="H2729" s="15" t="str">
        <f>IFERROR(VLOOKUP(A2729,Sheet1!$E$3:$F$27,2,),"")</f>
        <v/>
      </c>
      <c r="I2729" s="16" t="str">
        <f>IFERROR(VLOOKUP(A2729,Sheet1!$E$3:$G$27,3,0),"")</f>
        <v/>
      </c>
      <c r="J2729" s="20"/>
      <c r="K2729" s="17"/>
      <c r="L2729" s="17"/>
      <c r="M2729" s="13"/>
      <c r="N2729" s="23"/>
      <c r="O2729" s="22"/>
      <c r="P2729" s="22"/>
    </row>
    <row r="2730" ht="22.5" customHeight="1">
      <c r="A2730" s="20"/>
      <c r="B2730" s="20" t="str">
        <f>IFERROR(VLOOKUP(A2730,Sheet1!$E$3:$H$27,4,0),"")</f>
        <v/>
      </c>
      <c r="C2730" s="15"/>
      <c r="D2730" s="20"/>
      <c r="E2730" s="13" t="str">
        <f>IFERROR(VLOOKUP(D2730,Sheet1!$B$1:$C$45,2,0),"")</f>
        <v/>
      </c>
      <c r="F2730" s="20"/>
      <c r="G2730" s="13" t="str">
        <f t="shared" si="9"/>
        <v/>
      </c>
      <c r="H2730" s="15" t="str">
        <f>IFERROR(VLOOKUP(A2730,Sheet1!$E$3:$F$27,2,),"")</f>
        <v/>
      </c>
      <c r="I2730" s="16" t="str">
        <f>IFERROR(VLOOKUP(A2730,Sheet1!$E$3:$G$27,3,0),"")</f>
        <v/>
      </c>
      <c r="J2730" s="20"/>
      <c r="K2730" s="17"/>
      <c r="L2730" s="17"/>
      <c r="M2730" s="13"/>
      <c r="N2730" s="23"/>
      <c r="O2730" s="22"/>
      <c r="P2730" s="22"/>
    </row>
    <row r="2731" ht="22.5" customHeight="1">
      <c r="A2731" s="20"/>
      <c r="B2731" s="20" t="str">
        <f>IFERROR(VLOOKUP(A2731,Sheet1!$E$3:$H$27,4,0),"")</f>
        <v/>
      </c>
      <c r="C2731" s="15"/>
      <c r="D2731" s="20"/>
      <c r="E2731" s="13" t="str">
        <f>IFERROR(VLOOKUP(D2731,Sheet1!$B$1:$C$45,2,0),"")</f>
        <v/>
      </c>
      <c r="F2731" s="20"/>
      <c r="G2731" s="13" t="str">
        <f t="shared" si="9"/>
        <v/>
      </c>
      <c r="H2731" s="15" t="str">
        <f>IFERROR(VLOOKUP(A2731,Sheet1!$E$3:$F$27,2,),"")</f>
        <v/>
      </c>
      <c r="I2731" s="16" t="str">
        <f>IFERROR(VLOOKUP(A2731,Sheet1!$E$3:$G$27,3,0),"")</f>
        <v/>
      </c>
      <c r="J2731" s="20"/>
      <c r="K2731" s="17"/>
      <c r="L2731" s="17"/>
      <c r="M2731" s="13"/>
      <c r="N2731" s="23"/>
      <c r="O2731" s="22"/>
      <c r="P2731" s="22"/>
    </row>
    <row r="2732" ht="22.5" customHeight="1">
      <c r="A2732" s="20"/>
      <c r="B2732" s="20" t="str">
        <f>IFERROR(VLOOKUP(A2732,Sheet1!$E$3:$H$27,4,0),"")</f>
        <v/>
      </c>
      <c r="C2732" s="15"/>
      <c r="D2732" s="20"/>
      <c r="E2732" s="13" t="str">
        <f>IFERROR(VLOOKUP(D2732,Sheet1!$B$1:$C$45,2,0),"")</f>
        <v/>
      </c>
      <c r="F2732" s="20"/>
      <c r="G2732" s="13" t="str">
        <f t="shared" si="9"/>
        <v/>
      </c>
      <c r="H2732" s="15" t="str">
        <f>IFERROR(VLOOKUP(A2732,Sheet1!$E$3:$F$27,2,),"")</f>
        <v/>
      </c>
      <c r="I2732" s="16" t="str">
        <f>IFERROR(VLOOKUP(A2732,Sheet1!$E$3:$G$27,3,0),"")</f>
        <v/>
      </c>
      <c r="J2732" s="20"/>
      <c r="K2732" s="17"/>
      <c r="L2732" s="17"/>
      <c r="M2732" s="13"/>
      <c r="N2732" s="23"/>
      <c r="O2732" s="22"/>
      <c r="P2732" s="22"/>
    </row>
    <row r="2733" ht="22.5" customHeight="1">
      <c r="A2733" s="20"/>
      <c r="B2733" s="20" t="str">
        <f>IFERROR(VLOOKUP(A2733,Sheet1!$E$3:$H$27,4,0),"")</f>
        <v/>
      </c>
      <c r="C2733" s="15"/>
      <c r="D2733" s="20"/>
      <c r="E2733" s="13" t="str">
        <f>IFERROR(VLOOKUP(D2733,Sheet1!$B$1:$C$45,2,0),"")</f>
        <v/>
      </c>
      <c r="F2733" s="20"/>
      <c r="G2733" s="13" t="str">
        <f t="shared" si="9"/>
        <v/>
      </c>
      <c r="H2733" s="15" t="str">
        <f>IFERROR(VLOOKUP(A2733,Sheet1!$E$3:$F$27,2,),"")</f>
        <v/>
      </c>
      <c r="I2733" s="16" t="str">
        <f>IFERROR(VLOOKUP(A2733,Sheet1!$E$3:$G$27,3,0),"")</f>
        <v/>
      </c>
      <c r="J2733" s="20"/>
      <c r="K2733" s="17"/>
      <c r="L2733" s="17"/>
      <c r="M2733" s="13"/>
      <c r="N2733" s="23"/>
      <c r="O2733" s="22"/>
      <c r="P2733" s="22"/>
    </row>
    <row r="2734" ht="22.5" customHeight="1">
      <c r="A2734" s="20"/>
      <c r="B2734" s="20" t="str">
        <f>IFERROR(VLOOKUP(A2734,Sheet1!$E$3:$H$27,4,0),"")</f>
        <v/>
      </c>
      <c r="C2734" s="15"/>
      <c r="D2734" s="20"/>
      <c r="E2734" s="13" t="str">
        <f>IFERROR(VLOOKUP(D2734,Sheet1!$B$1:$C$45,2,0),"")</f>
        <v/>
      </c>
      <c r="F2734" s="20"/>
      <c r="G2734" s="13" t="str">
        <f t="shared" si="9"/>
        <v/>
      </c>
      <c r="H2734" s="15" t="str">
        <f>IFERROR(VLOOKUP(A2734,Sheet1!$E$3:$F$27,2,),"")</f>
        <v/>
      </c>
      <c r="I2734" s="16" t="str">
        <f>IFERROR(VLOOKUP(A2734,Sheet1!$E$3:$G$27,3,0),"")</f>
        <v/>
      </c>
      <c r="J2734" s="20"/>
      <c r="K2734" s="17"/>
      <c r="L2734" s="17"/>
      <c r="M2734" s="13"/>
      <c r="N2734" s="23"/>
      <c r="O2734" s="22"/>
      <c r="P2734" s="22"/>
    </row>
    <row r="2735" ht="22.5" customHeight="1">
      <c r="A2735" s="20"/>
      <c r="B2735" s="20" t="str">
        <f>IFERROR(VLOOKUP(A2735,Sheet1!$E$3:$H$27,4,0),"")</f>
        <v/>
      </c>
      <c r="C2735" s="15"/>
      <c r="D2735" s="20"/>
      <c r="E2735" s="13" t="str">
        <f>IFERROR(VLOOKUP(D2735,Sheet1!$B$1:$C$45,2,0),"")</f>
        <v/>
      </c>
      <c r="F2735" s="20"/>
      <c r="G2735" s="13" t="str">
        <f t="shared" si="9"/>
        <v/>
      </c>
      <c r="H2735" s="15" t="str">
        <f>IFERROR(VLOOKUP(A2735,Sheet1!$E$3:$F$27,2,),"")</f>
        <v/>
      </c>
      <c r="I2735" s="16" t="str">
        <f>IFERROR(VLOOKUP(A2735,Sheet1!$E$3:$G$27,3,0),"")</f>
        <v/>
      </c>
      <c r="J2735" s="20"/>
      <c r="K2735" s="17"/>
      <c r="L2735" s="17"/>
      <c r="M2735" s="13"/>
      <c r="N2735" s="23"/>
      <c r="O2735" s="22"/>
      <c r="P2735" s="22"/>
    </row>
    <row r="2736" ht="22.5" customHeight="1">
      <c r="A2736" s="20"/>
      <c r="B2736" s="20" t="str">
        <f>IFERROR(VLOOKUP(A2736,Sheet1!$E$3:$H$27,4,0),"")</f>
        <v/>
      </c>
      <c r="C2736" s="15"/>
      <c r="D2736" s="20"/>
      <c r="E2736" s="13" t="str">
        <f>IFERROR(VLOOKUP(D2736,Sheet1!$B$1:$C$45,2,0),"")</f>
        <v/>
      </c>
      <c r="F2736" s="20"/>
      <c r="G2736" s="13" t="str">
        <f t="shared" si="9"/>
        <v/>
      </c>
      <c r="H2736" s="15" t="str">
        <f>IFERROR(VLOOKUP(A2736,Sheet1!$E$3:$F$27,2,),"")</f>
        <v/>
      </c>
      <c r="I2736" s="16" t="str">
        <f>IFERROR(VLOOKUP(A2736,Sheet1!$E$3:$G$27,3,0),"")</f>
        <v/>
      </c>
      <c r="J2736" s="20"/>
      <c r="K2736" s="17"/>
      <c r="L2736" s="17"/>
      <c r="M2736" s="13"/>
      <c r="N2736" s="23"/>
      <c r="O2736" s="22"/>
      <c r="P2736" s="22"/>
    </row>
    <row r="2737" ht="22.5" customHeight="1">
      <c r="A2737" s="20"/>
      <c r="B2737" s="20" t="str">
        <f>IFERROR(VLOOKUP(A2737,Sheet1!$E$3:$H$27,4,0),"")</f>
        <v/>
      </c>
      <c r="C2737" s="15"/>
      <c r="D2737" s="20"/>
      <c r="E2737" s="13" t="str">
        <f>IFERROR(VLOOKUP(D2737,Sheet1!$B$1:$C$45,2,0),"")</f>
        <v/>
      </c>
      <c r="F2737" s="20"/>
      <c r="G2737" s="13" t="str">
        <f t="shared" si="9"/>
        <v/>
      </c>
      <c r="H2737" s="15" t="str">
        <f>IFERROR(VLOOKUP(A2737,Sheet1!$E$3:$F$27,2,),"")</f>
        <v/>
      </c>
      <c r="I2737" s="16" t="str">
        <f>IFERROR(VLOOKUP(A2737,Sheet1!$E$3:$G$27,3,0),"")</f>
        <v/>
      </c>
      <c r="J2737" s="20"/>
      <c r="K2737" s="17"/>
      <c r="L2737" s="17"/>
      <c r="M2737" s="13"/>
      <c r="N2737" s="23"/>
      <c r="O2737" s="22"/>
      <c r="P2737" s="22"/>
    </row>
    <row r="2738" ht="22.5" customHeight="1">
      <c r="A2738" s="20"/>
      <c r="B2738" s="20" t="str">
        <f>IFERROR(VLOOKUP(A2738,Sheet1!$E$3:$H$27,4,0),"")</f>
        <v/>
      </c>
      <c r="C2738" s="15"/>
      <c r="D2738" s="20"/>
      <c r="E2738" s="13" t="str">
        <f>IFERROR(VLOOKUP(D2738,Sheet1!$B$1:$C$45,2,0),"")</f>
        <v/>
      </c>
      <c r="F2738" s="20"/>
      <c r="G2738" s="13" t="str">
        <f t="shared" si="9"/>
        <v/>
      </c>
      <c r="H2738" s="15" t="str">
        <f>IFERROR(VLOOKUP(A2738,Sheet1!$E$3:$F$27,2,),"")</f>
        <v/>
      </c>
      <c r="I2738" s="16" t="str">
        <f>IFERROR(VLOOKUP(A2738,Sheet1!$E$3:$G$27,3,0),"")</f>
        <v/>
      </c>
      <c r="J2738" s="20"/>
      <c r="K2738" s="17"/>
      <c r="L2738" s="17"/>
      <c r="M2738" s="13"/>
      <c r="N2738" s="23"/>
      <c r="O2738" s="22"/>
      <c r="P2738" s="22"/>
    </row>
    <row r="2739" ht="22.5" customHeight="1">
      <c r="A2739" s="20"/>
      <c r="B2739" s="20" t="str">
        <f>IFERROR(VLOOKUP(A2739,Sheet1!$E$3:$H$27,4,0),"")</f>
        <v/>
      </c>
      <c r="C2739" s="15"/>
      <c r="D2739" s="20"/>
      <c r="E2739" s="13" t="str">
        <f>IFERROR(VLOOKUP(D2739,Sheet1!$B$1:$C$45,2,0),"")</f>
        <v/>
      </c>
      <c r="F2739" s="20"/>
      <c r="G2739" s="13" t="str">
        <f t="shared" si="9"/>
        <v/>
      </c>
      <c r="H2739" s="15" t="str">
        <f>IFERROR(VLOOKUP(A2739,Sheet1!$E$3:$F$27,2,),"")</f>
        <v/>
      </c>
      <c r="I2739" s="16" t="str">
        <f>IFERROR(VLOOKUP(A2739,Sheet1!$E$3:$G$27,3,0),"")</f>
        <v/>
      </c>
      <c r="J2739" s="20"/>
      <c r="K2739" s="17"/>
      <c r="L2739" s="17"/>
      <c r="M2739" s="13"/>
      <c r="N2739" s="23"/>
      <c r="O2739" s="22"/>
      <c r="P2739" s="22"/>
    </row>
    <row r="2740" ht="22.5" customHeight="1">
      <c r="A2740" s="20"/>
      <c r="B2740" s="20" t="str">
        <f>IFERROR(VLOOKUP(A2740,Sheet1!$E$3:$H$27,4,0),"")</f>
        <v/>
      </c>
      <c r="C2740" s="15"/>
      <c r="D2740" s="20"/>
      <c r="E2740" s="13" t="str">
        <f>IFERROR(VLOOKUP(D2740,Sheet1!$B$1:$C$45,2,0),"")</f>
        <v/>
      </c>
      <c r="F2740" s="20"/>
      <c r="G2740" s="13" t="str">
        <f t="shared" si="9"/>
        <v/>
      </c>
      <c r="H2740" s="15" t="str">
        <f>IFERROR(VLOOKUP(A2740,Sheet1!$E$3:$F$27,2,),"")</f>
        <v/>
      </c>
      <c r="I2740" s="16" t="str">
        <f>IFERROR(VLOOKUP(A2740,Sheet1!$E$3:$G$27,3,0),"")</f>
        <v/>
      </c>
      <c r="J2740" s="20"/>
      <c r="K2740" s="17"/>
      <c r="L2740" s="17"/>
      <c r="M2740" s="13"/>
      <c r="N2740" s="23"/>
      <c r="O2740" s="22"/>
      <c r="P2740" s="22"/>
    </row>
    <row r="2741" ht="22.5" customHeight="1">
      <c r="A2741" s="20"/>
      <c r="B2741" s="20" t="str">
        <f>IFERROR(VLOOKUP(A2741,Sheet1!$E$3:$H$27,4,0),"")</f>
        <v/>
      </c>
      <c r="C2741" s="15"/>
      <c r="D2741" s="20"/>
      <c r="E2741" s="13" t="str">
        <f>IFERROR(VLOOKUP(D2741,Sheet1!$B$1:$C$45,2,0),"")</f>
        <v/>
      </c>
      <c r="F2741" s="20"/>
      <c r="G2741" s="13" t="str">
        <f t="shared" si="9"/>
        <v/>
      </c>
      <c r="H2741" s="15" t="str">
        <f>IFERROR(VLOOKUP(A2741,Sheet1!$E$3:$F$27,2,),"")</f>
        <v/>
      </c>
      <c r="I2741" s="16" t="str">
        <f>IFERROR(VLOOKUP(A2741,Sheet1!$E$3:$G$27,3,0),"")</f>
        <v/>
      </c>
      <c r="J2741" s="20"/>
      <c r="K2741" s="17"/>
      <c r="L2741" s="17"/>
      <c r="M2741" s="13"/>
      <c r="N2741" s="23"/>
      <c r="O2741" s="22"/>
      <c r="P2741" s="22"/>
    </row>
    <row r="2742" ht="22.5" customHeight="1">
      <c r="A2742" s="20"/>
      <c r="B2742" s="20" t="str">
        <f>IFERROR(VLOOKUP(A2742,Sheet1!$E$3:$H$27,4,0),"")</f>
        <v/>
      </c>
      <c r="C2742" s="15"/>
      <c r="D2742" s="20"/>
      <c r="E2742" s="13" t="str">
        <f>IFERROR(VLOOKUP(D2742,Sheet1!$B$1:$C$45,2,0),"")</f>
        <v/>
      </c>
      <c r="F2742" s="20"/>
      <c r="G2742" s="13" t="str">
        <f t="shared" si="9"/>
        <v/>
      </c>
      <c r="H2742" s="15" t="str">
        <f>IFERROR(VLOOKUP(A2742,Sheet1!$E$3:$F$27,2,),"")</f>
        <v/>
      </c>
      <c r="I2742" s="16" t="str">
        <f>IFERROR(VLOOKUP(A2742,Sheet1!$E$3:$G$27,3,0),"")</f>
        <v/>
      </c>
      <c r="J2742" s="20"/>
      <c r="K2742" s="17"/>
      <c r="L2742" s="17"/>
      <c r="M2742" s="13"/>
      <c r="N2742" s="23"/>
      <c r="O2742" s="22"/>
      <c r="P2742" s="22"/>
    </row>
    <row r="2743" ht="22.5" customHeight="1">
      <c r="A2743" s="20"/>
      <c r="B2743" s="20" t="str">
        <f>IFERROR(VLOOKUP(A2743,Sheet1!$E$3:$H$27,4,0),"")</f>
        <v/>
      </c>
      <c r="C2743" s="15"/>
      <c r="D2743" s="20"/>
      <c r="E2743" s="13" t="str">
        <f>IFERROR(VLOOKUP(D2743,Sheet1!$B$1:$C$45,2,0),"")</f>
        <v/>
      </c>
      <c r="F2743" s="20"/>
      <c r="G2743" s="13" t="str">
        <f t="shared" si="9"/>
        <v/>
      </c>
      <c r="H2743" s="15" t="str">
        <f>IFERROR(VLOOKUP(A2743,Sheet1!$E$3:$F$27,2,),"")</f>
        <v/>
      </c>
      <c r="I2743" s="16" t="str">
        <f>IFERROR(VLOOKUP(A2743,Sheet1!$E$3:$G$27,3,0),"")</f>
        <v/>
      </c>
      <c r="J2743" s="20"/>
      <c r="K2743" s="17"/>
      <c r="L2743" s="17"/>
      <c r="M2743" s="13"/>
      <c r="N2743" s="23"/>
      <c r="O2743" s="22"/>
      <c r="P2743" s="22"/>
    </row>
    <row r="2744" ht="22.5" customHeight="1">
      <c r="A2744" s="20"/>
      <c r="B2744" s="20" t="str">
        <f>IFERROR(VLOOKUP(A2744,Sheet1!$E$3:$H$27,4,0),"")</f>
        <v/>
      </c>
      <c r="C2744" s="15"/>
      <c r="D2744" s="20"/>
      <c r="E2744" s="13" t="str">
        <f>IFERROR(VLOOKUP(D2744,Sheet1!$B$1:$C$45,2,0),"")</f>
        <v/>
      </c>
      <c r="F2744" s="20"/>
      <c r="G2744" s="13" t="str">
        <f t="shared" si="9"/>
        <v/>
      </c>
      <c r="H2744" s="15" t="str">
        <f>IFERROR(VLOOKUP(A2744,Sheet1!$E$3:$F$27,2,),"")</f>
        <v/>
      </c>
      <c r="I2744" s="16" t="str">
        <f>IFERROR(VLOOKUP(A2744,Sheet1!$E$3:$G$27,3,0),"")</f>
        <v/>
      </c>
      <c r="J2744" s="20"/>
      <c r="K2744" s="17"/>
      <c r="L2744" s="17"/>
      <c r="M2744" s="13"/>
      <c r="N2744" s="23"/>
      <c r="O2744" s="22"/>
      <c r="P2744" s="22"/>
    </row>
    <row r="2745" ht="22.5" customHeight="1">
      <c r="A2745" s="20"/>
      <c r="B2745" s="20" t="str">
        <f>IFERROR(VLOOKUP(A2745,Sheet1!$E$3:$H$27,4,0),"")</f>
        <v/>
      </c>
      <c r="C2745" s="15"/>
      <c r="D2745" s="20"/>
      <c r="E2745" s="13" t="str">
        <f>IFERROR(VLOOKUP(D2745,Sheet1!$B$1:$C$45,2,0),"")</f>
        <v/>
      </c>
      <c r="F2745" s="20"/>
      <c r="G2745" s="13" t="str">
        <f t="shared" si="9"/>
        <v/>
      </c>
      <c r="H2745" s="15" t="str">
        <f>IFERROR(VLOOKUP(A2745,Sheet1!$E$3:$F$27,2,),"")</f>
        <v/>
      </c>
      <c r="I2745" s="16" t="str">
        <f>IFERROR(VLOOKUP(A2745,Sheet1!$E$3:$G$27,3,0),"")</f>
        <v/>
      </c>
      <c r="J2745" s="20"/>
      <c r="K2745" s="17"/>
      <c r="L2745" s="17"/>
      <c r="M2745" s="13"/>
      <c r="N2745" s="23"/>
      <c r="O2745" s="22"/>
      <c r="P2745" s="22"/>
    </row>
    <row r="2746" ht="22.5" customHeight="1">
      <c r="A2746" s="20"/>
      <c r="B2746" s="20" t="str">
        <f>IFERROR(VLOOKUP(A2746,Sheet1!$E$3:$H$27,4,0),"")</f>
        <v/>
      </c>
      <c r="C2746" s="15"/>
      <c r="D2746" s="20"/>
      <c r="E2746" s="13" t="str">
        <f>IFERROR(VLOOKUP(D2746,Sheet1!$B$1:$C$45,2,0),"")</f>
        <v/>
      </c>
      <c r="F2746" s="20"/>
      <c r="G2746" s="13" t="str">
        <f t="shared" si="9"/>
        <v/>
      </c>
      <c r="H2746" s="15" t="str">
        <f>IFERROR(VLOOKUP(A2746,Sheet1!$E$3:$F$27,2,),"")</f>
        <v/>
      </c>
      <c r="I2746" s="16" t="str">
        <f>IFERROR(VLOOKUP(A2746,Sheet1!$E$3:$G$27,3,0),"")</f>
        <v/>
      </c>
      <c r="J2746" s="20"/>
      <c r="K2746" s="17"/>
      <c r="L2746" s="17"/>
      <c r="M2746" s="13"/>
      <c r="N2746" s="23"/>
      <c r="O2746" s="22"/>
      <c r="P2746" s="22"/>
    </row>
    <row r="2747" ht="22.5" customHeight="1">
      <c r="A2747" s="20"/>
      <c r="B2747" s="20" t="str">
        <f>IFERROR(VLOOKUP(A2747,Sheet1!$E$3:$H$27,4,0),"")</f>
        <v/>
      </c>
      <c r="C2747" s="15"/>
      <c r="D2747" s="20"/>
      <c r="E2747" s="13" t="str">
        <f>IFERROR(VLOOKUP(D2747,Sheet1!$B$1:$C$45,2,0),"")</f>
        <v/>
      </c>
      <c r="F2747" s="20"/>
      <c r="G2747" s="13" t="str">
        <f t="shared" si="9"/>
        <v/>
      </c>
      <c r="H2747" s="15" t="str">
        <f>IFERROR(VLOOKUP(A2747,Sheet1!$E$3:$F$27,2,),"")</f>
        <v/>
      </c>
      <c r="I2747" s="16" t="str">
        <f>IFERROR(VLOOKUP(A2747,Sheet1!$E$3:$G$27,3,0),"")</f>
        <v/>
      </c>
      <c r="J2747" s="20"/>
      <c r="K2747" s="17"/>
      <c r="L2747" s="17"/>
      <c r="M2747" s="13"/>
      <c r="N2747" s="23"/>
      <c r="O2747" s="22"/>
      <c r="P2747" s="22"/>
    </row>
    <row r="2748" ht="22.5" customHeight="1">
      <c r="A2748" s="20"/>
      <c r="B2748" s="20" t="str">
        <f>IFERROR(VLOOKUP(A2748,Sheet1!$E$3:$H$27,4,0),"")</f>
        <v/>
      </c>
      <c r="C2748" s="15"/>
      <c r="D2748" s="20"/>
      <c r="E2748" s="13" t="str">
        <f>IFERROR(VLOOKUP(D2748,Sheet1!$B$1:$C$45,2,0),"")</f>
        <v/>
      </c>
      <c r="F2748" s="20"/>
      <c r="G2748" s="13" t="str">
        <f t="shared" si="9"/>
        <v/>
      </c>
      <c r="H2748" s="15" t="str">
        <f>IFERROR(VLOOKUP(A2748,Sheet1!$E$3:$F$27,2,),"")</f>
        <v/>
      </c>
      <c r="I2748" s="16" t="str">
        <f>IFERROR(VLOOKUP(A2748,Sheet1!$E$3:$G$27,3,0),"")</f>
        <v/>
      </c>
      <c r="J2748" s="20"/>
      <c r="K2748" s="17"/>
      <c r="L2748" s="17"/>
      <c r="M2748" s="13"/>
      <c r="N2748" s="23"/>
      <c r="O2748" s="22"/>
      <c r="P2748" s="22"/>
    </row>
    <row r="2749" ht="22.5" customHeight="1">
      <c r="A2749" s="20"/>
      <c r="B2749" s="20" t="str">
        <f>IFERROR(VLOOKUP(A2749,Sheet1!$E$3:$H$27,4,0),"")</f>
        <v/>
      </c>
      <c r="C2749" s="15"/>
      <c r="D2749" s="20"/>
      <c r="E2749" s="13" t="str">
        <f>IFERROR(VLOOKUP(D2749,Sheet1!$B$1:$C$45,2,0),"")</f>
        <v/>
      </c>
      <c r="F2749" s="20"/>
      <c r="G2749" s="13" t="str">
        <f t="shared" si="9"/>
        <v/>
      </c>
      <c r="H2749" s="15" t="str">
        <f>IFERROR(VLOOKUP(A2749,Sheet1!$E$3:$F$27,2,),"")</f>
        <v/>
      </c>
      <c r="I2749" s="16" t="str">
        <f>IFERROR(VLOOKUP(A2749,Sheet1!$E$3:$G$27,3,0),"")</f>
        <v/>
      </c>
      <c r="J2749" s="20"/>
      <c r="K2749" s="17"/>
      <c r="L2749" s="17"/>
      <c r="M2749" s="13"/>
      <c r="N2749" s="23"/>
      <c r="O2749" s="22"/>
      <c r="P2749" s="22"/>
    </row>
    <row r="2750" ht="22.5" customHeight="1">
      <c r="A2750" s="20"/>
      <c r="B2750" s="20" t="str">
        <f>IFERROR(VLOOKUP(A2750,Sheet1!$E$3:$H$27,4,0),"")</f>
        <v/>
      </c>
      <c r="C2750" s="15"/>
      <c r="D2750" s="20"/>
      <c r="E2750" s="13" t="str">
        <f>IFERROR(VLOOKUP(D2750,Sheet1!$B$1:$C$45,2,0),"")</f>
        <v/>
      </c>
      <c r="F2750" s="20"/>
      <c r="G2750" s="13" t="str">
        <f t="shared" si="9"/>
        <v/>
      </c>
      <c r="H2750" s="15" t="str">
        <f>IFERROR(VLOOKUP(A2750,Sheet1!$E$3:$F$27,2,),"")</f>
        <v/>
      </c>
      <c r="I2750" s="16" t="str">
        <f>IFERROR(VLOOKUP(A2750,Sheet1!$E$3:$G$27,3,0),"")</f>
        <v/>
      </c>
      <c r="J2750" s="20"/>
      <c r="K2750" s="17"/>
      <c r="L2750" s="17"/>
      <c r="M2750" s="13"/>
      <c r="N2750" s="23"/>
      <c r="O2750" s="22"/>
      <c r="P2750" s="22"/>
    </row>
    <row r="2751" ht="22.5" customHeight="1">
      <c r="A2751" s="20"/>
      <c r="B2751" s="20" t="str">
        <f>IFERROR(VLOOKUP(A2751,Sheet1!$E$3:$H$27,4,0),"")</f>
        <v/>
      </c>
      <c r="C2751" s="15"/>
      <c r="D2751" s="20"/>
      <c r="E2751" s="13" t="str">
        <f>IFERROR(VLOOKUP(D2751,Sheet1!$B$1:$C$45,2,0),"")</f>
        <v/>
      </c>
      <c r="F2751" s="20"/>
      <c r="G2751" s="13" t="str">
        <f t="shared" si="9"/>
        <v/>
      </c>
      <c r="H2751" s="15" t="str">
        <f>IFERROR(VLOOKUP(A2751,Sheet1!$E$3:$F$27,2,),"")</f>
        <v/>
      </c>
      <c r="I2751" s="16" t="str">
        <f>IFERROR(VLOOKUP(A2751,Sheet1!$E$3:$G$27,3,0),"")</f>
        <v/>
      </c>
      <c r="J2751" s="20"/>
      <c r="K2751" s="17"/>
      <c r="L2751" s="17"/>
      <c r="M2751" s="13"/>
      <c r="N2751" s="23"/>
      <c r="O2751" s="22"/>
      <c r="P2751" s="22"/>
    </row>
    <row r="2752" ht="22.5" customHeight="1">
      <c r="A2752" s="20"/>
      <c r="B2752" s="20" t="str">
        <f>IFERROR(VLOOKUP(A2752,Sheet1!$E$3:$H$27,4,0),"")</f>
        <v/>
      </c>
      <c r="C2752" s="15"/>
      <c r="D2752" s="20"/>
      <c r="E2752" s="13" t="str">
        <f>IFERROR(VLOOKUP(D2752,Sheet1!$B$1:$C$45,2,0),"")</f>
        <v/>
      </c>
      <c r="F2752" s="20"/>
      <c r="G2752" s="13" t="str">
        <f t="shared" si="9"/>
        <v/>
      </c>
      <c r="H2752" s="15" t="str">
        <f>IFERROR(VLOOKUP(A2752,Sheet1!$E$3:$F$27,2,),"")</f>
        <v/>
      </c>
      <c r="I2752" s="16" t="str">
        <f>IFERROR(VLOOKUP(A2752,Sheet1!$E$3:$G$27,3,0),"")</f>
        <v/>
      </c>
      <c r="J2752" s="20"/>
      <c r="K2752" s="17"/>
      <c r="L2752" s="17"/>
      <c r="M2752" s="13"/>
      <c r="N2752" s="23"/>
      <c r="O2752" s="22"/>
      <c r="P2752" s="22"/>
    </row>
    <row r="2753" ht="22.5" customHeight="1">
      <c r="A2753" s="20"/>
      <c r="B2753" s="20" t="str">
        <f>IFERROR(VLOOKUP(A2753,Sheet1!$E$3:$H$27,4,0),"")</f>
        <v/>
      </c>
      <c r="C2753" s="15"/>
      <c r="D2753" s="20"/>
      <c r="E2753" s="13" t="str">
        <f>IFERROR(VLOOKUP(D2753,Sheet1!$B$1:$C$45,2,0),"")</f>
        <v/>
      </c>
      <c r="F2753" s="20"/>
      <c r="G2753" s="13" t="str">
        <f t="shared" si="9"/>
        <v/>
      </c>
      <c r="H2753" s="15" t="str">
        <f>IFERROR(VLOOKUP(A2753,Sheet1!$E$3:$F$27,2,),"")</f>
        <v/>
      </c>
      <c r="I2753" s="16" t="str">
        <f>IFERROR(VLOOKUP(A2753,Sheet1!$E$3:$G$27,3,0),"")</f>
        <v/>
      </c>
      <c r="J2753" s="20"/>
      <c r="K2753" s="17"/>
      <c r="L2753" s="17"/>
      <c r="M2753" s="13"/>
      <c r="N2753" s="23"/>
      <c r="O2753" s="22"/>
      <c r="P2753" s="22"/>
    </row>
    <row r="2754" ht="22.5" customHeight="1">
      <c r="A2754" s="20"/>
      <c r="B2754" s="20" t="str">
        <f>IFERROR(VLOOKUP(A2754,Sheet1!$E$3:$H$27,4,0),"")</f>
        <v/>
      </c>
      <c r="C2754" s="15"/>
      <c r="D2754" s="20"/>
      <c r="E2754" s="13" t="str">
        <f>IFERROR(VLOOKUP(D2754,Sheet1!$B$1:$C$45,2,0),"")</f>
        <v/>
      </c>
      <c r="F2754" s="20"/>
      <c r="G2754" s="13" t="str">
        <f t="shared" si="9"/>
        <v/>
      </c>
      <c r="H2754" s="15" t="str">
        <f>IFERROR(VLOOKUP(A2754,Sheet1!$E$3:$F$27,2,),"")</f>
        <v/>
      </c>
      <c r="I2754" s="16" t="str">
        <f>IFERROR(VLOOKUP(A2754,Sheet1!$E$3:$G$27,3,0),"")</f>
        <v/>
      </c>
      <c r="J2754" s="20"/>
      <c r="K2754" s="17"/>
      <c r="L2754" s="17"/>
      <c r="M2754" s="13"/>
      <c r="N2754" s="23"/>
      <c r="O2754" s="22"/>
      <c r="P2754" s="22"/>
    </row>
    <row r="2755" ht="22.5" customHeight="1">
      <c r="A2755" s="20"/>
      <c r="B2755" s="20" t="str">
        <f>IFERROR(VLOOKUP(A2755,Sheet1!$E$3:$H$27,4,0),"")</f>
        <v/>
      </c>
      <c r="C2755" s="15"/>
      <c r="D2755" s="20"/>
      <c r="E2755" s="13" t="str">
        <f>IFERROR(VLOOKUP(D2755,Sheet1!$B$1:$C$45,2,0),"")</f>
        <v/>
      </c>
      <c r="F2755" s="20"/>
      <c r="G2755" s="13" t="str">
        <f t="shared" si="9"/>
        <v/>
      </c>
      <c r="H2755" s="15" t="str">
        <f>IFERROR(VLOOKUP(A2755,Sheet1!$E$3:$F$27,2,),"")</f>
        <v/>
      </c>
      <c r="I2755" s="16" t="str">
        <f>IFERROR(VLOOKUP(A2755,Sheet1!$E$3:$G$27,3,0),"")</f>
        <v/>
      </c>
      <c r="J2755" s="20"/>
      <c r="K2755" s="17"/>
      <c r="L2755" s="17"/>
      <c r="M2755" s="13"/>
      <c r="N2755" s="23"/>
      <c r="O2755" s="22"/>
      <c r="P2755" s="22"/>
    </row>
    <row r="2756" ht="22.5" customHeight="1">
      <c r="A2756" s="20"/>
      <c r="B2756" s="20" t="str">
        <f>IFERROR(VLOOKUP(A2756,Sheet1!$E$3:$H$27,4,0),"")</f>
        <v/>
      </c>
      <c r="C2756" s="15"/>
      <c r="D2756" s="20"/>
      <c r="E2756" s="13" t="str">
        <f>IFERROR(VLOOKUP(D2756,Sheet1!$B$1:$C$45,2,0),"")</f>
        <v/>
      </c>
      <c r="F2756" s="20"/>
      <c r="G2756" s="13" t="str">
        <f t="shared" si="9"/>
        <v/>
      </c>
      <c r="H2756" s="15" t="str">
        <f>IFERROR(VLOOKUP(A2756,Sheet1!$E$3:$F$27,2,),"")</f>
        <v/>
      </c>
      <c r="I2756" s="16" t="str">
        <f>IFERROR(VLOOKUP(A2756,Sheet1!$E$3:$G$27,3,0),"")</f>
        <v/>
      </c>
      <c r="J2756" s="20"/>
      <c r="K2756" s="17"/>
      <c r="L2756" s="17"/>
      <c r="M2756" s="13"/>
      <c r="N2756" s="23"/>
      <c r="O2756" s="22"/>
      <c r="P2756" s="22"/>
    </row>
    <row r="2757" ht="22.5" customHeight="1">
      <c r="A2757" s="20"/>
      <c r="B2757" s="20" t="str">
        <f>IFERROR(VLOOKUP(A2757,Sheet1!$E$3:$H$27,4,0),"")</f>
        <v/>
      </c>
      <c r="C2757" s="15"/>
      <c r="D2757" s="20"/>
      <c r="E2757" s="13" t="str">
        <f>IFERROR(VLOOKUP(D2757,Sheet1!$B$1:$C$45,2,0),"")</f>
        <v/>
      </c>
      <c r="F2757" s="20"/>
      <c r="G2757" s="13" t="str">
        <f t="shared" si="9"/>
        <v/>
      </c>
      <c r="H2757" s="15" t="str">
        <f>IFERROR(VLOOKUP(A2757,Sheet1!$E$3:$F$27,2,),"")</f>
        <v/>
      </c>
      <c r="I2757" s="16" t="str">
        <f>IFERROR(VLOOKUP(A2757,Sheet1!$E$3:$G$27,3,0),"")</f>
        <v/>
      </c>
      <c r="J2757" s="20"/>
      <c r="K2757" s="17"/>
      <c r="L2757" s="17"/>
      <c r="M2757" s="13"/>
      <c r="N2757" s="23"/>
      <c r="O2757" s="22"/>
      <c r="P2757" s="22"/>
    </row>
    <row r="2758" ht="22.5" customHeight="1">
      <c r="A2758" s="20"/>
      <c r="B2758" s="20" t="str">
        <f>IFERROR(VLOOKUP(A2758,Sheet1!$E$3:$H$27,4,0),"")</f>
        <v/>
      </c>
      <c r="C2758" s="15"/>
      <c r="D2758" s="20"/>
      <c r="E2758" s="13" t="str">
        <f>IFERROR(VLOOKUP(D2758,Sheet1!$B$1:$C$45,2,0),"")</f>
        <v/>
      </c>
      <c r="F2758" s="20"/>
      <c r="G2758" s="13" t="str">
        <f t="shared" si="9"/>
        <v/>
      </c>
      <c r="H2758" s="15" t="str">
        <f>IFERROR(VLOOKUP(A2758,Sheet1!$E$3:$F$27,2,),"")</f>
        <v/>
      </c>
      <c r="I2758" s="16" t="str">
        <f>IFERROR(VLOOKUP(A2758,Sheet1!$E$3:$G$27,3,0),"")</f>
        <v/>
      </c>
      <c r="J2758" s="20"/>
      <c r="K2758" s="17"/>
      <c r="L2758" s="17"/>
      <c r="M2758" s="13"/>
      <c r="N2758" s="23"/>
      <c r="O2758" s="22"/>
      <c r="P2758" s="22"/>
    </row>
    <row r="2759" ht="22.5" customHeight="1">
      <c r="A2759" s="20"/>
      <c r="B2759" s="20" t="str">
        <f>IFERROR(VLOOKUP(A2759,Sheet1!$E$3:$H$27,4,0),"")</f>
        <v/>
      </c>
      <c r="C2759" s="15"/>
      <c r="D2759" s="20"/>
      <c r="E2759" s="13" t="str">
        <f>IFERROR(VLOOKUP(D2759,Sheet1!$B$1:$C$45,2,0),"")</f>
        <v/>
      </c>
      <c r="F2759" s="20"/>
      <c r="G2759" s="13" t="str">
        <f t="shared" si="9"/>
        <v/>
      </c>
      <c r="H2759" s="15" t="str">
        <f>IFERROR(VLOOKUP(A2759,Sheet1!$E$3:$F$27,2,),"")</f>
        <v/>
      </c>
      <c r="I2759" s="16" t="str">
        <f>IFERROR(VLOOKUP(A2759,Sheet1!$E$3:$G$27,3,0),"")</f>
        <v/>
      </c>
      <c r="J2759" s="20"/>
      <c r="K2759" s="17"/>
      <c r="L2759" s="17"/>
      <c r="M2759" s="13"/>
      <c r="N2759" s="23"/>
      <c r="O2759" s="22"/>
      <c r="P2759" s="22"/>
    </row>
    <row r="2760" ht="22.5" customHeight="1">
      <c r="A2760" s="20"/>
      <c r="B2760" s="20" t="str">
        <f>IFERROR(VLOOKUP(A2760,Sheet1!$E$3:$H$27,4,0),"")</f>
        <v/>
      </c>
      <c r="C2760" s="15"/>
      <c r="D2760" s="20"/>
      <c r="E2760" s="13" t="str">
        <f>IFERROR(VLOOKUP(D2760,Sheet1!$B$1:$C$45,2,0),"")</f>
        <v/>
      </c>
      <c r="F2760" s="20"/>
      <c r="G2760" s="13" t="str">
        <f t="shared" si="9"/>
        <v/>
      </c>
      <c r="H2760" s="15" t="str">
        <f>IFERROR(VLOOKUP(A2760,Sheet1!$E$3:$F$27,2,),"")</f>
        <v/>
      </c>
      <c r="I2760" s="16" t="str">
        <f>IFERROR(VLOOKUP(A2760,Sheet1!$E$3:$G$27,3,0),"")</f>
        <v/>
      </c>
      <c r="J2760" s="20"/>
      <c r="K2760" s="17"/>
      <c r="L2760" s="17"/>
      <c r="M2760" s="13"/>
      <c r="N2760" s="23"/>
      <c r="O2760" s="22"/>
      <c r="P2760" s="22"/>
    </row>
    <row r="2761" ht="22.5" customHeight="1">
      <c r="A2761" s="20"/>
      <c r="B2761" s="20" t="str">
        <f>IFERROR(VLOOKUP(A2761,Sheet1!$E$3:$H$27,4,0),"")</f>
        <v/>
      </c>
      <c r="C2761" s="15"/>
      <c r="D2761" s="20"/>
      <c r="E2761" s="13" t="str">
        <f>IFERROR(VLOOKUP(D2761,Sheet1!$B$1:$C$45,2,0),"")</f>
        <v/>
      </c>
      <c r="F2761" s="20"/>
      <c r="G2761" s="13" t="str">
        <f t="shared" si="9"/>
        <v/>
      </c>
      <c r="H2761" s="15" t="str">
        <f>IFERROR(VLOOKUP(A2761,Sheet1!$E$3:$F$27,2,),"")</f>
        <v/>
      </c>
      <c r="I2761" s="16" t="str">
        <f>IFERROR(VLOOKUP(A2761,Sheet1!$E$3:$G$27,3,0),"")</f>
        <v/>
      </c>
      <c r="J2761" s="20"/>
      <c r="K2761" s="17"/>
      <c r="L2761" s="17"/>
      <c r="M2761" s="13"/>
      <c r="N2761" s="23"/>
      <c r="O2761" s="22"/>
      <c r="P2761" s="22"/>
    </row>
    <row r="2762" ht="22.5" customHeight="1">
      <c r="A2762" s="20"/>
      <c r="B2762" s="20" t="str">
        <f>IFERROR(VLOOKUP(A2762,Sheet1!$E$3:$H$27,4,0),"")</f>
        <v/>
      </c>
      <c r="C2762" s="15"/>
      <c r="D2762" s="20"/>
      <c r="E2762" s="13" t="str">
        <f>IFERROR(VLOOKUP(D2762,Sheet1!$B$1:$C$45,2,0),"")</f>
        <v/>
      </c>
      <c r="F2762" s="20"/>
      <c r="G2762" s="13" t="str">
        <f t="shared" si="9"/>
        <v/>
      </c>
      <c r="H2762" s="15" t="str">
        <f>IFERROR(VLOOKUP(A2762,Sheet1!$E$3:$F$27,2,),"")</f>
        <v/>
      </c>
      <c r="I2762" s="16" t="str">
        <f>IFERROR(VLOOKUP(A2762,Sheet1!$E$3:$G$27,3,0),"")</f>
        <v/>
      </c>
      <c r="J2762" s="20"/>
      <c r="K2762" s="17"/>
      <c r="L2762" s="17"/>
      <c r="M2762" s="13"/>
      <c r="N2762" s="23"/>
      <c r="O2762" s="22"/>
      <c r="P2762" s="22"/>
    </row>
    <row r="2763" ht="22.5" customHeight="1">
      <c r="A2763" s="20"/>
      <c r="B2763" s="20" t="str">
        <f>IFERROR(VLOOKUP(A2763,Sheet1!$E$3:$H$27,4,0),"")</f>
        <v/>
      </c>
      <c r="C2763" s="15"/>
      <c r="D2763" s="20"/>
      <c r="E2763" s="13" t="str">
        <f>IFERROR(VLOOKUP(D2763,Sheet1!$B$1:$C$45,2,0),"")</f>
        <v/>
      </c>
      <c r="F2763" s="20"/>
      <c r="G2763" s="13" t="str">
        <f t="shared" si="9"/>
        <v/>
      </c>
      <c r="H2763" s="15" t="str">
        <f>IFERROR(VLOOKUP(A2763,Sheet1!$E$3:$F$27,2,),"")</f>
        <v/>
      </c>
      <c r="I2763" s="16" t="str">
        <f>IFERROR(VLOOKUP(A2763,Sheet1!$E$3:$G$27,3,0),"")</f>
        <v/>
      </c>
      <c r="J2763" s="20"/>
      <c r="K2763" s="17"/>
      <c r="L2763" s="17"/>
      <c r="M2763" s="13"/>
      <c r="N2763" s="23"/>
      <c r="O2763" s="22"/>
      <c r="P2763" s="22"/>
    </row>
    <row r="2764" ht="22.5" customHeight="1">
      <c r="A2764" s="20"/>
      <c r="B2764" s="20" t="str">
        <f>IFERROR(VLOOKUP(A2764,Sheet1!$E$3:$H$27,4,0),"")</f>
        <v/>
      </c>
      <c r="C2764" s="15"/>
      <c r="D2764" s="20"/>
      <c r="E2764" s="13" t="str">
        <f>IFERROR(VLOOKUP(D2764,Sheet1!$B$1:$C$45,2,0),"")</f>
        <v/>
      </c>
      <c r="F2764" s="20"/>
      <c r="G2764" s="13" t="str">
        <f t="shared" si="9"/>
        <v/>
      </c>
      <c r="H2764" s="15" t="str">
        <f>IFERROR(VLOOKUP(A2764,Sheet1!$E$3:$F$27,2,),"")</f>
        <v/>
      </c>
      <c r="I2764" s="16" t="str">
        <f>IFERROR(VLOOKUP(A2764,Sheet1!$E$3:$G$27,3,0),"")</f>
        <v/>
      </c>
      <c r="J2764" s="20"/>
      <c r="K2764" s="17"/>
      <c r="L2764" s="17"/>
      <c r="M2764" s="13"/>
      <c r="N2764" s="23"/>
      <c r="O2764" s="22"/>
      <c r="P2764" s="22"/>
    </row>
    <row r="2765" ht="22.5" customHeight="1">
      <c r="A2765" s="20"/>
      <c r="B2765" s="20" t="str">
        <f>IFERROR(VLOOKUP(A2765,Sheet1!$E$3:$H$27,4,0),"")</f>
        <v/>
      </c>
      <c r="C2765" s="15"/>
      <c r="D2765" s="20"/>
      <c r="E2765" s="13" t="str">
        <f>IFERROR(VLOOKUP(D2765,Sheet1!$B$1:$C$45,2,0),"")</f>
        <v/>
      </c>
      <c r="F2765" s="20"/>
      <c r="G2765" s="13" t="str">
        <f t="shared" si="9"/>
        <v/>
      </c>
      <c r="H2765" s="15" t="str">
        <f>IFERROR(VLOOKUP(A2765,Sheet1!$E$3:$F$27,2,),"")</f>
        <v/>
      </c>
      <c r="I2765" s="16" t="str">
        <f>IFERROR(VLOOKUP(A2765,Sheet1!$E$3:$G$27,3,0),"")</f>
        <v/>
      </c>
      <c r="J2765" s="20"/>
      <c r="K2765" s="17"/>
      <c r="L2765" s="17"/>
      <c r="M2765" s="13"/>
      <c r="N2765" s="23"/>
      <c r="O2765" s="22"/>
      <c r="P2765" s="22"/>
    </row>
    <row r="2766" ht="22.5" customHeight="1">
      <c r="A2766" s="20"/>
      <c r="B2766" s="20" t="str">
        <f>IFERROR(VLOOKUP(A2766,Sheet1!$E$3:$H$27,4,0),"")</f>
        <v/>
      </c>
      <c r="C2766" s="15"/>
      <c r="D2766" s="20"/>
      <c r="E2766" s="13" t="str">
        <f>IFERROR(VLOOKUP(D2766,Sheet1!$B$1:$C$45,2,0),"")</f>
        <v/>
      </c>
      <c r="F2766" s="20"/>
      <c r="G2766" s="13" t="str">
        <f t="shared" si="9"/>
        <v/>
      </c>
      <c r="H2766" s="15" t="str">
        <f>IFERROR(VLOOKUP(A2766,Sheet1!$E$3:$F$27,2,),"")</f>
        <v/>
      </c>
      <c r="I2766" s="16" t="str">
        <f>IFERROR(VLOOKUP(A2766,Sheet1!$E$3:$G$27,3,0),"")</f>
        <v/>
      </c>
      <c r="J2766" s="20"/>
      <c r="K2766" s="17"/>
      <c r="L2766" s="17"/>
      <c r="M2766" s="13"/>
      <c r="N2766" s="23"/>
      <c r="O2766" s="22"/>
      <c r="P2766" s="22"/>
    </row>
    <row r="2767" ht="22.5" customHeight="1">
      <c r="A2767" s="20"/>
      <c r="B2767" s="20" t="str">
        <f>IFERROR(VLOOKUP(A2767,Sheet1!$E$3:$H$27,4,0),"")</f>
        <v/>
      </c>
      <c r="C2767" s="15"/>
      <c r="D2767" s="20"/>
      <c r="E2767" s="13" t="str">
        <f>IFERROR(VLOOKUP(D2767,Sheet1!$B$1:$C$45,2,0),"")</f>
        <v/>
      </c>
      <c r="F2767" s="20"/>
      <c r="G2767" s="13" t="str">
        <f t="shared" si="9"/>
        <v/>
      </c>
      <c r="H2767" s="15" t="str">
        <f>IFERROR(VLOOKUP(A2767,Sheet1!$E$3:$F$27,2,),"")</f>
        <v/>
      </c>
      <c r="I2767" s="16" t="str">
        <f>IFERROR(VLOOKUP(A2767,Sheet1!$E$3:$G$27,3,0),"")</f>
        <v/>
      </c>
      <c r="J2767" s="20"/>
      <c r="K2767" s="17"/>
      <c r="L2767" s="17"/>
      <c r="M2767" s="13"/>
      <c r="N2767" s="23"/>
      <c r="O2767" s="22"/>
      <c r="P2767" s="22"/>
    </row>
    <row r="2768" ht="22.5" customHeight="1">
      <c r="A2768" s="20"/>
      <c r="B2768" s="20" t="str">
        <f>IFERROR(VLOOKUP(A2768,Sheet1!$E$3:$H$27,4,0),"")</f>
        <v/>
      </c>
      <c r="C2768" s="15"/>
      <c r="D2768" s="20"/>
      <c r="E2768" s="13" t="str">
        <f>IFERROR(VLOOKUP(D2768,Sheet1!$B$1:$C$45,2,0),"")</f>
        <v/>
      </c>
      <c r="F2768" s="20"/>
      <c r="G2768" s="13" t="str">
        <f t="shared" si="9"/>
        <v/>
      </c>
      <c r="H2768" s="15" t="str">
        <f>IFERROR(VLOOKUP(A2768,Sheet1!$E$3:$F$27,2,),"")</f>
        <v/>
      </c>
      <c r="I2768" s="16" t="str">
        <f>IFERROR(VLOOKUP(A2768,Sheet1!$E$3:$G$27,3,0),"")</f>
        <v/>
      </c>
      <c r="J2768" s="20"/>
      <c r="K2768" s="17"/>
      <c r="L2768" s="17"/>
      <c r="M2768" s="13"/>
      <c r="N2768" s="23"/>
      <c r="O2768" s="22"/>
      <c r="P2768" s="22"/>
    </row>
    <row r="2769" ht="22.5" customHeight="1">
      <c r="A2769" s="20"/>
      <c r="B2769" s="20" t="str">
        <f>IFERROR(VLOOKUP(A2769,Sheet1!$E$3:$H$27,4,0),"")</f>
        <v/>
      </c>
      <c r="C2769" s="15"/>
      <c r="D2769" s="20"/>
      <c r="E2769" s="13" t="str">
        <f>IFERROR(VLOOKUP(D2769,Sheet1!$B$1:$C$45,2,0),"")</f>
        <v/>
      </c>
      <c r="F2769" s="20"/>
      <c r="G2769" s="13" t="str">
        <f t="shared" si="9"/>
        <v/>
      </c>
      <c r="H2769" s="15" t="str">
        <f>IFERROR(VLOOKUP(A2769,Sheet1!$E$3:$F$27,2,),"")</f>
        <v/>
      </c>
      <c r="I2769" s="16" t="str">
        <f>IFERROR(VLOOKUP(A2769,Sheet1!$E$3:$G$27,3,0),"")</f>
        <v/>
      </c>
      <c r="J2769" s="20"/>
      <c r="K2769" s="17"/>
      <c r="L2769" s="17"/>
      <c r="M2769" s="13"/>
      <c r="N2769" s="23"/>
      <c r="O2769" s="22"/>
      <c r="P2769" s="22"/>
    </row>
    <row r="2770" ht="22.5" customHeight="1">
      <c r="A2770" s="20"/>
      <c r="B2770" s="20" t="str">
        <f>IFERROR(VLOOKUP(A2770,Sheet1!$E$3:$H$27,4,0),"")</f>
        <v/>
      </c>
      <c r="C2770" s="15"/>
      <c r="D2770" s="20"/>
      <c r="E2770" s="13" t="str">
        <f>IFERROR(VLOOKUP(D2770,Sheet1!$B$1:$C$45,2,0),"")</f>
        <v/>
      </c>
      <c r="F2770" s="20"/>
      <c r="G2770" s="13" t="str">
        <f t="shared" si="9"/>
        <v/>
      </c>
      <c r="H2770" s="15" t="str">
        <f>IFERROR(VLOOKUP(A2770,Sheet1!$E$3:$F$27,2,),"")</f>
        <v/>
      </c>
      <c r="I2770" s="16" t="str">
        <f>IFERROR(VLOOKUP(A2770,Sheet1!$E$3:$G$27,3,0),"")</f>
        <v/>
      </c>
      <c r="J2770" s="20"/>
      <c r="K2770" s="17"/>
      <c r="L2770" s="17"/>
      <c r="M2770" s="13"/>
      <c r="N2770" s="23"/>
      <c r="O2770" s="22"/>
      <c r="P2770" s="22"/>
    </row>
    <row r="2771" ht="22.5" customHeight="1">
      <c r="A2771" s="20"/>
      <c r="B2771" s="20" t="str">
        <f>IFERROR(VLOOKUP(A2771,Sheet1!$E$3:$H$27,4,0),"")</f>
        <v/>
      </c>
      <c r="C2771" s="15"/>
      <c r="D2771" s="20"/>
      <c r="E2771" s="13" t="str">
        <f>IFERROR(VLOOKUP(D2771,Sheet1!$B$1:$C$45,2,0),"")</f>
        <v/>
      </c>
      <c r="F2771" s="20"/>
      <c r="G2771" s="13" t="str">
        <f t="shared" si="9"/>
        <v/>
      </c>
      <c r="H2771" s="15" t="str">
        <f>IFERROR(VLOOKUP(A2771,Sheet1!$E$3:$F$27,2,),"")</f>
        <v/>
      </c>
      <c r="I2771" s="16" t="str">
        <f>IFERROR(VLOOKUP(A2771,Sheet1!$E$3:$G$27,3,0),"")</f>
        <v/>
      </c>
      <c r="J2771" s="20"/>
      <c r="K2771" s="17"/>
      <c r="L2771" s="17"/>
      <c r="M2771" s="13"/>
      <c r="N2771" s="23"/>
      <c r="O2771" s="22"/>
      <c r="P2771" s="22"/>
    </row>
    <row r="2772" ht="22.5" customHeight="1">
      <c r="A2772" s="20"/>
      <c r="B2772" s="20" t="str">
        <f>IFERROR(VLOOKUP(A2772,Sheet1!$E$3:$H$27,4,0),"")</f>
        <v/>
      </c>
      <c r="C2772" s="15"/>
      <c r="D2772" s="20"/>
      <c r="E2772" s="13" t="str">
        <f>IFERROR(VLOOKUP(D2772,Sheet1!$B$1:$C$45,2,0),"")</f>
        <v/>
      </c>
      <c r="F2772" s="20"/>
      <c r="G2772" s="13" t="str">
        <f t="shared" si="9"/>
        <v/>
      </c>
      <c r="H2772" s="15" t="str">
        <f>IFERROR(VLOOKUP(A2772,Sheet1!$E$3:$F$27,2,),"")</f>
        <v/>
      </c>
      <c r="I2772" s="16" t="str">
        <f>IFERROR(VLOOKUP(A2772,Sheet1!$E$3:$G$27,3,0),"")</f>
        <v/>
      </c>
      <c r="J2772" s="20"/>
      <c r="K2772" s="17"/>
      <c r="L2772" s="17"/>
      <c r="M2772" s="13"/>
      <c r="N2772" s="23"/>
      <c r="O2772" s="22"/>
      <c r="P2772" s="22"/>
    </row>
    <row r="2773" ht="22.5" customHeight="1">
      <c r="A2773" s="20"/>
      <c r="B2773" s="20" t="str">
        <f>IFERROR(VLOOKUP(A2773,Sheet1!$E$3:$H$27,4,0),"")</f>
        <v/>
      </c>
      <c r="C2773" s="15"/>
      <c r="D2773" s="20"/>
      <c r="E2773" s="13" t="str">
        <f>IFERROR(VLOOKUP(D2773,Sheet1!$B$1:$C$45,2,0),"")</f>
        <v/>
      </c>
      <c r="F2773" s="20"/>
      <c r="G2773" s="13" t="str">
        <f t="shared" si="9"/>
        <v/>
      </c>
      <c r="H2773" s="15" t="str">
        <f>IFERROR(VLOOKUP(A2773,Sheet1!$E$3:$F$27,2,),"")</f>
        <v/>
      </c>
      <c r="I2773" s="16" t="str">
        <f>IFERROR(VLOOKUP(A2773,Sheet1!$E$3:$G$27,3,0),"")</f>
        <v/>
      </c>
      <c r="J2773" s="20"/>
      <c r="K2773" s="17"/>
      <c r="L2773" s="17"/>
      <c r="M2773" s="13"/>
      <c r="N2773" s="23"/>
      <c r="O2773" s="22"/>
      <c r="P2773" s="22"/>
    </row>
    <row r="2774" ht="22.5" customHeight="1">
      <c r="A2774" s="20"/>
      <c r="B2774" s="20" t="str">
        <f>IFERROR(VLOOKUP(A2774,Sheet1!$E$3:$H$27,4,0),"")</f>
        <v/>
      </c>
      <c r="C2774" s="15"/>
      <c r="D2774" s="20"/>
      <c r="E2774" s="13" t="str">
        <f>IFERROR(VLOOKUP(D2774,Sheet1!$B$1:$C$45,2,0),"")</f>
        <v/>
      </c>
      <c r="F2774" s="20"/>
      <c r="G2774" s="13" t="str">
        <f t="shared" si="9"/>
        <v/>
      </c>
      <c r="H2774" s="15" t="str">
        <f>IFERROR(VLOOKUP(A2774,Sheet1!$E$3:$F$27,2,),"")</f>
        <v/>
      </c>
      <c r="I2774" s="16" t="str">
        <f>IFERROR(VLOOKUP(A2774,Sheet1!$E$3:$G$27,3,0),"")</f>
        <v/>
      </c>
      <c r="J2774" s="20"/>
      <c r="K2774" s="17"/>
      <c r="L2774" s="17"/>
      <c r="M2774" s="13"/>
      <c r="N2774" s="23"/>
      <c r="O2774" s="22"/>
      <c r="P2774" s="22"/>
    </row>
    <row r="2775" ht="22.5" customHeight="1">
      <c r="A2775" s="20"/>
      <c r="B2775" s="20" t="str">
        <f>IFERROR(VLOOKUP(A2775,Sheet1!$E$3:$H$27,4,0),"")</f>
        <v/>
      </c>
      <c r="C2775" s="15"/>
      <c r="D2775" s="20"/>
      <c r="E2775" s="13" t="str">
        <f>IFERROR(VLOOKUP(D2775,Sheet1!$B$1:$C$45,2,0),"")</f>
        <v/>
      </c>
      <c r="F2775" s="20"/>
      <c r="G2775" s="13" t="str">
        <f t="shared" si="9"/>
        <v/>
      </c>
      <c r="H2775" s="15" t="str">
        <f>IFERROR(VLOOKUP(A2775,Sheet1!$E$3:$F$27,2,),"")</f>
        <v/>
      </c>
      <c r="I2775" s="16" t="str">
        <f>IFERROR(VLOOKUP(A2775,Sheet1!$E$3:$G$27,3,0),"")</f>
        <v/>
      </c>
      <c r="J2775" s="20"/>
      <c r="K2775" s="17"/>
      <c r="L2775" s="17"/>
      <c r="M2775" s="13"/>
      <c r="N2775" s="23"/>
      <c r="O2775" s="22"/>
      <c r="P2775" s="22"/>
    </row>
    <row r="2776" ht="22.5" customHeight="1">
      <c r="A2776" s="20"/>
      <c r="B2776" s="20" t="str">
        <f>IFERROR(VLOOKUP(A2776,Sheet1!$E$3:$H$27,4,0),"")</f>
        <v/>
      </c>
      <c r="C2776" s="15"/>
      <c r="D2776" s="20"/>
      <c r="E2776" s="13" t="str">
        <f>IFERROR(VLOOKUP(D2776,Sheet1!$B$1:$C$45,2,0),"")</f>
        <v/>
      </c>
      <c r="F2776" s="20"/>
      <c r="G2776" s="13" t="str">
        <f t="shared" si="9"/>
        <v/>
      </c>
      <c r="H2776" s="15" t="str">
        <f>IFERROR(VLOOKUP(A2776,Sheet1!$E$3:$F$27,2,),"")</f>
        <v/>
      </c>
      <c r="I2776" s="16" t="str">
        <f>IFERROR(VLOOKUP(A2776,Sheet1!$E$3:$G$27,3,0),"")</f>
        <v/>
      </c>
      <c r="J2776" s="20"/>
      <c r="K2776" s="17"/>
      <c r="L2776" s="17"/>
      <c r="M2776" s="13"/>
      <c r="N2776" s="23"/>
      <c r="O2776" s="22"/>
      <c r="P2776" s="22"/>
    </row>
    <row r="2777" ht="22.5" customHeight="1">
      <c r="A2777" s="20"/>
      <c r="B2777" s="20" t="str">
        <f>IFERROR(VLOOKUP(A2777,Sheet1!$E$3:$H$27,4,0),"")</f>
        <v/>
      </c>
      <c r="C2777" s="15"/>
      <c r="D2777" s="20"/>
      <c r="E2777" s="13" t="str">
        <f>IFERROR(VLOOKUP(D2777,Sheet1!$B$1:$C$45,2,0),"")</f>
        <v/>
      </c>
      <c r="F2777" s="20"/>
      <c r="G2777" s="13" t="str">
        <f t="shared" si="9"/>
        <v/>
      </c>
      <c r="H2777" s="15" t="str">
        <f>IFERROR(VLOOKUP(A2777,Sheet1!$E$3:$F$27,2,),"")</f>
        <v/>
      </c>
      <c r="I2777" s="16" t="str">
        <f>IFERROR(VLOOKUP(A2777,Sheet1!$E$3:$G$27,3,0),"")</f>
        <v/>
      </c>
      <c r="J2777" s="20"/>
      <c r="K2777" s="17"/>
      <c r="L2777" s="17"/>
      <c r="M2777" s="13"/>
      <c r="N2777" s="23"/>
      <c r="O2777" s="22"/>
      <c r="P2777" s="22"/>
    </row>
    <row r="2778" ht="22.5" customHeight="1">
      <c r="A2778" s="20"/>
      <c r="B2778" s="20" t="str">
        <f>IFERROR(VLOOKUP(A2778,Sheet1!$E$3:$H$27,4,0),"")</f>
        <v/>
      </c>
      <c r="C2778" s="15"/>
      <c r="D2778" s="20"/>
      <c r="E2778" s="13" t="str">
        <f>IFERROR(VLOOKUP(D2778,Sheet1!$B$1:$C$45,2,0),"")</f>
        <v/>
      </c>
      <c r="F2778" s="20"/>
      <c r="G2778" s="13" t="str">
        <f t="shared" si="9"/>
        <v/>
      </c>
      <c r="H2778" s="15" t="str">
        <f>IFERROR(VLOOKUP(A2778,Sheet1!$E$3:$F$27,2,),"")</f>
        <v/>
      </c>
      <c r="I2778" s="16" t="str">
        <f>IFERROR(VLOOKUP(A2778,Sheet1!$E$3:$G$27,3,0),"")</f>
        <v/>
      </c>
      <c r="J2778" s="20"/>
      <c r="K2778" s="17"/>
      <c r="L2778" s="17"/>
      <c r="M2778" s="13"/>
      <c r="N2778" s="23"/>
      <c r="O2778" s="22"/>
      <c r="P2778" s="22"/>
    </row>
    <row r="2779" ht="22.5" customHeight="1">
      <c r="A2779" s="20"/>
      <c r="B2779" s="20" t="str">
        <f>IFERROR(VLOOKUP(A2779,Sheet1!$E$3:$H$27,4,0),"")</f>
        <v/>
      </c>
      <c r="C2779" s="15"/>
      <c r="D2779" s="20"/>
      <c r="E2779" s="13" t="str">
        <f>IFERROR(VLOOKUP(D2779,Sheet1!$B$1:$C$45,2,0),"")</f>
        <v/>
      </c>
      <c r="F2779" s="20"/>
      <c r="G2779" s="13" t="str">
        <f t="shared" si="9"/>
        <v/>
      </c>
      <c r="H2779" s="15" t="str">
        <f>IFERROR(VLOOKUP(A2779,Sheet1!$E$3:$F$27,2,),"")</f>
        <v/>
      </c>
      <c r="I2779" s="16" t="str">
        <f>IFERROR(VLOOKUP(A2779,Sheet1!$E$3:$G$27,3,0),"")</f>
        <v/>
      </c>
      <c r="J2779" s="20"/>
      <c r="K2779" s="17"/>
      <c r="L2779" s="17"/>
      <c r="M2779" s="13"/>
      <c r="N2779" s="23"/>
      <c r="O2779" s="22"/>
      <c r="P2779" s="22"/>
    </row>
    <row r="2780" ht="22.5" customHeight="1">
      <c r="A2780" s="20"/>
      <c r="B2780" s="20" t="str">
        <f>IFERROR(VLOOKUP(A2780,Sheet1!$E$3:$H$27,4,0),"")</f>
        <v/>
      </c>
      <c r="C2780" s="15"/>
      <c r="D2780" s="20"/>
      <c r="E2780" s="13" t="str">
        <f>IFERROR(VLOOKUP(D2780,Sheet1!$B$1:$C$45,2,0),"")</f>
        <v/>
      </c>
      <c r="F2780" s="20"/>
      <c r="G2780" s="13" t="str">
        <f t="shared" si="9"/>
        <v/>
      </c>
      <c r="H2780" s="15" t="str">
        <f>IFERROR(VLOOKUP(A2780,Sheet1!$E$3:$F$27,2,),"")</f>
        <v/>
      </c>
      <c r="I2780" s="16" t="str">
        <f>IFERROR(VLOOKUP(A2780,Sheet1!$E$3:$G$27,3,0),"")</f>
        <v/>
      </c>
      <c r="J2780" s="20"/>
      <c r="K2780" s="17"/>
      <c r="L2780" s="17"/>
      <c r="M2780" s="13"/>
      <c r="N2780" s="23"/>
      <c r="O2780" s="22"/>
      <c r="P2780" s="22"/>
    </row>
    <row r="2781" ht="22.5" customHeight="1">
      <c r="A2781" s="20"/>
      <c r="B2781" s="20" t="str">
        <f>IFERROR(VLOOKUP(A2781,Sheet1!$E$3:$H$27,4,0),"")</f>
        <v/>
      </c>
      <c r="C2781" s="15"/>
      <c r="D2781" s="20"/>
      <c r="E2781" s="13" t="str">
        <f>IFERROR(VLOOKUP(D2781,Sheet1!$B$1:$C$45,2,0),"")</f>
        <v/>
      </c>
      <c r="F2781" s="20"/>
      <c r="G2781" s="13" t="str">
        <f t="shared" si="9"/>
        <v/>
      </c>
      <c r="H2781" s="15" t="str">
        <f>IFERROR(VLOOKUP(A2781,Sheet1!$E$3:$F$27,2,),"")</f>
        <v/>
      </c>
      <c r="I2781" s="16" t="str">
        <f>IFERROR(VLOOKUP(A2781,Sheet1!$E$3:$G$27,3,0),"")</f>
        <v/>
      </c>
      <c r="J2781" s="20"/>
      <c r="K2781" s="17"/>
      <c r="L2781" s="17"/>
      <c r="M2781" s="13"/>
      <c r="N2781" s="23"/>
      <c r="O2781" s="22"/>
      <c r="P2781" s="22"/>
    </row>
    <row r="2782" ht="22.5" customHeight="1">
      <c r="A2782" s="20"/>
      <c r="B2782" s="20" t="str">
        <f>IFERROR(VLOOKUP(A2782,Sheet1!$E$3:$H$27,4,0),"")</f>
        <v/>
      </c>
      <c r="C2782" s="15"/>
      <c r="D2782" s="20"/>
      <c r="E2782" s="13" t="str">
        <f>IFERROR(VLOOKUP(D2782,Sheet1!$B$1:$C$45,2,0),"")</f>
        <v/>
      </c>
      <c r="F2782" s="20"/>
      <c r="G2782" s="13" t="str">
        <f t="shared" si="9"/>
        <v/>
      </c>
      <c r="H2782" s="15" t="str">
        <f>IFERROR(VLOOKUP(A2782,Sheet1!$E$3:$F$27,2,),"")</f>
        <v/>
      </c>
      <c r="I2782" s="16" t="str">
        <f>IFERROR(VLOOKUP(A2782,Sheet1!$E$3:$G$27,3,0),"")</f>
        <v/>
      </c>
      <c r="J2782" s="20"/>
      <c r="K2782" s="17"/>
      <c r="L2782" s="17"/>
      <c r="M2782" s="13"/>
      <c r="N2782" s="23"/>
      <c r="O2782" s="22"/>
      <c r="P2782" s="22"/>
    </row>
    <row r="2783" ht="22.5" customHeight="1">
      <c r="A2783" s="20"/>
      <c r="B2783" s="20" t="str">
        <f>IFERROR(VLOOKUP(A2783,Sheet1!$E$3:$H$27,4,0),"")</f>
        <v/>
      </c>
      <c r="C2783" s="15"/>
      <c r="D2783" s="20"/>
      <c r="E2783" s="13" t="str">
        <f>IFERROR(VLOOKUP(D2783,Sheet1!$B$1:$C$45,2,0),"")</f>
        <v/>
      </c>
      <c r="F2783" s="20"/>
      <c r="G2783" s="13" t="str">
        <f t="shared" si="9"/>
        <v/>
      </c>
      <c r="H2783" s="15" t="str">
        <f>IFERROR(VLOOKUP(A2783,Sheet1!$E$3:$F$27,2,),"")</f>
        <v/>
      </c>
      <c r="I2783" s="16" t="str">
        <f>IFERROR(VLOOKUP(A2783,Sheet1!$E$3:$G$27,3,0),"")</f>
        <v/>
      </c>
      <c r="J2783" s="20"/>
      <c r="K2783" s="17"/>
      <c r="L2783" s="17"/>
      <c r="M2783" s="13"/>
      <c r="N2783" s="23"/>
      <c r="O2783" s="22"/>
      <c r="P2783" s="22"/>
    </row>
    <row r="2784" ht="22.5" customHeight="1">
      <c r="A2784" s="20"/>
      <c r="B2784" s="20" t="str">
        <f>IFERROR(VLOOKUP(A2784,Sheet1!$E$3:$H$27,4,0),"")</f>
        <v/>
      </c>
      <c r="C2784" s="15"/>
      <c r="D2784" s="20"/>
      <c r="E2784" s="13" t="str">
        <f>IFERROR(VLOOKUP(D2784,Sheet1!$B$1:$C$45,2,0),"")</f>
        <v/>
      </c>
      <c r="F2784" s="20"/>
      <c r="G2784" s="13" t="str">
        <f t="shared" si="9"/>
        <v/>
      </c>
      <c r="H2784" s="15" t="str">
        <f>IFERROR(VLOOKUP(A2784,Sheet1!$E$3:$F$27,2,),"")</f>
        <v/>
      </c>
      <c r="I2784" s="16" t="str">
        <f>IFERROR(VLOOKUP(A2784,Sheet1!$E$3:$G$27,3,0),"")</f>
        <v/>
      </c>
      <c r="J2784" s="20"/>
      <c r="K2784" s="17"/>
      <c r="L2784" s="17"/>
      <c r="M2784" s="13"/>
      <c r="N2784" s="23"/>
      <c r="O2784" s="22"/>
      <c r="P2784" s="22"/>
    </row>
    <row r="2785" ht="22.5" customHeight="1">
      <c r="A2785" s="20"/>
      <c r="B2785" s="20" t="str">
        <f>IFERROR(VLOOKUP(A2785,Sheet1!$E$3:$H$27,4,0),"")</f>
        <v/>
      </c>
      <c r="C2785" s="15"/>
      <c r="D2785" s="20"/>
      <c r="E2785" s="13" t="str">
        <f>IFERROR(VLOOKUP(D2785,Sheet1!$B$1:$C$45,2,0),"")</f>
        <v/>
      </c>
      <c r="F2785" s="20"/>
      <c r="G2785" s="13" t="str">
        <f t="shared" si="9"/>
        <v/>
      </c>
      <c r="H2785" s="15" t="str">
        <f>IFERROR(VLOOKUP(A2785,Sheet1!$E$3:$F$27,2,),"")</f>
        <v/>
      </c>
      <c r="I2785" s="16" t="str">
        <f>IFERROR(VLOOKUP(A2785,Sheet1!$E$3:$G$27,3,0),"")</f>
        <v/>
      </c>
      <c r="J2785" s="20"/>
      <c r="K2785" s="17"/>
      <c r="L2785" s="17"/>
      <c r="M2785" s="13"/>
      <c r="N2785" s="23"/>
      <c r="O2785" s="22"/>
      <c r="P2785" s="22"/>
    </row>
    <row r="2786" ht="22.5" customHeight="1">
      <c r="A2786" s="20"/>
      <c r="B2786" s="20" t="str">
        <f>IFERROR(VLOOKUP(A2786,Sheet1!$E$3:$H$27,4,0),"")</f>
        <v/>
      </c>
      <c r="C2786" s="15"/>
      <c r="D2786" s="20"/>
      <c r="E2786" s="13" t="str">
        <f>IFERROR(VLOOKUP(D2786,Sheet1!$B$1:$C$45,2,0),"")</f>
        <v/>
      </c>
      <c r="F2786" s="20"/>
      <c r="G2786" s="13" t="str">
        <f t="shared" si="9"/>
        <v/>
      </c>
      <c r="H2786" s="15" t="str">
        <f>IFERROR(VLOOKUP(A2786,Sheet1!$E$3:$F$27,2,),"")</f>
        <v/>
      </c>
      <c r="I2786" s="16" t="str">
        <f>IFERROR(VLOOKUP(A2786,Sheet1!$E$3:$G$27,3,0),"")</f>
        <v/>
      </c>
      <c r="J2786" s="20"/>
      <c r="K2786" s="17"/>
      <c r="L2786" s="17"/>
      <c r="M2786" s="13"/>
      <c r="N2786" s="23"/>
      <c r="O2786" s="22"/>
      <c r="P2786" s="22"/>
    </row>
    <row r="2787" ht="22.5" customHeight="1">
      <c r="A2787" s="20"/>
      <c r="B2787" s="20" t="str">
        <f>IFERROR(VLOOKUP(A2787,Sheet1!$E$3:$H$27,4,0),"")</f>
        <v/>
      </c>
      <c r="C2787" s="15"/>
      <c r="D2787" s="20"/>
      <c r="E2787" s="13" t="str">
        <f>IFERROR(VLOOKUP(D2787,Sheet1!$B$1:$C$45,2,0),"")</f>
        <v/>
      </c>
      <c r="F2787" s="20"/>
      <c r="G2787" s="13" t="str">
        <f t="shared" si="9"/>
        <v/>
      </c>
      <c r="H2787" s="15" t="str">
        <f>IFERROR(VLOOKUP(A2787,Sheet1!$E$3:$F$27,2,),"")</f>
        <v/>
      </c>
      <c r="I2787" s="16" t="str">
        <f>IFERROR(VLOOKUP(A2787,Sheet1!$E$3:$G$27,3,0),"")</f>
        <v/>
      </c>
      <c r="J2787" s="20"/>
      <c r="K2787" s="17"/>
      <c r="L2787" s="17"/>
      <c r="M2787" s="13"/>
      <c r="N2787" s="23"/>
      <c r="O2787" s="22"/>
      <c r="P2787" s="22"/>
    </row>
    <row r="2788" ht="22.5" customHeight="1">
      <c r="A2788" s="20"/>
      <c r="B2788" s="20" t="str">
        <f>IFERROR(VLOOKUP(A2788,Sheet1!$E$3:$H$27,4,0),"")</f>
        <v/>
      </c>
      <c r="C2788" s="15"/>
      <c r="D2788" s="20"/>
      <c r="E2788" s="13" t="str">
        <f>IFERROR(VLOOKUP(D2788,Sheet1!$B$1:$C$45,2,0),"")</f>
        <v/>
      </c>
      <c r="F2788" s="20"/>
      <c r="G2788" s="13" t="str">
        <f t="shared" si="9"/>
        <v/>
      </c>
      <c r="H2788" s="15" t="str">
        <f>IFERROR(VLOOKUP(A2788,Sheet1!$E$3:$F$27,2,),"")</f>
        <v/>
      </c>
      <c r="I2788" s="16" t="str">
        <f>IFERROR(VLOOKUP(A2788,Sheet1!$E$3:$G$27,3,0),"")</f>
        <v/>
      </c>
      <c r="J2788" s="20"/>
      <c r="K2788" s="17"/>
      <c r="L2788" s="17"/>
      <c r="M2788" s="13"/>
      <c r="N2788" s="23"/>
      <c r="O2788" s="22"/>
      <c r="P2788" s="22"/>
    </row>
    <row r="2789" ht="22.5" customHeight="1">
      <c r="A2789" s="20"/>
      <c r="B2789" s="20" t="str">
        <f>IFERROR(VLOOKUP(A2789,Sheet1!$E$3:$H$27,4,0),"")</f>
        <v/>
      </c>
      <c r="C2789" s="15"/>
      <c r="D2789" s="20"/>
      <c r="E2789" s="13" t="str">
        <f>IFERROR(VLOOKUP(D2789,Sheet1!$B$1:$C$45,2,0),"")</f>
        <v/>
      </c>
      <c r="F2789" s="20"/>
      <c r="G2789" s="13" t="str">
        <f t="shared" si="9"/>
        <v/>
      </c>
      <c r="H2789" s="15" t="str">
        <f>IFERROR(VLOOKUP(A2789,Sheet1!$E$3:$F$27,2,),"")</f>
        <v/>
      </c>
      <c r="I2789" s="16" t="str">
        <f>IFERROR(VLOOKUP(A2789,Sheet1!$E$3:$G$27,3,0),"")</f>
        <v/>
      </c>
      <c r="J2789" s="20"/>
      <c r="K2789" s="17"/>
      <c r="L2789" s="17"/>
      <c r="M2789" s="13"/>
      <c r="N2789" s="23"/>
      <c r="O2789" s="22"/>
      <c r="P2789" s="22"/>
    </row>
    <row r="2790" ht="22.5" customHeight="1">
      <c r="A2790" s="20"/>
      <c r="B2790" s="20" t="str">
        <f>IFERROR(VLOOKUP(A2790,Sheet1!$E$3:$H$27,4,0),"")</f>
        <v/>
      </c>
      <c r="C2790" s="15"/>
      <c r="D2790" s="20"/>
      <c r="E2790" s="13" t="str">
        <f>IFERROR(VLOOKUP(D2790,Sheet1!$B$1:$C$45,2,0),"")</f>
        <v/>
      </c>
      <c r="F2790" s="20"/>
      <c r="G2790" s="13" t="str">
        <f t="shared" si="9"/>
        <v/>
      </c>
      <c r="H2790" s="15" t="str">
        <f>IFERROR(VLOOKUP(A2790,Sheet1!$E$3:$F$27,2,),"")</f>
        <v/>
      </c>
      <c r="I2790" s="16" t="str">
        <f>IFERROR(VLOOKUP(A2790,Sheet1!$E$3:$G$27,3,0),"")</f>
        <v/>
      </c>
      <c r="J2790" s="20"/>
      <c r="K2790" s="17"/>
      <c r="L2790" s="17"/>
      <c r="M2790" s="13"/>
      <c r="N2790" s="23"/>
      <c r="O2790" s="22"/>
      <c r="P2790" s="22"/>
    </row>
    <row r="2791" ht="22.5" customHeight="1">
      <c r="A2791" s="20"/>
      <c r="B2791" s="20" t="str">
        <f>IFERROR(VLOOKUP(A2791,Sheet1!$E$3:$H$27,4,0),"")</f>
        <v/>
      </c>
      <c r="C2791" s="15"/>
      <c r="D2791" s="20"/>
      <c r="E2791" s="13" t="str">
        <f>IFERROR(VLOOKUP(D2791,Sheet1!$B$1:$C$45,2,0),"")</f>
        <v/>
      </c>
      <c r="F2791" s="20"/>
      <c r="G2791" s="13" t="str">
        <f t="shared" si="9"/>
        <v/>
      </c>
      <c r="H2791" s="15" t="str">
        <f>IFERROR(VLOOKUP(A2791,Sheet1!$E$3:$F$27,2,),"")</f>
        <v/>
      </c>
      <c r="I2791" s="16" t="str">
        <f>IFERROR(VLOOKUP(A2791,Sheet1!$E$3:$G$27,3,0),"")</f>
        <v/>
      </c>
      <c r="J2791" s="20"/>
      <c r="K2791" s="17"/>
      <c r="L2791" s="17"/>
      <c r="M2791" s="13"/>
      <c r="N2791" s="23"/>
      <c r="O2791" s="22"/>
      <c r="P2791" s="22"/>
    </row>
    <row r="2792" ht="22.5" customHeight="1">
      <c r="A2792" s="20"/>
      <c r="B2792" s="20" t="str">
        <f>IFERROR(VLOOKUP(A2792,Sheet1!$E$3:$H$27,4,0),"")</f>
        <v/>
      </c>
      <c r="C2792" s="15"/>
      <c r="D2792" s="20"/>
      <c r="E2792" s="13" t="str">
        <f>IFERROR(VLOOKUP(D2792,Sheet1!$B$1:$C$45,2,0),"")</f>
        <v/>
      </c>
      <c r="F2792" s="20"/>
      <c r="G2792" s="13" t="str">
        <f t="shared" si="9"/>
        <v/>
      </c>
      <c r="H2792" s="15" t="str">
        <f>IFERROR(VLOOKUP(A2792,Sheet1!$E$3:$F$27,2,),"")</f>
        <v/>
      </c>
      <c r="I2792" s="16" t="str">
        <f>IFERROR(VLOOKUP(A2792,Sheet1!$E$3:$G$27,3,0),"")</f>
        <v/>
      </c>
      <c r="J2792" s="20"/>
      <c r="K2792" s="17"/>
      <c r="L2792" s="17"/>
      <c r="M2792" s="13"/>
      <c r="N2792" s="23"/>
      <c r="O2792" s="22"/>
      <c r="P2792" s="22"/>
    </row>
    <row r="2793" ht="22.5" customHeight="1">
      <c r="A2793" s="20"/>
      <c r="B2793" s="20" t="str">
        <f>IFERROR(VLOOKUP(A2793,Sheet1!$E$3:$H$27,4,0),"")</f>
        <v/>
      </c>
      <c r="C2793" s="15"/>
      <c r="D2793" s="20"/>
      <c r="E2793" s="13" t="str">
        <f>IFERROR(VLOOKUP(D2793,Sheet1!$B$1:$C$45,2,0),"")</f>
        <v/>
      </c>
      <c r="F2793" s="20"/>
      <c r="G2793" s="13" t="str">
        <f t="shared" si="9"/>
        <v/>
      </c>
      <c r="H2793" s="15" t="str">
        <f>IFERROR(VLOOKUP(A2793,Sheet1!$E$3:$F$27,2,),"")</f>
        <v/>
      </c>
      <c r="I2793" s="16" t="str">
        <f>IFERROR(VLOOKUP(A2793,Sheet1!$E$3:$G$27,3,0),"")</f>
        <v/>
      </c>
      <c r="J2793" s="20"/>
      <c r="K2793" s="17"/>
      <c r="L2793" s="17"/>
      <c r="M2793" s="13"/>
      <c r="N2793" s="23"/>
      <c r="O2793" s="22"/>
      <c r="P2793" s="22"/>
    </row>
    <row r="2794" ht="22.5" customHeight="1">
      <c r="A2794" s="20"/>
      <c r="B2794" s="20" t="str">
        <f>IFERROR(VLOOKUP(A2794,Sheet1!$E$3:$H$27,4,0),"")</f>
        <v/>
      </c>
      <c r="C2794" s="15"/>
      <c r="D2794" s="20"/>
      <c r="E2794" s="13" t="str">
        <f>IFERROR(VLOOKUP(D2794,Sheet1!$B$1:$C$45,2,0),"")</f>
        <v/>
      </c>
      <c r="F2794" s="20"/>
      <c r="G2794" s="13" t="str">
        <f t="shared" si="9"/>
        <v/>
      </c>
      <c r="H2794" s="15" t="str">
        <f>IFERROR(VLOOKUP(A2794,Sheet1!$E$3:$F$27,2,),"")</f>
        <v/>
      </c>
      <c r="I2794" s="16" t="str">
        <f>IFERROR(VLOOKUP(A2794,Sheet1!$E$3:$G$27,3,0),"")</f>
        <v/>
      </c>
      <c r="J2794" s="20"/>
      <c r="K2794" s="17"/>
      <c r="L2794" s="17"/>
      <c r="M2794" s="13"/>
      <c r="N2794" s="23"/>
      <c r="O2794" s="22"/>
      <c r="P2794" s="22"/>
    </row>
    <row r="2795" ht="22.5" customHeight="1">
      <c r="A2795" s="20"/>
      <c r="B2795" s="20" t="str">
        <f>IFERROR(VLOOKUP(A2795,Sheet1!$E$3:$H$27,4,0),"")</f>
        <v/>
      </c>
      <c r="C2795" s="15"/>
      <c r="D2795" s="20"/>
      <c r="E2795" s="13" t="str">
        <f>IFERROR(VLOOKUP(D2795,Sheet1!$B$1:$C$45,2,0),"")</f>
        <v/>
      </c>
      <c r="F2795" s="20"/>
      <c r="G2795" s="13" t="str">
        <f t="shared" si="9"/>
        <v/>
      </c>
      <c r="H2795" s="15" t="str">
        <f>IFERROR(VLOOKUP(A2795,Sheet1!$E$3:$F$27,2,),"")</f>
        <v/>
      </c>
      <c r="I2795" s="16" t="str">
        <f>IFERROR(VLOOKUP(A2795,Sheet1!$E$3:$G$27,3,0),"")</f>
        <v/>
      </c>
      <c r="J2795" s="20"/>
      <c r="K2795" s="17"/>
      <c r="L2795" s="17"/>
      <c r="M2795" s="13"/>
      <c r="N2795" s="23"/>
      <c r="O2795" s="22"/>
      <c r="P2795" s="22"/>
    </row>
    <row r="2796" ht="22.5" customHeight="1">
      <c r="A2796" s="20"/>
      <c r="B2796" s="20" t="str">
        <f>IFERROR(VLOOKUP(A2796,Sheet1!$E$3:$H$27,4,0),"")</f>
        <v/>
      </c>
      <c r="C2796" s="15"/>
      <c r="D2796" s="20"/>
      <c r="E2796" s="13" t="str">
        <f>IFERROR(VLOOKUP(D2796,Sheet1!$B$1:$C$45,2,0),"")</f>
        <v/>
      </c>
      <c r="F2796" s="20"/>
      <c r="G2796" s="13" t="str">
        <f t="shared" si="9"/>
        <v/>
      </c>
      <c r="H2796" s="15" t="str">
        <f>IFERROR(VLOOKUP(A2796,Sheet1!$E$3:$F$27,2,),"")</f>
        <v/>
      </c>
      <c r="I2796" s="16" t="str">
        <f>IFERROR(VLOOKUP(A2796,Sheet1!$E$3:$G$27,3,0),"")</f>
        <v/>
      </c>
      <c r="J2796" s="20"/>
      <c r="K2796" s="17"/>
      <c r="L2796" s="17"/>
      <c r="M2796" s="13"/>
      <c r="N2796" s="23"/>
      <c r="O2796" s="22"/>
      <c r="P2796" s="22"/>
    </row>
    <row r="2797" ht="22.5" customHeight="1">
      <c r="A2797" s="20"/>
      <c r="B2797" s="20" t="str">
        <f>IFERROR(VLOOKUP(A2797,Sheet1!$E$3:$H$27,4,0),"")</f>
        <v/>
      </c>
      <c r="C2797" s="15"/>
      <c r="D2797" s="20"/>
      <c r="E2797" s="13" t="str">
        <f>IFERROR(VLOOKUP(D2797,Sheet1!$B$1:$C$45,2,0),"")</f>
        <v/>
      </c>
      <c r="F2797" s="20"/>
      <c r="G2797" s="13" t="str">
        <f t="shared" si="9"/>
        <v/>
      </c>
      <c r="H2797" s="15" t="str">
        <f>IFERROR(VLOOKUP(A2797,Sheet1!$E$3:$F$27,2,),"")</f>
        <v/>
      </c>
      <c r="I2797" s="16" t="str">
        <f>IFERROR(VLOOKUP(A2797,Sheet1!$E$3:$G$27,3,0),"")</f>
        <v/>
      </c>
      <c r="J2797" s="20"/>
      <c r="K2797" s="17"/>
      <c r="L2797" s="17"/>
      <c r="M2797" s="13"/>
      <c r="N2797" s="23"/>
      <c r="O2797" s="22"/>
      <c r="P2797" s="22"/>
    </row>
    <row r="2798" ht="22.5" customHeight="1">
      <c r="A2798" s="20"/>
      <c r="B2798" s="20" t="str">
        <f>IFERROR(VLOOKUP(A2798,Sheet1!$E$3:$H$27,4,0),"")</f>
        <v/>
      </c>
      <c r="C2798" s="15"/>
      <c r="D2798" s="20"/>
      <c r="E2798" s="13" t="str">
        <f>IFERROR(VLOOKUP(D2798,Sheet1!$B$1:$C$45,2,0),"")</f>
        <v/>
      </c>
      <c r="F2798" s="20"/>
      <c r="G2798" s="13" t="str">
        <f t="shared" si="9"/>
        <v/>
      </c>
      <c r="H2798" s="15" t="str">
        <f>IFERROR(VLOOKUP(A2798,Sheet1!$E$3:$F$27,2,),"")</f>
        <v/>
      </c>
      <c r="I2798" s="16" t="str">
        <f>IFERROR(VLOOKUP(A2798,Sheet1!$E$3:$G$27,3,0),"")</f>
        <v/>
      </c>
      <c r="J2798" s="20"/>
      <c r="K2798" s="17"/>
      <c r="L2798" s="17"/>
      <c r="M2798" s="13"/>
      <c r="N2798" s="23"/>
      <c r="O2798" s="22"/>
      <c r="P2798" s="22"/>
    </row>
    <row r="2799" ht="22.5" customHeight="1">
      <c r="A2799" s="20"/>
      <c r="B2799" s="20" t="str">
        <f>IFERROR(VLOOKUP(A2799,Sheet1!$E$3:$H$27,4,0),"")</f>
        <v/>
      </c>
      <c r="C2799" s="15"/>
      <c r="D2799" s="20"/>
      <c r="E2799" s="13" t="str">
        <f>IFERROR(VLOOKUP(D2799,Sheet1!$B$1:$C$45,2,0),"")</f>
        <v/>
      </c>
      <c r="F2799" s="20"/>
      <c r="G2799" s="13" t="str">
        <f t="shared" si="9"/>
        <v/>
      </c>
      <c r="H2799" s="15" t="str">
        <f>IFERROR(VLOOKUP(A2799,Sheet1!$E$3:$F$27,2,),"")</f>
        <v/>
      </c>
      <c r="I2799" s="16" t="str">
        <f>IFERROR(VLOOKUP(A2799,Sheet1!$E$3:$G$27,3,0),"")</f>
        <v/>
      </c>
      <c r="J2799" s="20"/>
      <c r="K2799" s="17"/>
      <c r="L2799" s="17"/>
      <c r="M2799" s="13"/>
      <c r="N2799" s="23"/>
      <c r="O2799" s="22"/>
      <c r="P2799" s="22"/>
    </row>
    <row r="2800" ht="22.5" customHeight="1">
      <c r="A2800" s="20"/>
      <c r="B2800" s="20" t="str">
        <f>IFERROR(VLOOKUP(A2800,Sheet1!$E$3:$H$27,4,0),"")</f>
        <v/>
      </c>
      <c r="C2800" s="15"/>
      <c r="D2800" s="20"/>
      <c r="E2800" s="13" t="str">
        <f>IFERROR(VLOOKUP(D2800,Sheet1!$B$1:$C$45,2,0),"")</f>
        <v/>
      </c>
      <c r="F2800" s="20"/>
      <c r="G2800" s="13" t="str">
        <f t="shared" si="9"/>
        <v/>
      </c>
      <c r="H2800" s="15" t="str">
        <f>IFERROR(VLOOKUP(A2800,Sheet1!$E$3:$F$27,2,),"")</f>
        <v/>
      </c>
      <c r="I2800" s="16" t="str">
        <f>IFERROR(VLOOKUP(A2800,Sheet1!$E$3:$G$27,3,0),"")</f>
        <v/>
      </c>
      <c r="J2800" s="20"/>
      <c r="K2800" s="17"/>
      <c r="L2800" s="17"/>
      <c r="M2800" s="13"/>
      <c r="N2800" s="23"/>
      <c r="O2800" s="22"/>
      <c r="P2800" s="22"/>
    </row>
    <row r="2801" ht="22.5" customHeight="1">
      <c r="A2801" s="20"/>
      <c r="B2801" s="20" t="str">
        <f>IFERROR(VLOOKUP(A2801,Sheet1!$E$3:$H$27,4,0),"")</f>
        <v/>
      </c>
      <c r="C2801" s="15"/>
      <c r="D2801" s="20"/>
      <c r="E2801" s="13" t="str">
        <f>IFERROR(VLOOKUP(D2801,Sheet1!$B$1:$C$45,2,0),"")</f>
        <v/>
      </c>
      <c r="F2801" s="20"/>
      <c r="G2801" s="13" t="str">
        <f t="shared" si="9"/>
        <v/>
      </c>
      <c r="H2801" s="15" t="str">
        <f>IFERROR(VLOOKUP(A2801,Sheet1!$E$3:$F$27,2,),"")</f>
        <v/>
      </c>
      <c r="I2801" s="16" t="str">
        <f>IFERROR(VLOOKUP(A2801,Sheet1!$E$3:$G$27,3,0),"")</f>
        <v/>
      </c>
      <c r="J2801" s="20"/>
      <c r="K2801" s="17"/>
      <c r="L2801" s="17"/>
      <c r="M2801" s="13"/>
      <c r="N2801" s="23"/>
      <c r="O2801" s="22"/>
      <c r="P2801" s="22"/>
    </row>
    <row r="2802" ht="22.5" customHeight="1">
      <c r="A2802" s="20"/>
      <c r="B2802" s="20" t="str">
        <f>IFERROR(VLOOKUP(A2802,Sheet1!$E$3:$H$27,4,0),"")</f>
        <v/>
      </c>
      <c r="C2802" s="15"/>
      <c r="D2802" s="20"/>
      <c r="E2802" s="13" t="str">
        <f>IFERROR(VLOOKUP(D2802,Sheet1!$B$1:$C$45,2,0),"")</f>
        <v/>
      </c>
      <c r="F2802" s="20"/>
      <c r="G2802" s="13" t="str">
        <f t="shared" si="9"/>
        <v/>
      </c>
      <c r="H2802" s="15" t="str">
        <f>IFERROR(VLOOKUP(A2802,Sheet1!$E$3:$F$27,2,),"")</f>
        <v/>
      </c>
      <c r="I2802" s="16" t="str">
        <f>IFERROR(VLOOKUP(A2802,Sheet1!$E$3:$G$27,3,0),"")</f>
        <v/>
      </c>
      <c r="J2802" s="20"/>
      <c r="K2802" s="17"/>
      <c r="L2802" s="17"/>
      <c r="M2802" s="13"/>
      <c r="N2802" s="23"/>
      <c r="O2802" s="22"/>
      <c r="P2802" s="22"/>
    </row>
    <row r="2803" ht="22.5" customHeight="1">
      <c r="A2803" s="20"/>
      <c r="B2803" s="20" t="str">
        <f>IFERROR(VLOOKUP(A2803,Sheet1!$E$3:$H$27,4,0),"")</f>
        <v/>
      </c>
      <c r="C2803" s="15"/>
      <c r="D2803" s="20"/>
      <c r="E2803" s="13" t="str">
        <f>IFERROR(VLOOKUP(D2803,Sheet1!$B$1:$C$45,2,0),"")</f>
        <v/>
      </c>
      <c r="F2803" s="20"/>
      <c r="G2803" s="13" t="str">
        <f t="shared" si="9"/>
        <v/>
      </c>
      <c r="H2803" s="15" t="str">
        <f>IFERROR(VLOOKUP(A2803,Sheet1!$E$3:$F$27,2,),"")</f>
        <v/>
      </c>
      <c r="I2803" s="16" t="str">
        <f>IFERROR(VLOOKUP(A2803,Sheet1!$E$3:$G$27,3,0),"")</f>
        <v/>
      </c>
      <c r="J2803" s="20"/>
      <c r="K2803" s="17"/>
      <c r="L2803" s="17"/>
      <c r="M2803" s="13"/>
      <c r="N2803" s="23"/>
      <c r="O2803" s="22"/>
      <c r="P2803" s="22"/>
    </row>
    <row r="2804" ht="22.5" customHeight="1">
      <c r="A2804" s="20"/>
      <c r="B2804" s="20" t="str">
        <f>IFERROR(VLOOKUP(A2804,Sheet1!$E$3:$H$27,4,0),"")</f>
        <v/>
      </c>
      <c r="C2804" s="15"/>
      <c r="D2804" s="20"/>
      <c r="E2804" s="13" t="str">
        <f>IFERROR(VLOOKUP(D2804,Sheet1!$B$1:$C$45,2,0),"")</f>
        <v/>
      </c>
      <c r="F2804" s="20"/>
      <c r="G2804" s="13" t="str">
        <f t="shared" si="9"/>
        <v/>
      </c>
      <c r="H2804" s="15" t="str">
        <f>IFERROR(VLOOKUP(A2804,Sheet1!$E$3:$F$27,2,),"")</f>
        <v/>
      </c>
      <c r="I2804" s="16" t="str">
        <f>IFERROR(VLOOKUP(A2804,Sheet1!$E$3:$G$27,3,0),"")</f>
        <v/>
      </c>
      <c r="J2804" s="20"/>
      <c r="K2804" s="17"/>
      <c r="L2804" s="17"/>
      <c r="M2804" s="13"/>
      <c r="N2804" s="23"/>
      <c r="O2804" s="22"/>
      <c r="P2804" s="22"/>
    </row>
    <row r="2805" ht="22.5" customHeight="1">
      <c r="A2805" s="20"/>
      <c r="B2805" s="20" t="str">
        <f>IFERROR(VLOOKUP(A2805,Sheet1!$E$3:$H$27,4,0),"")</f>
        <v/>
      </c>
      <c r="C2805" s="15"/>
      <c r="D2805" s="20"/>
      <c r="E2805" s="13" t="str">
        <f>IFERROR(VLOOKUP(D2805,Sheet1!$B$1:$C$45,2,0),"")</f>
        <v/>
      </c>
      <c r="F2805" s="20"/>
      <c r="G2805" s="13" t="str">
        <f t="shared" si="9"/>
        <v/>
      </c>
      <c r="H2805" s="15" t="str">
        <f>IFERROR(VLOOKUP(A2805,Sheet1!$E$3:$F$27,2,),"")</f>
        <v/>
      </c>
      <c r="I2805" s="16" t="str">
        <f>IFERROR(VLOOKUP(A2805,Sheet1!$E$3:$G$27,3,0),"")</f>
        <v/>
      </c>
      <c r="J2805" s="20"/>
      <c r="K2805" s="17"/>
      <c r="L2805" s="17"/>
      <c r="M2805" s="13"/>
      <c r="N2805" s="23"/>
      <c r="O2805" s="22"/>
      <c r="P2805" s="22"/>
    </row>
    <row r="2806" ht="22.5" customHeight="1">
      <c r="A2806" s="20"/>
      <c r="B2806" s="20" t="str">
        <f>IFERROR(VLOOKUP(A2806,Sheet1!$E$3:$H$27,4,0),"")</f>
        <v/>
      </c>
      <c r="C2806" s="15"/>
      <c r="D2806" s="20"/>
      <c r="E2806" s="13" t="str">
        <f>IFERROR(VLOOKUP(D2806,Sheet1!$B$1:$C$45,2,0),"")</f>
        <v/>
      </c>
      <c r="F2806" s="20"/>
      <c r="G2806" s="13" t="str">
        <f t="shared" si="9"/>
        <v/>
      </c>
      <c r="H2806" s="15" t="str">
        <f>IFERROR(VLOOKUP(A2806,Sheet1!$E$3:$F$27,2,),"")</f>
        <v/>
      </c>
      <c r="I2806" s="16" t="str">
        <f>IFERROR(VLOOKUP(A2806,Sheet1!$E$3:$G$27,3,0),"")</f>
        <v/>
      </c>
      <c r="J2806" s="20"/>
      <c r="K2806" s="17"/>
      <c r="L2806" s="17"/>
      <c r="M2806" s="13"/>
      <c r="N2806" s="23"/>
      <c r="O2806" s="22"/>
      <c r="P2806" s="22"/>
    </row>
    <row r="2807" ht="22.5" customHeight="1">
      <c r="A2807" s="20"/>
      <c r="B2807" s="20" t="str">
        <f>IFERROR(VLOOKUP(A2807,Sheet1!$E$3:$H$27,4,0),"")</f>
        <v/>
      </c>
      <c r="C2807" s="15"/>
      <c r="D2807" s="20"/>
      <c r="E2807" s="13" t="str">
        <f>IFERROR(VLOOKUP(D2807,Sheet1!$B$1:$C$45,2,0),"")</f>
        <v/>
      </c>
      <c r="F2807" s="20"/>
      <c r="G2807" s="13" t="str">
        <f t="shared" si="9"/>
        <v/>
      </c>
      <c r="H2807" s="15" t="str">
        <f>IFERROR(VLOOKUP(A2807,Sheet1!$E$3:$F$27,2,),"")</f>
        <v/>
      </c>
      <c r="I2807" s="16" t="str">
        <f>IFERROR(VLOOKUP(A2807,Sheet1!$E$3:$G$27,3,0),"")</f>
        <v/>
      </c>
      <c r="J2807" s="20"/>
      <c r="K2807" s="17"/>
      <c r="L2807" s="17"/>
      <c r="M2807" s="13"/>
      <c r="N2807" s="23"/>
      <c r="O2807" s="22"/>
      <c r="P2807" s="22"/>
    </row>
    <row r="2808" ht="22.5" customHeight="1">
      <c r="A2808" s="20"/>
      <c r="B2808" s="20" t="str">
        <f>IFERROR(VLOOKUP(A2808,Sheet1!$E$3:$H$27,4,0),"")</f>
        <v/>
      </c>
      <c r="C2808" s="15"/>
      <c r="D2808" s="20"/>
      <c r="E2808" s="13" t="str">
        <f>IFERROR(VLOOKUP(D2808,Sheet1!$B$1:$C$45,2,0),"")</f>
        <v/>
      </c>
      <c r="F2808" s="20"/>
      <c r="G2808" s="13" t="str">
        <f t="shared" si="9"/>
        <v/>
      </c>
      <c r="H2808" s="15" t="str">
        <f>IFERROR(VLOOKUP(A2808,Sheet1!$E$3:$F$27,2,),"")</f>
        <v/>
      </c>
      <c r="I2808" s="16" t="str">
        <f>IFERROR(VLOOKUP(A2808,Sheet1!$E$3:$G$27,3,0),"")</f>
        <v/>
      </c>
      <c r="J2808" s="20"/>
      <c r="K2808" s="17"/>
      <c r="L2808" s="17"/>
      <c r="M2808" s="13"/>
      <c r="N2808" s="23"/>
      <c r="O2808" s="22"/>
      <c r="P2808" s="22"/>
    </row>
    <row r="2809" ht="22.5" customHeight="1">
      <c r="A2809" s="20"/>
      <c r="B2809" s="20" t="str">
        <f>IFERROR(VLOOKUP(A2809,Sheet1!$E$3:$H$27,4,0),"")</f>
        <v/>
      </c>
      <c r="C2809" s="15"/>
      <c r="D2809" s="20"/>
      <c r="E2809" s="13" t="str">
        <f>IFERROR(VLOOKUP(D2809,Sheet1!$B$1:$C$45,2,0),"")</f>
        <v/>
      </c>
      <c r="F2809" s="20"/>
      <c r="G2809" s="13" t="str">
        <f t="shared" si="9"/>
        <v/>
      </c>
      <c r="H2809" s="15" t="str">
        <f>IFERROR(VLOOKUP(A2809,Sheet1!$E$3:$F$27,2,),"")</f>
        <v/>
      </c>
      <c r="I2809" s="16" t="str">
        <f>IFERROR(VLOOKUP(A2809,Sheet1!$E$3:$G$27,3,0),"")</f>
        <v/>
      </c>
      <c r="J2809" s="20"/>
      <c r="K2809" s="17"/>
      <c r="L2809" s="17"/>
      <c r="M2809" s="13"/>
      <c r="N2809" s="23"/>
      <c r="O2809" s="22"/>
      <c r="P2809" s="22"/>
    </row>
    <row r="2810" ht="22.5" customHeight="1">
      <c r="A2810" s="20"/>
      <c r="B2810" s="20" t="str">
        <f>IFERROR(VLOOKUP(A2810,Sheet1!$E$3:$H$27,4,0),"")</f>
        <v/>
      </c>
      <c r="C2810" s="15"/>
      <c r="D2810" s="20"/>
      <c r="E2810" s="13" t="str">
        <f>IFERROR(VLOOKUP(D2810,Sheet1!$B$1:$C$45,2,0),"")</f>
        <v/>
      </c>
      <c r="F2810" s="20"/>
      <c r="G2810" s="13" t="str">
        <f t="shared" si="9"/>
        <v/>
      </c>
      <c r="H2810" s="15" t="str">
        <f>IFERROR(VLOOKUP(A2810,Sheet1!$E$3:$F$27,2,),"")</f>
        <v/>
      </c>
      <c r="I2810" s="16" t="str">
        <f>IFERROR(VLOOKUP(A2810,Sheet1!$E$3:$G$27,3,0),"")</f>
        <v/>
      </c>
      <c r="J2810" s="20"/>
      <c r="K2810" s="17"/>
      <c r="L2810" s="17"/>
      <c r="M2810" s="13"/>
      <c r="N2810" s="23"/>
      <c r="O2810" s="22"/>
      <c r="P2810" s="22"/>
    </row>
    <row r="2811" ht="22.5" customHeight="1">
      <c r="A2811" s="20"/>
      <c r="B2811" s="20" t="str">
        <f>IFERROR(VLOOKUP(A2811,Sheet1!$E$3:$H$27,4,0),"")</f>
        <v/>
      </c>
      <c r="C2811" s="15"/>
      <c r="D2811" s="20"/>
      <c r="E2811" s="13" t="str">
        <f>IFERROR(VLOOKUP(D2811,Sheet1!$B$1:$C$45,2,0),"")</f>
        <v/>
      </c>
      <c r="F2811" s="20"/>
      <c r="G2811" s="13" t="str">
        <f t="shared" si="9"/>
        <v/>
      </c>
      <c r="H2811" s="15" t="str">
        <f>IFERROR(VLOOKUP(A2811,Sheet1!$E$3:$F$27,2,),"")</f>
        <v/>
      </c>
      <c r="I2811" s="16" t="str">
        <f>IFERROR(VLOOKUP(A2811,Sheet1!$E$3:$G$27,3,0),"")</f>
        <v/>
      </c>
      <c r="J2811" s="20"/>
      <c r="K2811" s="17"/>
      <c r="L2811" s="17"/>
      <c r="M2811" s="13"/>
      <c r="N2811" s="23"/>
      <c r="O2811" s="22"/>
      <c r="P2811" s="22"/>
    </row>
    <row r="2812" ht="22.5" customHeight="1">
      <c r="A2812" s="20"/>
      <c r="B2812" s="20" t="str">
        <f>IFERROR(VLOOKUP(A2812,Sheet1!$E$3:$H$27,4,0),"")</f>
        <v/>
      </c>
      <c r="C2812" s="15"/>
      <c r="D2812" s="20"/>
      <c r="E2812" s="13" t="str">
        <f>IFERROR(VLOOKUP(D2812,Sheet1!$B$1:$C$45,2,0),"")</f>
        <v/>
      </c>
      <c r="F2812" s="20"/>
      <c r="G2812" s="13" t="str">
        <f t="shared" si="9"/>
        <v/>
      </c>
      <c r="H2812" s="15" t="str">
        <f>IFERROR(VLOOKUP(A2812,Sheet1!$E$3:$F$27,2,),"")</f>
        <v/>
      </c>
      <c r="I2812" s="16" t="str">
        <f>IFERROR(VLOOKUP(A2812,Sheet1!$E$3:$G$27,3,0),"")</f>
        <v/>
      </c>
      <c r="J2812" s="20"/>
      <c r="K2812" s="17"/>
      <c r="L2812" s="17"/>
      <c r="M2812" s="13"/>
      <c r="N2812" s="23"/>
      <c r="O2812" s="22"/>
      <c r="P2812" s="22"/>
    </row>
    <row r="2813" ht="22.5" customHeight="1">
      <c r="A2813" s="20"/>
      <c r="B2813" s="20" t="str">
        <f>IFERROR(VLOOKUP(A2813,Sheet1!$E$3:$H$27,4,0),"")</f>
        <v/>
      </c>
      <c r="C2813" s="15"/>
      <c r="D2813" s="20"/>
      <c r="E2813" s="13" t="str">
        <f>IFERROR(VLOOKUP(D2813,Sheet1!$B$1:$C$45,2,0),"")</f>
        <v/>
      </c>
      <c r="F2813" s="20"/>
      <c r="G2813" s="13" t="str">
        <f t="shared" si="9"/>
        <v/>
      </c>
      <c r="H2813" s="15" t="str">
        <f>IFERROR(VLOOKUP(A2813,Sheet1!$E$3:$F$27,2,),"")</f>
        <v/>
      </c>
      <c r="I2813" s="16" t="str">
        <f>IFERROR(VLOOKUP(A2813,Sheet1!$E$3:$G$27,3,0),"")</f>
        <v/>
      </c>
      <c r="J2813" s="20"/>
      <c r="K2813" s="17"/>
      <c r="L2813" s="17"/>
      <c r="M2813" s="13"/>
      <c r="N2813" s="23"/>
      <c r="O2813" s="22"/>
      <c r="P2813" s="22"/>
    </row>
    <row r="2814" ht="22.5" customHeight="1">
      <c r="A2814" s="20"/>
      <c r="B2814" s="20" t="str">
        <f>IFERROR(VLOOKUP(A2814,Sheet1!$E$3:$H$27,4,0),"")</f>
        <v/>
      </c>
      <c r="C2814" s="15"/>
      <c r="D2814" s="20"/>
      <c r="E2814" s="13" t="str">
        <f>IFERROR(VLOOKUP(D2814,Sheet1!$B$1:$C$45,2,0),"")</f>
        <v/>
      </c>
      <c r="F2814" s="20"/>
      <c r="G2814" s="13" t="str">
        <f t="shared" si="9"/>
        <v/>
      </c>
      <c r="H2814" s="15" t="str">
        <f>IFERROR(VLOOKUP(A2814,Sheet1!$E$3:$F$27,2,),"")</f>
        <v/>
      </c>
      <c r="I2814" s="16" t="str">
        <f>IFERROR(VLOOKUP(A2814,Sheet1!$E$3:$G$27,3,0),"")</f>
        <v/>
      </c>
      <c r="J2814" s="20"/>
      <c r="K2814" s="17"/>
      <c r="L2814" s="17"/>
      <c r="M2814" s="13"/>
      <c r="N2814" s="23"/>
      <c r="O2814" s="22"/>
      <c r="P2814" s="22"/>
    </row>
    <row r="2815" ht="22.5" customHeight="1">
      <c r="A2815" s="20"/>
      <c r="B2815" s="20" t="str">
        <f>IFERROR(VLOOKUP(A2815,Sheet1!$E$3:$H$27,4,0),"")</f>
        <v/>
      </c>
      <c r="C2815" s="15"/>
      <c r="D2815" s="20"/>
      <c r="E2815" s="13" t="str">
        <f>IFERROR(VLOOKUP(D2815,Sheet1!$B$1:$C$45,2,0),"")</f>
        <v/>
      </c>
      <c r="F2815" s="20"/>
      <c r="G2815" s="13" t="str">
        <f t="shared" si="9"/>
        <v/>
      </c>
      <c r="H2815" s="15" t="str">
        <f>IFERROR(VLOOKUP(A2815,Sheet1!$E$3:$F$27,2,),"")</f>
        <v/>
      </c>
      <c r="I2815" s="16" t="str">
        <f>IFERROR(VLOOKUP(A2815,Sheet1!$E$3:$G$27,3,0),"")</f>
        <v/>
      </c>
      <c r="J2815" s="20"/>
      <c r="K2815" s="17"/>
      <c r="L2815" s="17"/>
      <c r="M2815" s="13"/>
      <c r="N2815" s="23"/>
      <c r="O2815" s="22"/>
      <c r="P2815" s="22"/>
    </row>
    <row r="2816" ht="22.5" customHeight="1">
      <c r="A2816" s="20"/>
      <c r="B2816" s="20" t="str">
        <f>IFERROR(VLOOKUP(A2816,Sheet1!$E$3:$H$27,4,0),"")</f>
        <v/>
      </c>
      <c r="C2816" s="15"/>
      <c r="D2816" s="20"/>
      <c r="E2816" s="13" t="str">
        <f>IFERROR(VLOOKUP(D2816,Sheet1!$B$1:$C$45,2,0),"")</f>
        <v/>
      </c>
      <c r="F2816" s="20"/>
      <c r="G2816" s="13" t="str">
        <f t="shared" si="9"/>
        <v/>
      </c>
      <c r="H2816" s="15" t="str">
        <f>IFERROR(VLOOKUP(A2816,Sheet1!$E$3:$F$27,2,),"")</f>
        <v/>
      </c>
      <c r="I2816" s="16" t="str">
        <f>IFERROR(VLOOKUP(A2816,Sheet1!$E$3:$G$27,3,0),"")</f>
        <v/>
      </c>
      <c r="J2816" s="20"/>
      <c r="K2816" s="17"/>
      <c r="L2816" s="17"/>
      <c r="M2816" s="13"/>
      <c r="N2816" s="23"/>
      <c r="O2816" s="22"/>
      <c r="P2816" s="22"/>
    </row>
    <row r="2817" ht="22.5" customHeight="1">
      <c r="A2817" s="20"/>
      <c r="B2817" s="20" t="str">
        <f>IFERROR(VLOOKUP(A2817,Sheet1!$E$3:$H$27,4,0),"")</f>
        <v/>
      </c>
      <c r="C2817" s="15"/>
      <c r="D2817" s="20"/>
      <c r="E2817" s="13" t="str">
        <f>IFERROR(VLOOKUP(D2817,Sheet1!$B$1:$C$45,2,0),"")</f>
        <v/>
      </c>
      <c r="F2817" s="20"/>
      <c r="G2817" s="13" t="str">
        <f t="shared" si="9"/>
        <v/>
      </c>
      <c r="H2817" s="15" t="str">
        <f>IFERROR(VLOOKUP(A2817,Sheet1!$E$3:$F$27,2,),"")</f>
        <v/>
      </c>
      <c r="I2817" s="16" t="str">
        <f>IFERROR(VLOOKUP(A2817,Sheet1!$E$3:$G$27,3,0),"")</f>
        <v/>
      </c>
      <c r="J2817" s="20"/>
      <c r="K2817" s="17"/>
      <c r="L2817" s="17"/>
      <c r="M2817" s="13"/>
      <c r="N2817" s="23"/>
      <c r="O2817" s="22"/>
      <c r="P2817" s="22"/>
    </row>
    <row r="2818" ht="22.5" customHeight="1">
      <c r="A2818" s="20"/>
      <c r="B2818" s="20" t="str">
        <f>IFERROR(VLOOKUP(A2818,Sheet1!$E$3:$H$27,4,0),"")</f>
        <v/>
      </c>
      <c r="C2818" s="15"/>
      <c r="D2818" s="20"/>
      <c r="E2818" s="13" t="str">
        <f>IFERROR(VLOOKUP(D2818,Sheet1!$B$1:$C$45,2,0),"")</f>
        <v/>
      </c>
      <c r="F2818" s="20"/>
      <c r="G2818" s="13" t="str">
        <f t="shared" si="9"/>
        <v/>
      </c>
      <c r="H2818" s="15" t="str">
        <f>IFERROR(VLOOKUP(A2818,Sheet1!$E$3:$F$27,2,),"")</f>
        <v/>
      </c>
      <c r="I2818" s="16" t="str">
        <f>IFERROR(VLOOKUP(A2818,Sheet1!$E$3:$G$27,3,0),"")</f>
        <v/>
      </c>
      <c r="J2818" s="20"/>
      <c r="K2818" s="17"/>
      <c r="L2818" s="17"/>
      <c r="M2818" s="13"/>
      <c r="N2818" s="23"/>
      <c r="O2818" s="22"/>
      <c r="P2818" s="22"/>
    </row>
    <row r="2819" ht="22.5" customHeight="1">
      <c r="A2819" s="20"/>
      <c r="B2819" s="20" t="str">
        <f>IFERROR(VLOOKUP(A2819,Sheet1!$E$3:$H$27,4,0),"")</f>
        <v/>
      </c>
      <c r="C2819" s="15"/>
      <c r="D2819" s="20"/>
      <c r="E2819" s="13" t="str">
        <f>IFERROR(VLOOKUP(D2819,Sheet1!$B$1:$C$45,2,0),"")</f>
        <v/>
      </c>
      <c r="F2819" s="20"/>
      <c r="G2819" s="13" t="str">
        <f t="shared" si="9"/>
        <v/>
      </c>
      <c r="H2819" s="15" t="str">
        <f>IFERROR(VLOOKUP(A2819,Sheet1!$E$3:$F$27,2,),"")</f>
        <v/>
      </c>
      <c r="I2819" s="16" t="str">
        <f>IFERROR(VLOOKUP(A2819,Sheet1!$E$3:$G$27,3,0),"")</f>
        <v/>
      </c>
      <c r="J2819" s="20"/>
      <c r="K2819" s="17"/>
      <c r="L2819" s="17"/>
      <c r="M2819" s="13"/>
      <c r="N2819" s="23"/>
      <c r="O2819" s="22"/>
      <c r="P2819" s="22"/>
    </row>
    <row r="2820" ht="22.5" customHeight="1">
      <c r="A2820" s="20"/>
      <c r="B2820" s="20" t="str">
        <f>IFERROR(VLOOKUP(A2820,Sheet1!$E$3:$H$27,4,0),"")</f>
        <v/>
      </c>
      <c r="C2820" s="15"/>
      <c r="D2820" s="20"/>
      <c r="E2820" s="13" t="str">
        <f>IFERROR(VLOOKUP(D2820,Sheet1!$B$1:$C$45,2,0),"")</f>
        <v/>
      </c>
      <c r="F2820" s="20"/>
      <c r="G2820" s="13" t="str">
        <f t="shared" si="9"/>
        <v/>
      </c>
      <c r="H2820" s="15" t="str">
        <f>IFERROR(VLOOKUP(A2820,Sheet1!$E$3:$F$27,2,),"")</f>
        <v/>
      </c>
      <c r="I2820" s="16" t="str">
        <f>IFERROR(VLOOKUP(A2820,Sheet1!$E$3:$G$27,3,0),"")</f>
        <v/>
      </c>
      <c r="J2820" s="20"/>
      <c r="K2820" s="17"/>
      <c r="L2820" s="17"/>
      <c r="M2820" s="13"/>
      <c r="N2820" s="23"/>
      <c r="O2820" s="22"/>
      <c r="P2820" s="22"/>
    </row>
    <row r="2821" ht="22.5" customHeight="1">
      <c r="A2821" s="20"/>
      <c r="B2821" s="20" t="str">
        <f>IFERROR(VLOOKUP(A2821,Sheet1!$E$3:$H$27,4,0),"")</f>
        <v/>
      </c>
      <c r="C2821" s="15"/>
      <c r="D2821" s="20"/>
      <c r="E2821" s="13" t="str">
        <f>IFERROR(VLOOKUP(D2821,Sheet1!$B$1:$C$45,2,0),"")</f>
        <v/>
      </c>
      <c r="F2821" s="20"/>
      <c r="G2821" s="13" t="str">
        <f t="shared" si="9"/>
        <v/>
      </c>
      <c r="H2821" s="15" t="str">
        <f>IFERROR(VLOOKUP(A2821,Sheet1!$E$3:$F$27,2,),"")</f>
        <v/>
      </c>
      <c r="I2821" s="16" t="str">
        <f>IFERROR(VLOOKUP(A2821,Sheet1!$E$3:$G$27,3,0),"")</f>
        <v/>
      </c>
      <c r="J2821" s="20"/>
      <c r="K2821" s="17"/>
      <c r="L2821" s="17"/>
      <c r="M2821" s="13"/>
      <c r="N2821" s="23"/>
      <c r="O2821" s="22"/>
      <c r="P2821" s="22"/>
    </row>
    <row r="2822" ht="22.5" customHeight="1">
      <c r="A2822" s="20"/>
      <c r="B2822" s="20" t="str">
        <f>IFERROR(VLOOKUP(A2822,Sheet1!$E$3:$H$27,4,0),"")</f>
        <v/>
      </c>
      <c r="C2822" s="15"/>
      <c r="D2822" s="20"/>
      <c r="E2822" s="13" t="str">
        <f>IFERROR(VLOOKUP(D2822,Sheet1!$B$1:$C$45,2,0),"")</f>
        <v/>
      </c>
      <c r="F2822" s="20"/>
      <c r="G2822" s="13" t="str">
        <f t="shared" si="9"/>
        <v/>
      </c>
      <c r="H2822" s="15" t="str">
        <f>IFERROR(VLOOKUP(A2822,Sheet1!$E$3:$F$27,2,),"")</f>
        <v/>
      </c>
      <c r="I2822" s="16" t="str">
        <f>IFERROR(VLOOKUP(A2822,Sheet1!$E$3:$G$27,3,0),"")</f>
        <v/>
      </c>
      <c r="J2822" s="20"/>
      <c r="K2822" s="17"/>
      <c r="L2822" s="17"/>
      <c r="M2822" s="13"/>
      <c r="N2822" s="23"/>
      <c r="O2822" s="22"/>
      <c r="P2822" s="22"/>
    </row>
    <row r="2823" ht="22.5" customHeight="1">
      <c r="A2823" s="20"/>
      <c r="B2823" s="20" t="str">
        <f>IFERROR(VLOOKUP(A2823,Sheet1!$E$3:$H$27,4,0),"")</f>
        <v/>
      </c>
      <c r="C2823" s="15"/>
      <c r="D2823" s="20"/>
      <c r="E2823" s="13" t="str">
        <f>IFERROR(VLOOKUP(D2823,Sheet1!$B$1:$C$45,2,0),"")</f>
        <v/>
      </c>
      <c r="F2823" s="20"/>
      <c r="G2823" s="13" t="str">
        <f t="shared" si="9"/>
        <v/>
      </c>
      <c r="H2823" s="15" t="str">
        <f>IFERROR(VLOOKUP(A2823,Sheet1!$E$3:$F$27,2,),"")</f>
        <v/>
      </c>
      <c r="I2823" s="16" t="str">
        <f>IFERROR(VLOOKUP(A2823,Sheet1!$E$3:$G$27,3,0),"")</f>
        <v/>
      </c>
      <c r="J2823" s="20"/>
      <c r="K2823" s="17"/>
      <c r="L2823" s="17"/>
      <c r="M2823" s="13"/>
      <c r="N2823" s="23"/>
      <c r="O2823" s="22"/>
      <c r="P2823" s="22"/>
    </row>
    <row r="2824" ht="22.5" customHeight="1">
      <c r="A2824" s="20"/>
      <c r="B2824" s="20" t="str">
        <f>IFERROR(VLOOKUP(A2824,Sheet1!$E$3:$H$27,4,0),"")</f>
        <v/>
      </c>
      <c r="C2824" s="15"/>
      <c r="D2824" s="20"/>
      <c r="E2824" s="13" t="str">
        <f>IFERROR(VLOOKUP(D2824,Sheet1!$B$1:$C$45,2,0),"")</f>
        <v/>
      </c>
      <c r="F2824" s="20"/>
      <c r="G2824" s="13" t="str">
        <f t="shared" si="9"/>
        <v/>
      </c>
      <c r="H2824" s="15" t="str">
        <f>IFERROR(VLOOKUP(A2824,Sheet1!$E$3:$F$27,2,),"")</f>
        <v/>
      </c>
      <c r="I2824" s="16" t="str">
        <f>IFERROR(VLOOKUP(A2824,Sheet1!$E$3:$G$27,3,0),"")</f>
        <v/>
      </c>
      <c r="J2824" s="20"/>
      <c r="K2824" s="17"/>
      <c r="L2824" s="17"/>
      <c r="M2824" s="13"/>
      <c r="N2824" s="23"/>
      <c r="O2824" s="22"/>
      <c r="P2824" s="22"/>
    </row>
    <row r="2825" ht="22.5" customHeight="1">
      <c r="A2825" s="20"/>
      <c r="B2825" s="20" t="str">
        <f>IFERROR(VLOOKUP(A2825,Sheet1!$E$3:$H$27,4,0),"")</f>
        <v/>
      </c>
      <c r="C2825" s="15"/>
      <c r="D2825" s="20"/>
      <c r="E2825" s="13" t="str">
        <f>IFERROR(VLOOKUP(D2825,Sheet1!$B$1:$C$45,2,0),"")</f>
        <v/>
      </c>
      <c r="F2825" s="20"/>
      <c r="G2825" s="13" t="str">
        <f t="shared" si="9"/>
        <v/>
      </c>
      <c r="H2825" s="15" t="str">
        <f>IFERROR(VLOOKUP(A2825,Sheet1!$E$3:$F$27,2,),"")</f>
        <v/>
      </c>
      <c r="I2825" s="16" t="str">
        <f>IFERROR(VLOOKUP(A2825,Sheet1!$E$3:$G$27,3,0),"")</f>
        <v/>
      </c>
      <c r="J2825" s="20"/>
      <c r="K2825" s="17"/>
      <c r="L2825" s="17"/>
      <c r="M2825" s="13"/>
      <c r="N2825" s="23"/>
      <c r="O2825" s="22"/>
      <c r="P2825" s="22"/>
    </row>
    <row r="2826" ht="22.5" customHeight="1">
      <c r="A2826" s="20"/>
      <c r="B2826" s="20" t="str">
        <f>IFERROR(VLOOKUP(A2826,Sheet1!$E$3:$H$27,4,0),"")</f>
        <v/>
      </c>
      <c r="C2826" s="15"/>
      <c r="D2826" s="20"/>
      <c r="E2826" s="13" t="str">
        <f>IFERROR(VLOOKUP(D2826,Sheet1!$B$1:$C$45,2,0),"")</f>
        <v/>
      </c>
      <c r="F2826" s="20"/>
      <c r="G2826" s="13" t="str">
        <f t="shared" si="9"/>
        <v/>
      </c>
      <c r="H2826" s="15" t="str">
        <f>IFERROR(VLOOKUP(A2826,Sheet1!$E$3:$F$27,2,),"")</f>
        <v/>
      </c>
      <c r="I2826" s="16" t="str">
        <f>IFERROR(VLOOKUP(A2826,Sheet1!$E$3:$G$27,3,0),"")</f>
        <v/>
      </c>
      <c r="J2826" s="20"/>
      <c r="K2826" s="17"/>
      <c r="L2826" s="17"/>
      <c r="M2826" s="13"/>
      <c r="N2826" s="23"/>
      <c r="O2826" s="22"/>
      <c r="P2826" s="22"/>
    </row>
    <row r="2827" ht="22.5" customHeight="1">
      <c r="A2827" s="20"/>
      <c r="B2827" s="20" t="str">
        <f>IFERROR(VLOOKUP(A2827,Sheet1!$E$3:$H$27,4,0),"")</f>
        <v/>
      </c>
      <c r="C2827" s="15"/>
      <c r="D2827" s="20"/>
      <c r="E2827" s="13" t="str">
        <f>IFERROR(VLOOKUP(D2827,Sheet1!$B$1:$C$45,2,0),"")</f>
        <v/>
      </c>
      <c r="F2827" s="20"/>
      <c r="G2827" s="13" t="str">
        <f t="shared" si="9"/>
        <v/>
      </c>
      <c r="H2827" s="15" t="str">
        <f>IFERROR(VLOOKUP(A2827,Sheet1!$E$3:$F$27,2,),"")</f>
        <v/>
      </c>
      <c r="I2827" s="16" t="str">
        <f>IFERROR(VLOOKUP(A2827,Sheet1!$E$3:$G$27,3,0),"")</f>
        <v/>
      </c>
      <c r="J2827" s="20"/>
      <c r="K2827" s="17"/>
      <c r="L2827" s="17"/>
      <c r="M2827" s="13"/>
      <c r="N2827" s="23"/>
      <c r="O2827" s="22"/>
      <c r="P2827" s="22"/>
    </row>
    <row r="2828" ht="22.5" customHeight="1">
      <c r="A2828" s="20"/>
      <c r="B2828" s="20" t="str">
        <f>IFERROR(VLOOKUP(A2828,Sheet1!$E$3:$H$27,4,0),"")</f>
        <v/>
      </c>
      <c r="C2828" s="15"/>
      <c r="D2828" s="20"/>
      <c r="E2828" s="13" t="str">
        <f>IFERROR(VLOOKUP(D2828,Sheet1!$B$1:$C$45,2,0),"")</f>
        <v/>
      </c>
      <c r="F2828" s="20"/>
      <c r="G2828" s="13" t="str">
        <f t="shared" si="9"/>
        <v/>
      </c>
      <c r="H2828" s="15" t="str">
        <f>IFERROR(VLOOKUP(A2828,Sheet1!$E$3:$F$27,2,),"")</f>
        <v/>
      </c>
      <c r="I2828" s="16" t="str">
        <f>IFERROR(VLOOKUP(A2828,Sheet1!$E$3:$G$27,3,0),"")</f>
        <v/>
      </c>
      <c r="J2828" s="20"/>
      <c r="K2828" s="17"/>
      <c r="L2828" s="17"/>
      <c r="M2828" s="13"/>
      <c r="N2828" s="23"/>
      <c r="O2828" s="22"/>
      <c r="P2828" s="22"/>
    </row>
    <row r="2829" ht="22.5" customHeight="1">
      <c r="A2829" s="20"/>
      <c r="B2829" s="20" t="str">
        <f>IFERROR(VLOOKUP(A2829,Sheet1!$E$3:$H$27,4,0),"")</f>
        <v/>
      </c>
      <c r="C2829" s="15"/>
      <c r="D2829" s="20"/>
      <c r="E2829" s="13" t="str">
        <f>IFERROR(VLOOKUP(D2829,Sheet1!$B$1:$C$45,2,0),"")</f>
        <v/>
      </c>
      <c r="F2829" s="20"/>
      <c r="G2829" s="13" t="str">
        <f t="shared" si="9"/>
        <v/>
      </c>
      <c r="H2829" s="15" t="str">
        <f>IFERROR(VLOOKUP(A2829,Sheet1!$E$3:$F$27,2,),"")</f>
        <v/>
      </c>
      <c r="I2829" s="16" t="str">
        <f>IFERROR(VLOOKUP(A2829,Sheet1!$E$3:$G$27,3,0),"")</f>
        <v/>
      </c>
      <c r="J2829" s="20"/>
      <c r="K2829" s="17"/>
      <c r="L2829" s="17"/>
      <c r="M2829" s="13"/>
      <c r="N2829" s="23"/>
      <c r="O2829" s="22"/>
      <c r="P2829" s="22"/>
    </row>
    <row r="2830" ht="22.5" customHeight="1">
      <c r="A2830" s="20"/>
      <c r="B2830" s="20" t="str">
        <f>IFERROR(VLOOKUP(A2830,Sheet1!$E$3:$H$27,4,0),"")</f>
        <v/>
      </c>
      <c r="C2830" s="15"/>
      <c r="D2830" s="20"/>
      <c r="E2830" s="13" t="str">
        <f>IFERROR(VLOOKUP(D2830,Sheet1!$B$1:$C$45,2,0),"")</f>
        <v/>
      </c>
      <c r="F2830" s="20"/>
      <c r="G2830" s="13" t="str">
        <f t="shared" si="9"/>
        <v/>
      </c>
      <c r="H2830" s="15" t="str">
        <f>IFERROR(VLOOKUP(A2830,Sheet1!$E$3:$F$27,2,),"")</f>
        <v/>
      </c>
      <c r="I2830" s="16" t="str">
        <f>IFERROR(VLOOKUP(A2830,Sheet1!$E$3:$G$27,3,0),"")</f>
        <v/>
      </c>
      <c r="J2830" s="20"/>
      <c r="K2830" s="17"/>
      <c r="L2830" s="17"/>
      <c r="M2830" s="13"/>
      <c r="N2830" s="23"/>
      <c r="O2830" s="22"/>
      <c r="P2830" s="22"/>
    </row>
    <row r="2831" ht="22.5" customHeight="1">
      <c r="A2831" s="20"/>
      <c r="B2831" s="20" t="str">
        <f>IFERROR(VLOOKUP(A2831,Sheet1!$E$3:$H$27,4,0),"")</f>
        <v/>
      </c>
      <c r="C2831" s="15"/>
      <c r="D2831" s="20"/>
      <c r="E2831" s="13" t="str">
        <f>IFERROR(VLOOKUP(D2831,Sheet1!$B$1:$C$45,2,0),"")</f>
        <v/>
      </c>
      <c r="F2831" s="20"/>
      <c r="G2831" s="13" t="str">
        <f t="shared" si="9"/>
        <v/>
      </c>
      <c r="H2831" s="15" t="str">
        <f>IFERROR(VLOOKUP(A2831,Sheet1!$E$3:$F$27,2,),"")</f>
        <v/>
      </c>
      <c r="I2831" s="16" t="str">
        <f>IFERROR(VLOOKUP(A2831,Sheet1!$E$3:$G$27,3,0),"")</f>
        <v/>
      </c>
      <c r="J2831" s="20"/>
      <c r="K2831" s="17"/>
      <c r="L2831" s="17"/>
      <c r="M2831" s="13"/>
      <c r="N2831" s="23"/>
      <c r="O2831" s="22"/>
      <c r="P2831" s="22"/>
    </row>
    <row r="2832" ht="22.5" customHeight="1">
      <c r="A2832" s="20"/>
      <c r="B2832" s="20" t="str">
        <f>IFERROR(VLOOKUP(A2832,Sheet1!$E$3:$H$27,4,0),"")</f>
        <v/>
      </c>
      <c r="C2832" s="15"/>
      <c r="D2832" s="20"/>
      <c r="E2832" s="13" t="str">
        <f>IFERROR(VLOOKUP(D2832,Sheet1!$B$1:$C$45,2,0),"")</f>
        <v/>
      </c>
      <c r="F2832" s="20"/>
      <c r="G2832" s="13" t="str">
        <f t="shared" si="9"/>
        <v/>
      </c>
      <c r="H2832" s="15" t="str">
        <f>IFERROR(VLOOKUP(A2832,Sheet1!$E$3:$F$27,2,),"")</f>
        <v/>
      </c>
      <c r="I2832" s="16" t="str">
        <f>IFERROR(VLOOKUP(A2832,Sheet1!$E$3:$G$27,3,0),"")</f>
        <v/>
      </c>
      <c r="J2832" s="20"/>
      <c r="K2832" s="17"/>
      <c r="L2832" s="17"/>
      <c r="M2832" s="13"/>
      <c r="N2832" s="23"/>
      <c r="O2832" s="22"/>
      <c r="P2832" s="22"/>
    </row>
    <row r="2833" ht="22.5" customHeight="1">
      <c r="A2833" s="20"/>
      <c r="B2833" s="20" t="str">
        <f>IFERROR(VLOOKUP(A2833,Sheet1!$E$3:$H$27,4,0),"")</f>
        <v/>
      </c>
      <c r="C2833" s="15"/>
      <c r="D2833" s="20"/>
      <c r="E2833" s="13" t="str">
        <f>IFERROR(VLOOKUP(D2833,Sheet1!$B$1:$C$45,2,0),"")</f>
        <v/>
      </c>
      <c r="F2833" s="20"/>
      <c r="G2833" s="13" t="str">
        <f t="shared" si="9"/>
        <v/>
      </c>
      <c r="H2833" s="15" t="str">
        <f>IFERROR(VLOOKUP(A2833,Sheet1!$E$3:$F$27,2,),"")</f>
        <v/>
      </c>
      <c r="I2833" s="16" t="str">
        <f>IFERROR(VLOOKUP(A2833,Sheet1!$E$3:$G$27,3,0),"")</f>
        <v/>
      </c>
      <c r="J2833" s="20"/>
      <c r="K2833" s="17"/>
      <c r="L2833" s="17"/>
      <c r="M2833" s="13"/>
      <c r="N2833" s="23"/>
      <c r="O2833" s="22"/>
      <c r="P2833" s="22"/>
    </row>
    <row r="2834" ht="22.5" customHeight="1">
      <c r="A2834" s="20"/>
      <c r="B2834" s="20" t="str">
        <f>IFERROR(VLOOKUP(A2834,Sheet1!$E$3:$H$27,4,0),"")</f>
        <v/>
      </c>
      <c r="C2834" s="15"/>
      <c r="D2834" s="20"/>
      <c r="E2834" s="13" t="str">
        <f>IFERROR(VLOOKUP(D2834,Sheet1!$B$1:$C$45,2,0),"")</f>
        <v/>
      </c>
      <c r="F2834" s="20"/>
      <c r="G2834" s="13" t="str">
        <f t="shared" si="9"/>
        <v/>
      </c>
      <c r="H2834" s="15" t="str">
        <f>IFERROR(VLOOKUP(A2834,Sheet1!$E$3:$F$27,2,),"")</f>
        <v/>
      </c>
      <c r="I2834" s="16" t="str">
        <f>IFERROR(VLOOKUP(A2834,Sheet1!$E$3:$G$27,3,0),"")</f>
        <v/>
      </c>
      <c r="J2834" s="20"/>
      <c r="K2834" s="17"/>
      <c r="L2834" s="17"/>
      <c r="M2834" s="13"/>
      <c r="N2834" s="23"/>
      <c r="O2834" s="22"/>
      <c r="P2834" s="22"/>
    </row>
    <row r="2835" ht="22.5" customHeight="1">
      <c r="A2835" s="20"/>
      <c r="B2835" s="20" t="str">
        <f>IFERROR(VLOOKUP(A2835,Sheet1!$E$3:$H$27,4,0),"")</f>
        <v/>
      </c>
      <c r="C2835" s="15"/>
      <c r="D2835" s="20"/>
      <c r="E2835" s="13" t="str">
        <f>IFERROR(VLOOKUP(D2835,Sheet1!$B$1:$C$45,2,0),"")</f>
        <v/>
      </c>
      <c r="F2835" s="20"/>
      <c r="G2835" s="13" t="str">
        <f t="shared" si="9"/>
        <v/>
      </c>
      <c r="H2835" s="15" t="str">
        <f>IFERROR(VLOOKUP(A2835,Sheet1!$E$3:$F$27,2,),"")</f>
        <v/>
      </c>
      <c r="I2835" s="16" t="str">
        <f>IFERROR(VLOOKUP(A2835,Sheet1!$E$3:$G$27,3,0),"")</f>
        <v/>
      </c>
      <c r="J2835" s="20"/>
      <c r="K2835" s="17"/>
      <c r="L2835" s="17"/>
      <c r="M2835" s="13"/>
      <c r="N2835" s="23"/>
      <c r="O2835" s="22"/>
      <c r="P2835" s="22"/>
    </row>
    <row r="2836" ht="22.5" customHeight="1">
      <c r="A2836" s="20"/>
      <c r="B2836" s="20" t="str">
        <f>IFERROR(VLOOKUP(A2836,Sheet1!$E$3:$H$27,4,0),"")</f>
        <v/>
      </c>
      <c r="C2836" s="15"/>
      <c r="D2836" s="20"/>
      <c r="E2836" s="13" t="str">
        <f>IFERROR(VLOOKUP(D2836,Sheet1!$B$1:$C$45,2,0),"")</f>
        <v/>
      </c>
      <c r="F2836" s="20"/>
      <c r="G2836" s="13" t="str">
        <f t="shared" si="9"/>
        <v/>
      </c>
      <c r="H2836" s="15" t="str">
        <f>IFERROR(VLOOKUP(A2836,Sheet1!$E$3:$F$27,2,),"")</f>
        <v/>
      </c>
      <c r="I2836" s="16" t="str">
        <f>IFERROR(VLOOKUP(A2836,Sheet1!$E$3:$G$27,3,0),"")</f>
        <v/>
      </c>
      <c r="J2836" s="20"/>
      <c r="K2836" s="17"/>
      <c r="L2836" s="17"/>
      <c r="M2836" s="13"/>
      <c r="N2836" s="23"/>
      <c r="O2836" s="22"/>
      <c r="P2836" s="22"/>
    </row>
    <row r="2837" ht="22.5" customHeight="1">
      <c r="A2837" s="20"/>
      <c r="B2837" s="20" t="str">
        <f>IFERROR(VLOOKUP(A2837,Sheet1!$E$3:$H$27,4,0),"")</f>
        <v/>
      </c>
      <c r="C2837" s="15"/>
      <c r="D2837" s="20"/>
      <c r="E2837" s="13" t="str">
        <f>IFERROR(VLOOKUP(D2837,Sheet1!$B$1:$C$45,2,0),"")</f>
        <v/>
      </c>
      <c r="F2837" s="20"/>
      <c r="G2837" s="13" t="str">
        <f t="shared" si="9"/>
        <v/>
      </c>
      <c r="H2837" s="15" t="str">
        <f>IFERROR(VLOOKUP(A2837,Sheet1!$E$3:$F$27,2,),"")</f>
        <v/>
      </c>
      <c r="I2837" s="16" t="str">
        <f>IFERROR(VLOOKUP(A2837,Sheet1!$E$3:$G$27,3,0),"")</f>
        <v/>
      </c>
      <c r="J2837" s="20"/>
      <c r="K2837" s="17"/>
      <c r="L2837" s="17"/>
      <c r="M2837" s="13"/>
      <c r="N2837" s="23"/>
      <c r="O2837" s="22"/>
      <c r="P2837" s="22"/>
    </row>
    <row r="2838" ht="22.5" customHeight="1">
      <c r="A2838" s="20"/>
      <c r="B2838" s="20" t="str">
        <f>IFERROR(VLOOKUP(A2838,Sheet1!$E$3:$H$27,4,0),"")</f>
        <v/>
      </c>
      <c r="C2838" s="15"/>
      <c r="D2838" s="20"/>
      <c r="E2838" s="13" t="str">
        <f>IFERROR(VLOOKUP(D2838,Sheet1!$B$1:$C$45,2,0),"")</f>
        <v/>
      </c>
      <c r="F2838" s="20"/>
      <c r="G2838" s="13" t="str">
        <f t="shared" si="9"/>
        <v/>
      </c>
      <c r="H2838" s="15" t="str">
        <f>IFERROR(VLOOKUP(A2838,Sheet1!$E$3:$F$27,2,),"")</f>
        <v/>
      </c>
      <c r="I2838" s="16" t="str">
        <f>IFERROR(VLOOKUP(A2838,Sheet1!$E$3:$G$27,3,0),"")</f>
        <v/>
      </c>
      <c r="J2838" s="20"/>
      <c r="K2838" s="17"/>
      <c r="L2838" s="17"/>
      <c r="M2838" s="13"/>
      <c r="N2838" s="23"/>
      <c r="O2838" s="22"/>
      <c r="P2838" s="22"/>
    </row>
    <row r="2839" ht="22.5" customHeight="1">
      <c r="A2839" s="20"/>
      <c r="B2839" s="20" t="str">
        <f>IFERROR(VLOOKUP(A2839,Sheet1!$E$3:$H$27,4,0),"")</f>
        <v/>
      </c>
      <c r="C2839" s="15"/>
      <c r="D2839" s="20"/>
      <c r="E2839" s="13" t="str">
        <f>IFERROR(VLOOKUP(D2839,Sheet1!$B$1:$C$45,2,0),"")</f>
        <v/>
      </c>
      <c r="F2839" s="20"/>
      <c r="G2839" s="13" t="str">
        <f t="shared" si="9"/>
        <v/>
      </c>
      <c r="H2839" s="15" t="str">
        <f>IFERROR(VLOOKUP(A2839,Sheet1!$E$3:$F$27,2,),"")</f>
        <v/>
      </c>
      <c r="I2839" s="16" t="str">
        <f>IFERROR(VLOOKUP(A2839,Sheet1!$E$3:$G$27,3,0),"")</f>
        <v/>
      </c>
      <c r="J2839" s="20"/>
      <c r="K2839" s="17"/>
      <c r="L2839" s="17"/>
      <c r="M2839" s="13"/>
      <c r="N2839" s="23"/>
      <c r="O2839" s="22"/>
      <c r="P2839" s="22"/>
    </row>
    <row r="2840" ht="22.5" customHeight="1">
      <c r="A2840" s="20"/>
      <c r="B2840" s="20" t="str">
        <f>IFERROR(VLOOKUP(A2840,Sheet1!$E$3:$H$27,4,0),"")</f>
        <v/>
      </c>
      <c r="C2840" s="15"/>
      <c r="D2840" s="20"/>
      <c r="E2840" s="13" t="str">
        <f>IFERROR(VLOOKUP(D2840,Sheet1!$B$1:$C$45,2,0),"")</f>
        <v/>
      </c>
      <c r="F2840" s="20"/>
      <c r="G2840" s="13" t="str">
        <f t="shared" si="9"/>
        <v/>
      </c>
      <c r="H2840" s="15" t="str">
        <f>IFERROR(VLOOKUP(A2840,Sheet1!$E$3:$F$27,2,),"")</f>
        <v/>
      </c>
      <c r="I2840" s="16" t="str">
        <f>IFERROR(VLOOKUP(A2840,Sheet1!$E$3:$G$27,3,0),"")</f>
        <v/>
      </c>
      <c r="J2840" s="20"/>
      <c r="K2840" s="17"/>
      <c r="L2840" s="17"/>
      <c r="M2840" s="13"/>
      <c r="N2840" s="23"/>
      <c r="O2840" s="22"/>
      <c r="P2840" s="22"/>
    </row>
    <row r="2841" ht="22.5" customHeight="1">
      <c r="A2841" s="20"/>
      <c r="B2841" s="20" t="str">
        <f>IFERROR(VLOOKUP(A2841,Sheet1!$E$3:$H$27,4,0),"")</f>
        <v/>
      </c>
      <c r="C2841" s="15"/>
      <c r="D2841" s="20"/>
      <c r="E2841" s="13" t="str">
        <f>IFERROR(VLOOKUP(D2841,Sheet1!$B$1:$C$45,2,0),"")</f>
        <v/>
      </c>
      <c r="F2841" s="20"/>
      <c r="G2841" s="13" t="str">
        <f t="shared" si="9"/>
        <v/>
      </c>
      <c r="H2841" s="15" t="str">
        <f>IFERROR(VLOOKUP(A2841,Sheet1!$E$3:$F$27,2,),"")</f>
        <v/>
      </c>
      <c r="I2841" s="16" t="str">
        <f>IFERROR(VLOOKUP(A2841,Sheet1!$E$3:$G$27,3,0),"")</f>
        <v/>
      </c>
      <c r="J2841" s="20"/>
      <c r="K2841" s="17"/>
      <c r="L2841" s="17"/>
      <c r="M2841" s="13"/>
      <c r="N2841" s="23"/>
      <c r="O2841" s="22"/>
      <c r="P2841" s="22"/>
    </row>
    <row r="2842" ht="22.5" customHeight="1">
      <c r="A2842" s="20"/>
      <c r="B2842" s="20" t="str">
        <f>IFERROR(VLOOKUP(A2842,Sheet1!$E$3:$H$27,4,0),"")</f>
        <v/>
      </c>
      <c r="C2842" s="15"/>
      <c r="D2842" s="20"/>
      <c r="E2842" s="13" t="str">
        <f>IFERROR(VLOOKUP(D2842,Sheet1!$B$1:$C$45,2,0),"")</f>
        <v/>
      </c>
      <c r="F2842" s="20"/>
      <c r="G2842" s="13" t="str">
        <f t="shared" si="9"/>
        <v/>
      </c>
      <c r="H2842" s="15" t="str">
        <f>IFERROR(VLOOKUP(A2842,Sheet1!$E$3:$F$27,2,),"")</f>
        <v/>
      </c>
      <c r="I2842" s="16" t="str">
        <f>IFERROR(VLOOKUP(A2842,Sheet1!$E$3:$G$27,3,0),"")</f>
        <v/>
      </c>
      <c r="J2842" s="20"/>
      <c r="K2842" s="17"/>
      <c r="L2842" s="17"/>
      <c r="M2842" s="13"/>
      <c r="N2842" s="23"/>
      <c r="O2842" s="22"/>
      <c r="P2842" s="22"/>
    </row>
    <row r="2843" ht="22.5" customHeight="1">
      <c r="A2843" s="20"/>
      <c r="B2843" s="20" t="str">
        <f>IFERROR(VLOOKUP(A2843,Sheet1!$E$3:$H$27,4,0),"")</f>
        <v/>
      </c>
      <c r="C2843" s="15"/>
      <c r="D2843" s="20"/>
      <c r="E2843" s="13" t="str">
        <f>IFERROR(VLOOKUP(D2843,Sheet1!$B$1:$C$45,2,0),"")</f>
        <v/>
      </c>
      <c r="F2843" s="20"/>
      <c r="G2843" s="13" t="str">
        <f t="shared" si="9"/>
        <v/>
      </c>
      <c r="H2843" s="15" t="str">
        <f>IFERROR(VLOOKUP(A2843,Sheet1!$E$3:$F$27,2,),"")</f>
        <v/>
      </c>
      <c r="I2843" s="16" t="str">
        <f>IFERROR(VLOOKUP(A2843,Sheet1!$E$3:$G$27,3,0),"")</f>
        <v/>
      </c>
      <c r="J2843" s="20"/>
      <c r="K2843" s="17"/>
      <c r="L2843" s="17"/>
      <c r="M2843" s="13"/>
      <c r="N2843" s="23"/>
      <c r="O2843" s="22"/>
      <c r="P2843" s="22"/>
    </row>
    <row r="2844" ht="22.5" customHeight="1">
      <c r="A2844" s="20"/>
      <c r="B2844" s="20" t="str">
        <f>IFERROR(VLOOKUP(A2844,Sheet1!$E$3:$H$27,4,0),"")</f>
        <v/>
      </c>
      <c r="C2844" s="15"/>
      <c r="D2844" s="20"/>
      <c r="E2844" s="13" t="str">
        <f>IFERROR(VLOOKUP(D2844,Sheet1!$B$1:$C$45,2,0),"")</f>
        <v/>
      </c>
      <c r="F2844" s="20"/>
      <c r="G2844" s="13" t="str">
        <f t="shared" si="9"/>
        <v/>
      </c>
      <c r="H2844" s="15" t="str">
        <f>IFERROR(VLOOKUP(A2844,Sheet1!$E$3:$F$27,2,),"")</f>
        <v/>
      </c>
      <c r="I2844" s="16" t="str">
        <f>IFERROR(VLOOKUP(A2844,Sheet1!$E$3:$G$27,3,0),"")</f>
        <v/>
      </c>
      <c r="J2844" s="20"/>
      <c r="K2844" s="17"/>
      <c r="L2844" s="17"/>
      <c r="M2844" s="13"/>
      <c r="N2844" s="23"/>
      <c r="O2844" s="22"/>
      <c r="P2844" s="22"/>
    </row>
    <row r="2845" ht="22.5" customHeight="1">
      <c r="A2845" s="20"/>
      <c r="B2845" s="20" t="str">
        <f>IFERROR(VLOOKUP(A2845,Sheet1!$E$3:$H$27,4,0),"")</f>
        <v/>
      </c>
      <c r="C2845" s="15"/>
      <c r="D2845" s="20"/>
      <c r="E2845" s="13" t="str">
        <f>IFERROR(VLOOKUP(D2845,Sheet1!$B$1:$C$45,2,0),"")</f>
        <v/>
      </c>
      <c r="F2845" s="20"/>
      <c r="G2845" s="13" t="str">
        <f t="shared" si="9"/>
        <v/>
      </c>
      <c r="H2845" s="15" t="str">
        <f>IFERROR(VLOOKUP(A2845,Sheet1!$E$3:$F$27,2,),"")</f>
        <v/>
      </c>
      <c r="I2845" s="16" t="str">
        <f>IFERROR(VLOOKUP(A2845,Sheet1!$E$3:$G$27,3,0),"")</f>
        <v/>
      </c>
      <c r="J2845" s="20"/>
      <c r="K2845" s="17"/>
      <c r="L2845" s="17"/>
      <c r="M2845" s="13"/>
      <c r="N2845" s="23"/>
      <c r="O2845" s="22"/>
      <c r="P2845" s="22"/>
    </row>
    <row r="2846" ht="22.5" customHeight="1">
      <c r="A2846" s="20"/>
      <c r="B2846" s="20" t="str">
        <f>IFERROR(VLOOKUP(A2846,Sheet1!$E$3:$H$27,4,0),"")</f>
        <v/>
      </c>
      <c r="C2846" s="15"/>
      <c r="D2846" s="20"/>
      <c r="E2846" s="13" t="str">
        <f>IFERROR(VLOOKUP(D2846,Sheet1!$B$1:$C$45,2,0),"")</f>
        <v/>
      </c>
      <c r="F2846" s="20"/>
      <c r="G2846" s="13" t="str">
        <f t="shared" si="9"/>
        <v/>
      </c>
      <c r="H2846" s="15" t="str">
        <f>IFERROR(VLOOKUP(A2846,Sheet1!$E$3:$F$27,2,),"")</f>
        <v/>
      </c>
      <c r="I2846" s="16" t="str">
        <f>IFERROR(VLOOKUP(A2846,Sheet1!$E$3:$G$27,3,0),"")</f>
        <v/>
      </c>
      <c r="J2846" s="20"/>
      <c r="K2846" s="17"/>
      <c r="L2846" s="17"/>
      <c r="M2846" s="13"/>
      <c r="N2846" s="23"/>
      <c r="O2846" s="22"/>
      <c r="P2846" s="22"/>
    </row>
    <row r="2847" ht="22.5" customHeight="1">
      <c r="A2847" s="20"/>
      <c r="B2847" s="20" t="str">
        <f>IFERROR(VLOOKUP(A2847,Sheet1!$E$3:$H$27,4,0),"")</f>
        <v/>
      </c>
      <c r="C2847" s="15"/>
      <c r="D2847" s="20"/>
      <c r="E2847" s="13" t="str">
        <f>IFERROR(VLOOKUP(D2847,Sheet1!$B$1:$C$45,2,0),"")</f>
        <v/>
      </c>
      <c r="F2847" s="20"/>
      <c r="G2847" s="13" t="str">
        <f t="shared" si="9"/>
        <v/>
      </c>
      <c r="H2847" s="15" t="str">
        <f>IFERROR(VLOOKUP(A2847,Sheet1!$E$3:$F$27,2,),"")</f>
        <v/>
      </c>
      <c r="I2847" s="16" t="str">
        <f>IFERROR(VLOOKUP(A2847,Sheet1!$E$3:$G$27,3,0),"")</f>
        <v/>
      </c>
      <c r="J2847" s="20"/>
      <c r="K2847" s="17"/>
      <c r="L2847" s="17"/>
      <c r="M2847" s="13"/>
      <c r="N2847" s="23"/>
      <c r="O2847" s="22"/>
      <c r="P2847" s="22"/>
    </row>
    <row r="2848" ht="22.5" customHeight="1">
      <c r="A2848" s="20"/>
      <c r="B2848" s="20" t="str">
        <f>IFERROR(VLOOKUP(A2848,Sheet1!$E$3:$H$27,4,0),"")</f>
        <v/>
      </c>
      <c r="C2848" s="15"/>
      <c r="D2848" s="20"/>
      <c r="E2848" s="13" t="str">
        <f>IFERROR(VLOOKUP(D2848,Sheet1!$B$1:$C$45,2,0),"")</f>
        <v/>
      </c>
      <c r="F2848" s="20"/>
      <c r="G2848" s="13" t="str">
        <f t="shared" si="9"/>
        <v/>
      </c>
      <c r="H2848" s="15" t="str">
        <f>IFERROR(VLOOKUP(A2848,Sheet1!$E$3:$F$27,2,),"")</f>
        <v/>
      </c>
      <c r="I2848" s="16" t="str">
        <f>IFERROR(VLOOKUP(A2848,Sheet1!$E$3:$G$27,3,0),"")</f>
        <v/>
      </c>
      <c r="J2848" s="20"/>
      <c r="K2848" s="17"/>
      <c r="L2848" s="17"/>
      <c r="M2848" s="13"/>
      <c r="N2848" s="23"/>
      <c r="O2848" s="22"/>
      <c r="P2848" s="22"/>
    </row>
    <row r="2849" ht="22.5" customHeight="1">
      <c r="A2849" s="20"/>
      <c r="B2849" s="20" t="str">
        <f>IFERROR(VLOOKUP(A2849,Sheet1!$E$3:$H$27,4,0),"")</f>
        <v/>
      </c>
      <c r="C2849" s="15"/>
      <c r="D2849" s="20"/>
      <c r="E2849" s="13" t="str">
        <f>IFERROR(VLOOKUP(D2849,Sheet1!$B$1:$C$45,2,0),"")</f>
        <v/>
      </c>
      <c r="F2849" s="20"/>
      <c r="G2849" s="13" t="str">
        <f t="shared" si="9"/>
        <v/>
      </c>
      <c r="H2849" s="15" t="str">
        <f>IFERROR(VLOOKUP(A2849,Sheet1!$E$3:$F$27,2,),"")</f>
        <v/>
      </c>
      <c r="I2849" s="16" t="str">
        <f>IFERROR(VLOOKUP(A2849,Sheet1!$E$3:$G$27,3,0),"")</f>
        <v/>
      </c>
      <c r="J2849" s="20"/>
      <c r="K2849" s="17"/>
      <c r="L2849" s="17"/>
      <c r="M2849" s="13"/>
      <c r="N2849" s="23"/>
      <c r="O2849" s="22"/>
      <c r="P2849" s="22"/>
    </row>
    <row r="2850" ht="22.5" customHeight="1">
      <c r="A2850" s="20"/>
      <c r="B2850" s="20" t="str">
        <f>IFERROR(VLOOKUP(A2850,Sheet1!$E$3:$H$27,4,0),"")</f>
        <v/>
      </c>
      <c r="C2850" s="15"/>
      <c r="D2850" s="20"/>
      <c r="E2850" s="13" t="str">
        <f>IFERROR(VLOOKUP(D2850,Sheet1!$B$1:$C$45,2,0),"")</f>
        <v/>
      </c>
      <c r="F2850" s="20"/>
      <c r="G2850" s="13" t="str">
        <f t="shared" si="9"/>
        <v/>
      </c>
      <c r="H2850" s="15" t="str">
        <f>IFERROR(VLOOKUP(A2850,Sheet1!$E$3:$F$27,2,),"")</f>
        <v/>
      </c>
      <c r="I2850" s="16" t="str">
        <f>IFERROR(VLOOKUP(A2850,Sheet1!$E$3:$G$27,3,0),"")</f>
        <v/>
      </c>
      <c r="J2850" s="20"/>
      <c r="K2850" s="17"/>
      <c r="L2850" s="17"/>
      <c r="M2850" s="13"/>
      <c r="N2850" s="23"/>
      <c r="O2850" s="22"/>
      <c r="P2850" s="22"/>
    </row>
    <row r="2851" ht="22.5" customHeight="1">
      <c r="A2851" s="20"/>
      <c r="B2851" s="20" t="str">
        <f>IFERROR(VLOOKUP(A2851,Sheet1!$E$3:$H$27,4,0),"")</f>
        <v/>
      </c>
      <c r="C2851" s="15"/>
      <c r="D2851" s="20"/>
      <c r="E2851" s="13" t="str">
        <f>IFERROR(VLOOKUP(D2851,Sheet1!$B$1:$C$45,2,0),"")</f>
        <v/>
      </c>
      <c r="F2851" s="20"/>
      <c r="G2851" s="13" t="str">
        <f t="shared" si="9"/>
        <v/>
      </c>
      <c r="H2851" s="15" t="str">
        <f>IFERROR(VLOOKUP(A2851,Sheet1!$E$3:$F$27,2,),"")</f>
        <v/>
      </c>
      <c r="I2851" s="16" t="str">
        <f>IFERROR(VLOOKUP(A2851,Sheet1!$E$3:$G$27,3,0),"")</f>
        <v/>
      </c>
      <c r="J2851" s="20"/>
      <c r="K2851" s="17"/>
      <c r="L2851" s="17"/>
      <c r="M2851" s="13"/>
      <c r="N2851" s="23"/>
      <c r="O2851" s="22"/>
      <c r="P2851" s="22"/>
    </row>
    <row r="2852" ht="22.5" customHeight="1">
      <c r="A2852" s="20"/>
      <c r="B2852" s="20" t="str">
        <f>IFERROR(VLOOKUP(A2852,Sheet1!$E$3:$H$27,4,0),"")</f>
        <v/>
      </c>
      <c r="C2852" s="15"/>
      <c r="D2852" s="20"/>
      <c r="E2852" s="13" t="str">
        <f>IFERROR(VLOOKUP(D2852,Sheet1!$B$1:$C$45,2,0),"")</f>
        <v/>
      </c>
      <c r="F2852" s="20"/>
      <c r="G2852" s="13" t="str">
        <f t="shared" si="9"/>
        <v/>
      </c>
      <c r="H2852" s="15" t="str">
        <f>IFERROR(VLOOKUP(A2852,Sheet1!$E$3:$F$27,2,),"")</f>
        <v/>
      </c>
      <c r="I2852" s="16" t="str">
        <f>IFERROR(VLOOKUP(A2852,Sheet1!$E$3:$G$27,3,0),"")</f>
        <v/>
      </c>
      <c r="J2852" s="20"/>
      <c r="K2852" s="17"/>
      <c r="L2852" s="17"/>
      <c r="M2852" s="13"/>
      <c r="N2852" s="23"/>
      <c r="O2852" s="22"/>
      <c r="P2852" s="22"/>
    </row>
    <row r="2853" ht="22.5" customHeight="1">
      <c r="A2853" s="20"/>
      <c r="B2853" s="20" t="str">
        <f>IFERROR(VLOOKUP(A2853,Sheet1!$E$3:$H$27,4,0),"")</f>
        <v/>
      </c>
      <c r="C2853" s="15"/>
      <c r="D2853" s="20"/>
      <c r="E2853" s="13" t="str">
        <f>IFERROR(VLOOKUP(D2853,Sheet1!$B$1:$C$45,2,0),"")</f>
        <v/>
      </c>
      <c r="F2853" s="20"/>
      <c r="G2853" s="13" t="str">
        <f t="shared" si="9"/>
        <v/>
      </c>
      <c r="H2853" s="15" t="str">
        <f>IFERROR(VLOOKUP(A2853,Sheet1!$E$3:$F$27,2,),"")</f>
        <v/>
      </c>
      <c r="I2853" s="16" t="str">
        <f>IFERROR(VLOOKUP(A2853,Sheet1!$E$3:$G$27,3,0),"")</f>
        <v/>
      </c>
      <c r="J2853" s="20"/>
      <c r="K2853" s="17"/>
      <c r="L2853" s="17"/>
      <c r="M2853" s="13"/>
      <c r="N2853" s="23"/>
      <c r="O2853" s="22"/>
      <c r="P2853" s="22"/>
    </row>
    <row r="2854" ht="22.5" customHeight="1">
      <c r="A2854" s="20"/>
      <c r="B2854" s="20" t="str">
        <f>IFERROR(VLOOKUP(A2854,Sheet1!$E$3:$H$27,4,0),"")</f>
        <v/>
      </c>
      <c r="C2854" s="15"/>
      <c r="D2854" s="20"/>
      <c r="E2854" s="13" t="str">
        <f>IFERROR(VLOOKUP(D2854,Sheet1!$B$1:$C$45,2,0),"")</f>
        <v/>
      </c>
      <c r="F2854" s="20"/>
      <c r="G2854" s="13" t="str">
        <f t="shared" si="9"/>
        <v/>
      </c>
      <c r="H2854" s="15" t="str">
        <f>IFERROR(VLOOKUP(A2854,Sheet1!$E$3:$F$27,2,),"")</f>
        <v/>
      </c>
      <c r="I2854" s="16" t="str">
        <f>IFERROR(VLOOKUP(A2854,Sheet1!$E$3:$G$27,3,0),"")</f>
        <v/>
      </c>
      <c r="J2854" s="20"/>
      <c r="K2854" s="17"/>
      <c r="L2854" s="17"/>
      <c r="M2854" s="13"/>
      <c r="N2854" s="23"/>
      <c r="O2854" s="22"/>
      <c r="P2854" s="22"/>
    </row>
    <row r="2855" ht="22.5" customHeight="1">
      <c r="A2855" s="20"/>
      <c r="B2855" s="20" t="str">
        <f>IFERROR(VLOOKUP(A2855,Sheet1!$E$3:$H$27,4,0),"")</f>
        <v/>
      </c>
      <c r="C2855" s="15"/>
      <c r="D2855" s="20"/>
      <c r="E2855" s="13" t="str">
        <f>IFERROR(VLOOKUP(D2855,Sheet1!$B$1:$C$45,2,0),"")</f>
        <v/>
      </c>
      <c r="F2855" s="20"/>
      <c r="G2855" s="13" t="str">
        <f t="shared" si="9"/>
        <v/>
      </c>
      <c r="H2855" s="15" t="str">
        <f>IFERROR(VLOOKUP(A2855,Sheet1!$E$3:$F$27,2,),"")</f>
        <v/>
      </c>
      <c r="I2855" s="16" t="str">
        <f>IFERROR(VLOOKUP(A2855,Sheet1!$E$3:$G$27,3,0),"")</f>
        <v/>
      </c>
      <c r="J2855" s="20"/>
      <c r="K2855" s="17"/>
      <c r="L2855" s="17"/>
      <c r="M2855" s="13"/>
      <c r="N2855" s="23"/>
      <c r="O2855" s="22"/>
      <c r="P2855" s="22"/>
    </row>
    <row r="2856" ht="22.5" customHeight="1">
      <c r="A2856" s="20"/>
      <c r="B2856" s="20" t="str">
        <f>IFERROR(VLOOKUP(A2856,Sheet1!$E$3:$H$27,4,0),"")</f>
        <v/>
      </c>
      <c r="C2856" s="15"/>
      <c r="D2856" s="20"/>
      <c r="E2856" s="13" t="str">
        <f>IFERROR(VLOOKUP(D2856,Sheet1!$B$1:$C$45,2,0),"")</f>
        <v/>
      </c>
      <c r="F2856" s="20"/>
      <c r="G2856" s="13" t="str">
        <f t="shared" si="9"/>
        <v/>
      </c>
      <c r="H2856" s="15" t="str">
        <f>IFERROR(VLOOKUP(A2856,Sheet1!$E$3:$F$27,2,),"")</f>
        <v/>
      </c>
      <c r="I2856" s="16" t="str">
        <f>IFERROR(VLOOKUP(A2856,Sheet1!$E$3:$G$27,3,0),"")</f>
        <v/>
      </c>
      <c r="J2856" s="20"/>
      <c r="K2856" s="17"/>
      <c r="L2856" s="17"/>
      <c r="M2856" s="13"/>
      <c r="N2856" s="23"/>
      <c r="O2856" s="22"/>
      <c r="P2856" s="22"/>
    </row>
    <row r="2857" ht="22.5" customHeight="1">
      <c r="A2857" s="20"/>
      <c r="B2857" s="20" t="str">
        <f>IFERROR(VLOOKUP(A2857,Sheet1!$E$3:$H$27,4,0),"")</f>
        <v/>
      </c>
      <c r="C2857" s="15"/>
      <c r="D2857" s="20"/>
      <c r="E2857" s="13" t="str">
        <f>IFERROR(VLOOKUP(D2857,Sheet1!$B$1:$C$45,2,0),"")</f>
        <v/>
      </c>
      <c r="F2857" s="20"/>
      <c r="G2857" s="13" t="str">
        <f t="shared" si="9"/>
        <v/>
      </c>
      <c r="H2857" s="15" t="str">
        <f>IFERROR(VLOOKUP(A2857,Sheet1!$E$3:$F$27,2,),"")</f>
        <v/>
      </c>
      <c r="I2857" s="16" t="str">
        <f>IFERROR(VLOOKUP(A2857,Sheet1!$E$3:$G$27,3,0),"")</f>
        <v/>
      </c>
      <c r="J2857" s="20"/>
      <c r="K2857" s="17"/>
      <c r="L2857" s="17"/>
      <c r="M2857" s="13"/>
      <c r="N2857" s="23"/>
      <c r="O2857" s="22"/>
      <c r="P2857" s="22"/>
    </row>
    <row r="2858" ht="22.5" customHeight="1">
      <c r="A2858" s="20"/>
      <c r="B2858" s="20" t="str">
        <f>IFERROR(VLOOKUP(A2858,Sheet1!$E$3:$H$27,4,0),"")</f>
        <v/>
      </c>
      <c r="C2858" s="15"/>
      <c r="D2858" s="20"/>
      <c r="E2858" s="13" t="str">
        <f>IFERROR(VLOOKUP(D2858,Sheet1!$B$1:$C$45,2,0),"")</f>
        <v/>
      </c>
      <c r="F2858" s="20"/>
      <c r="G2858" s="13" t="str">
        <f t="shared" si="9"/>
        <v/>
      </c>
      <c r="H2858" s="15" t="str">
        <f>IFERROR(VLOOKUP(A2858,Sheet1!$E$3:$F$27,2,),"")</f>
        <v/>
      </c>
      <c r="I2858" s="16" t="str">
        <f>IFERROR(VLOOKUP(A2858,Sheet1!$E$3:$G$27,3,0),"")</f>
        <v/>
      </c>
      <c r="J2858" s="20"/>
      <c r="K2858" s="17"/>
      <c r="L2858" s="17"/>
      <c r="M2858" s="13"/>
      <c r="N2858" s="23"/>
      <c r="O2858" s="22"/>
      <c r="P2858" s="22"/>
    </row>
    <row r="2859" ht="22.5" customHeight="1">
      <c r="A2859" s="20"/>
      <c r="B2859" s="20" t="str">
        <f>IFERROR(VLOOKUP(A2859,Sheet1!$E$3:$H$27,4,0),"")</f>
        <v/>
      </c>
      <c r="C2859" s="15"/>
      <c r="D2859" s="20"/>
      <c r="E2859" s="13" t="str">
        <f>IFERROR(VLOOKUP(D2859,Sheet1!$B$1:$C$45,2,0),"")</f>
        <v/>
      </c>
      <c r="F2859" s="20"/>
      <c r="G2859" s="13" t="str">
        <f t="shared" si="9"/>
        <v/>
      </c>
      <c r="H2859" s="15" t="str">
        <f>IFERROR(VLOOKUP(A2859,Sheet1!$E$3:$F$27,2,),"")</f>
        <v/>
      </c>
      <c r="I2859" s="16" t="str">
        <f>IFERROR(VLOOKUP(A2859,Sheet1!$E$3:$G$27,3,0),"")</f>
        <v/>
      </c>
      <c r="J2859" s="20"/>
      <c r="K2859" s="17"/>
      <c r="L2859" s="17"/>
      <c r="M2859" s="13"/>
      <c r="N2859" s="23"/>
      <c r="O2859" s="22"/>
      <c r="P2859" s="22"/>
    </row>
    <row r="2860" ht="22.5" customHeight="1">
      <c r="A2860" s="20"/>
      <c r="B2860" s="20" t="str">
        <f>IFERROR(VLOOKUP(A2860,Sheet1!$E$3:$H$27,4,0),"")</f>
        <v/>
      </c>
      <c r="C2860" s="15"/>
      <c r="D2860" s="20"/>
      <c r="E2860" s="13" t="str">
        <f>IFERROR(VLOOKUP(D2860,Sheet1!$B$1:$C$45,2,0),"")</f>
        <v/>
      </c>
      <c r="F2860" s="20"/>
      <c r="G2860" s="13" t="str">
        <f t="shared" si="9"/>
        <v/>
      </c>
      <c r="H2860" s="15" t="str">
        <f>IFERROR(VLOOKUP(A2860,Sheet1!$E$3:$F$27,2,),"")</f>
        <v/>
      </c>
      <c r="I2860" s="16" t="str">
        <f>IFERROR(VLOOKUP(A2860,Sheet1!$E$3:$G$27,3,0),"")</f>
        <v/>
      </c>
      <c r="J2860" s="20"/>
      <c r="K2860" s="17"/>
      <c r="L2860" s="17"/>
      <c r="M2860" s="13"/>
      <c r="N2860" s="23"/>
      <c r="O2860" s="22"/>
      <c r="P2860" s="22"/>
    </row>
    <row r="2861" ht="22.5" customHeight="1">
      <c r="A2861" s="20"/>
      <c r="B2861" s="20" t="str">
        <f>IFERROR(VLOOKUP(A2861,Sheet1!$E$3:$H$27,4,0),"")</f>
        <v/>
      </c>
      <c r="C2861" s="15"/>
      <c r="D2861" s="20"/>
      <c r="E2861" s="13" t="str">
        <f>IFERROR(VLOOKUP(D2861,Sheet1!$B$1:$C$45,2,0),"")</f>
        <v/>
      </c>
      <c r="F2861" s="20"/>
      <c r="G2861" s="13" t="str">
        <f t="shared" si="9"/>
        <v/>
      </c>
      <c r="H2861" s="15" t="str">
        <f>IFERROR(VLOOKUP(A2861,Sheet1!$E$3:$F$27,2,),"")</f>
        <v/>
      </c>
      <c r="I2861" s="16" t="str">
        <f>IFERROR(VLOOKUP(A2861,Sheet1!$E$3:$G$27,3,0),"")</f>
        <v/>
      </c>
      <c r="J2861" s="20"/>
      <c r="K2861" s="17"/>
      <c r="L2861" s="17"/>
      <c r="M2861" s="13"/>
      <c r="N2861" s="23"/>
      <c r="O2861" s="22"/>
      <c r="P2861" s="22"/>
    </row>
    <row r="2862" ht="22.5" customHeight="1">
      <c r="A2862" s="20"/>
      <c r="B2862" s="20" t="str">
        <f>IFERROR(VLOOKUP(A2862,Sheet1!$E$3:$H$27,4,0),"")</f>
        <v/>
      </c>
      <c r="C2862" s="15"/>
      <c r="D2862" s="20"/>
      <c r="E2862" s="13" t="str">
        <f>IFERROR(VLOOKUP(D2862,Sheet1!$B$1:$C$45,2,0),"")</f>
        <v/>
      </c>
      <c r="F2862" s="20"/>
      <c r="G2862" s="13" t="str">
        <f t="shared" si="9"/>
        <v/>
      </c>
      <c r="H2862" s="15" t="str">
        <f>IFERROR(VLOOKUP(A2862,Sheet1!$E$3:$F$27,2,),"")</f>
        <v/>
      </c>
      <c r="I2862" s="16" t="str">
        <f>IFERROR(VLOOKUP(A2862,Sheet1!$E$3:$G$27,3,0),"")</f>
        <v/>
      </c>
      <c r="J2862" s="20"/>
      <c r="K2862" s="17"/>
      <c r="L2862" s="17"/>
      <c r="M2862" s="13"/>
      <c r="N2862" s="23"/>
      <c r="O2862" s="22"/>
      <c r="P2862" s="22"/>
    </row>
    <row r="2863" ht="22.5" customHeight="1">
      <c r="A2863" s="20"/>
      <c r="B2863" s="20" t="str">
        <f>IFERROR(VLOOKUP(A2863,Sheet1!$E$3:$H$27,4,0),"")</f>
        <v/>
      </c>
      <c r="C2863" s="15"/>
      <c r="D2863" s="20"/>
      <c r="E2863" s="13" t="str">
        <f>IFERROR(VLOOKUP(D2863,Sheet1!$B$1:$C$45,2,0),"")</f>
        <v/>
      </c>
      <c r="F2863" s="20"/>
      <c r="G2863" s="13" t="str">
        <f t="shared" si="9"/>
        <v/>
      </c>
      <c r="H2863" s="15" t="str">
        <f>IFERROR(VLOOKUP(A2863,Sheet1!$E$3:$F$27,2,),"")</f>
        <v/>
      </c>
      <c r="I2863" s="16" t="str">
        <f>IFERROR(VLOOKUP(A2863,Sheet1!$E$3:$G$27,3,0),"")</f>
        <v/>
      </c>
      <c r="J2863" s="20"/>
      <c r="K2863" s="17"/>
      <c r="L2863" s="17"/>
      <c r="M2863" s="13"/>
      <c r="N2863" s="23"/>
      <c r="O2863" s="22"/>
      <c r="P2863" s="22"/>
    </row>
    <row r="2864" ht="22.5" customHeight="1">
      <c r="A2864" s="20"/>
      <c r="B2864" s="20" t="str">
        <f>IFERROR(VLOOKUP(A2864,Sheet1!$E$3:$H$27,4,0),"")</f>
        <v/>
      </c>
      <c r="C2864" s="15"/>
      <c r="D2864" s="20"/>
      <c r="E2864" s="13" t="str">
        <f>IFERROR(VLOOKUP(D2864,Sheet1!$B$1:$C$45,2,0),"")</f>
        <v/>
      </c>
      <c r="F2864" s="20"/>
      <c r="G2864" s="13" t="str">
        <f t="shared" si="9"/>
        <v/>
      </c>
      <c r="H2864" s="15" t="str">
        <f>IFERROR(VLOOKUP(A2864,Sheet1!$E$3:$F$27,2,),"")</f>
        <v/>
      </c>
      <c r="I2864" s="16" t="str">
        <f>IFERROR(VLOOKUP(A2864,Sheet1!$E$3:$G$27,3,0),"")</f>
        <v/>
      </c>
      <c r="J2864" s="20"/>
      <c r="K2864" s="17"/>
      <c r="L2864" s="17"/>
      <c r="M2864" s="13"/>
      <c r="N2864" s="23"/>
      <c r="O2864" s="22"/>
      <c r="P2864" s="22"/>
    </row>
    <row r="2865" ht="22.5" customHeight="1">
      <c r="A2865" s="20"/>
      <c r="B2865" s="20" t="str">
        <f>IFERROR(VLOOKUP(A2865,Sheet1!$E$3:$H$27,4,0),"")</f>
        <v/>
      </c>
      <c r="C2865" s="15"/>
      <c r="D2865" s="20"/>
      <c r="E2865" s="13" t="str">
        <f>IFERROR(VLOOKUP(D2865,Sheet1!$B$1:$C$45,2,0),"")</f>
        <v/>
      </c>
      <c r="F2865" s="20"/>
      <c r="G2865" s="13" t="str">
        <f t="shared" si="9"/>
        <v/>
      </c>
      <c r="H2865" s="15" t="str">
        <f>IFERROR(VLOOKUP(A2865,Sheet1!$E$3:$F$27,2,),"")</f>
        <v/>
      </c>
      <c r="I2865" s="16" t="str">
        <f>IFERROR(VLOOKUP(A2865,Sheet1!$E$3:$G$27,3,0),"")</f>
        <v/>
      </c>
      <c r="J2865" s="20"/>
      <c r="K2865" s="17"/>
      <c r="L2865" s="17"/>
      <c r="M2865" s="13"/>
      <c r="N2865" s="23"/>
      <c r="O2865" s="22"/>
      <c r="P2865" s="22"/>
    </row>
    <row r="2866" ht="22.5" customHeight="1">
      <c r="A2866" s="20"/>
      <c r="B2866" s="20" t="str">
        <f>IFERROR(VLOOKUP(A2866,Sheet1!$E$3:$H$27,4,0),"")</f>
        <v/>
      </c>
      <c r="C2866" s="15"/>
      <c r="D2866" s="20"/>
      <c r="E2866" s="13" t="str">
        <f>IFERROR(VLOOKUP(D2866,Sheet1!$B$1:$C$45,2,0),"")</f>
        <v/>
      </c>
      <c r="F2866" s="20"/>
      <c r="G2866" s="13" t="str">
        <f t="shared" si="9"/>
        <v/>
      </c>
      <c r="H2866" s="15" t="str">
        <f>IFERROR(VLOOKUP(A2866,Sheet1!$E$3:$F$27,2,),"")</f>
        <v/>
      </c>
      <c r="I2866" s="16" t="str">
        <f>IFERROR(VLOOKUP(A2866,Sheet1!$E$3:$G$27,3,0),"")</f>
        <v/>
      </c>
      <c r="J2866" s="20"/>
      <c r="K2866" s="17"/>
      <c r="L2866" s="17"/>
      <c r="M2866" s="13"/>
      <c r="N2866" s="23"/>
      <c r="O2866" s="22"/>
      <c r="P2866" s="22"/>
    </row>
    <row r="2867" ht="22.5" customHeight="1">
      <c r="A2867" s="20"/>
      <c r="B2867" s="20" t="str">
        <f>IFERROR(VLOOKUP(A2867,Sheet1!$E$3:$H$27,4,0),"")</f>
        <v/>
      </c>
      <c r="C2867" s="15"/>
      <c r="D2867" s="20"/>
      <c r="E2867" s="13" t="str">
        <f>IFERROR(VLOOKUP(D2867,Sheet1!$B$1:$C$45,2,0),"")</f>
        <v/>
      </c>
      <c r="F2867" s="20"/>
      <c r="G2867" s="13" t="str">
        <f t="shared" si="9"/>
        <v/>
      </c>
      <c r="H2867" s="15" t="str">
        <f>IFERROR(VLOOKUP(A2867,Sheet1!$E$3:$F$27,2,),"")</f>
        <v/>
      </c>
      <c r="I2867" s="16" t="str">
        <f>IFERROR(VLOOKUP(A2867,Sheet1!$E$3:$G$27,3,0),"")</f>
        <v/>
      </c>
      <c r="J2867" s="20"/>
      <c r="K2867" s="17"/>
      <c r="L2867" s="17"/>
      <c r="M2867" s="13"/>
      <c r="N2867" s="23"/>
      <c r="O2867" s="22"/>
      <c r="P2867" s="22"/>
    </row>
    <row r="2868" ht="22.5" customHeight="1">
      <c r="A2868" s="20"/>
      <c r="B2868" s="20" t="str">
        <f>IFERROR(VLOOKUP(A2868,Sheet1!$E$3:$H$27,4,0),"")</f>
        <v/>
      </c>
      <c r="C2868" s="15"/>
      <c r="D2868" s="20"/>
      <c r="E2868" s="13" t="str">
        <f>IFERROR(VLOOKUP(D2868,Sheet1!$B$1:$C$45,2,0),"")</f>
        <v/>
      </c>
      <c r="F2868" s="20"/>
      <c r="G2868" s="13" t="str">
        <f t="shared" si="9"/>
        <v/>
      </c>
      <c r="H2868" s="15" t="str">
        <f>IFERROR(VLOOKUP(A2868,Sheet1!$E$3:$F$27,2,),"")</f>
        <v/>
      </c>
      <c r="I2868" s="16" t="str">
        <f>IFERROR(VLOOKUP(A2868,Sheet1!$E$3:$G$27,3,0),"")</f>
        <v/>
      </c>
      <c r="J2868" s="20"/>
      <c r="K2868" s="17"/>
      <c r="L2868" s="17"/>
      <c r="M2868" s="13"/>
      <c r="N2868" s="23"/>
      <c r="O2868" s="22"/>
      <c r="P2868" s="22"/>
    </row>
    <row r="2869" ht="22.5" customHeight="1">
      <c r="A2869" s="20"/>
      <c r="B2869" s="20" t="str">
        <f>IFERROR(VLOOKUP(A2869,Sheet1!$E$3:$H$27,4,0),"")</f>
        <v/>
      </c>
      <c r="C2869" s="15"/>
      <c r="D2869" s="20"/>
      <c r="E2869" s="13" t="str">
        <f>IFERROR(VLOOKUP(D2869,Sheet1!$B$1:$C$45,2,0),"")</f>
        <v/>
      </c>
      <c r="F2869" s="20"/>
      <c r="G2869" s="13" t="str">
        <f t="shared" si="9"/>
        <v/>
      </c>
      <c r="H2869" s="15" t="str">
        <f>IFERROR(VLOOKUP(A2869,Sheet1!$E$3:$F$27,2,),"")</f>
        <v/>
      </c>
      <c r="I2869" s="16" t="str">
        <f>IFERROR(VLOOKUP(A2869,Sheet1!$E$3:$G$27,3,0),"")</f>
        <v/>
      </c>
      <c r="J2869" s="20"/>
      <c r="K2869" s="17"/>
      <c r="L2869" s="17"/>
      <c r="M2869" s="13"/>
      <c r="N2869" s="23"/>
      <c r="O2869" s="22"/>
      <c r="P2869" s="22"/>
    </row>
    <row r="2870" ht="22.5" customHeight="1">
      <c r="A2870" s="20"/>
      <c r="B2870" s="20" t="str">
        <f>IFERROR(VLOOKUP(A2870,Sheet1!$E$3:$H$27,4,0),"")</f>
        <v/>
      </c>
      <c r="C2870" s="15"/>
      <c r="D2870" s="20"/>
      <c r="E2870" s="13" t="str">
        <f>IFERROR(VLOOKUP(D2870,Sheet1!$B$1:$C$45,2,0),"")</f>
        <v/>
      </c>
      <c r="F2870" s="20"/>
      <c r="G2870" s="13" t="str">
        <f t="shared" si="9"/>
        <v/>
      </c>
      <c r="H2870" s="15" t="str">
        <f>IFERROR(VLOOKUP(A2870,Sheet1!$E$3:$F$27,2,),"")</f>
        <v/>
      </c>
      <c r="I2870" s="16" t="str">
        <f>IFERROR(VLOOKUP(A2870,Sheet1!$E$3:$G$27,3,0),"")</f>
        <v/>
      </c>
      <c r="J2870" s="20"/>
      <c r="K2870" s="17"/>
      <c r="L2870" s="17"/>
      <c r="M2870" s="13"/>
      <c r="N2870" s="23"/>
      <c r="O2870" s="22"/>
      <c r="P2870" s="22"/>
    </row>
    <row r="2871" ht="22.5" customHeight="1">
      <c r="A2871" s="20"/>
      <c r="B2871" s="20" t="str">
        <f>IFERROR(VLOOKUP(A2871,Sheet1!$E$3:$H$27,4,0),"")</f>
        <v/>
      </c>
      <c r="C2871" s="15"/>
      <c r="D2871" s="20"/>
      <c r="E2871" s="13" t="str">
        <f>IFERROR(VLOOKUP(D2871,Sheet1!$B$1:$C$45,2,0),"")</f>
        <v/>
      </c>
      <c r="F2871" s="20"/>
      <c r="G2871" s="13" t="str">
        <f t="shared" si="9"/>
        <v/>
      </c>
      <c r="H2871" s="15" t="str">
        <f>IFERROR(VLOOKUP(A2871,Sheet1!$E$3:$F$27,2,),"")</f>
        <v/>
      </c>
      <c r="I2871" s="16" t="str">
        <f>IFERROR(VLOOKUP(A2871,Sheet1!$E$3:$G$27,3,0),"")</f>
        <v/>
      </c>
      <c r="J2871" s="20"/>
      <c r="K2871" s="17"/>
      <c r="L2871" s="17"/>
      <c r="M2871" s="13"/>
      <c r="N2871" s="23"/>
      <c r="O2871" s="22"/>
      <c r="P2871" s="22"/>
    </row>
    <row r="2872" ht="22.5" customHeight="1">
      <c r="A2872" s="20"/>
      <c r="B2872" s="20" t="str">
        <f>IFERROR(VLOOKUP(A2872,Sheet1!$E$3:$H$27,4,0),"")</f>
        <v/>
      </c>
      <c r="C2872" s="15"/>
      <c r="D2872" s="20"/>
      <c r="E2872" s="13" t="str">
        <f>IFERROR(VLOOKUP(D2872,Sheet1!$B$1:$C$45,2,0),"")</f>
        <v/>
      </c>
      <c r="F2872" s="20"/>
      <c r="G2872" s="13" t="str">
        <f t="shared" si="9"/>
        <v/>
      </c>
      <c r="H2872" s="15" t="str">
        <f>IFERROR(VLOOKUP(A2872,Sheet1!$E$3:$F$27,2,),"")</f>
        <v/>
      </c>
      <c r="I2872" s="16" t="str">
        <f>IFERROR(VLOOKUP(A2872,Sheet1!$E$3:$G$27,3,0),"")</f>
        <v/>
      </c>
      <c r="J2872" s="20"/>
      <c r="K2872" s="17"/>
      <c r="L2872" s="17"/>
      <c r="M2872" s="13"/>
      <c r="N2872" s="23"/>
      <c r="O2872" s="22"/>
      <c r="P2872" s="22"/>
    </row>
    <row r="2873" ht="22.5" customHeight="1">
      <c r="A2873" s="20"/>
      <c r="B2873" s="20" t="str">
        <f>IFERROR(VLOOKUP(A2873,Sheet1!$E$3:$H$27,4,0),"")</f>
        <v/>
      </c>
      <c r="C2873" s="15"/>
      <c r="D2873" s="20"/>
      <c r="E2873" s="13" t="str">
        <f>IFERROR(VLOOKUP(D2873,Sheet1!$B$1:$C$45,2,0),"")</f>
        <v/>
      </c>
      <c r="F2873" s="20"/>
      <c r="G2873" s="13" t="str">
        <f t="shared" si="9"/>
        <v/>
      </c>
      <c r="H2873" s="15" t="str">
        <f>IFERROR(VLOOKUP(A2873,Sheet1!$E$3:$F$27,2,),"")</f>
        <v/>
      </c>
      <c r="I2873" s="16" t="str">
        <f>IFERROR(VLOOKUP(A2873,Sheet1!$E$3:$G$27,3,0),"")</f>
        <v/>
      </c>
      <c r="J2873" s="20"/>
      <c r="K2873" s="17"/>
      <c r="L2873" s="17"/>
      <c r="M2873" s="13"/>
      <c r="N2873" s="23"/>
      <c r="O2873" s="22"/>
      <c r="P2873" s="22"/>
    </row>
    <row r="2874" ht="22.5" customHeight="1">
      <c r="A2874" s="20"/>
      <c r="B2874" s="20" t="str">
        <f>IFERROR(VLOOKUP(A2874,Sheet1!$E$3:$H$27,4,0),"")</f>
        <v/>
      </c>
      <c r="C2874" s="15"/>
      <c r="D2874" s="20"/>
      <c r="E2874" s="13" t="str">
        <f>IFERROR(VLOOKUP(D2874,Sheet1!$B$1:$C$45,2,0),"")</f>
        <v/>
      </c>
      <c r="F2874" s="20"/>
      <c r="G2874" s="13" t="str">
        <f t="shared" si="9"/>
        <v/>
      </c>
      <c r="H2874" s="15" t="str">
        <f>IFERROR(VLOOKUP(A2874,Sheet1!$E$3:$F$27,2,),"")</f>
        <v/>
      </c>
      <c r="I2874" s="16" t="str">
        <f>IFERROR(VLOOKUP(A2874,Sheet1!$E$3:$G$27,3,0),"")</f>
        <v/>
      </c>
      <c r="J2874" s="20"/>
      <c r="K2874" s="17"/>
      <c r="L2874" s="17"/>
      <c r="M2874" s="13"/>
      <c r="N2874" s="23"/>
      <c r="O2874" s="22"/>
      <c r="P2874" s="22"/>
    </row>
    <row r="2875" ht="22.5" customHeight="1">
      <c r="A2875" s="20"/>
      <c r="B2875" s="20" t="str">
        <f>IFERROR(VLOOKUP(A2875,Sheet1!$E$3:$H$27,4,0),"")</f>
        <v/>
      </c>
      <c r="C2875" s="15"/>
      <c r="D2875" s="20"/>
      <c r="E2875" s="13" t="str">
        <f>IFERROR(VLOOKUP(D2875,Sheet1!$B$1:$C$45,2,0),"")</f>
        <v/>
      </c>
      <c r="F2875" s="20"/>
      <c r="G2875" s="13" t="str">
        <f t="shared" si="9"/>
        <v/>
      </c>
      <c r="H2875" s="15" t="str">
        <f>IFERROR(VLOOKUP(A2875,Sheet1!$E$3:$F$27,2,),"")</f>
        <v/>
      </c>
      <c r="I2875" s="16" t="str">
        <f>IFERROR(VLOOKUP(A2875,Sheet1!$E$3:$G$27,3,0),"")</f>
        <v/>
      </c>
      <c r="J2875" s="20"/>
      <c r="K2875" s="17"/>
      <c r="L2875" s="17"/>
      <c r="M2875" s="13"/>
      <c r="N2875" s="23"/>
      <c r="O2875" s="22"/>
      <c r="P2875" s="22"/>
    </row>
    <row r="2876" ht="22.5" customHeight="1">
      <c r="A2876" s="20"/>
      <c r="B2876" s="20" t="str">
        <f>IFERROR(VLOOKUP(A2876,Sheet1!$E$3:$H$27,4,0),"")</f>
        <v/>
      </c>
      <c r="C2876" s="15"/>
      <c r="D2876" s="20"/>
      <c r="E2876" s="13" t="str">
        <f>IFERROR(VLOOKUP(D2876,Sheet1!$B$1:$C$45,2,0),"")</f>
        <v/>
      </c>
      <c r="F2876" s="20"/>
      <c r="G2876" s="13" t="str">
        <f t="shared" si="9"/>
        <v/>
      </c>
      <c r="H2876" s="15" t="str">
        <f>IFERROR(VLOOKUP(A2876,Sheet1!$E$3:$F$27,2,),"")</f>
        <v/>
      </c>
      <c r="I2876" s="16" t="str">
        <f>IFERROR(VLOOKUP(A2876,Sheet1!$E$3:$G$27,3,0),"")</f>
        <v/>
      </c>
      <c r="J2876" s="20"/>
      <c r="K2876" s="17"/>
      <c r="L2876" s="17"/>
      <c r="M2876" s="13"/>
      <c r="N2876" s="23"/>
      <c r="O2876" s="22"/>
      <c r="P2876" s="22"/>
    </row>
    <row r="2877" ht="22.5" customHeight="1">
      <c r="A2877" s="20"/>
      <c r="B2877" s="20" t="str">
        <f>IFERROR(VLOOKUP(A2877,Sheet1!$E$3:$H$27,4,0),"")</f>
        <v/>
      </c>
      <c r="C2877" s="15"/>
      <c r="D2877" s="20"/>
      <c r="E2877" s="13" t="str">
        <f>IFERROR(VLOOKUP(D2877,Sheet1!$B$1:$C$45,2,0),"")</f>
        <v/>
      </c>
      <c r="F2877" s="20"/>
      <c r="G2877" s="13" t="str">
        <f t="shared" si="9"/>
        <v/>
      </c>
      <c r="H2877" s="15" t="str">
        <f>IFERROR(VLOOKUP(A2877,Sheet1!$E$3:$F$27,2,),"")</f>
        <v/>
      </c>
      <c r="I2877" s="16" t="str">
        <f>IFERROR(VLOOKUP(A2877,Sheet1!$E$3:$G$27,3,0),"")</f>
        <v/>
      </c>
      <c r="J2877" s="20"/>
      <c r="K2877" s="17"/>
      <c r="L2877" s="17"/>
      <c r="M2877" s="13"/>
      <c r="N2877" s="23"/>
      <c r="O2877" s="22"/>
      <c r="P2877" s="22"/>
    </row>
    <row r="2878" ht="22.5" customHeight="1">
      <c r="A2878" s="20"/>
      <c r="B2878" s="20" t="str">
        <f>IFERROR(VLOOKUP(A2878,Sheet1!$E$3:$H$27,4,0),"")</f>
        <v/>
      </c>
      <c r="C2878" s="15"/>
      <c r="D2878" s="20"/>
      <c r="E2878" s="13" t="str">
        <f>IFERROR(VLOOKUP(D2878,Sheet1!$B$1:$C$45,2,0),"")</f>
        <v/>
      </c>
      <c r="F2878" s="20"/>
      <c r="G2878" s="13" t="str">
        <f t="shared" si="9"/>
        <v/>
      </c>
      <c r="H2878" s="15" t="str">
        <f>IFERROR(VLOOKUP(A2878,Sheet1!$E$3:$F$27,2,),"")</f>
        <v/>
      </c>
      <c r="I2878" s="16" t="str">
        <f>IFERROR(VLOOKUP(A2878,Sheet1!$E$3:$G$27,3,0),"")</f>
        <v/>
      </c>
      <c r="J2878" s="20"/>
      <c r="K2878" s="17"/>
      <c r="L2878" s="17"/>
      <c r="M2878" s="13"/>
      <c r="N2878" s="23"/>
      <c r="O2878" s="22"/>
      <c r="P2878" s="22"/>
    </row>
    <row r="2879" ht="22.5" customHeight="1">
      <c r="A2879" s="20"/>
      <c r="B2879" s="20" t="str">
        <f>IFERROR(VLOOKUP(A2879,Sheet1!$E$3:$H$27,4,0),"")</f>
        <v/>
      </c>
      <c r="C2879" s="15"/>
      <c r="D2879" s="20"/>
      <c r="E2879" s="13" t="str">
        <f>IFERROR(VLOOKUP(D2879,Sheet1!$B$1:$C$45,2,0),"")</f>
        <v/>
      </c>
      <c r="F2879" s="20"/>
      <c r="G2879" s="13" t="str">
        <f t="shared" si="9"/>
        <v/>
      </c>
      <c r="H2879" s="15" t="str">
        <f>IFERROR(VLOOKUP(A2879,Sheet1!$E$3:$F$27,2,),"")</f>
        <v/>
      </c>
      <c r="I2879" s="16" t="str">
        <f>IFERROR(VLOOKUP(A2879,Sheet1!$E$3:$G$27,3,0),"")</f>
        <v/>
      </c>
      <c r="J2879" s="20"/>
      <c r="K2879" s="17"/>
      <c r="L2879" s="17"/>
      <c r="M2879" s="13"/>
      <c r="N2879" s="23"/>
      <c r="O2879" s="22"/>
      <c r="P2879" s="22"/>
    </row>
    <row r="2880" ht="22.5" customHeight="1">
      <c r="A2880" s="20"/>
      <c r="B2880" s="20" t="str">
        <f>IFERROR(VLOOKUP(A2880,Sheet1!$E$3:$H$27,4,0),"")</f>
        <v/>
      </c>
      <c r="C2880" s="15"/>
      <c r="D2880" s="20"/>
      <c r="E2880" s="13" t="str">
        <f>IFERROR(VLOOKUP(D2880,Sheet1!$B$1:$C$45,2,0),"")</f>
        <v/>
      </c>
      <c r="F2880" s="20"/>
      <c r="G2880" s="13" t="str">
        <f t="shared" si="9"/>
        <v/>
      </c>
      <c r="H2880" s="15" t="str">
        <f>IFERROR(VLOOKUP(A2880,Sheet1!$E$3:$F$27,2,),"")</f>
        <v/>
      </c>
      <c r="I2880" s="16" t="str">
        <f>IFERROR(VLOOKUP(A2880,Sheet1!$E$3:$G$27,3,0),"")</f>
        <v/>
      </c>
      <c r="J2880" s="20"/>
      <c r="K2880" s="17"/>
      <c r="L2880" s="17"/>
      <c r="M2880" s="13"/>
      <c r="N2880" s="23"/>
      <c r="O2880" s="22"/>
      <c r="P2880" s="22"/>
    </row>
    <row r="2881" ht="22.5" customHeight="1">
      <c r="A2881" s="20"/>
      <c r="B2881" s="20" t="str">
        <f>IFERROR(VLOOKUP(A2881,Sheet1!$E$3:$H$27,4,0),"")</f>
        <v/>
      </c>
      <c r="C2881" s="15"/>
      <c r="D2881" s="20"/>
      <c r="E2881" s="13" t="str">
        <f>IFERROR(VLOOKUP(D2881,Sheet1!$B$1:$C$45,2,0),"")</f>
        <v/>
      </c>
      <c r="F2881" s="20"/>
      <c r="G2881" s="13" t="str">
        <f t="shared" si="9"/>
        <v/>
      </c>
      <c r="H2881" s="15" t="str">
        <f>IFERROR(VLOOKUP(A2881,Sheet1!$E$3:$F$27,2,),"")</f>
        <v/>
      </c>
      <c r="I2881" s="16" t="str">
        <f>IFERROR(VLOOKUP(A2881,Sheet1!$E$3:$G$27,3,0),"")</f>
        <v/>
      </c>
      <c r="J2881" s="20"/>
      <c r="K2881" s="17"/>
      <c r="L2881" s="17"/>
      <c r="M2881" s="13"/>
      <c r="N2881" s="23"/>
      <c r="O2881" s="22"/>
      <c r="P2881" s="22"/>
    </row>
    <row r="2882" ht="22.5" customHeight="1">
      <c r="A2882" s="20"/>
      <c r="B2882" s="20" t="str">
        <f>IFERROR(VLOOKUP(A2882,Sheet1!$E$3:$H$27,4,0),"")</f>
        <v/>
      </c>
      <c r="C2882" s="15"/>
      <c r="D2882" s="20"/>
      <c r="E2882" s="13" t="str">
        <f>IFERROR(VLOOKUP(D2882,Sheet1!$B$1:$C$45,2,0),"")</f>
        <v/>
      </c>
      <c r="F2882" s="20"/>
      <c r="G2882" s="13" t="str">
        <f t="shared" si="9"/>
        <v/>
      </c>
      <c r="H2882" s="15" t="str">
        <f>IFERROR(VLOOKUP(A2882,Sheet1!$E$3:$F$27,2,),"")</f>
        <v/>
      </c>
      <c r="I2882" s="16" t="str">
        <f>IFERROR(VLOOKUP(A2882,Sheet1!$E$3:$G$27,3,0),"")</f>
        <v/>
      </c>
      <c r="J2882" s="20"/>
      <c r="K2882" s="17"/>
      <c r="L2882" s="17"/>
      <c r="M2882" s="13"/>
      <c r="N2882" s="23"/>
      <c r="O2882" s="22"/>
      <c r="P2882" s="22"/>
    </row>
    <row r="2883" ht="22.5" customHeight="1">
      <c r="A2883" s="20"/>
      <c r="B2883" s="20" t="str">
        <f>IFERROR(VLOOKUP(A2883,Sheet1!$E$3:$H$27,4,0),"")</f>
        <v/>
      </c>
      <c r="C2883" s="15"/>
      <c r="D2883" s="20"/>
      <c r="E2883" s="13" t="str">
        <f>IFERROR(VLOOKUP(D2883,Sheet1!$B$1:$C$45,2,0),"")</f>
        <v/>
      </c>
      <c r="F2883" s="20"/>
      <c r="G2883" s="13" t="str">
        <f t="shared" si="9"/>
        <v/>
      </c>
      <c r="H2883" s="15" t="str">
        <f>IFERROR(VLOOKUP(A2883,Sheet1!$E$3:$F$27,2,),"")</f>
        <v/>
      </c>
      <c r="I2883" s="16" t="str">
        <f>IFERROR(VLOOKUP(A2883,Sheet1!$E$3:$G$27,3,0),"")</f>
        <v/>
      </c>
      <c r="J2883" s="20"/>
      <c r="K2883" s="17"/>
      <c r="L2883" s="17"/>
      <c r="M2883" s="13"/>
      <c r="N2883" s="23"/>
      <c r="O2883" s="22"/>
      <c r="P2883" s="22"/>
    </row>
    <row r="2884" ht="22.5" customHeight="1">
      <c r="A2884" s="20"/>
      <c r="B2884" s="20" t="str">
        <f>IFERROR(VLOOKUP(A2884,Sheet1!$E$3:$H$27,4,0),"")</f>
        <v/>
      </c>
      <c r="C2884" s="15"/>
      <c r="D2884" s="20"/>
      <c r="E2884" s="13" t="str">
        <f>IFERROR(VLOOKUP(D2884,Sheet1!$B$1:$C$45,2,0),"")</f>
        <v/>
      </c>
      <c r="F2884" s="20"/>
      <c r="G2884" s="13" t="str">
        <f t="shared" si="9"/>
        <v/>
      </c>
      <c r="H2884" s="15" t="str">
        <f>IFERROR(VLOOKUP(A2884,Sheet1!$E$3:$F$27,2,),"")</f>
        <v/>
      </c>
      <c r="I2884" s="16" t="str">
        <f>IFERROR(VLOOKUP(A2884,Sheet1!$E$3:$G$27,3,0),"")</f>
        <v/>
      </c>
      <c r="J2884" s="20"/>
      <c r="K2884" s="17"/>
      <c r="L2884" s="17"/>
      <c r="M2884" s="13"/>
      <c r="N2884" s="23"/>
      <c r="O2884" s="22"/>
      <c r="P2884" s="22"/>
    </row>
    <row r="2885" ht="22.5" customHeight="1">
      <c r="A2885" s="20"/>
      <c r="B2885" s="20" t="str">
        <f>IFERROR(VLOOKUP(A2885,Sheet1!$E$3:$H$27,4,0),"")</f>
        <v/>
      </c>
      <c r="C2885" s="15"/>
      <c r="D2885" s="20"/>
      <c r="E2885" s="13" t="str">
        <f>IFERROR(VLOOKUP(D2885,Sheet1!$B$1:$C$45,2,0),"")</f>
        <v/>
      </c>
      <c r="F2885" s="20"/>
      <c r="G2885" s="13" t="str">
        <f t="shared" si="9"/>
        <v/>
      </c>
      <c r="H2885" s="15" t="str">
        <f>IFERROR(VLOOKUP(A2885,Sheet1!$E$3:$F$27,2,),"")</f>
        <v/>
      </c>
      <c r="I2885" s="16" t="str">
        <f>IFERROR(VLOOKUP(A2885,Sheet1!$E$3:$G$27,3,0),"")</f>
        <v/>
      </c>
      <c r="J2885" s="20"/>
      <c r="K2885" s="17"/>
      <c r="L2885" s="17"/>
      <c r="M2885" s="13"/>
      <c r="N2885" s="23"/>
      <c r="O2885" s="22"/>
      <c r="P2885" s="22"/>
    </row>
    <row r="2886" ht="22.5" customHeight="1">
      <c r="A2886" s="20"/>
      <c r="B2886" s="20" t="str">
        <f>IFERROR(VLOOKUP(A2886,Sheet1!$E$3:$H$27,4,0),"")</f>
        <v/>
      </c>
      <c r="C2886" s="15"/>
      <c r="D2886" s="20"/>
      <c r="E2886" s="13" t="str">
        <f>IFERROR(VLOOKUP(D2886,Sheet1!$B$1:$C$45,2,0),"")</f>
        <v/>
      </c>
      <c r="F2886" s="20"/>
      <c r="G2886" s="13" t="str">
        <f t="shared" si="9"/>
        <v/>
      </c>
      <c r="H2886" s="15" t="str">
        <f>IFERROR(VLOOKUP(A2886,Sheet1!$E$3:$F$27,2,),"")</f>
        <v/>
      </c>
      <c r="I2886" s="16" t="str">
        <f>IFERROR(VLOOKUP(A2886,Sheet1!$E$3:$G$27,3,0),"")</f>
        <v/>
      </c>
      <c r="J2886" s="20"/>
      <c r="K2886" s="17"/>
      <c r="L2886" s="17"/>
      <c r="M2886" s="13"/>
      <c r="N2886" s="23"/>
      <c r="O2886" s="22"/>
      <c r="P2886" s="22"/>
    </row>
    <row r="2887" ht="22.5" customHeight="1">
      <c r="A2887" s="20"/>
      <c r="B2887" s="20" t="str">
        <f>IFERROR(VLOOKUP(A2887,Sheet1!$E$3:$H$27,4,0),"")</f>
        <v/>
      </c>
      <c r="C2887" s="15"/>
      <c r="D2887" s="20"/>
      <c r="E2887" s="13" t="str">
        <f>IFERROR(VLOOKUP(D2887,Sheet1!$B$1:$C$45,2,0),"")</f>
        <v/>
      </c>
      <c r="F2887" s="20"/>
      <c r="G2887" s="13" t="str">
        <f t="shared" si="9"/>
        <v/>
      </c>
      <c r="H2887" s="15" t="str">
        <f>IFERROR(VLOOKUP(A2887,Sheet1!$E$3:$F$27,2,),"")</f>
        <v/>
      </c>
      <c r="I2887" s="16" t="str">
        <f>IFERROR(VLOOKUP(A2887,Sheet1!$E$3:$G$27,3,0),"")</f>
        <v/>
      </c>
      <c r="J2887" s="20"/>
      <c r="K2887" s="17"/>
      <c r="L2887" s="17"/>
      <c r="M2887" s="13"/>
      <c r="N2887" s="23"/>
      <c r="O2887" s="22"/>
      <c r="P2887" s="22"/>
    </row>
    <row r="2888" ht="22.5" customHeight="1">
      <c r="A2888" s="20"/>
      <c r="B2888" s="20" t="str">
        <f>IFERROR(VLOOKUP(A2888,Sheet1!$E$3:$H$27,4,0),"")</f>
        <v/>
      </c>
      <c r="C2888" s="15"/>
      <c r="D2888" s="20"/>
      <c r="E2888" s="13" t="str">
        <f>IFERROR(VLOOKUP(D2888,Sheet1!$B$1:$C$45,2,0),"")</f>
        <v/>
      </c>
      <c r="F2888" s="20"/>
      <c r="G2888" s="13" t="str">
        <f t="shared" si="9"/>
        <v/>
      </c>
      <c r="H2888" s="15" t="str">
        <f>IFERROR(VLOOKUP(A2888,Sheet1!$E$3:$F$27,2,),"")</f>
        <v/>
      </c>
      <c r="I2888" s="16" t="str">
        <f>IFERROR(VLOOKUP(A2888,Sheet1!$E$3:$G$27,3,0),"")</f>
        <v/>
      </c>
      <c r="J2888" s="20"/>
      <c r="K2888" s="17"/>
      <c r="L2888" s="17"/>
      <c r="M2888" s="13"/>
      <c r="N2888" s="23"/>
      <c r="O2888" s="22"/>
      <c r="P2888" s="22"/>
    </row>
    <row r="2889" ht="22.5" customHeight="1">
      <c r="A2889" s="20"/>
      <c r="B2889" s="20" t="str">
        <f>IFERROR(VLOOKUP(A2889,Sheet1!$E$3:$H$27,4,0),"")</f>
        <v/>
      </c>
      <c r="C2889" s="15"/>
      <c r="D2889" s="20"/>
      <c r="E2889" s="13" t="str">
        <f>IFERROR(VLOOKUP(D2889,Sheet1!$B$1:$C$45,2,0),"")</f>
        <v/>
      </c>
      <c r="F2889" s="20"/>
      <c r="G2889" s="13" t="str">
        <f t="shared" si="9"/>
        <v/>
      </c>
      <c r="H2889" s="15" t="str">
        <f>IFERROR(VLOOKUP(A2889,Sheet1!$E$3:$F$27,2,),"")</f>
        <v/>
      </c>
      <c r="I2889" s="16" t="str">
        <f>IFERROR(VLOOKUP(A2889,Sheet1!$E$3:$G$27,3,0),"")</f>
        <v/>
      </c>
      <c r="J2889" s="20"/>
      <c r="K2889" s="17"/>
      <c r="L2889" s="17"/>
      <c r="M2889" s="13"/>
      <c r="N2889" s="23"/>
      <c r="O2889" s="22"/>
      <c r="P2889" s="22"/>
    </row>
    <row r="2890" ht="22.5" customHeight="1">
      <c r="A2890" s="20"/>
      <c r="B2890" s="20" t="str">
        <f>IFERROR(VLOOKUP(A2890,Sheet1!$E$3:$H$27,4,0),"")</f>
        <v/>
      </c>
      <c r="C2890" s="15"/>
      <c r="D2890" s="20"/>
      <c r="E2890" s="13" t="str">
        <f>IFERROR(VLOOKUP(D2890,Sheet1!$B$1:$C$45,2,0),"")</f>
        <v/>
      </c>
      <c r="F2890" s="20"/>
      <c r="G2890" s="13" t="str">
        <f t="shared" si="9"/>
        <v/>
      </c>
      <c r="H2890" s="15" t="str">
        <f>IFERROR(VLOOKUP(A2890,Sheet1!$E$3:$F$27,2,),"")</f>
        <v/>
      </c>
      <c r="I2890" s="16" t="str">
        <f>IFERROR(VLOOKUP(A2890,Sheet1!$E$3:$G$27,3,0),"")</f>
        <v/>
      </c>
      <c r="J2890" s="20"/>
      <c r="K2890" s="17"/>
      <c r="L2890" s="17"/>
      <c r="M2890" s="13"/>
      <c r="N2890" s="23"/>
      <c r="O2890" s="22"/>
      <c r="P2890" s="22"/>
    </row>
    <row r="2891" ht="22.5" customHeight="1">
      <c r="A2891" s="20"/>
      <c r="B2891" s="20" t="str">
        <f>IFERROR(VLOOKUP(A2891,Sheet1!$E$3:$H$27,4,0),"")</f>
        <v/>
      </c>
      <c r="C2891" s="15"/>
      <c r="D2891" s="20"/>
      <c r="E2891" s="13" t="str">
        <f>IFERROR(VLOOKUP(D2891,Sheet1!$B$1:$C$45,2,0),"")</f>
        <v/>
      </c>
      <c r="F2891" s="20"/>
      <c r="G2891" s="13" t="str">
        <f t="shared" si="9"/>
        <v/>
      </c>
      <c r="H2891" s="15" t="str">
        <f>IFERROR(VLOOKUP(A2891,Sheet1!$E$3:$F$27,2,),"")</f>
        <v/>
      </c>
      <c r="I2891" s="16" t="str">
        <f>IFERROR(VLOOKUP(A2891,Sheet1!$E$3:$G$27,3,0),"")</f>
        <v/>
      </c>
      <c r="J2891" s="20"/>
      <c r="K2891" s="17"/>
      <c r="L2891" s="17"/>
      <c r="M2891" s="13"/>
      <c r="N2891" s="23"/>
      <c r="O2891" s="22"/>
      <c r="P2891" s="22"/>
    </row>
    <row r="2892" ht="22.5" customHeight="1">
      <c r="A2892" s="20"/>
      <c r="B2892" s="20" t="str">
        <f>IFERROR(VLOOKUP(A2892,Sheet1!$E$3:$H$27,4,0),"")</f>
        <v/>
      </c>
      <c r="C2892" s="15"/>
      <c r="D2892" s="20"/>
      <c r="E2892" s="13" t="str">
        <f>IFERROR(VLOOKUP(D2892,Sheet1!$B$1:$C$45,2,0),"")</f>
        <v/>
      </c>
      <c r="F2892" s="20"/>
      <c r="G2892" s="13" t="str">
        <f t="shared" si="9"/>
        <v/>
      </c>
      <c r="H2892" s="15" t="str">
        <f>IFERROR(VLOOKUP(A2892,Sheet1!$E$3:$F$27,2,),"")</f>
        <v/>
      </c>
      <c r="I2892" s="16" t="str">
        <f>IFERROR(VLOOKUP(A2892,Sheet1!$E$3:$G$27,3,0),"")</f>
        <v/>
      </c>
      <c r="J2892" s="20"/>
      <c r="K2892" s="17"/>
      <c r="L2892" s="17"/>
      <c r="M2892" s="13"/>
      <c r="N2892" s="23"/>
      <c r="O2892" s="22"/>
      <c r="P2892" s="22"/>
    </row>
    <row r="2893" ht="22.5" customHeight="1">
      <c r="A2893" s="20"/>
      <c r="B2893" s="20" t="str">
        <f>IFERROR(VLOOKUP(A2893,Sheet1!$E$3:$H$27,4,0),"")</f>
        <v/>
      </c>
      <c r="C2893" s="15"/>
      <c r="D2893" s="20"/>
      <c r="E2893" s="13" t="str">
        <f>IFERROR(VLOOKUP(D2893,Sheet1!$B$1:$C$45,2,0),"")</f>
        <v/>
      </c>
      <c r="F2893" s="20"/>
      <c r="G2893" s="13" t="str">
        <f t="shared" si="9"/>
        <v/>
      </c>
      <c r="H2893" s="15" t="str">
        <f>IFERROR(VLOOKUP(A2893,Sheet1!$E$3:$F$27,2,),"")</f>
        <v/>
      </c>
      <c r="I2893" s="16" t="str">
        <f>IFERROR(VLOOKUP(A2893,Sheet1!$E$3:$G$27,3,0),"")</f>
        <v/>
      </c>
      <c r="J2893" s="20"/>
      <c r="K2893" s="17"/>
      <c r="L2893" s="17"/>
      <c r="M2893" s="13"/>
      <c r="N2893" s="23"/>
      <c r="O2893" s="22"/>
      <c r="P2893" s="22"/>
    </row>
    <row r="2894" ht="22.5" customHeight="1">
      <c r="A2894" s="20"/>
      <c r="B2894" s="20" t="str">
        <f>IFERROR(VLOOKUP(A2894,Sheet1!$E$3:$H$27,4,0),"")</f>
        <v/>
      </c>
      <c r="C2894" s="15"/>
      <c r="D2894" s="20"/>
      <c r="E2894" s="13" t="str">
        <f>IFERROR(VLOOKUP(D2894,Sheet1!$B$1:$C$45,2,0),"")</f>
        <v/>
      </c>
      <c r="F2894" s="20"/>
      <c r="G2894" s="13" t="str">
        <f t="shared" si="9"/>
        <v/>
      </c>
      <c r="H2894" s="15" t="str">
        <f>IFERROR(VLOOKUP(A2894,Sheet1!$E$3:$F$27,2,),"")</f>
        <v/>
      </c>
      <c r="I2894" s="16" t="str">
        <f>IFERROR(VLOOKUP(A2894,Sheet1!$E$3:$G$27,3,0),"")</f>
        <v/>
      </c>
      <c r="J2894" s="20"/>
      <c r="K2894" s="17"/>
      <c r="L2894" s="17"/>
      <c r="M2894" s="13"/>
      <c r="N2894" s="23"/>
      <c r="O2894" s="22"/>
      <c r="P2894" s="22"/>
    </row>
    <row r="2895" ht="22.5" customHeight="1">
      <c r="A2895" s="20"/>
      <c r="B2895" s="20" t="str">
        <f>IFERROR(VLOOKUP(A2895,Sheet1!$E$3:$H$27,4,0),"")</f>
        <v/>
      </c>
      <c r="C2895" s="15"/>
      <c r="D2895" s="20"/>
      <c r="E2895" s="13" t="str">
        <f>IFERROR(VLOOKUP(D2895,Sheet1!$B$1:$C$45,2,0),"")</f>
        <v/>
      </c>
      <c r="F2895" s="20"/>
      <c r="G2895" s="13" t="str">
        <f t="shared" si="9"/>
        <v/>
      </c>
      <c r="H2895" s="15" t="str">
        <f>IFERROR(VLOOKUP(A2895,Sheet1!$E$3:$F$27,2,),"")</f>
        <v/>
      </c>
      <c r="I2895" s="16" t="str">
        <f>IFERROR(VLOOKUP(A2895,Sheet1!$E$3:$G$27,3,0),"")</f>
        <v/>
      </c>
      <c r="J2895" s="20"/>
      <c r="K2895" s="17"/>
      <c r="L2895" s="17"/>
      <c r="M2895" s="13"/>
      <c r="N2895" s="23"/>
      <c r="O2895" s="22"/>
      <c r="P2895" s="22"/>
    </row>
    <row r="2896" ht="22.5" customHeight="1">
      <c r="A2896" s="20"/>
      <c r="B2896" s="20" t="str">
        <f>IFERROR(VLOOKUP(A2896,Sheet1!$E$3:$H$27,4,0),"")</f>
        <v/>
      </c>
      <c r="C2896" s="15"/>
      <c r="D2896" s="20"/>
      <c r="E2896" s="13" t="str">
        <f>IFERROR(VLOOKUP(D2896,Sheet1!$B$1:$C$45,2,0),"")</f>
        <v/>
      </c>
      <c r="F2896" s="20"/>
      <c r="G2896" s="13" t="str">
        <f t="shared" si="9"/>
        <v/>
      </c>
      <c r="H2896" s="15" t="str">
        <f>IFERROR(VLOOKUP(A2896,Sheet1!$E$3:$F$27,2,),"")</f>
        <v/>
      </c>
      <c r="I2896" s="16" t="str">
        <f>IFERROR(VLOOKUP(A2896,Sheet1!$E$3:$G$27,3,0),"")</f>
        <v/>
      </c>
      <c r="J2896" s="20"/>
      <c r="K2896" s="17"/>
      <c r="L2896" s="17"/>
      <c r="M2896" s="13"/>
      <c r="N2896" s="23"/>
      <c r="O2896" s="22"/>
      <c r="P2896" s="22"/>
    </row>
    <row r="2897" ht="22.5" customHeight="1">
      <c r="A2897" s="20"/>
      <c r="B2897" s="20" t="str">
        <f>IFERROR(VLOOKUP(A2897,Sheet1!$E$3:$H$27,4,0),"")</f>
        <v/>
      </c>
      <c r="C2897" s="15"/>
      <c r="D2897" s="20"/>
      <c r="E2897" s="13" t="str">
        <f>IFERROR(VLOOKUP(D2897,Sheet1!$B$1:$C$45,2,0),"")</f>
        <v/>
      </c>
      <c r="F2897" s="20"/>
      <c r="G2897" s="13" t="str">
        <f t="shared" si="9"/>
        <v/>
      </c>
      <c r="H2897" s="15" t="str">
        <f>IFERROR(VLOOKUP(A2897,Sheet1!$E$3:$F$27,2,),"")</f>
        <v/>
      </c>
      <c r="I2897" s="16" t="str">
        <f>IFERROR(VLOOKUP(A2897,Sheet1!$E$3:$G$27,3,0),"")</f>
        <v/>
      </c>
      <c r="J2897" s="20"/>
      <c r="K2897" s="17"/>
      <c r="L2897" s="17"/>
      <c r="M2897" s="13"/>
      <c r="N2897" s="23"/>
      <c r="O2897" s="22"/>
      <c r="P2897" s="22"/>
    </row>
    <row r="2898" ht="22.5" customHeight="1">
      <c r="A2898" s="20"/>
      <c r="B2898" s="20" t="str">
        <f>IFERROR(VLOOKUP(A2898,Sheet1!$E$3:$H$27,4,0),"")</f>
        <v/>
      </c>
      <c r="C2898" s="15"/>
      <c r="D2898" s="20"/>
      <c r="E2898" s="13" t="str">
        <f>IFERROR(VLOOKUP(D2898,Sheet1!$B$1:$C$45,2,0),"")</f>
        <v/>
      </c>
      <c r="F2898" s="20"/>
      <c r="G2898" s="13" t="str">
        <f t="shared" si="9"/>
        <v/>
      </c>
      <c r="H2898" s="15" t="str">
        <f>IFERROR(VLOOKUP(A2898,Sheet1!$E$3:$F$27,2,),"")</f>
        <v/>
      </c>
      <c r="I2898" s="16" t="str">
        <f>IFERROR(VLOOKUP(A2898,Sheet1!$E$3:$G$27,3,0),"")</f>
        <v/>
      </c>
      <c r="J2898" s="20"/>
      <c r="K2898" s="17"/>
      <c r="L2898" s="17"/>
      <c r="M2898" s="13"/>
      <c r="N2898" s="23"/>
      <c r="O2898" s="22"/>
      <c r="P2898" s="22"/>
    </row>
    <row r="2899" ht="22.5" customHeight="1">
      <c r="A2899" s="20"/>
      <c r="B2899" s="20" t="str">
        <f>IFERROR(VLOOKUP(A2899,Sheet1!$E$3:$H$27,4,0),"")</f>
        <v/>
      </c>
      <c r="C2899" s="15"/>
      <c r="D2899" s="20"/>
      <c r="E2899" s="13" t="str">
        <f>IFERROR(VLOOKUP(D2899,Sheet1!$B$1:$C$45,2,0),"")</f>
        <v/>
      </c>
      <c r="F2899" s="20"/>
      <c r="G2899" s="13" t="str">
        <f t="shared" si="9"/>
        <v/>
      </c>
      <c r="H2899" s="15" t="str">
        <f>IFERROR(VLOOKUP(A2899,Sheet1!$E$3:$F$27,2,),"")</f>
        <v/>
      </c>
      <c r="I2899" s="16" t="str">
        <f>IFERROR(VLOOKUP(A2899,Sheet1!$E$3:$G$27,3,0),"")</f>
        <v/>
      </c>
      <c r="J2899" s="20"/>
      <c r="K2899" s="17"/>
      <c r="L2899" s="17"/>
      <c r="M2899" s="13"/>
      <c r="N2899" s="23"/>
      <c r="O2899" s="22"/>
      <c r="P2899" s="22"/>
    </row>
    <row r="2900" ht="22.5" customHeight="1">
      <c r="A2900" s="20"/>
      <c r="B2900" s="20" t="str">
        <f>IFERROR(VLOOKUP(A2900,Sheet1!$E$3:$H$27,4,0),"")</f>
        <v/>
      </c>
      <c r="C2900" s="15"/>
      <c r="D2900" s="20"/>
      <c r="E2900" s="13" t="str">
        <f>IFERROR(VLOOKUP(D2900,Sheet1!$B$1:$C$45,2,0),"")</f>
        <v/>
      </c>
      <c r="F2900" s="20"/>
      <c r="G2900" s="13" t="str">
        <f t="shared" si="9"/>
        <v/>
      </c>
      <c r="H2900" s="15" t="str">
        <f>IFERROR(VLOOKUP(A2900,Sheet1!$E$3:$F$27,2,),"")</f>
        <v/>
      </c>
      <c r="I2900" s="16" t="str">
        <f>IFERROR(VLOOKUP(A2900,Sheet1!$E$3:$G$27,3,0),"")</f>
        <v/>
      </c>
      <c r="J2900" s="20"/>
      <c r="K2900" s="17"/>
      <c r="L2900" s="17"/>
      <c r="M2900" s="13"/>
      <c r="N2900" s="23"/>
      <c r="O2900" s="22"/>
      <c r="P2900" s="22"/>
    </row>
    <row r="2901" ht="22.5" customHeight="1">
      <c r="A2901" s="20"/>
      <c r="B2901" s="20" t="str">
        <f>IFERROR(VLOOKUP(A2901,Sheet1!$E$3:$H$27,4,0),"")</f>
        <v/>
      </c>
      <c r="C2901" s="15"/>
      <c r="D2901" s="20"/>
      <c r="E2901" s="13" t="str">
        <f>IFERROR(VLOOKUP(D2901,Sheet1!$B$1:$C$45,2,0),"")</f>
        <v/>
      </c>
      <c r="F2901" s="20"/>
      <c r="G2901" s="13" t="str">
        <f t="shared" si="9"/>
        <v/>
      </c>
      <c r="H2901" s="15" t="str">
        <f>IFERROR(VLOOKUP(A2901,Sheet1!$E$3:$F$27,2,),"")</f>
        <v/>
      </c>
      <c r="I2901" s="16" t="str">
        <f>IFERROR(VLOOKUP(A2901,Sheet1!$E$3:$G$27,3,0),"")</f>
        <v/>
      </c>
      <c r="J2901" s="20"/>
      <c r="K2901" s="17"/>
      <c r="L2901" s="17"/>
      <c r="M2901" s="13"/>
      <c r="N2901" s="23"/>
      <c r="O2901" s="22"/>
      <c r="P2901" s="22"/>
    </row>
    <row r="2902" ht="22.5" customHeight="1">
      <c r="A2902" s="20"/>
      <c r="B2902" s="20" t="str">
        <f>IFERROR(VLOOKUP(A2902,Sheet1!$E$3:$H$27,4,0),"")</f>
        <v/>
      </c>
      <c r="C2902" s="15"/>
      <c r="D2902" s="20"/>
      <c r="E2902" s="13" t="str">
        <f>IFERROR(VLOOKUP(D2902,Sheet1!$B$1:$C$45,2,0),"")</f>
        <v/>
      </c>
      <c r="F2902" s="20"/>
      <c r="G2902" s="13" t="str">
        <f t="shared" si="9"/>
        <v/>
      </c>
      <c r="H2902" s="15" t="str">
        <f>IFERROR(VLOOKUP(A2902,Sheet1!$E$3:$F$27,2,),"")</f>
        <v/>
      </c>
      <c r="I2902" s="16" t="str">
        <f>IFERROR(VLOOKUP(A2902,Sheet1!$E$3:$G$27,3,0),"")</f>
        <v/>
      </c>
      <c r="J2902" s="20"/>
      <c r="K2902" s="17"/>
      <c r="L2902" s="17"/>
      <c r="M2902" s="13"/>
      <c r="N2902" s="23"/>
      <c r="O2902" s="22"/>
      <c r="P2902" s="22"/>
    </row>
    <row r="2903" ht="22.5" customHeight="1">
      <c r="A2903" s="20"/>
      <c r="B2903" s="20" t="str">
        <f>IFERROR(VLOOKUP(A2903,Sheet1!$E$3:$H$27,4,0),"")</f>
        <v/>
      </c>
      <c r="C2903" s="15"/>
      <c r="D2903" s="20"/>
      <c r="E2903" s="13" t="str">
        <f>IFERROR(VLOOKUP(D2903,Sheet1!$B$1:$C$45,2,0),"")</f>
        <v/>
      </c>
      <c r="F2903" s="20"/>
      <c r="G2903" s="13" t="str">
        <f t="shared" si="9"/>
        <v/>
      </c>
      <c r="H2903" s="15" t="str">
        <f>IFERROR(VLOOKUP(A2903,Sheet1!$E$3:$F$27,2,),"")</f>
        <v/>
      </c>
      <c r="I2903" s="16" t="str">
        <f>IFERROR(VLOOKUP(A2903,Sheet1!$E$3:$G$27,3,0),"")</f>
        <v/>
      </c>
      <c r="J2903" s="20"/>
      <c r="K2903" s="17"/>
      <c r="L2903" s="17"/>
      <c r="M2903" s="13"/>
      <c r="N2903" s="23"/>
      <c r="O2903" s="22"/>
      <c r="P2903" s="22"/>
    </row>
    <row r="2904" ht="22.5" customHeight="1">
      <c r="A2904" s="20"/>
      <c r="B2904" s="20" t="str">
        <f>IFERROR(VLOOKUP(A2904,Sheet1!$E$3:$H$27,4,0),"")</f>
        <v/>
      </c>
      <c r="C2904" s="15"/>
      <c r="D2904" s="20"/>
      <c r="E2904" s="13" t="str">
        <f>IFERROR(VLOOKUP(D2904,Sheet1!$B$1:$C$45,2,0),"")</f>
        <v/>
      </c>
      <c r="F2904" s="20"/>
      <c r="G2904" s="13" t="str">
        <f t="shared" si="9"/>
        <v/>
      </c>
      <c r="H2904" s="15" t="str">
        <f>IFERROR(VLOOKUP(A2904,Sheet1!$E$3:$F$27,2,),"")</f>
        <v/>
      </c>
      <c r="I2904" s="16" t="str">
        <f>IFERROR(VLOOKUP(A2904,Sheet1!$E$3:$G$27,3,0),"")</f>
        <v/>
      </c>
      <c r="J2904" s="20"/>
      <c r="K2904" s="17"/>
      <c r="L2904" s="17"/>
      <c r="M2904" s="13"/>
      <c r="N2904" s="23"/>
      <c r="O2904" s="22"/>
      <c r="P2904" s="22"/>
    </row>
    <row r="2905" ht="22.5" customHeight="1">
      <c r="A2905" s="20"/>
      <c r="B2905" s="20" t="str">
        <f>IFERROR(VLOOKUP(A2905,Sheet1!$E$3:$H$27,4,0),"")</f>
        <v/>
      </c>
      <c r="C2905" s="15"/>
      <c r="D2905" s="20"/>
      <c r="E2905" s="13" t="str">
        <f>IFERROR(VLOOKUP(D2905,Sheet1!$B$1:$C$45,2,0),"")</f>
        <v/>
      </c>
      <c r="F2905" s="20"/>
      <c r="G2905" s="13" t="str">
        <f t="shared" si="9"/>
        <v/>
      </c>
      <c r="H2905" s="15" t="str">
        <f>IFERROR(VLOOKUP(A2905,Sheet1!$E$3:$F$27,2,),"")</f>
        <v/>
      </c>
      <c r="I2905" s="16" t="str">
        <f>IFERROR(VLOOKUP(A2905,Sheet1!$E$3:$G$27,3,0),"")</f>
        <v/>
      </c>
      <c r="J2905" s="20"/>
      <c r="K2905" s="17"/>
      <c r="L2905" s="17"/>
      <c r="M2905" s="13"/>
      <c r="N2905" s="23"/>
      <c r="O2905" s="22"/>
      <c r="P2905" s="22"/>
    </row>
    <row r="2906" ht="22.5" customHeight="1">
      <c r="A2906" s="20"/>
      <c r="B2906" s="20" t="str">
        <f>IFERROR(VLOOKUP(A2906,Sheet1!$E$3:$H$27,4,0),"")</f>
        <v/>
      </c>
      <c r="C2906" s="15"/>
      <c r="D2906" s="20"/>
      <c r="E2906" s="13" t="str">
        <f>IFERROR(VLOOKUP(D2906,Sheet1!$B$1:$C$45,2,0),"")</f>
        <v/>
      </c>
      <c r="F2906" s="20"/>
      <c r="G2906" s="13" t="str">
        <f t="shared" si="9"/>
        <v/>
      </c>
      <c r="H2906" s="15" t="str">
        <f>IFERROR(VLOOKUP(A2906,Sheet1!$E$3:$F$27,2,),"")</f>
        <v/>
      </c>
      <c r="I2906" s="16" t="str">
        <f>IFERROR(VLOOKUP(A2906,Sheet1!$E$3:$G$27,3,0),"")</f>
        <v/>
      </c>
      <c r="J2906" s="20"/>
      <c r="K2906" s="17"/>
      <c r="L2906" s="17"/>
      <c r="M2906" s="13"/>
      <c r="N2906" s="23"/>
      <c r="O2906" s="22"/>
      <c r="P2906" s="22"/>
    </row>
    <row r="2907" ht="22.5" customHeight="1">
      <c r="A2907" s="20"/>
      <c r="B2907" s="20" t="str">
        <f>IFERROR(VLOOKUP(A2907,Sheet1!$E$3:$H$27,4,0),"")</f>
        <v/>
      </c>
      <c r="C2907" s="15"/>
      <c r="D2907" s="20"/>
      <c r="E2907" s="13" t="str">
        <f>IFERROR(VLOOKUP(D2907,Sheet1!$B$1:$C$45,2,0),"")</f>
        <v/>
      </c>
      <c r="F2907" s="20"/>
      <c r="G2907" s="13" t="str">
        <f t="shared" si="9"/>
        <v/>
      </c>
      <c r="H2907" s="15" t="str">
        <f>IFERROR(VLOOKUP(A2907,Sheet1!$E$3:$F$27,2,),"")</f>
        <v/>
      </c>
      <c r="I2907" s="16" t="str">
        <f>IFERROR(VLOOKUP(A2907,Sheet1!$E$3:$G$27,3,0),"")</f>
        <v/>
      </c>
      <c r="J2907" s="20"/>
      <c r="K2907" s="17"/>
      <c r="L2907" s="17"/>
      <c r="M2907" s="13"/>
      <c r="N2907" s="23"/>
      <c r="O2907" s="22"/>
      <c r="P2907" s="22"/>
    </row>
    <row r="2908" ht="22.5" customHeight="1">
      <c r="A2908" s="20"/>
      <c r="B2908" s="20" t="str">
        <f>IFERROR(VLOOKUP(A2908,Sheet1!$E$3:$H$27,4,0),"")</f>
        <v/>
      </c>
      <c r="C2908" s="15"/>
      <c r="D2908" s="20"/>
      <c r="E2908" s="13" t="str">
        <f>IFERROR(VLOOKUP(D2908,Sheet1!$B$1:$C$45,2,0),"")</f>
        <v/>
      </c>
      <c r="F2908" s="20"/>
      <c r="G2908" s="13" t="str">
        <f t="shared" si="9"/>
        <v/>
      </c>
      <c r="H2908" s="15" t="str">
        <f>IFERROR(VLOOKUP(A2908,Sheet1!$E$3:$F$27,2,),"")</f>
        <v/>
      </c>
      <c r="I2908" s="16" t="str">
        <f>IFERROR(VLOOKUP(A2908,Sheet1!$E$3:$G$27,3,0),"")</f>
        <v/>
      </c>
      <c r="J2908" s="20"/>
      <c r="K2908" s="17"/>
      <c r="L2908" s="17"/>
      <c r="M2908" s="13"/>
      <c r="N2908" s="23"/>
      <c r="O2908" s="22"/>
      <c r="P2908" s="22"/>
    </row>
    <row r="2909" ht="22.5" customHeight="1">
      <c r="A2909" s="20"/>
      <c r="B2909" s="20" t="str">
        <f>IFERROR(VLOOKUP(A2909,Sheet1!$E$3:$H$27,4,0),"")</f>
        <v/>
      </c>
      <c r="C2909" s="15"/>
      <c r="D2909" s="20"/>
      <c r="E2909" s="13" t="str">
        <f>IFERROR(VLOOKUP(D2909,Sheet1!$B$1:$C$45,2,0),"")</f>
        <v/>
      </c>
      <c r="F2909" s="20"/>
      <c r="G2909" s="13" t="str">
        <f t="shared" si="9"/>
        <v/>
      </c>
      <c r="H2909" s="15" t="str">
        <f>IFERROR(VLOOKUP(A2909,Sheet1!$E$3:$F$27,2,),"")</f>
        <v/>
      </c>
      <c r="I2909" s="16" t="str">
        <f>IFERROR(VLOOKUP(A2909,Sheet1!$E$3:$G$27,3,0),"")</f>
        <v/>
      </c>
      <c r="J2909" s="20"/>
      <c r="K2909" s="17"/>
      <c r="L2909" s="17"/>
      <c r="M2909" s="13"/>
      <c r="N2909" s="23"/>
      <c r="O2909" s="22"/>
      <c r="P2909" s="22"/>
    </row>
    <row r="2910" ht="22.5" customHeight="1">
      <c r="A2910" s="20"/>
      <c r="B2910" s="20" t="str">
        <f>IFERROR(VLOOKUP(A2910,Sheet1!$E$3:$H$27,4,0),"")</f>
        <v/>
      </c>
      <c r="C2910" s="15"/>
      <c r="D2910" s="20"/>
      <c r="E2910" s="13" t="str">
        <f>IFERROR(VLOOKUP(D2910,Sheet1!$B$1:$C$45,2,0),"")</f>
        <v/>
      </c>
      <c r="F2910" s="20"/>
      <c r="G2910" s="13" t="str">
        <f t="shared" si="9"/>
        <v/>
      </c>
      <c r="H2910" s="15" t="str">
        <f>IFERROR(VLOOKUP(A2910,Sheet1!$E$3:$F$27,2,),"")</f>
        <v/>
      </c>
      <c r="I2910" s="16" t="str">
        <f>IFERROR(VLOOKUP(A2910,Sheet1!$E$3:$G$27,3,0),"")</f>
        <v/>
      </c>
      <c r="J2910" s="20"/>
      <c r="K2910" s="17"/>
      <c r="L2910" s="17"/>
      <c r="M2910" s="13"/>
      <c r="N2910" s="23"/>
      <c r="O2910" s="22"/>
      <c r="P2910" s="22"/>
    </row>
    <row r="2911" ht="22.5" customHeight="1">
      <c r="A2911" s="20"/>
      <c r="B2911" s="20" t="str">
        <f>IFERROR(VLOOKUP(A2911,Sheet1!$E$3:$H$27,4,0),"")</f>
        <v/>
      </c>
      <c r="C2911" s="15"/>
      <c r="D2911" s="20"/>
      <c r="E2911" s="13" t="str">
        <f>IFERROR(VLOOKUP(D2911,Sheet1!$B$1:$C$45,2,0),"")</f>
        <v/>
      </c>
      <c r="F2911" s="20"/>
      <c r="G2911" s="13" t="str">
        <f t="shared" si="9"/>
        <v/>
      </c>
      <c r="H2911" s="15" t="str">
        <f>IFERROR(VLOOKUP(A2911,Sheet1!$E$3:$F$27,2,),"")</f>
        <v/>
      </c>
      <c r="I2911" s="16" t="str">
        <f>IFERROR(VLOOKUP(A2911,Sheet1!$E$3:$G$27,3,0),"")</f>
        <v/>
      </c>
      <c r="J2911" s="20"/>
      <c r="K2911" s="17"/>
      <c r="L2911" s="17"/>
      <c r="M2911" s="13"/>
      <c r="N2911" s="23"/>
      <c r="O2911" s="22"/>
      <c r="P2911" s="22"/>
    </row>
    <row r="2912" ht="22.5" customHeight="1">
      <c r="A2912" s="20"/>
      <c r="B2912" s="20" t="str">
        <f>IFERROR(VLOOKUP(A2912,Sheet1!$E$3:$H$27,4,0),"")</f>
        <v/>
      </c>
      <c r="C2912" s="15"/>
      <c r="D2912" s="20"/>
      <c r="E2912" s="13" t="str">
        <f>IFERROR(VLOOKUP(D2912,Sheet1!$B$1:$C$45,2,0),"")</f>
        <v/>
      </c>
      <c r="F2912" s="20"/>
      <c r="G2912" s="13" t="str">
        <f t="shared" si="9"/>
        <v/>
      </c>
      <c r="H2912" s="15" t="str">
        <f>IFERROR(VLOOKUP(A2912,Sheet1!$E$3:$F$27,2,),"")</f>
        <v/>
      </c>
      <c r="I2912" s="16" t="str">
        <f>IFERROR(VLOOKUP(A2912,Sheet1!$E$3:$G$27,3,0),"")</f>
        <v/>
      </c>
      <c r="J2912" s="20"/>
      <c r="K2912" s="17"/>
      <c r="L2912" s="17"/>
      <c r="M2912" s="13"/>
      <c r="N2912" s="23"/>
      <c r="O2912" s="22"/>
      <c r="P2912" s="22"/>
    </row>
    <row r="2913" ht="22.5" customHeight="1">
      <c r="A2913" s="20"/>
      <c r="B2913" s="20" t="str">
        <f>IFERROR(VLOOKUP(A2913,Sheet1!$E$3:$H$27,4,0),"")</f>
        <v/>
      </c>
      <c r="C2913" s="15"/>
      <c r="D2913" s="20"/>
      <c r="E2913" s="13" t="str">
        <f>IFERROR(VLOOKUP(D2913,Sheet1!$B$1:$C$45,2,0),"")</f>
        <v/>
      </c>
      <c r="F2913" s="20"/>
      <c r="G2913" s="13" t="str">
        <f t="shared" si="9"/>
        <v/>
      </c>
      <c r="H2913" s="15" t="str">
        <f>IFERROR(VLOOKUP(A2913,Sheet1!$E$3:$F$27,2,),"")</f>
        <v/>
      </c>
      <c r="I2913" s="16" t="str">
        <f>IFERROR(VLOOKUP(A2913,Sheet1!$E$3:$G$27,3,0),"")</f>
        <v/>
      </c>
      <c r="J2913" s="20"/>
      <c r="K2913" s="17"/>
      <c r="L2913" s="17"/>
      <c r="M2913" s="13"/>
      <c r="N2913" s="23"/>
      <c r="O2913" s="22"/>
      <c r="P2913" s="22"/>
    </row>
    <row r="2914" ht="22.5" customHeight="1">
      <c r="A2914" s="20"/>
      <c r="B2914" s="20" t="str">
        <f>IFERROR(VLOOKUP(A2914,Sheet1!$E$3:$H$27,4,0),"")</f>
        <v/>
      </c>
      <c r="C2914" s="15"/>
      <c r="D2914" s="20"/>
      <c r="E2914" s="13" t="str">
        <f>IFERROR(VLOOKUP(D2914,Sheet1!$B$1:$C$45,2,0),"")</f>
        <v/>
      </c>
      <c r="F2914" s="20"/>
      <c r="G2914" s="13" t="str">
        <f t="shared" si="9"/>
        <v/>
      </c>
      <c r="H2914" s="15" t="str">
        <f>IFERROR(VLOOKUP(A2914,Sheet1!$E$3:$F$27,2,),"")</f>
        <v/>
      </c>
      <c r="I2914" s="16" t="str">
        <f>IFERROR(VLOOKUP(A2914,Sheet1!$E$3:$G$27,3,0),"")</f>
        <v/>
      </c>
      <c r="J2914" s="20"/>
      <c r="K2914" s="17"/>
      <c r="L2914" s="17"/>
      <c r="M2914" s="13"/>
      <c r="N2914" s="23"/>
      <c r="O2914" s="22"/>
      <c r="P2914" s="22"/>
    </row>
    <row r="2915" ht="22.5" customHeight="1">
      <c r="A2915" s="20"/>
      <c r="B2915" s="20" t="str">
        <f>IFERROR(VLOOKUP(A2915,Sheet1!$E$3:$H$27,4,0),"")</f>
        <v/>
      </c>
      <c r="C2915" s="15"/>
      <c r="D2915" s="20"/>
      <c r="E2915" s="13" t="str">
        <f>IFERROR(VLOOKUP(D2915,Sheet1!$B$1:$C$45,2,0),"")</f>
        <v/>
      </c>
      <c r="F2915" s="20"/>
      <c r="G2915" s="13" t="str">
        <f t="shared" si="9"/>
        <v/>
      </c>
      <c r="H2915" s="15" t="str">
        <f>IFERROR(VLOOKUP(A2915,Sheet1!$E$3:$F$27,2,),"")</f>
        <v/>
      </c>
      <c r="I2915" s="16" t="str">
        <f>IFERROR(VLOOKUP(A2915,Sheet1!$E$3:$G$27,3,0),"")</f>
        <v/>
      </c>
      <c r="J2915" s="20"/>
      <c r="K2915" s="17"/>
      <c r="L2915" s="17"/>
      <c r="M2915" s="13"/>
      <c r="N2915" s="23"/>
      <c r="O2915" s="22"/>
      <c r="P2915" s="22"/>
    </row>
    <row r="2916" ht="22.5" customHeight="1">
      <c r="A2916" s="20"/>
      <c r="B2916" s="20" t="str">
        <f>IFERROR(VLOOKUP(A2916,Sheet1!$E$3:$H$27,4,0),"")</f>
        <v/>
      </c>
      <c r="C2916" s="15"/>
      <c r="D2916" s="20"/>
      <c r="E2916" s="13" t="str">
        <f>IFERROR(VLOOKUP(D2916,Sheet1!$B$1:$C$45,2,0),"")</f>
        <v/>
      </c>
      <c r="F2916" s="20"/>
      <c r="G2916" s="13" t="str">
        <f t="shared" si="9"/>
        <v/>
      </c>
      <c r="H2916" s="15" t="str">
        <f>IFERROR(VLOOKUP(A2916,Sheet1!$E$3:$F$27,2,),"")</f>
        <v/>
      </c>
      <c r="I2916" s="16" t="str">
        <f>IFERROR(VLOOKUP(A2916,Sheet1!$E$3:$G$27,3,0),"")</f>
        <v/>
      </c>
      <c r="J2916" s="20"/>
      <c r="K2916" s="17"/>
      <c r="L2916" s="17"/>
      <c r="M2916" s="13"/>
      <c r="N2916" s="23"/>
      <c r="O2916" s="22"/>
      <c r="P2916" s="22"/>
    </row>
    <row r="2917" ht="22.5" customHeight="1">
      <c r="A2917" s="20"/>
      <c r="B2917" s="20" t="str">
        <f>IFERROR(VLOOKUP(A2917,Sheet1!$E$3:$H$27,4,0),"")</f>
        <v/>
      </c>
      <c r="C2917" s="15"/>
      <c r="D2917" s="20"/>
      <c r="E2917" s="13" t="str">
        <f>IFERROR(VLOOKUP(D2917,Sheet1!$B$1:$C$45,2,0),"")</f>
        <v/>
      </c>
      <c r="F2917" s="20"/>
      <c r="G2917" s="13" t="str">
        <f t="shared" si="9"/>
        <v/>
      </c>
      <c r="H2917" s="15" t="str">
        <f>IFERROR(VLOOKUP(A2917,Sheet1!$E$3:$F$27,2,),"")</f>
        <v/>
      </c>
      <c r="I2917" s="16" t="str">
        <f>IFERROR(VLOOKUP(A2917,Sheet1!$E$3:$G$27,3,0),"")</f>
        <v/>
      </c>
      <c r="J2917" s="20"/>
      <c r="K2917" s="17"/>
      <c r="L2917" s="17"/>
      <c r="M2917" s="13"/>
      <c r="N2917" s="23"/>
      <c r="O2917" s="22"/>
      <c r="P2917" s="22"/>
    </row>
    <row r="2918" ht="22.5" customHeight="1">
      <c r="A2918" s="20"/>
      <c r="B2918" s="20" t="str">
        <f>IFERROR(VLOOKUP(A2918,Sheet1!$E$3:$H$27,4,0),"")</f>
        <v/>
      </c>
      <c r="C2918" s="15"/>
      <c r="D2918" s="20"/>
      <c r="E2918" s="13" t="str">
        <f>IFERROR(VLOOKUP(D2918,Sheet1!$B$1:$C$45,2,0),"")</f>
        <v/>
      </c>
      <c r="F2918" s="20"/>
      <c r="G2918" s="13" t="str">
        <f t="shared" si="9"/>
        <v/>
      </c>
      <c r="H2918" s="15" t="str">
        <f>IFERROR(VLOOKUP(A2918,Sheet1!$E$3:$F$27,2,),"")</f>
        <v/>
      </c>
      <c r="I2918" s="16" t="str">
        <f>IFERROR(VLOOKUP(A2918,Sheet1!$E$3:$G$27,3,0),"")</f>
        <v/>
      </c>
      <c r="J2918" s="20"/>
      <c r="K2918" s="17"/>
      <c r="L2918" s="17"/>
      <c r="M2918" s="13"/>
      <c r="N2918" s="23"/>
      <c r="O2918" s="22"/>
      <c r="P2918" s="22"/>
    </row>
    <row r="2919" ht="22.5" customHeight="1">
      <c r="A2919" s="20"/>
      <c r="B2919" s="20" t="str">
        <f>IFERROR(VLOOKUP(A2919,Sheet1!$E$3:$H$27,4,0),"")</f>
        <v/>
      </c>
      <c r="C2919" s="15"/>
      <c r="D2919" s="20"/>
      <c r="E2919" s="13" t="str">
        <f>IFERROR(VLOOKUP(D2919,Sheet1!$B$1:$C$45,2,0),"")</f>
        <v/>
      </c>
      <c r="F2919" s="20"/>
      <c r="G2919" s="13" t="str">
        <f t="shared" si="9"/>
        <v/>
      </c>
      <c r="H2919" s="15" t="str">
        <f>IFERROR(VLOOKUP(A2919,Sheet1!$E$3:$F$27,2,),"")</f>
        <v/>
      </c>
      <c r="I2919" s="16" t="str">
        <f>IFERROR(VLOOKUP(A2919,Sheet1!$E$3:$G$27,3,0),"")</f>
        <v/>
      </c>
      <c r="J2919" s="20"/>
      <c r="K2919" s="17"/>
      <c r="L2919" s="17"/>
      <c r="M2919" s="13"/>
      <c r="N2919" s="23"/>
      <c r="O2919" s="22"/>
      <c r="P2919" s="22"/>
    </row>
    <row r="2920" ht="22.5" customHeight="1">
      <c r="A2920" s="20"/>
      <c r="B2920" s="20" t="str">
        <f>IFERROR(VLOOKUP(A2920,Sheet1!$E$3:$H$27,4,0),"")</f>
        <v/>
      </c>
      <c r="C2920" s="15"/>
      <c r="D2920" s="20"/>
      <c r="E2920" s="13" t="str">
        <f>IFERROR(VLOOKUP(D2920,Sheet1!$B$1:$C$45,2,0),"")</f>
        <v/>
      </c>
      <c r="F2920" s="20"/>
      <c r="G2920" s="13" t="str">
        <f t="shared" si="9"/>
        <v/>
      </c>
      <c r="H2920" s="15" t="str">
        <f>IFERROR(VLOOKUP(A2920,Sheet1!$E$3:$F$27,2,),"")</f>
        <v/>
      </c>
      <c r="I2920" s="16" t="str">
        <f>IFERROR(VLOOKUP(A2920,Sheet1!$E$3:$G$27,3,0),"")</f>
        <v/>
      </c>
      <c r="J2920" s="20"/>
      <c r="K2920" s="17"/>
      <c r="L2920" s="17"/>
      <c r="M2920" s="13"/>
      <c r="N2920" s="23"/>
      <c r="O2920" s="22"/>
      <c r="P2920" s="22"/>
    </row>
    <row r="2921" ht="22.5" customHeight="1">
      <c r="A2921" s="20"/>
      <c r="B2921" s="20" t="str">
        <f>IFERROR(VLOOKUP(A2921,Sheet1!$E$3:$H$27,4,0),"")</f>
        <v/>
      </c>
      <c r="C2921" s="15"/>
      <c r="D2921" s="20"/>
      <c r="E2921" s="13" t="str">
        <f>IFERROR(VLOOKUP(D2921,Sheet1!$B$1:$C$45,2,0),"")</f>
        <v/>
      </c>
      <c r="F2921" s="20"/>
      <c r="G2921" s="13" t="str">
        <f t="shared" si="9"/>
        <v/>
      </c>
      <c r="H2921" s="15" t="str">
        <f>IFERROR(VLOOKUP(A2921,Sheet1!$E$3:$F$27,2,),"")</f>
        <v/>
      </c>
      <c r="I2921" s="16" t="str">
        <f>IFERROR(VLOOKUP(A2921,Sheet1!$E$3:$G$27,3,0),"")</f>
        <v/>
      </c>
      <c r="J2921" s="20"/>
      <c r="K2921" s="17"/>
      <c r="L2921" s="17"/>
      <c r="M2921" s="13"/>
      <c r="N2921" s="23"/>
      <c r="O2921" s="22"/>
      <c r="P2921" s="22"/>
    </row>
    <row r="2922" ht="22.5" customHeight="1">
      <c r="A2922" s="20"/>
      <c r="B2922" s="20" t="str">
        <f>IFERROR(VLOOKUP(A2922,Sheet1!$E$3:$H$27,4,0),"")</f>
        <v/>
      </c>
      <c r="C2922" s="15"/>
      <c r="D2922" s="20"/>
      <c r="E2922" s="13" t="str">
        <f>IFERROR(VLOOKUP(D2922,Sheet1!$B$1:$C$45,2,0),"")</f>
        <v/>
      </c>
      <c r="F2922" s="20"/>
      <c r="G2922" s="13" t="str">
        <f t="shared" si="9"/>
        <v/>
      </c>
      <c r="H2922" s="15" t="str">
        <f>IFERROR(VLOOKUP(A2922,Sheet1!$E$3:$F$27,2,),"")</f>
        <v/>
      </c>
      <c r="I2922" s="16" t="str">
        <f>IFERROR(VLOOKUP(A2922,Sheet1!$E$3:$G$27,3,0),"")</f>
        <v/>
      </c>
      <c r="J2922" s="20"/>
      <c r="K2922" s="17"/>
      <c r="L2922" s="17"/>
      <c r="M2922" s="13"/>
      <c r="N2922" s="23"/>
      <c r="O2922" s="22"/>
      <c r="P2922" s="22"/>
    </row>
    <row r="2923" ht="22.5" customHeight="1">
      <c r="A2923" s="20"/>
      <c r="B2923" s="20" t="str">
        <f>IFERROR(VLOOKUP(A2923,Sheet1!$E$3:$H$27,4,0),"")</f>
        <v/>
      </c>
      <c r="C2923" s="15"/>
      <c r="D2923" s="20"/>
      <c r="E2923" s="13" t="str">
        <f>IFERROR(VLOOKUP(D2923,Sheet1!$B$1:$C$45,2,0),"")</f>
        <v/>
      </c>
      <c r="F2923" s="20"/>
      <c r="G2923" s="13" t="str">
        <f t="shared" si="9"/>
        <v/>
      </c>
      <c r="H2923" s="15" t="str">
        <f>IFERROR(VLOOKUP(A2923,Sheet1!$E$3:$F$27,2,),"")</f>
        <v/>
      </c>
      <c r="I2923" s="16" t="str">
        <f>IFERROR(VLOOKUP(A2923,Sheet1!$E$3:$G$27,3,0),"")</f>
        <v/>
      </c>
      <c r="J2923" s="20"/>
      <c r="K2923" s="17"/>
      <c r="L2923" s="17"/>
      <c r="M2923" s="13"/>
      <c r="N2923" s="23"/>
      <c r="O2923" s="22"/>
      <c r="P2923" s="22"/>
    </row>
    <row r="2924" ht="22.5" customHeight="1">
      <c r="A2924" s="20"/>
      <c r="B2924" s="20" t="str">
        <f>IFERROR(VLOOKUP(A2924,Sheet1!$E$3:$H$27,4,0),"")</f>
        <v/>
      </c>
      <c r="C2924" s="15"/>
      <c r="D2924" s="20"/>
      <c r="E2924" s="13" t="str">
        <f>IFERROR(VLOOKUP(D2924,Sheet1!$B$1:$C$45,2,0),"")</f>
        <v/>
      </c>
      <c r="F2924" s="20"/>
      <c r="G2924" s="13" t="str">
        <f t="shared" si="9"/>
        <v/>
      </c>
      <c r="H2924" s="15" t="str">
        <f>IFERROR(VLOOKUP(A2924,Sheet1!$E$3:$F$27,2,),"")</f>
        <v/>
      </c>
      <c r="I2924" s="16" t="str">
        <f>IFERROR(VLOOKUP(A2924,Sheet1!$E$3:$G$27,3,0),"")</f>
        <v/>
      </c>
      <c r="J2924" s="20"/>
      <c r="K2924" s="17"/>
      <c r="L2924" s="17"/>
      <c r="M2924" s="13"/>
      <c r="N2924" s="23"/>
      <c r="O2924" s="22"/>
      <c r="P2924" s="22"/>
    </row>
    <row r="2925" ht="22.5" customHeight="1">
      <c r="A2925" s="20"/>
      <c r="B2925" s="20" t="str">
        <f>IFERROR(VLOOKUP(A2925,Sheet1!$E$3:$H$27,4,0),"")</f>
        <v/>
      </c>
      <c r="C2925" s="15"/>
      <c r="D2925" s="20"/>
      <c r="E2925" s="13" t="str">
        <f>IFERROR(VLOOKUP(D2925,Sheet1!$B$1:$C$45,2,0),"")</f>
        <v/>
      </c>
      <c r="F2925" s="20"/>
      <c r="G2925" s="13" t="str">
        <f t="shared" si="9"/>
        <v/>
      </c>
      <c r="H2925" s="15" t="str">
        <f>IFERROR(VLOOKUP(A2925,Sheet1!$E$3:$F$27,2,),"")</f>
        <v/>
      </c>
      <c r="I2925" s="16" t="str">
        <f>IFERROR(VLOOKUP(A2925,Sheet1!$E$3:$G$27,3,0),"")</f>
        <v/>
      </c>
      <c r="J2925" s="20"/>
      <c r="K2925" s="17"/>
      <c r="L2925" s="17"/>
      <c r="M2925" s="13"/>
      <c r="N2925" s="23"/>
      <c r="O2925" s="22"/>
      <c r="P2925" s="22"/>
    </row>
    <row r="2926" ht="22.5" customHeight="1">
      <c r="A2926" s="20"/>
      <c r="B2926" s="20" t="str">
        <f>IFERROR(VLOOKUP(A2926,Sheet1!$E$3:$H$27,4,0),"")</f>
        <v/>
      </c>
      <c r="C2926" s="15"/>
      <c r="D2926" s="20"/>
      <c r="E2926" s="13" t="str">
        <f>IFERROR(VLOOKUP(D2926,Sheet1!$B$1:$C$45,2,0),"")</f>
        <v/>
      </c>
      <c r="F2926" s="20"/>
      <c r="G2926" s="13" t="str">
        <f t="shared" si="9"/>
        <v/>
      </c>
      <c r="H2926" s="15" t="str">
        <f>IFERROR(VLOOKUP(A2926,Sheet1!$E$3:$F$27,2,),"")</f>
        <v/>
      </c>
      <c r="I2926" s="16" t="str">
        <f>IFERROR(VLOOKUP(A2926,Sheet1!$E$3:$G$27,3,0),"")</f>
        <v/>
      </c>
      <c r="J2926" s="20"/>
      <c r="K2926" s="17"/>
      <c r="L2926" s="17"/>
      <c r="M2926" s="13"/>
      <c r="N2926" s="23"/>
      <c r="O2926" s="22"/>
      <c r="P2926" s="22"/>
    </row>
    <row r="2927" ht="22.5" customHeight="1">
      <c r="A2927" s="20"/>
      <c r="B2927" s="20" t="str">
        <f>IFERROR(VLOOKUP(A2927,Sheet1!$E$3:$H$27,4,0),"")</f>
        <v/>
      </c>
      <c r="C2927" s="15"/>
      <c r="D2927" s="20"/>
      <c r="E2927" s="13" t="str">
        <f>IFERROR(VLOOKUP(D2927,Sheet1!$B$1:$C$45,2,0),"")</f>
        <v/>
      </c>
      <c r="F2927" s="20"/>
      <c r="G2927" s="13" t="str">
        <f t="shared" si="9"/>
        <v/>
      </c>
      <c r="H2927" s="15" t="str">
        <f>IFERROR(VLOOKUP(A2927,Sheet1!$E$3:$F$27,2,),"")</f>
        <v/>
      </c>
      <c r="I2927" s="16" t="str">
        <f>IFERROR(VLOOKUP(A2927,Sheet1!$E$3:$G$27,3,0),"")</f>
        <v/>
      </c>
      <c r="J2927" s="20"/>
      <c r="K2927" s="17"/>
      <c r="L2927" s="17"/>
      <c r="M2927" s="13"/>
      <c r="N2927" s="23"/>
      <c r="O2927" s="22"/>
      <c r="P2927" s="22"/>
    </row>
    <row r="2928" ht="22.5" customHeight="1">
      <c r="A2928" s="20"/>
      <c r="B2928" s="20" t="str">
        <f>IFERROR(VLOOKUP(A2928,Sheet1!$E$3:$H$27,4,0),"")</f>
        <v/>
      </c>
      <c r="C2928" s="15"/>
      <c r="D2928" s="20"/>
      <c r="E2928" s="13" t="str">
        <f>IFERROR(VLOOKUP(D2928,Sheet1!$B$1:$C$45,2,0),"")</f>
        <v/>
      </c>
      <c r="F2928" s="20"/>
      <c r="G2928" s="13" t="str">
        <f t="shared" si="9"/>
        <v/>
      </c>
      <c r="H2928" s="15" t="str">
        <f>IFERROR(VLOOKUP(A2928,Sheet1!$E$3:$F$27,2,),"")</f>
        <v/>
      </c>
      <c r="I2928" s="16" t="str">
        <f>IFERROR(VLOOKUP(A2928,Sheet1!$E$3:$G$27,3,0),"")</f>
        <v/>
      </c>
      <c r="J2928" s="20"/>
      <c r="K2928" s="17"/>
      <c r="L2928" s="17"/>
      <c r="M2928" s="13"/>
      <c r="N2928" s="23"/>
      <c r="O2928" s="22"/>
      <c r="P2928" s="22"/>
    </row>
    <row r="2929" ht="22.5" customHeight="1">
      <c r="A2929" s="20"/>
      <c r="B2929" s="20" t="str">
        <f>IFERROR(VLOOKUP(A2929,Sheet1!$E$3:$H$27,4,0),"")</f>
        <v/>
      </c>
      <c r="C2929" s="15"/>
      <c r="D2929" s="20"/>
      <c r="E2929" s="13" t="str">
        <f>IFERROR(VLOOKUP(D2929,Sheet1!$B$1:$C$45,2,0),"")</f>
        <v/>
      </c>
      <c r="F2929" s="20"/>
      <c r="G2929" s="13" t="str">
        <f t="shared" si="9"/>
        <v/>
      </c>
      <c r="H2929" s="15" t="str">
        <f>IFERROR(VLOOKUP(A2929,Sheet1!$E$3:$F$27,2,),"")</f>
        <v/>
      </c>
      <c r="I2929" s="16" t="str">
        <f>IFERROR(VLOOKUP(A2929,Sheet1!$E$3:$G$27,3,0),"")</f>
        <v/>
      </c>
      <c r="J2929" s="20"/>
      <c r="K2929" s="17"/>
      <c r="L2929" s="17"/>
      <c r="M2929" s="13"/>
      <c r="N2929" s="23"/>
      <c r="O2929" s="22"/>
      <c r="P2929" s="22"/>
    </row>
    <row r="2930" ht="22.5" customHeight="1">
      <c r="A2930" s="20"/>
      <c r="B2930" s="20" t="str">
        <f>IFERROR(VLOOKUP(A2930,Sheet1!$E$3:$H$27,4,0),"")</f>
        <v/>
      </c>
      <c r="C2930" s="15"/>
      <c r="D2930" s="20"/>
      <c r="E2930" s="13" t="str">
        <f>IFERROR(VLOOKUP(D2930,Sheet1!$B$1:$C$45,2,0),"")</f>
        <v/>
      </c>
      <c r="F2930" s="20"/>
      <c r="G2930" s="13" t="str">
        <f t="shared" si="9"/>
        <v/>
      </c>
      <c r="H2930" s="15" t="str">
        <f>IFERROR(VLOOKUP(A2930,Sheet1!$E$3:$F$27,2,),"")</f>
        <v/>
      </c>
      <c r="I2930" s="16" t="str">
        <f>IFERROR(VLOOKUP(A2930,Sheet1!$E$3:$G$27,3,0),"")</f>
        <v/>
      </c>
      <c r="J2930" s="20"/>
      <c r="K2930" s="17"/>
      <c r="L2930" s="17"/>
      <c r="M2930" s="13"/>
      <c r="N2930" s="23"/>
      <c r="O2930" s="22"/>
      <c r="P2930" s="22"/>
    </row>
    <row r="2931" ht="22.5" customHeight="1">
      <c r="A2931" s="20"/>
      <c r="B2931" s="20" t="str">
        <f>IFERROR(VLOOKUP(A2931,Sheet1!$E$3:$H$27,4,0),"")</f>
        <v/>
      </c>
      <c r="C2931" s="15"/>
      <c r="D2931" s="20"/>
      <c r="E2931" s="13" t="str">
        <f>IFERROR(VLOOKUP(D2931,Sheet1!$B$1:$C$45,2,0),"")</f>
        <v/>
      </c>
      <c r="F2931" s="20"/>
      <c r="G2931" s="13" t="str">
        <f t="shared" si="9"/>
        <v/>
      </c>
      <c r="H2931" s="15" t="str">
        <f>IFERROR(VLOOKUP(A2931,Sheet1!$E$3:$F$27,2,),"")</f>
        <v/>
      </c>
      <c r="I2931" s="16" t="str">
        <f>IFERROR(VLOOKUP(A2931,Sheet1!$E$3:$G$27,3,0),"")</f>
        <v/>
      </c>
      <c r="J2931" s="20"/>
      <c r="K2931" s="17"/>
      <c r="L2931" s="17"/>
      <c r="M2931" s="13"/>
      <c r="N2931" s="23"/>
      <c r="O2931" s="22"/>
      <c r="P2931" s="22"/>
    </row>
    <row r="2932" ht="22.5" customHeight="1">
      <c r="A2932" s="20"/>
      <c r="B2932" s="20" t="str">
        <f>IFERROR(VLOOKUP(A2932,Sheet1!$E$3:$H$27,4,0),"")</f>
        <v/>
      </c>
      <c r="C2932" s="15"/>
      <c r="D2932" s="20"/>
      <c r="E2932" s="13" t="str">
        <f>IFERROR(VLOOKUP(D2932,Sheet1!$B$1:$C$45,2,0),"")</f>
        <v/>
      </c>
      <c r="F2932" s="20"/>
      <c r="G2932" s="13" t="str">
        <f t="shared" si="9"/>
        <v/>
      </c>
      <c r="H2932" s="15" t="str">
        <f>IFERROR(VLOOKUP(A2932,Sheet1!$E$3:$F$27,2,),"")</f>
        <v/>
      </c>
      <c r="I2932" s="16" t="str">
        <f>IFERROR(VLOOKUP(A2932,Sheet1!$E$3:$G$27,3,0),"")</f>
        <v/>
      </c>
      <c r="J2932" s="20"/>
      <c r="K2932" s="17"/>
      <c r="L2932" s="17"/>
      <c r="M2932" s="13"/>
      <c r="N2932" s="23"/>
      <c r="O2932" s="22"/>
      <c r="P2932" s="22"/>
    </row>
    <row r="2933" ht="22.5" customHeight="1">
      <c r="A2933" s="20"/>
      <c r="B2933" s="20" t="str">
        <f>IFERROR(VLOOKUP(A2933,Sheet1!$E$3:$H$27,4,0),"")</f>
        <v/>
      </c>
      <c r="C2933" s="15"/>
      <c r="D2933" s="20"/>
      <c r="E2933" s="13" t="str">
        <f>IFERROR(VLOOKUP(D2933,Sheet1!$B$1:$C$45,2,0),"")</f>
        <v/>
      </c>
      <c r="F2933" s="20"/>
      <c r="G2933" s="13" t="str">
        <f t="shared" si="9"/>
        <v/>
      </c>
      <c r="H2933" s="15" t="str">
        <f>IFERROR(VLOOKUP(A2933,Sheet1!$E$3:$F$27,2,),"")</f>
        <v/>
      </c>
      <c r="I2933" s="16" t="str">
        <f>IFERROR(VLOOKUP(A2933,Sheet1!$E$3:$G$27,3,0),"")</f>
        <v/>
      </c>
      <c r="J2933" s="20"/>
      <c r="K2933" s="17"/>
      <c r="L2933" s="17"/>
      <c r="M2933" s="13"/>
      <c r="N2933" s="23"/>
      <c r="O2933" s="22"/>
      <c r="P2933" s="22"/>
    </row>
    <row r="2934" ht="22.5" customHeight="1">
      <c r="A2934" s="20"/>
      <c r="B2934" s="20" t="str">
        <f>IFERROR(VLOOKUP(A2934,Sheet1!$E$3:$H$27,4,0),"")</f>
        <v/>
      </c>
      <c r="C2934" s="15"/>
      <c r="D2934" s="20"/>
      <c r="E2934" s="13" t="str">
        <f>IFERROR(VLOOKUP(D2934,Sheet1!$B$1:$C$45,2,0),"")</f>
        <v/>
      </c>
      <c r="F2934" s="20"/>
      <c r="G2934" s="13" t="str">
        <f t="shared" si="9"/>
        <v/>
      </c>
      <c r="H2934" s="15" t="str">
        <f>IFERROR(VLOOKUP(A2934,Sheet1!$E$3:$F$27,2,),"")</f>
        <v/>
      </c>
      <c r="I2934" s="16" t="str">
        <f>IFERROR(VLOOKUP(A2934,Sheet1!$E$3:$G$27,3,0),"")</f>
        <v/>
      </c>
      <c r="J2934" s="20"/>
      <c r="K2934" s="17"/>
      <c r="L2934" s="17"/>
      <c r="M2934" s="13"/>
      <c r="N2934" s="23"/>
      <c r="O2934" s="22"/>
      <c r="P2934" s="22"/>
    </row>
    <row r="2935" ht="22.5" customHeight="1">
      <c r="A2935" s="20"/>
      <c r="B2935" s="20" t="str">
        <f>IFERROR(VLOOKUP(A2935,Sheet1!$E$3:$H$27,4,0),"")</f>
        <v/>
      </c>
      <c r="C2935" s="15"/>
      <c r="D2935" s="20"/>
      <c r="E2935" s="13" t="str">
        <f>IFERROR(VLOOKUP(D2935,Sheet1!$B$1:$C$45,2,0),"")</f>
        <v/>
      </c>
      <c r="F2935" s="20"/>
      <c r="G2935" s="13" t="str">
        <f t="shared" si="9"/>
        <v/>
      </c>
      <c r="H2935" s="15" t="str">
        <f>IFERROR(VLOOKUP(A2935,Sheet1!$E$3:$F$27,2,),"")</f>
        <v/>
      </c>
      <c r="I2935" s="16" t="str">
        <f>IFERROR(VLOOKUP(A2935,Sheet1!$E$3:$G$27,3,0),"")</f>
        <v/>
      </c>
      <c r="J2935" s="20"/>
      <c r="K2935" s="17"/>
      <c r="L2935" s="17"/>
      <c r="M2935" s="13"/>
      <c r="N2935" s="23"/>
      <c r="O2935" s="22"/>
      <c r="P2935" s="22"/>
    </row>
    <row r="2936" ht="22.5" customHeight="1">
      <c r="A2936" s="20"/>
      <c r="B2936" s="20" t="str">
        <f>IFERROR(VLOOKUP(A2936,Sheet1!$E$3:$H$27,4,0),"")</f>
        <v/>
      </c>
      <c r="C2936" s="15"/>
      <c r="D2936" s="20"/>
      <c r="E2936" s="13" t="str">
        <f>IFERROR(VLOOKUP(D2936,Sheet1!$B$1:$C$45,2,0),"")</f>
        <v/>
      </c>
      <c r="F2936" s="20"/>
      <c r="G2936" s="13" t="str">
        <f t="shared" si="9"/>
        <v/>
      </c>
      <c r="H2936" s="15" t="str">
        <f>IFERROR(VLOOKUP(A2936,Sheet1!$E$3:$F$27,2,),"")</f>
        <v/>
      </c>
      <c r="I2936" s="16" t="str">
        <f>IFERROR(VLOOKUP(A2936,Sheet1!$E$3:$G$27,3,0),"")</f>
        <v/>
      </c>
      <c r="J2936" s="20"/>
      <c r="K2936" s="17"/>
      <c r="L2936" s="17"/>
      <c r="M2936" s="13"/>
      <c r="N2936" s="23"/>
      <c r="O2936" s="22"/>
      <c r="P2936" s="22"/>
    </row>
    <row r="2937" ht="22.5" customHeight="1">
      <c r="A2937" s="20"/>
      <c r="B2937" s="20" t="str">
        <f>IFERROR(VLOOKUP(A2937,Sheet1!$E$3:$H$27,4,0),"")</f>
        <v/>
      </c>
      <c r="C2937" s="15"/>
      <c r="D2937" s="20"/>
      <c r="E2937" s="13" t="str">
        <f>IFERROR(VLOOKUP(D2937,Sheet1!$B$1:$C$45,2,0),"")</f>
        <v/>
      </c>
      <c r="F2937" s="20"/>
      <c r="G2937" s="13" t="str">
        <f t="shared" si="9"/>
        <v/>
      </c>
      <c r="H2937" s="15" t="str">
        <f>IFERROR(VLOOKUP(A2937,Sheet1!$E$3:$F$27,2,),"")</f>
        <v/>
      </c>
      <c r="I2937" s="16" t="str">
        <f>IFERROR(VLOOKUP(A2937,Sheet1!$E$3:$G$27,3,0),"")</f>
        <v/>
      </c>
      <c r="J2937" s="20"/>
      <c r="K2937" s="17"/>
      <c r="L2937" s="17"/>
      <c r="M2937" s="13"/>
      <c r="N2937" s="23"/>
      <c r="O2937" s="22"/>
      <c r="P2937" s="22"/>
    </row>
    <row r="2938" ht="22.5" customHeight="1">
      <c r="A2938" s="20"/>
      <c r="B2938" s="20" t="str">
        <f>IFERROR(VLOOKUP(A2938,Sheet1!$E$3:$H$27,4,0),"")</f>
        <v/>
      </c>
      <c r="C2938" s="15"/>
      <c r="D2938" s="20"/>
      <c r="E2938" s="13" t="str">
        <f>IFERROR(VLOOKUP(D2938,Sheet1!$B$1:$C$45,2,0),"")</f>
        <v/>
      </c>
      <c r="F2938" s="20"/>
      <c r="G2938" s="13" t="str">
        <f t="shared" si="9"/>
        <v/>
      </c>
      <c r="H2938" s="15" t="str">
        <f>IFERROR(VLOOKUP(A2938,Sheet1!$E$3:$F$27,2,),"")</f>
        <v/>
      </c>
      <c r="I2938" s="16" t="str">
        <f>IFERROR(VLOOKUP(A2938,Sheet1!$E$3:$G$27,3,0),"")</f>
        <v/>
      </c>
      <c r="J2938" s="20"/>
      <c r="K2938" s="17"/>
      <c r="L2938" s="17"/>
      <c r="M2938" s="13"/>
      <c r="N2938" s="23"/>
      <c r="O2938" s="22"/>
      <c r="P2938" s="22"/>
    </row>
    <row r="2939" ht="22.5" customHeight="1">
      <c r="A2939" s="20"/>
      <c r="B2939" s="20" t="str">
        <f>IFERROR(VLOOKUP(A2939,Sheet1!$E$3:$H$27,4,0),"")</f>
        <v/>
      </c>
      <c r="C2939" s="15"/>
      <c r="D2939" s="20"/>
      <c r="E2939" s="13" t="str">
        <f>IFERROR(VLOOKUP(D2939,Sheet1!$B$1:$C$45,2,0),"")</f>
        <v/>
      </c>
      <c r="F2939" s="20"/>
      <c r="G2939" s="13" t="str">
        <f t="shared" si="9"/>
        <v/>
      </c>
      <c r="H2939" s="15" t="str">
        <f>IFERROR(VLOOKUP(A2939,Sheet1!$E$3:$F$27,2,),"")</f>
        <v/>
      </c>
      <c r="I2939" s="16" t="str">
        <f>IFERROR(VLOOKUP(A2939,Sheet1!$E$3:$G$27,3,0),"")</f>
        <v/>
      </c>
      <c r="J2939" s="20"/>
      <c r="K2939" s="17"/>
      <c r="L2939" s="17"/>
      <c r="M2939" s="13"/>
      <c r="N2939" s="23"/>
      <c r="O2939" s="22"/>
      <c r="P2939" s="22"/>
    </row>
    <row r="2940" ht="22.5" customHeight="1">
      <c r="A2940" s="20"/>
      <c r="B2940" s="20" t="str">
        <f>IFERROR(VLOOKUP(A2940,Sheet1!$E$3:$H$27,4,0),"")</f>
        <v/>
      </c>
      <c r="C2940" s="15"/>
      <c r="D2940" s="20"/>
      <c r="E2940" s="13" t="str">
        <f>IFERROR(VLOOKUP(D2940,Sheet1!$B$1:$C$45,2,0),"")</f>
        <v/>
      </c>
      <c r="F2940" s="20"/>
      <c r="G2940" s="13" t="str">
        <f t="shared" si="9"/>
        <v/>
      </c>
      <c r="H2940" s="15" t="str">
        <f>IFERROR(VLOOKUP(A2940,Sheet1!$E$3:$F$27,2,),"")</f>
        <v/>
      </c>
      <c r="I2940" s="16" t="str">
        <f>IFERROR(VLOOKUP(A2940,Sheet1!$E$3:$G$27,3,0),"")</f>
        <v/>
      </c>
      <c r="J2940" s="20"/>
      <c r="K2940" s="17"/>
      <c r="L2940" s="17"/>
      <c r="M2940" s="13"/>
      <c r="N2940" s="23"/>
      <c r="O2940" s="22"/>
      <c r="P2940" s="22"/>
    </row>
    <row r="2941" ht="22.5" customHeight="1">
      <c r="A2941" s="20"/>
      <c r="B2941" s="20" t="str">
        <f>IFERROR(VLOOKUP(A2941,Sheet1!$E$3:$H$27,4,0),"")</f>
        <v/>
      </c>
      <c r="C2941" s="15"/>
      <c r="D2941" s="20"/>
      <c r="E2941" s="13" t="str">
        <f>IFERROR(VLOOKUP(D2941,Sheet1!$B$1:$C$45,2,0),"")</f>
        <v/>
      </c>
      <c r="F2941" s="20"/>
      <c r="G2941" s="13" t="str">
        <f t="shared" si="9"/>
        <v/>
      </c>
      <c r="H2941" s="15" t="str">
        <f>IFERROR(VLOOKUP(A2941,Sheet1!$E$3:$F$27,2,),"")</f>
        <v/>
      </c>
      <c r="I2941" s="16" t="str">
        <f>IFERROR(VLOOKUP(A2941,Sheet1!$E$3:$G$27,3,0),"")</f>
        <v/>
      </c>
      <c r="J2941" s="20"/>
      <c r="K2941" s="17"/>
      <c r="L2941" s="17"/>
      <c r="M2941" s="13"/>
      <c r="N2941" s="23"/>
      <c r="O2941" s="22"/>
      <c r="P2941" s="22"/>
    </row>
    <row r="2942" ht="22.5" customHeight="1">
      <c r="A2942" s="20"/>
      <c r="B2942" s="20" t="str">
        <f>IFERROR(VLOOKUP(A2942,Sheet1!$E$3:$H$27,4,0),"")</f>
        <v/>
      </c>
      <c r="C2942" s="15"/>
      <c r="D2942" s="20"/>
      <c r="E2942" s="13" t="str">
        <f>IFERROR(VLOOKUP(D2942,Sheet1!$B$1:$C$45,2,0),"")</f>
        <v/>
      </c>
      <c r="F2942" s="20"/>
      <c r="G2942" s="13" t="str">
        <f t="shared" si="9"/>
        <v/>
      </c>
      <c r="H2942" s="15" t="str">
        <f>IFERROR(VLOOKUP(A2942,Sheet1!$E$3:$F$27,2,),"")</f>
        <v/>
      </c>
      <c r="I2942" s="16" t="str">
        <f>IFERROR(VLOOKUP(A2942,Sheet1!$E$3:$G$27,3,0),"")</f>
        <v/>
      </c>
      <c r="J2942" s="20"/>
      <c r="K2942" s="17"/>
      <c r="L2942" s="17"/>
      <c r="M2942" s="13"/>
      <c r="N2942" s="23"/>
      <c r="O2942" s="22"/>
      <c r="P2942" s="22"/>
    </row>
    <row r="2943" ht="22.5" customHeight="1">
      <c r="A2943" s="20"/>
      <c r="B2943" s="20" t="str">
        <f>IFERROR(VLOOKUP(A2943,Sheet1!$E$3:$H$27,4,0),"")</f>
        <v/>
      </c>
      <c r="C2943" s="15"/>
      <c r="D2943" s="20"/>
      <c r="E2943" s="13" t="str">
        <f>IFERROR(VLOOKUP(D2943,Sheet1!$B$1:$C$45,2,0),"")</f>
        <v/>
      </c>
      <c r="F2943" s="20"/>
      <c r="G2943" s="13" t="str">
        <f t="shared" si="9"/>
        <v/>
      </c>
      <c r="H2943" s="15" t="str">
        <f>IFERROR(VLOOKUP(A2943,Sheet1!$E$3:$F$27,2,),"")</f>
        <v/>
      </c>
      <c r="I2943" s="16" t="str">
        <f>IFERROR(VLOOKUP(A2943,Sheet1!$E$3:$G$27,3,0),"")</f>
        <v/>
      </c>
      <c r="J2943" s="20"/>
      <c r="K2943" s="17"/>
      <c r="L2943" s="17"/>
      <c r="M2943" s="13"/>
      <c r="N2943" s="23"/>
      <c r="O2943" s="22"/>
      <c r="P2943" s="22"/>
    </row>
    <row r="2944" ht="22.5" customHeight="1">
      <c r="A2944" s="20"/>
      <c r="B2944" s="20" t="str">
        <f>IFERROR(VLOOKUP(A2944,Sheet1!$E$3:$H$27,4,0),"")</f>
        <v/>
      </c>
      <c r="C2944" s="15"/>
      <c r="D2944" s="20"/>
      <c r="E2944" s="13" t="str">
        <f>IFERROR(VLOOKUP(D2944,Sheet1!$B$1:$C$45,2,0),"")</f>
        <v/>
      </c>
      <c r="F2944" s="20"/>
      <c r="G2944" s="13" t="str">
        <f t="shared" si="9"/>
        <v/>
      </c>
      <c r="H2944" s="15" t="str">
        <f>IFERROR(VLOOKUP(A2944,Sheet1!$E$3:$F$27,2,),"")</f>
        <v/>
      </c>
      <c r="I2944" s="16" t="str">
        <f>IFERROR(VLOOKUP(A2944,Sheet1!$E$3:$G$27,3,0),"")</f>
        <v/>
      </c>
      <c r="J2944" s="20"/>
      <c r="K2944" s="17"/>
      <c r="L2944" s="17"/>
      <c r="M2944" s="13"/>
      <c r="N2944" s="23"/>
      <c r="O2944" s="22"/>
      <c r="P2944" s="22"/>
    </row>
    <row r="2945" ht="22.5" customHeight="1">
      <c r="A2945" s="20"/>
      <c r="B2945" s="20" t="str">
        <f>IFERROR(VLOOKUP(A2945,Sheet1!$E$3:$H$27,4,0),"")</f>
        <v/>
      </c>
      <c r="C2945" s="15"/>
      <c r="D2945" s="20"/>
      <c r="E2945" s="13" t="str">
        <f>IFERROR(VLOOKUP(D2945,Sheet1!$B$1:$C$45,2,0),"")</f>
        <v/>
      </c>
      <c r="F2945" s="20"/>
      <c r="G2945" s="13" t="str">
        <f t="shared" si="9"/>
        <v/>
      </c>
      <c r="H2945" s="15" t="str">
        <f>IFERROR(VLOOKUP(A2945,Sheet1!$E$3:$F$27,2,),"")</f>
        <v/>
      </c>
      <c r="I2945" s="16" t="str">
        <f>IFERROR(VLOOKUP(A2945,Sheet1!$E$3:$G$27,3,0),"")</f>
        <v/>
      </c>
      <c r="J2945" s="20"/>
      <c r="K2945" s="17"/>
      <c r="L2945" s="17"/>
      <c r="M2945" s="13"/>
      <c r="N2945" s="23"/>
      <c r="O2945" s="22"/>
      <c r="P2945" s="22"/>
    </row>
    <row r="2946" ht="22.5" customHeight="1">
      <c r="A2946" s="20"/>
      <c r="B2946" s="20" t="str">
        <f>IFERROR(VLOOKUP(A2946,Sheet1!$E$3:$H$27,4,0),"")</f>
        <v/>
      </c>
      <c r="C2946" s="15"/>
      <c r="D2946" s="20"/>
      <c r="E2946" s="13" t="str">
        <f>IFERROR(VLOOKUP(D2946,Sheet1!$B$1:$C$45,2,0),"")</f>
        <v/>
      </c>
      <c r="F2946" s="20"/>
      <c r="G2946" s="13" t="str">
        <f t="shared" si="9"/>
        <v/>
      </c>
      <c r="H2946" s="15" t="str">
        <f>IFERROR(VLOOKUP(A2946,Sheet1!$E$3:$F$27,2,),"")</f>
        <v/>
      </c>
      <c r="I2946" s="16" t="str">
        <f>IFERROR(VLOOKUP(A2946,Sheet1!$E$3:$G$27,3,0),"")</f>
        <v/>
      </c>
      <c r="J2946" s="20"/>
      <c r="K2946" s="17"/>
      <c r="L2946" s="17"/>
      <c r="M2946" s="13"/>
      <c r="N2946" s="23"/>
      <c r="O2946" s="22"/>
      <c r="P2946" s="22"/>
    </row>
    <row r="2947" ht="22.5" customHeight="1">
      <c r="A2947" s="20"/>
      <c r="B2947" s="20" t="str">
        <f>IFERROR(VLOOKUP(A2947,Sheet1!$E$3:$H$27,4,0),"")</f>
        <v/>
      </c>
      <c r="C2947" s="15"/>
      <c r="D2947" s="20"/>
      <c r="E2947" s="13" t="str">
        <f>IFERROR(VLOOKUP(D2947,Sheet1!$B$1:$C$45,2,0),"")</f>
        <v/>
      </c>
      <c r="F2947" s="20"/>
      <c r="G2947" s="13" t="str">
        <f t="shared" si="9"/>
        <v/>
      </c>
      <c r="H2947" s="15" t="str">
        <f>IFERROR(VLOOKUP(A2947,Sheet1!$E$3:$F$27,2,),"")</f>
        <v/>
      </c>
      <c r="I2947" s="16" t="str">
        <f>IFERROR(VLOOKUP(A2947,Sheet1!$E$3:$G$27,3,0),"")</f>
        <v/>
      </c>
      <c r="J2947" s="20"/>
      <c r="K2947" s="17"/>
      <c r="L2947" s="17"/>
      <c r="M2947" s="13"/>
      <c r="N2947" s="23"/>
      <c r="O2947" s="22"/>
      <c r="P2947" s="22"/>
    </row>
    <row r="2948" ht="22.5" customHeight="1">
      <c r="A2948" s="20"/>
      <c r="B2948" s="20" t="str">
        <f>IFERROR(VLOOKUP(A2948,Sheet1!$E$3:$H$27,4,0),"")</f>
        <v/>
      </c>
      <c r="C2948" s="15"/>
      <c r="D2948" s="20"/>
      <c r="E2948" s="13" t="str">
        <f>IFERROR(VLOOKUP(D2948,Sheet1!$B$1:$C$45,2,0),"")</f>
        <v/>
      </c>
      <c r="F2948" s="20"/>
      <c r="G2948" s="13" t="str">
        <f t="shared" si="9"/>
        <v/>
      </c>
      <c r="H2948" s="15" t="str">
        <f>IFERROR(VLOOKUP(A2948,Sheet1!$E$3:$F$27,2,),"")</f>
        <v/>
      </c>
      <c r="I2948" s="16" t="str">
        <f>IFERROR(VLOOKUP(A2948,Sheet1!$E$3:$G$27,3,0),"")</f>
        <v/>
      </c>
      <c r="J2948" s="20"/>
      <c r="K2948" s="17"/>
      <c r="L2948" s="17"/>
      <c r="M2948" s="13"/>
      <c r="N2948" s="23"/>
      <c r="O2948" s="22"/>
      <c r="P2948" s="22"/>
    </row>
    <row r="2949" ht="22.5" customHeight="1">
      <c r="A2949" s="20"/>
      <c r="B2949" s="20" t="str">
        <f>IFERROR(VLOOKUP(A2949,Sheet1!$E$3:$H$27,4,0),"")</f>
        <v/>
      </c>
      <c r="C2949" s="15"/>
      <c r="D2949" s="20"/>
      <c r="E2949" s="13" t="str">
        <f>IFERROR(VLOOKUP(D2949,Sheet1!$B$1:$C$45,2,0),"")</f>
        <v/>
      </c>
      <c r="F2949" s="20"/>
      <c r="G2949" s="13" t="str">
        <f t="shared" si="9"/>
        <v/>
      </c>
      <c r="H2949" s="15" t="str">
        <f>IFERROR(VLOOKUP(A2949,Sheet1!$E$3:$F$27,2,),"")</f>
        <v/>
      </c>
      <c r="I2949" s="16" t="str">
        <f>IFERROR(VLOOKUP(A2949,Sheet1!$E$3:$G$27,3,0),"")</f>
        <v/>
      </c>
      <c r="J2949" s="20"/>
      <c r="K2949" s="17"/>
      <c r="L2949" s="17"/>
      <c r="M2949" s="13"/>
      <c r="N2949" s="23"/>
      <c r="O2949" s="22"/>
      <c r="P2949" s="22"/>
    </row>
    <row r="2950" ht="22.5" customHeight="1">
      <c r="A2950" s="20"/>
      <c r="B2950" s="20" t="str">
        <f>IFERROR(VLOOKUP(A2950,Sheet1!$E$3:$H$27,4,0),"")</f>
        <v/>
      </c>
      <c r="C2950" s="15"/>
      <c r="D2950" s="20"/>
      <c r="E2950" s="13" t="str">
        <f>IFERROR(VLOOKUP(D2950,Sheet1!$B$1:$C$45,2,0),"")</f>
        <v/>
      </c>
      <c r="F2950" s="20"/>
      <c r="G2950" s="13" t="str">
        <f t="shared" si="9"/>
        <v/>
      </c>
      <c r="H2950" s="15" t="str">
        <f>IFERROR(VLOOKUP(A2950,Sheet1!$E$3:$F$27,2,),"")</f>
        <v/>
      </c>
      <c r="I2950" s="16" t="str">
        <f>IFERROR(VLOOKUP(A2950,Sheet1!$E$3:$G$27,3,0),"")</f>
        <v/>
      </c>
      <c r="J2950" s="20"/>
      <c r="K2950" s="17"/>
      <c r="L2950" s="17"/>
      <c r="M2950" s="13"/>
      <c r="N2950" s="23"/>
      <c r="O2950" s="22"/>
      <c r="P2950" s="22"/>
    </row>
    <row r="2951" ht="22.5" customHeight="1">
      <c r="A2951" s="20"/>
      <c r="B2951" s="20" t="str">
        <f>IFERROR(VLOOKUP(A2951,Sheet1!$E$3:$H$27,4,0),"")</f>
        <v/>
      </c>
      <c r="C2951" s="15"/>
      <c r="D2951" s="20"/>
      <c r="E2951" s="13" t="str">
        <f>IFERROR(VLOOKUP(D2951,Sheet1!$B$1:$C$45,2,0),"")</f>
        <v/>
      </c>
      <c r="F2951" s="20"/>
      <c r="G2951" s="13" t="str">
        <f t="shared" si="9"/>
        <v/>
      </c>
      <c r="H2951" s="15" t="str">
        <f>IFERROR(VLOOKUP(A2951,Sheet1!$E$3:$F$27,2,),"")</f>
        <v/>
      </c>
      <c r="I2951" s="16" t="str">
        <f>IFERROR(VLOOKUP(A2951,Sheet1!$E$3:$G$27,3,0),"")</f>
        <v/>
      </c>
      <c r="J2951" s="20"/>
      <c r="K2951" s="17"/>
      <c r="L2951" s="17"/>
      <c r="M2951" s="13"/>
      <c r="N2951" s="23"/>
      <c r="O2951" s="22"/>
      <c r="P2951" s="22"/>
    </row>
    <row r="2952" ht="22.5" customHeight="1">
      <c r="A2952" s="20"/>
      <c r="B2952" s="20" t="str">
        <f>IFERROR(VLOOKUP(A2952,Sheet1!$E$3:$H$27,4,0),"")</f>
        <v/>
      </c>
      <c r="C2952" s="15"/>
      <c r="D2952" s="20"/>
      <c r="E2952" s="13" t="str">
        <f>IFERROR(VLOOKUP(D2952,Sheet1!$B$1:$C$45,2,0),"")</f>
        <v/>
      </c>
      <c r="F2952" s="20"/>
      <c r="G2952" s="13" t="str">
        <f t="shared" si="9"/>
        <v/>
      </c>
      <c r="H2952" s="15" t="str">
        <f>IFERROR(VLOOKUP(A2952,Sheet1!$E$3:$F$27,2,),"")</f>
        <v/>
      </c>
      <c r="I2952" s="16" t="str">
        <f>IFERROR(VLOOKUP(A2952,Sheet1!$E$3:$G$27,3,0),"")</f>
        <v/>
      </c>
      <c r="J2952" s="20"/>
      <c r="K2952" s="17"/>
      <c r="L2952" s="17"/>
      <c r="M2952" s="13"/>
      <c r="N2952" s="23"/>
      <c r="O2952" s="22"/>
      <c r="P2952" s="22"/>
    </row>
    <row r="2953" ht="22.5" customHeight="1">
      <c r="A2953" s="20"/>
      <c r="B2953" s="20" t="str">
        <f>IFERROR(VLOOKUP(A2953,Sheet1!$E$3:$H$27,4,0),"")</f>
        <v/>
      </c>
      <c r="C2953" s="15"/>
      <c r="D2953" s="20"/>
      <c r="E2953" s="13" t="str">
        <f>IFERROR(VLOOKUP(D2953,Sheet1!$B$1:$C$45,2,0),"")</f>
        <v/>
      </c>
      <c r="F2953" s="20"/>
      <c r="G2953" s="13" t="str">
        <f t="shared" si="9"/>
        <v/>
      </c>
      <c r="H2953" s="15" t="str">
        <f>IFERROR(VLOOKUP(A2953,Sheet1!$E$3:$F$27,2,),"")</f>
        <v/>
      </c>
      <c r="I2953" s="16" t="str">
        <f>IFERROR(VLOOKUP(A2953,Sheet1!$E$3:$G$27,3,0),"")</f>
        <v/>
      </c>
      <c r="J2953" s="20"/>
      <c r="K2953" s="17"/>
      <c r="L2953" s="17"/>
      <c r="M2953" s="13"/>
      <c r="N2953" s="23"/>
      <c r="O2953" s="22"/>
      <c r="P2953" s="22"/>
    </row>
    <row r="2954" ht="22.5" customHeight="1">
      <c r="A2954" s="20"/>
      <c r="B2954" s="20" t="str">
        <f>IFERROR(VLOOKUP(A2954,Sheet1!$E$3:$H$27,4,0),"")</f>
        <v/>
      </c>
      <c r="C2954" s="15"/>
      <c r="D2954" s="20"/>
      <c r="E2954" s="13" t="str">
        <f>IFERROR(VLOOKUP(D2954,Sheet1!$B$1:$C$45,2,0),"")</f>
        <v/>
      </c>
      <c r="F2954" s="20"/>
      <c r="G2954" s="13" t="str">
        <f t="shared" si="9"/>
        <v/>
      </c>
      <c r="H2954" s="15" t="str">
        <f>IFERROR(VLOOKUP(A2954,Sheet1!$E$3:$F$27,2,),"")</f>
        <v/>
      </c>
      <c r="I2954" s="16" t="str">
        <f>IFERROR(VLOOKUP(A2954,Sheet1!$E$3:$G$27,3,0),"")</f>
        <v/>
      </c>
      <c r="J2954" s="20"/>
      <c r="K2954" s="17"/>
      <c r="L2954" s="17"/>
      <c r="M2954" s="13"/>
      <c r="N2954" s="23"/>
      <c r="O2954" s="22"/>
      <c r="P2954" s="22"/>
    </row>
    <row r="2955" ht="22.5" customHeight="1">
      <c r="A2955" s="20"/>
      <c r="B2955" s="20" t="str">
        <f>IFERROR(VLOOKUP(A2955,Sheet1!$E$3:$H$27,4,0),"")</f>
        <v/>
      </c>
      <c r="C2955" s="15"/>
      <c r="D2955" s="20"/>
      <c r="E2955" s="13" t="str">
        <f>IFERROR(VLOOKUP(D2955,Sheet1!$B$1:$C$45,2,0),"")</f>
        <v/>
      </c>
      <c r="F2955" s="20"/>
      <c r="G2955" s="13" t="str">
        <f t="shared" si="9"/>
        <v/>
      </c>
      <c r="H2955" s="15" t="str">
        <f>IFERROR(VLOOKUP(A2955,Sheet1!$E$3:$F$27,2,),"")</f>
        <v/>
      </c>
      <c r="I2955" s="16" t="str">
        <f>IFERROR(VLOOKUP(A2955,Sheet1!$E$3:$G$27,3,0),"")</f>
        <v/>
      </c>
      <c r="J2955" s="20"/>
      <c r="K2955" s="17"/>
      <c r="L2955" s="17"/>
      <c r="M2955" s="13"/>
      <c r="N2955" s="23"/>
      <c r="O2955" s="22"/>
      <c r="P2955" s="22"/>
    </row>
    <row r="2956" ht="22.5" customHeight="1">
      <c r="A2956" s="20"/>
      <c r="B2956" s="20" t="str">
        <f>IFERROR(VLOOKUP(A2956,Sheet1!$E$3:$H$27,4,0),"")</f>
        <v/>
      </c>
      <c r="C2956" s="15"/>
      <c r="D2956" s="20"/>
      <c r="E2956" s="13" t="str">
        <f>IFERROR(VLOOKUP(D2956,Sheet1!$B$1:$C$45,2,0),"")</f>
        <v/>
      </c>
      <c r="F2956" s="20"/>
      <c r="G2956" s="13" t="str">
        <f t="shared" si="9"/>
        <v/>
      </c>
      <c r="H2956" s="15" t="str">
        <f>IFERROR(VLOOKUP(A2956,Sheet1!$E$3:$F$27,2,),"")</f>
        <v/>
      </c>
      <c r="I2956" s="16" t="str">
        <f>IFERROR(VLOOKUP(A2956,Sheet1!$E$3:$G$27,3,0),"")</f>
        <v/>
      </c>
      <c r="J2956" s="20"/>
      <c r="K2956" s="17"/>
      <c r="L2956" s="17"/>
      <c r="M2956" s="13"/>
      <c r="N2956" s="23"/>
      <c r="O2956" s="22"/>
      <c r="P2956" s="22"/>
    </row>
    <row r="2957" ht="22.5" customHeight="1">
      <c r="A2957" s="20"/>
      <c r="B2957" s="20" t="str">
        <f>IFERROR(VLOOKUP(A2957,Sheet1!$E$3:$H$27,4,0),"")</f>
        <v/>
      </c>
      <c r="C2957" s="15"/>
      <c r="D2957" s="20"/>
      <c r="E2957" s="13" t="str">
        <f>IFERROR(VLOOKUP(D2957,Sheet1!$B$1:$C$45,2,0),"")</f>
        <v/>
      </c>
      <c r="F2957" s="20"/>
      <c r="G2957" s="13" t="str">
        <f t="shared" si="9"/>
        <v/>
      </c>
      <c r="H2957" s="15" t="str">
        <f>IFERROR(VLOOKUP(A2957,Sheet1!$E$3:$F$27,2,),"")</f>
        <v/>
      </c>
      <c r="I2957" s="16" t="str">
        <f>IFERROR(VLOOKUP(A2957,Sheet1!$E$3:$G$27,3,0),"")</f>
        <v/>
      </c>
      <c r="J2957" s="20"/>
      <c r="K2957" s="17"/>
      <c r="L2957" s="17"/>
      <c r="M2957" s="13"/>
      <c r="N2957" s="23"/>
      <c r="O2957" s="22"/>
      <c r="P2957" s="22"/>
    </row>
    <row r="2958" ht="22.5" customHeight="1">
      <c r="A2958" s="20"/>
      <c r="B2958" s="20" t="str">
        <f>IFERROR(VLOOKUP(A2958,Sheet1!$E$3:$H$27,4,0),"")</f>
        <v/>
      </c>
      <c r="C2958" s="15"/>
      <c r="D2958" s="20"/>
      <c r="E2958" s="13" t="str">
        <f>IFERROR(VLOOKUP(D2958,Sheet1!$B$1:$C$45,2,0),"")</f>
        <v/>
      </c>
      <c r="F2958" s="20"/>
      <c r="G2958" s="13" t="str">
        <f t="shared" si="9"/>
        <v/>
      </c>
      <c r="H2958" s="15" t="str">
        <f>IFERROR(VLOOKUP(A2958,Sheet1!$E$3:$F$27,2,),"")</f>
        <v/>
      </c>
      <c r="I2958" s="16" t="str">
        <f>IFERROR(VLOOKUP(A2958,Sheet1!$E$3:$G$27,3,0),"")</f>
        <v/>
      </c>
      <c r="J2958" s="20"/>
      <c r="K2958" s="17"/>
      <c r="L2958" s="17"/>
      <c r="M2958" s="13"/>
      <c r="N2958" s="23"/>
      <c r="O2958" s="22"/>
      <c r="P2958" s="22"/>
    </row>
    <row r="2959" ht="22.5" customHeight="1">
      <c r="A2959" s="20"/>
      <c r="B2959" s="20" t="str">
        <f>IFERROR(VLOOKUP(A2959,Sheet1!$E$3:$H$27,4,0),"")</f>
        <v/>
      </c>
      <c r="C2959" s="15"/>
      <c r="D2959" s="20"/>
      <c r="E2959" s="13" t="str">
        <f>IFERROR(VLOOKUP(D2959,Sheet1!$B$1:$C$45,2,0),"")</f>
        <v/>
      </c>
      <c r="F2959" s="20"/>
      <c r="G2959" s="13" t="str">
        <f t="shared" si="9"/>
        <v/>
      </c>
      <c r="H2959" s="15" t="str">
        <f>IFERROR(VLOOKUP(A2959,Sheet1!$E$3:$F$27,2,),"")</f>
        <v/>
      </c>
      <c r="I2959" s="16" t="str">
        <f>IFERROR(VLOOKUP(A2959,Sheet1!$E$3:$G$27,3,0),"")</f>
        <v/>
      </c>
      <c r="J2959" s="20"/>
      <c r="K2959" s="17"/>
      <c r="L2959" s="17"/>
      <c r="M2959" s="13"/>
      <c r="N2959" s="23"/>
      <c r="O2959" s="22"/>
      <c r="P2959" s="22"/>
    </row>
    <row r="2960" ht="22.5" customHeight="1">
      <c r="A2960" s="20"/>
      <c r="B2960" s="20" t="str">
        <f>IFERROR(VLOOKUP(A2960,Sheet1!$E$3:$H$27,4,0),"")</f>
        <v/>
      </c>
      <c r="C2960" s="15"/>
      <c r="D2960" s="20"/>
      <c r="E2960" s="13" t="str">
        <f>IFERROR(VLOOKUP(D2960,Sheet1!$B$1:$C$45,2,0),"")</f>
        <v/>
      </c>
      <c r="F2960" s="20"/>
      <c r="G2960" s="13" t="str">
        <f t="shared" si="9"/>
        <v/>
      </c>
      <c r="H2960" s="15" t="str">
        <f>IFERROR(VLOOKUP(A2960,Sheet1!$E$3:$F$27,2,),"")</f>
        <v/>
      </c>
      <c r="I2960" s="16" t="str">
        <f>IFERROR(VLOOKUP(A2960,Sheet1!$E$3:$G$27,3,0),"")</f>
        <v/>
      </c>
      <c r="J2960" s="20"/>
      <c r="K2960" s="17"/>
      <c r="L2960" s="17"/>
      <c r="M2960" s="13"/>
      <c r="N2960" s="23"/>
      <c r="O2960" s="22"/>
      <c r="P2960" s="22"/>
    </row>
    <row r="2961" ht="22.5" customHeight="1">
      <c r="A2961" s="20"/>
      <c r="B2961" s="20" t="str">
        <f>IFERROR(VLOOKUP(A2961,Sheet1!$E$3:$H$27,4,0),"")</f>
        <v/>
      </c>
      <c r="C2961" s="15"/>
      <c r="D2961" s="20"/>
      <c r="E2961" s="13" t="str">
        <f>IFERROR(VLOOKUP(D2961,Sheet1!$B$1:$C$45,2,0),"")</f>
        <v/>
      </c>
      <c r="F2961" s="20"/>
      <c r="G2961" s="13" t="str">
        <f t="shared" si="9"/>
        <v/>
      </c>
      <c r="H2961" s="15" t="str">
        <f>IFERROR(VLOOKUP(A2961,Sheet1!$E$3:$F$27,2,),"")</f>
        <v/>
      </c>
      <c r="I2961" s="16" t="str">
        <f>IFERROR(VLOOKUP(A2961,Sheet1!$E$3:$G$27,3,0),"")</f>
        <v/>
      </c>
      <c r="J2961" s="20"/>
      <c r="K2961" s="17"/>
      <c r="L2961" s="17"/>
      <c r="M2961" s="13"/>
      <c r="N2961" s="23"/>
      <c r="O2961" s="22"/>
      <c r="P2961" s="22"/>
    </row>
    <row r="2962" ht="22.5" customHeight="1">
      <c r="A2962" s="20"/>
      <c r="B2962" s="20" t="str">
        <f>IFERROR(VLOOKUP(A2962,Sheet1!$E$3:$H$27,4,0),"")</f>
        <v/>
      </c>
      <c r="C2962" s="15"/>
      <c r="D2962" s="20"/>
      <c r="E2962" s="13" t="str">
        <f>IFERROR(VLOOKUP(D2962,Sheet1!$B$1:$C$45,2,0),"")</f>
        <v/>
      </c>
      <c r="F2962" s="20"/>
      <c r="G2962" s="13" t="str">
        <f t="shared" si="9"/>
        <v/>
      </c>
      <c r="H2962" s="15" t="str">
        <f>IFERROR(VLOOKUP(A2962,Sheet1!$E$3:$F$27,2,),"")</f>
        <v/>
      </c>
      <c r="I2962" s="16" t="str">
        <f>IFERROR(VLOOKUP(A2962,Sheet1!$E$3:$G$27,3,0),"")</f>
        <v/>
      </c>
      <c r="J2962" s="20"/>
      <c r="K2962" s="17"/>
      <c r="L2962" s="17"/>
      <c r="M2962" s="13"/>
      <c r="N2962" s="23"/>
      <c r="O2962" s="22"/>
      <c r="P2962" s="22"/>
    </row>
    <row r="2963" ht="22.5" customHeight="1">
      <c r="A2963" s="20"/>
      <c r="B2963" s="20" t="str">
        <f>IFERROR(VLOOKUP(A2963,Sheet1!$E$3:$H$27,4,0),"")</f>
        <v/>
      </c>
      <c r="C2963" s="15"/>
      <c r="D2963" s="20"/>
      <c r="E2963" s="13" t="str">
        <f>IFERROR(VLOOKUP(D2963,Sheet1!$B$1:$C$45,2,0),"")</f>
        <v/>
      </c>
      <c r="F2963" s="20"/>
      <c r="G2963" s="13" t="str">
        <f t="shared" si="9"/>
        <v/>
      </c>
      <c r="H2963" s="15" t="str">
        <f>IFERROR(VLOOKUP(A2963,Sheet1!$E$3:$F$27,2,),"")</f>
        <v/>
      </c>
      <c r="I2963" s="16" t="str">
        <f>IFERROR(VLOOKUP(A2963,Sheet1!$E$3:$G$27,3,0),"")</f>
        <v/>
      </c>
      <c r="J2963" s="20"/>
      <c r="K2963" s="17"/>
      <c r="L2963" s="17"/>
      <c r="M2963" s="13"/>
      <c r="N2963" s="23"/>
      <c r="O2963" s="22"/>
      <c r="P2963" s="22"/>
    </row>
    <row r="2964" ht="22.5" customHeight="1">
      <c r="A2964" s="20"/>
      <c r="B2964" s="20" t="str">
        <f>IFERROR(VLOOKUP(A2964,Sheet1!$E$3:$H$27,4,0),"")</f>
        <v/>
      </c>
      <c r="C2964" s="15"/>
      <c r="D2964" s="20"/>
      <c r="E2964" s="13" t="str">
        <f>IFERROR(VLOOKUP(D2964,Sheet1!$B$1:$C$45,2,0),"")</f>
        <v/>
      </c>
      <c r="F2964" s="20"/>
      <c r="G2964" s="13" t="str">
        <f t="shared" si="9"/>
        <v/>
      </c>
      <c r="H2964" s="15" t="str">
        <f>IFERROR(VLOOKUP(A2964,Sheet1!$E$3:$F$27,2,),"")</f>
        <v/>
      </c>
      <c r="I2964" s="16" t="str">
        <f>IFERROR(VLOOKUP(A2964,Sheet1!$E$3:$G$27,3,0),"")</f>
        <v/>
      </c>
      <c r="J2964" s="20"/>
      <c r="K2964" s="17"/>
      <c r="L2964" s="17"/>
      <c r="M2964" s="13"/>
      <c r="N2964" s="23"/>
      <c r="O2964" s="22"/>
      <c r="P2964" s="22"/>
    </row>
    <row r="2965" ht="22.5" customHeight="1">
      <c r="A2965" s="20"/>
      <c r="B2965" s="20" t="str">
        <f>IFERROR(VLOOKUP(A2965,Sheet1!$E$3:$H$27,4,0),"")</f>
        <v/>
      </c>
      <c r="C2965" s="15"/>
      <c r="D2965" s="20"/>
      <c r="E2965" s="13" t="str">
        <f>IFERROR(VLOOKUP(D2965,Sheet1!$B$1:$C$45,2,0),"")</f>
        <v/>
      </c>
      <c r="F2965" s="20"/>
      <c r="G2965" s="13" t="str">
        <f t="shared" si="9"/>
        <v/>
      </c>
      <c r="H2965" s="15" t="str">
        <f>IFERROR(VLOOKUP(A2965,Sheet1!$E$3:$F$27,2,),"")</f>
        <v/>
      </c>
      <c r="I2965" s="16" t="str">
        <f>IFERROR(VLOOKUP(A2965,Sheet1!$E$3:$G$27,3,0),"")</f>
        <v/>
      </c>
      <c r="J2965" s="20"/>
      <c r="K2965" s="17"/>
      <c r="L2965" s="17"/>
      <c r="M2965" s="13"/>
      <c r="N2965" s="23"/>
      <c r="O2965" s="22"/>
      <c r="P2965" s="22"/>
    </row>
    <row r="2966" ht="22.5" customHeight="1">
      <c r="A2966" s="20"/>
      <c r="B2966" s="20" t="str">
        <f>IFERROR(VLOOKUP(A2966,Sheet1!$E$3:$H$27,4,0),"")</f>
        <v/>
      </c>
      <c r="C2966" s="15"/>
      <c r="D2966" s="20"/>
      <c r="E2966" s="13" t="str">
        <f>IFERROR(VLOOKUP(D2966,Sheet1!$B$1:$C$45,2,0),"")</f>
        <v/>
      </c>
      <c r="F2966" s="20"/>
      <c r="G2966" s="13" t="str">
        <f t="shared" si="9"/>
        <v/>
      </c>
      <c r="H2966" s="15" t="str">
        <f>IFERROR(VLOOKUP(A2966,Sheet1!$E$3:$F$27,2,),"")</f>
        <v/>
      </c>
      <c r="I2966" s="16" t="str">
        <f>IFERROR(VLOOKUP(A2966,Sheet1!$E$3:$G$27,3,0),"")</f>
        <v/>
      </c>
      <c r="J2966" s="20"/>
      <c r="K2966" s="17"/>
      <c r="L2966" s="17"/>
      <c r="M2966" s="13"/>
      <c r="N2966" s="23"/>
      <c r="O2966" s="22"/>
      <c r="P2966" s="22"/>
    </row>
    <row r="2967" ht="22.5" customHeight="1">
      <c r="A2967" s="20"/>
      <c r="B2967" s="20" t="str">
        <f>IFERROR(VLOOKUP(A2967,Sheet1!$E$3:$H$27,4,0),"")</f>
        <v/>
      </c>
      <c r="C2967" s="15"/>
      <c r="D2967" s="20"/>
      <c r="E2967" s="13" t="str">
        <f>IFERROR(VLOOKUP(D2967,Sheet1!$B$1:$C$45,2,0),"")</f>
        <v/>
      </c>
      <c r="F2967" s="20"/>
      <c r="G2967" s="13" t="str">
        <f t="shared" si="9"/>
        <v/>
      </c>
      <c r="H2967" s="15" t="str">
        <f>IFERROR(VLOOKUP(A2967,Sheet1!$E$3:$F$27,2,),"")</f>
        <v/>
      </c>
      <c r="I2967" s="16" t="str">
        <f>IFERROR(VLOOKUP(A2967,Sheet1!$E$3:$G$27,3,0),"")</f>
        <v/>
      </c>
      <c r="J2967" s="20"/>
      <c r="K2967" s="17"/>
      <c r="L2967" s="17"/>
      <c r="M2967" s="13"/>
      <c r="N2967" s="23"/>
      <c r="O2967" s="22"/>
      <c r="P2967" s="22"/>
    </row>
    <row r="2968" ht="22.5" customHeight="1">
      <c r="A2968" s="20"/>
      <c r="B2968" s="20" t="str">
        <f>IFERROR(VLOOKUP(A2968,Sheet1!$E$3:$H$27,4,0),"")</f>
        <v/>
      </c>
      <c r="C2968" s="15"/>
      <c r="D2968" s="20"/>
      <c r="E2968" s="13" t="str">
        <f>IFERROR(VLOOKUP(D2968,Sheet1!$B$1:$C$45,2,0),"")</f>
        <v/>
      </c>
      <c r="F2968" s="20"/>
      <c r="G2968" s="13" t="str">
        <f t="shared" si="9"/>
        <v/>
      </c>
      <c r="H2968" s="15" t="str">
        <f>IFERROR(VLOOKUP(A2968,Sheet1!$E$3:$F$27,2,),"")</f>
        <v/>
      </c>
      <c r="I2968" s="16" t="str">
        <f>IFERROR(VLOOKUP(A2968,Sheet1!$E$3:$G$27,3,0),"")</f>
        <v/>
      </c>
      <c r="J2968" s="20"/>
      <c r="K2968" s="17"/>
      <c r="L2968" s="17"/>
      <c r="M2968" s="13"/>
      <c r="N2968" s="23"/>
      <c r="O2968" s="22"/>
      <c r="P2968" s="22"/>
    </row>
    <row r="2969" ht="22.5" customHeight="1">
      <c r="A2969" s="20"/>
      <c r="B2969" s="20" t="str">
        <f>IFERROR(VLOOKUP(A2969,Sheet1!$E$3:$H$27,4,0),"")</f>
        <v/>
      </c>
      <c r="C2969" s="15"/>
      <c r="D2969" s="20"/>
      <c r="E2969" s="13" t="str">
        <f>IFERROR(VLOOKUP(D2969,Sheet1!$B$1:$C$45,2,0),"")</f>
        <v/>
      </c>
      <c r="F2969" s="20"/>
      <c r="G2969" s="13" t="str">
        <f t="shared" si="9"/>
        <v/>
      </c>
      <c r="H2969" s="15" t="str">
        <f>IFERROR(VLOOKUP(A2969,Sheet1!$E$3:$F$27,2,),"")</f>
        <v/>
      </c>
      <c r="I2969" s="16" t="str">
        <f>IFERROR(VLOOKUP(A2969,Sheet1!$E$3:$G$27,3,0),"")</f>
        <v/>
      </c>
      <c r="J2969" s="20"/>
      <c r="K2969" s="17"/>
      <c r="L2969" s="17"/>
      <c r="M2969" s="13"/>
      <c r="N2969" s="23"/>
      <c r="O2969" s="22"/>
      <c r="P2969" s="22"/>
    </row>
    <row r="2970" ht="22.5" customHeight="1">
      <c r="A2970" s="20"/>
      <c r="B2970" s="20" t="str">
        <f>IFERROR(VLOOKUP(A2970,Sheet1!$E$3:$H$27,4,0),"")</f>
        <v/>
      </c>
      <c r="C2970" s="15"/>
      <c r="D2970" s="20"/>
      <c r="E2970" s="13" t="str">
        <f>IFERROR(VLOOKUP(D2970,Sheet1!$B$1:$C$45,2,0),"")</f>
        <v/>
      </c>
      <c r="F2970" s="20"/>
      <c r="G2970" s="13" t="str">
        <f t="shared" si="9"/>
        <v/>
      </c>
      <c r="H2970" s="15" t="str">
        <f>IFERROR(VLOOKUP(A2970,Sheet1!$E$3:$F$27,2,),"")</f>
        <v/>
      </c>
      <c r="I2970" s="16" t="str">
        <f>IFERROR(VLOOKUP(A2970,Sheet1!$E$3:$G$27,3,0),"")</f>
        <v/>
      </c>
      <c r="J2970" s="20"/>
      <c r="K2970" s="17"/>
      <c r="L2970" s="17"/>
      <c r="M2970" s="13"/>
      <c r="N2970" s="23"/>
      <c r="O2970" s="22"/>
      <c r="P2970" s="22"/>
    </row>
    <row r="2971" ht="22.5" customHeight="1">
      <c r="A2971" s="20"/>
      <c r="B2971" s="20" t="str">
        <f>IFERROR(VLOOKUP(A2971,Sheet1!$E$3:$H$27,4,0),"")</f>
        <v/>
      </c>
      <c r="C2971" s="15"/>
      <c r="D2971" s="20"/>
      <c r="E2971" s="13" t="str">
        <f>IFERROR(VLOOKUP(D2971,Sheet1!$B$1:$C$45,2,0),"")</f>
        <v/>
      </c>
      <c r="F2971" s="20"/>
      <c r="G2971" s="13" t="str">
        <f t="shared" si="9"/>
        <v/>
      </c>
      <c r="H2971" s="15" t="str">
        <f>IFERROR(VLOOKUP(A2971,Sheet1!$E$3:$F$27,2,),"")</f>
        <v/>
      </c>
      <c r="I2971" s="16" t="str">
        <f>IFERROR(VLOOKUP(A2971,Sheet1!$E$3:$G$27,3,0),"")</f>
        <v/>
      </c>
      <c r="J2971" s="20"/>
      <c r="K2971" s="17"/>
      <c r="L2971" s="17"/>
      <c r="M2971" s="13"/>
      <c r="N2971" s="23"/>
      <c r="O2971" s="22"/>
      <c r="P2971" s="22"/>
    </row>
    <row r="2972" ht="22.5" customHeight="1">
      <c r="A2972" s="20"/>
      <c r="B2972" s="20" t="str">
        <f>IFERROR(VLOOKUP(A2972,Sheet1!$E$3:$H$27,4,0),"")</f>
        <v/>
      </c>
      <c r="C2972" s="15"/>
      <c r="D2972" s="20"/>
      <c r="E2972" s="13" t="str">
        <f>IFERROR(VLOOKUP(D2972,Sheet1!$B$1:$C$45,2,0),"")</f>
        <v/>
      </c>
      <c r="F2972" s="20"/>
      <c r="G2972" s="13" t="str">
        <f t="shared" si="9"/>
        <v/>
      </c>
      <c r="H2972" s="15" t="str">
        <f>IFERROR(VLOOKUP(A2972,Sheet1!$E$3:$F$27,2,),"")</f>
        <v/>
      </c>
      <c r="I2972" s="16" t="str">
        <f>IFERROR(VLOOKUP(A2972,Sheet1!$E$3:$G$27,3,0),"")</f>
        <v/>
      </c>
      <c r="J2972" s="20"/>
      <c r="K2972" s="17"/>
      <c r="L2972" s="17"/>
      <c r="M2972" s="13"/>
      <c r="N2972" s="23"/>
      <c r="O2972" s="22"/>
      <c r="P2972" s="22"/>
    </row>
    <row r="2973" ht="22.5" customHeight="1">
      <c r="A2973" s="20"/>
      <c r="B2973" s="20" t="str">
        <f>IFERROR(VLOOKUP(A2973,Sheet1!$E$3:$H$27,4,0),"")</f>
        <v/>
      </c>
      <c r="C2973" s="15"/>
      <c r="D2973" s="20"/>
      <c r="E2973" s="13" t="str">
        <f>IFERROR(VLOOKUP(D2973,Sheet1!$B$1:$C$45,2,0),"")</f>
        <v/>
      </c>
      <c r="F2973" s="20"/>
      <c r="G2973" s="13" t="str">
        <f t="shared" si="9"/>
        <v/>
      </c>
      <c r="H2973" s="15" t="str">
        <f>IFERROR(VLOOKUP(A2973,Sheet1!$E$3:$F$27,2,),"")</f>
        <v/>
      </c>
      <c r="I2973" s="16" t="str">
        <f>IFERROR(VLOOKUP(A2973,Sheet1!$E$3:$G$27,3,0),"")</f>
        <v/>
      </c>
      <c r="J2973" s="20"/>
      <c r="K2973" s="17"/>
      <c r="L2973" s="17"/>
      <c r="M2973" s="13"/>
      <c r="N2973" s="23"/>
      <c r="O2973" s="22"/>
      <c r="P2973" s="22"/>
    </row>
    <row r="2974" ht="22.5" customHeight="1">
      <c r="A2974" s="20"/>
      <c r="B2974" s="20" t="str">
        <f>IFERROR(VLOOKUP(A2974,Sheet1!$E$3:$H$27,4,0),"")</f>
        <v/>
      </c>
      <c r="C2974" s="15"/>
      <c r="D2974" s="20"/>
      <c r="E2974" s="13" t="str">
        <f>IFERROR(VLOOKUP(D2974,Sheet1!$B$1:$C$45,2,0),"")</f>
        <v/>
      </c>
      <c r="F2974" s="20"/>
      <c r="G2974" s="13" t="str">
        <f t="shared" si="9"/>
        <v/>
      </c>
      <c r="H2974" s="15" t="str">
        <f>IFERROR(VLOOKUP(A2974,Sheet1!$E$3:$F$27,2,),"")</f>
        <v/>
      </c>
      <c r="I2974" s="16" t="str">
        <f>IFERROR(VLOOKUP(A2974,Sheet1!$E$3:$G$27,3,0),"")</f>
        <v/>
      </c>
      <c r="J2974" s="20"/>
      <c r="K2974" s="17"/>
      <c r="L2974" s="17"/>
      <c r="M2974" s="13"/>
      <c r="N2974" s="23"/>
      <c r="O2974" s="22"/>
      <c r="P2974" s="22"/>
    </row>
    <row r="2975" ht="22.5" customHeight="1">
      <c r="A2975" s="20"/>
      <c r="B2975" s="20" t="str">
        <f>IFERROR(VLOOKUP(A2975,Sheet1!$E$3:$H$27,4,0),"")</f>
        <v/>
      </c>
      <c r="C2975" s="15"/>
      <c r="D2975" s="20"/>
      <c r="E2975" s="13" t="str">
        <f>IFERROR(VLOOKUP(D2975,Sheet1!$B$1:$C$45,2,0),"")</f>
        <v/>
      </c>
      <c r="F2975" s="20"/>
      <c r="G2975" s="13" t="str">
        <f t="shared" si="9"/>
        <v/>
      </c>
      <c r="H2975" s="15" t="str">
        <f>IFERROR(VLOOKUP(A2975,Sheet1!$E$3:$F$27,2,),"")</f>
        <v/>
      </c>
      <c r="I2975" s="16" t="str">
        <f>IFERROR(VLOOKUP(A2975,Sheet1!$E$3:$G$27,3,0),"")</f>
        <v/>
      </c>
      <c r="J2975" s="20"/>
      <c r="K2975" s="17"/>
      <c r="L2975" s="17"/>
      <c r="M2975" s="13"/>
      <c r="N2975" s="23"/>
      <c r="O2975" s="22"/>
      <c r="P2975" s="22"/>
    </row>
    <row r="2976" ht="22.5" customHeight="1">
      <c r="A2976" s="20"/>
      <c r="B2976" s="20" t="str">
        <f>IFERROR(VLOOKUP(A2976,Sheet1!$E$3:$H$27,4,0),"")</f>
        <v/>
      </c>
      <c r="C2976" s="15"/>
      <c r="D2976" s="20"/>
      <c r="E2976" s="13" t="str">
        <f>IFERROR(VLOOKUP(D2976,Sheet1!$B$1:$C$45,2,0),"")</f>
        <v/>
      </c>
      <c r="F2976" s="20"/>
      <c r="G2976" s="13" t="str">
        <f t="shared" si="9"/>
        <v/>
      </c>
      <c r="H2976" s="15" t="str">
        <f>IFERROR(VLOOKUP(A2976,Sheet1!$E$3:$F$27,2,),"")</f>
        <v/>
      </c>
      <c r="I2976" s="16" t="str">
        <f>IFERROR(VLOOKUP(A2976,Sheet1!$E$3:$G$27,3,0),"")</f>
        <v/>
      </c>
      <c r="J2976" s="20"/>
      <c r="K2976" s="17"/>
      <c r="L2976" s="17"/>
      <c r="M2976" s="13"/>
      <c r="N2976" s="23"/>
      <c r="O2976" s="22"/>
      <c r="P2976" s="22"/>
    </row>
    <row r="2977" ht="22.5" customHeight="1">
      <c r="A2977" s="20"/>
      <c r="B2977" s="20" t="str">
        <f>IFERROR(VLOOKUP(A2977,Sheet1!$E$3:$H$27,4,0),"")</f>
        <v/>
      </c>
      <c r="C2977" s="15"/>
      <c r="D2977" s="20"/>
      <c r="E2977" s="13" t="str">
        <f>IFERROR(VLOOKUP(D2977,Sheet1!$B$1:$C$45,2,0),"")</f>
        <v/>
      </c>
      <c r="F2977" s="20"/>
      <c r="G2977" s="13" t="str">
        <f t="shared" si="9"/>
        <v/>
      </c>
      <c r="H2977" s="15" t="str">
        <f>IFERROR(VLOOKUP(A2977,Sheet1!$E$3:$F$27,2,),"")</f>
        <v/>
      </c>
      <c r="I2977" s="16" t="str">
        <f>IFERROR(VLOOKUP(A2977,Sheet1!$E$3:$G$27,3,0),"")</f>
        <v/>
      </c>
      <c r="J2977" s="20"/>
      <c r="K2977" s="17"/>
      <c r="L2977" s="17"/>
      <c r="M2977" s="13"/>
      <c r="N2977" s="23"/>
      <c r="O2977" s="22"/>
      <c r="P2977" s="22"/>
    </row>
    <row r="2978" ht="22.5" customHeight="1">
      <c r="A2978" s="20"/>
      <c r="B2978" s="20" t="str">
        <f>IFERROR(VLOOKUP(A2978,Sheet1!$E$3:$H$27,4,0),"")</f>
        <v/>
      </c>
      <c r="C2978" s="15"/>
      <c r="D2978" s="20"/>
      <c r="E2978" s="13" t="str">
        <f>IFERROR(VLOOKUP(D2978,Sheet1!$B$1:$C$45,2,0),"")</f>
        <v/>
      </c>
      <c r="F2978" s="20"/>
      <c r="G2978" s="13" t="str">
        <f t="shared" si="9"/>
        <v/>
      </c>
      <c r="H2978" s="15" t="str">
        <f>IFERROR(VLOOKUP(A2978,Sheet1!$E$3:$F$27,2,),"")</f>
        <v/>
      </c>
      <c r="I2978" s="16" t="str">
        <f>IFERROR(VLOOKUP(A2978,Sheet1!$E$3:$G$27,3,0),"")</f>
        <v/>
      </c>
      <c r="J2978" s="20"/>
      <c r="K2978" s="17"/>
      <c r="L2978" s="17"/>
      <c r="M2978" s="13"/>
      <c r="N2978" s="23"/>
      <c r="O2978" s="22"/>
      <c r="P2978" s="22"/>
    </row>
    <row r="2979" ht="22.5" customHeight="1">
      <c r="A2979" s="20"/>
      <c r="B2979" s="20" t="str">
        <f>IFERROR(VLOOKUP(A2979,Sheet1!$E$3:$H$27,4,0),"")</f>
        <v/>
      </c>
      <c r="C2979" s="15"/>
      <c r="D2979" s="20"/>
      <c r="E2979" s="13" t="str">
        <f>IFERROR(VLOOKUP(D2979,Sheet1!$B$1:$C$45,2,0),"")</f>
        <v/>
      </c>
      <c r="F2979" s="20"/>
      <c r="G2979" s="13" t="str">
        <f t="shared" si="9"/>
        <v/>
      </c>
      <c r="H2979" s="15" t="str">
        <f>IFERROR(VLOOKUP(A2979,Sheet1!$E$3:$F$27,2,),"")</f>
        <v/>
      </c>
      <c r="I2979" s="16" t="str">
        <f>IFERROR(VLOOKUP(A2979,Sheet1!$E$3:$G$27,3,0),"")</f>
        <v/>
      </c>
      <c r="J2979" s="20"/>
      <c r="K2979" s="17"/>
      <c r="L2979" s="17"/>
      <c r="M2979" s="13"/>
      <c r="N2979" s="23"/>
      <c r="O2979" s="22"/>
      <c r="P2979" s="22"/>
    </row>
    <row r="2980" ht="22.5" customHeight="1">
      <c r="A2980" s="20"/>
      <c r="B2980" s="20" t="str">
        <f>IFERROR(VLOOKUP(A2980,Sheet1!$E$3:$H$27,4,0),"")</f>
        <v/>
      </c>
      <c r="C2980" s="15"/>
      <c r="D2980" s="20"/>
      <c r="E2980" s="13" t="str">
        <f>IFERROR(VLOOKUP(D2980,Sheet1!$B$1:$C$45,2,0),"")</f>
        <v/>
      </c>
      <c r="F2980" s="20"/>
      <c r="G2980" s="13" t="str">
        <f t="shared" si="9"/>
        <v/>
      </c>
      <c r="H2980" s="15" t="str">
        <f>IFERROR(VLOOKUP(A2980,Sheet1!$E$3:$F$27,2,),"")</f>
        <v/>
      </c>
      <c r="I2980" s="16" t="str">
        <f>IFERROR(VLOOKUP(A2980,Sheet1!$E$3:$G$27,3,0),"")</f>
        <v/>
      </c>
      <c r="J2980" s="20"/>
      <c r="K2980" s="17"/>
      <c r="L2980" s="17"/>
      <c r="M2980" s="13"/>
      <c r="N2980" s="23"/>
      <c r="O2980" s="22"/>
      <c r="P2980" s="22"/>
    </row>
    <row r="2981" ht="22.5" customHeight="1">
      <c r="A2981" s="20"/>
      <c r="B2981" s="20" t="str">
        <f>IFERROR(VLOOKUP(A2981,Sheet1!$E$3:$H$27,4,0),"")</f>
        <v/>
      </c>
      <c r="C2981" s="15"/>
      <c r="D2981" s="20"/>
      <c r="E2981" s="13" t="str">
        <f>IFERROR(VLOOKUP(D2981,Sheet1!$B$1:$C$45,2,0),"")</f>
        <v/>
      </c>
      <c r="F2981" s="20"/>
      <c r="G2981" s="13" t="str">
        <f t="shared" si="9"/>
        <v/>
      </c>
      <c r="H2981" s="15" t="str">
        <f>IFERROR(VLOOKUP(A2981,Sheet1!$E$3:$F$27,2,),"")</f>
        <v/>
      </c>
      <c r="I2981" s="16" t="str">
        <f>IFERROR(VLOOKUP(A2981,Sheet1!$E$3:$G$27,3,0),"")</f>
        <v/>
      </c>
      <c r="J2981" s="20"/>
      <c r="K2981" s="17"/>
      <c r="L2981" s="17"/>
      <c r="M2981" s="13"/>
      <c r="N2981" s="23"/>
      <c r="O2981" s="22"/>
      <c r="P2981" s="22"/>
    </row>
    <row r="2982" ht="22.5" customHeight="1">
      <c r="A2982" s="20"/>
      <c r="B2982" s="20" t="str">
        <f>IFERROR(VLOOKUP(A2982,Sheet1!$E$3:$H$27,4,0),"")</f>
        <v/>
      </c>
      <c r="C2982" s="15"/>
      <c r="D2982" s="20"/>
      <c r="E2982" s="13" t="str">
        <f>IFERROR(VLOOKUP(D2982,Sheet1!$B$1:$C$45,2,0),"")</f>
        <v/>
      </c>
      <c r="F2982" s="20"/>
      <c r="G2982" s="13" t="str">
        <f t="shared" si="9"/>
        <v/>
      </c>
      <c r="H2982" s="15" t="str">
        <f>IFERROR(VLOOKUP(A2982,Sheet1!$E$3:$F$27,2,),"")</f>
        <v/>
      </c>
      <c r="I2982" s="16" t="str">
        <f>IFERROR(VLOOKUP(A2982,Sheet1!$E$3:$G$27,3,0),"")</f>
        <v/>
      </c>
      <c r="J2982" s="20"/>
      <c r="K2982" s="17"/>
      <c r="L2982" s="17"/>
      <c r="M2982" s="13"/>
      <c r="N2982" s="23"/>
      <c r="O2982" s="22"/>
      <c r="P2982" s="22"/>
    </row>
    <row r="2983" ht="22.5" customHeight="1">
      <c r="A2983" s="20"/>
      <c r="B2983" s="20" t="str">
        <f>IFERROR(VLOOKUP(A2983,Sheet1!$E$3:$H$27,4,0),"")</f>
        <v/>
      </c>
      <c r="C2983" s="15"/>
      <c r="D2983" s="20"/>
      <c r="E2983" s="13" t="str">
        <f>IFERROR(VLOOKUP(D2983,Sheet1!$B$1:$C$45,2,0),"")</f>
        <v/>
      </c>
      <c r="F2983" s="20"/>
      <c r="G2983" s="13" t="str">
        <f t="shared" si="9"/>
        <v/>
      </c>
      <c r="H2983" s="15" t="str">
        <f>IFERROR(VLOOKUP(A2983,Sheet1!$E$3:$F$27,2,),"")</f>
        <v/>
      </c>
      <c r="I2983" s="16" t="str">
        <f>IFERROR(VLOOKUP(A2983,Sheet1!$E$3:$G$27,3,0),"")</f>
        <v/>
      </c>
      <c r="J2983" s="20"/>
      <c r="K2983" s="17"/>
      <c r="L2983" s="17"/>
      <c r="M2983" s="13"/>
      <c r="N2983" s="23"/>
      <c r="O2983" s="22"/>
      <c r="P2983" s="22"/>
    </row>
    <row r="2984" ht="22.5" customHeight="1">
      <c r="A2984" s="20"/>
      <c r="B2984" s="20" t="str">
        <f>IFERROR(VLOOKUP(A2984,Sheet1!$E$3:$H$27,4,0),"")</f>
        <v/>
      </c>
      <c r="C2984" s="15"/>
      <c r="D2984" s="20"/>
      <c r="E2984" s="13" t="str">
        <f>IFERROR(VLOOKUP(D2984,Sheet1!$B$1:$C$45,2,0),"")</f>
        <v/>
      </c>
      <c r="F2984" s="20"/>
      <c r="G2984" s="13" t="str">
        <f t="shared" si="9"/>
        <v/>
      </c>
      <c r="H2984" s="15" t="str">
        <f>IFERROR(VLOOKUP(A2984,Sheet1!$E$3:$F$27,2,),"")</f>
        <v/>
      </c>
      <c r="I2984" s="16" t="str">
        <f>IFERROR(VLOOKUP(A2984,Sheet1!$E$3:$G$27,3,0),"")</f>
        <v/>
      </c>
      <c r="J2984" s="20"/>
      <c r="K2984" s="17"/>
      <c r="L2984" s="17"/>
      <c r="M2984" s="13"/>
      <c r="N2984" s="23"/>
      <c r="O2984" s="22"/>
      <c r="P2984" s="22"/>
    </row>
    <row r="2985" ht="22.5" customHeight="1">
      <c r="A2985" s="20"/>
      <c r="B2985" s="20" t="str">
        <f>IFERROR(VLOOKUP(A2985,Sheet1!$E$3:$H$27,4,0),"")</f>
        <v/>
      </c>
      <c r="C2985" s="15"/>
      <c r="D2985" s="20"/>
      <c r="E2985" s="13" t="str">
        <f>IFERROR(VLOOKUP(D2985,Sheet1!$B$1:$C$45,2,0),"")</f>
        <v/>
      </c>
      <c r="F2985" s="20"/>
      <c r="G2985" s="13" t="str">
        <f t="shared" si="9"/>
        <v/>
      </c>
      <c r="H2985" s="15" t="str">
        <f>IFERROR(VLOOKUP(A2985,Sheet1!$E$3:$F$27,2,),"")</f>
        <v/>
      </c>
      <c r="I2985" s="16" t="str">
        <f>IFERROR(VLOOKUP(A2985,Sheet1!$E$3:$G$27,3,0),"")</f>
        <v/>
      </c>
      <c r="J2985" s="20"/>
      <c r="K2985" s="17"/>
      <c r="L2985" s="17"/>
      <c r="M2985" s="13"/>
      <c r="N2985" s="23"/>
      <c r="O2985" s="22"/>
      <c r="P2985" s="22"/>
    </row>
    <row r="2986" ht="22.5" customHeight="1">
      <c r="A2986" s="20"/>
      <c r="B2986" s="20" t="str">
        <f>IFERROR(VLOOKUP(A2986,Sheet1!$E$3:$H$27,4,0),"")</f>
        <v/>
      </c>
      <c r="C2986" s="15"/>
      <c r="D2986" s="20"/>
      <c r="E2986" s="13" t="str">
        <f>IFERROR(VLOOKUP(D2986,Sheet1!$B$1:$C$45,2,0),"")</f>
        <v/>
      </c>
      <c r="F2986" s="20"/>
      <c r="G2986" s="13" t="str">
        <f t="shared" si="9"/>
        <v/>
      </c>
      <c r="H2986" s="15" t="str">
        <f>IFERROR(VLOOKUP(A2986,Sheet1!$E$3:$F$27,2,),"")</f>
        <v/>
      </c>
      <c r="I2986" s="16" t="str">
        <f>IFERROR(VLOOKUP(A2986,Sheet1!$E$3:$G$27,3,0),"")</f>
        <v/>
      </c>
      <c r="J2986" s="20"/>
      <c r="K2986" s="17"/>
      <c r="L2986" s="17"/>
      <c r="M2986" s="13"/>
      <c r="N2986" s="23"/>
      <c r="O2986" s="22"/>
      <c r="P2986" s="22"/>
    </row>
    <row r="2987" ht="22.5" customHeight="1">
      <c r="A2987" s="20"/>
      <c r="B2987" s="20" t="str">
        <f>IFERROR(VLOOKUP(A2987,Sheet1!$E$3:$H$27,4,0),"")</f>
        <v/>
      </c>
      <c r="C2987" s="15"/>
      <c r="D2987" s="20"/>
      <c r="E2987" s="13" t="str">
        <f>IFERROR(VLOOKUP(D2987,Sheet1!$B$1:$C$45,2,0),"")</f>
        <v/>
      </c>
      <c r="F2987" s="20"/>
      <c r="G2987" s="13" t="str">
        <f t="shared" si="9"/>
        <v/>
      </c>
      <c r="H2987" s="15" t="str">
        <f>IFERROR(VLOOKUP(A2987,Sheet1!$E$3:$F$27,2,),"")</f>
        <v/>
      </c>
      <c r="I2987" s="16" t="str">
        <f>IFERROR(VLOOKUP(A2987,Sheet1!$E$3:$G$27,3,0),"")</f>
        <v/>
      </c>
      <c r="J2987" s="20"/>
      <c r="K2987" s="17"/>
      <c r="L2987" s="17"/>
      <c r="M2987" s="13"/>
      <c r="N2987" s="23"/>
      <c r="O2987" s="22"/>
      <c r="P2987" s="22"/>
    </row>
    <row r="2988" ht="22.5" customHeight="1">
      <c r="A2988" s="20"/>
      <c r="B2988" s="20" t="str">
        <f>IFERROR(VLOOKUP(A2988,Sheet1!$E$3:$H$27,4,0),"")</f>
        <v/>
      </c>
      <c r="C2988" s="15"/>
      <c r="D2988" s="20"/>
      <c r="E2988" s="13" t="str">
        <f>IFERROR(VLOOKUP(D2988,Sheet1!$B$1:$C$45,2,0),"")</f>
        <v/>
      </c>
      <c r="F2988" s="20"/>
      <c r="G2988" s="13" t="str">
        <f t="shared" si="9"/>
        <v/>
      </c>
      <c r="H2988" s="15" t="str">
        <f>IFERROR(VLOOKUP(A2988,Sheet1!$E$3:$F$27,2,),"")</f>
        <v/>
      </c>
      <c r="I2988" s="16" t="str">
        <f>IFERROR(VLOOKUP(A2988,Sheet1!$E$3:$G$27,3,0),"")</f>
        <v/>
      </c>
      <c r="J2988" s="20"/>
      <c r="K2988" s="17"/>
      <c r="L2988" s="17"/>
      <c r="M2988" s="13"/>
      <c r="N2988" s="23"/>
      <c r="O2988" s="22"/>
      <c r="P2988" s="22"/>
    </row>
    <row r="2989" ht="22.5" customHeight="1">
      <c r="A2989" s="20"/>
      <c r="B2989" s="20" t="str">
        <f>IFERROR(VLOOKUP(A2989,Sheet1!$E$3:$H$27,4,0),"")</f>
        <v/>
      </c>
      <c r="C2989" s="15"/>
      <c r="D2989" s="20"/>
      <c r="E2989" s="13" t="str">
        <f>IFERROR(VLOOKUP(D2989,Sheet1!$B$1:$C$45,2,0),"")</f>
        <v/>
      </c>
      <c r="F2989" s="20"/>
      <c r="G2989" s="13" t="str">
        <f t="shared" si="9"/>
        <v/>
      </c>
      <c r="H2989" s="15" t="str">
        <f>IFERROR(VLOOKUP(A2989,Sheet1!$E$3:$F$27,2,),"")</f>
        <v/>
      </c>
      <c r="I2989" s="16" t="str">
        <f>IFERROR(VLOOKUP(A2989,Sheet1!$E$3:$G$27,3,0),"")</f>
        <v/>
      </c>
      <c r="J2989" s="20"/>
      <c r="K2989" s="17"/>
      <c r="L2989" s="17"/>
      <c r="M2989" s="13"/>
      <c r="N2989" s="23"/>
      <c r="O2989" s="22"/>
      <c r="P2989" s="22"/>
    </row>
    <row r="2990" ht="22.5" customHeight="1">
      <c r="A2990" s="20"/>
      <c r="B2990" s="20" t="str">
        <f>IFERROR(VLOOKUP(A2990,Sheet1!$E$3:$H$27,4,0),"")</f>
        <v/>
      </c>
      <c r="C2990" s="15"/>
      <c r="D2990" s="20"/>
      <c r="E2990" s="13" t="str">
        <f>IFERROR(VLOOKUP(D2990,Sheet1!$B$1:$C$45,2,0),"")</f>
        <v/>
      </c>
      <c r="F2990" s="20"/>
      <c r="G2990" s="13" t="str">
        <f t="shared" si="9"/>
        <v/>
      </c>
      <c r="H2990" s="15" t="str">
        <f>IFERROR(VLOOKUP(A2990,Sheet1!$E$3:$F$27,2,),"")</f>
        <v/>
      </c>
      <c r="I2990" s="16" t="str">
        <f>IFERROR(VLOOKUP(A2990,Sheet1!$E$3:$G$27,3,0),"")</f>
        <v/>
      </c>
      <c r="J2990" s="20"/>
      <c r="K2990" s="17"/>
      <c r="L2990" s="17"/>
      <c r="M2990" s="13"/>
      <c r="N2990" s="23"/>
      <c r="O2990" s="22"/>
      <c r="P2990" s="22"/>
    </row>
    <row r="2991" ht="22.5" customHeight="1">
      <c r="A2991" s="20"/>
      <c r="B2991" s="20" t="str">
        <f>IFERROR(VLOOKUP(A2991,Sheet1!$E$3:$H$27,4,0),"")</f>
        <v/>
      </c>
      <c r="C2991" s="15"/>
      <c r="D2991" s="20"/>
      <c r="E2991" s="13" t="str">
        <f>IFERROR(VLOOKUP(D2991,Sheet1!$B$1:$C$45,2,0),"")</f>
        <v/>
      </c>
      <c r="F2991" s="20"/>
      <c r="G2991" s="13" t="str">
        <f t="shared" si="9"/>
        <v/>
      </c>
      <c r="H2991" s="15" t="str">
        <f>IFERROR(VLOOKUP(A2991,Sheet1!$E$3:$F$27,2,),"")</f>
        <v/>
      </c>
      <c r="I2991" s="16" t="str">
        <f>IFERROR(VLOOKUP(A2991,Sheet1!$E$3:$G$27,3,0),"")</f>
        <v/>
      </c>
      <c r="J2991" s="20"/>
      <c r="K2991" s="17"/>
      <c r="L2991" s="17"/>
      <c r="M2991" s="13"/>
      <c r="N2991" s="23"/>
      <c r="O2991" s="22"/>
      <c r="P2991" s="22"/>
    </row>
    <row r="2992" ht="22.5" customHeight="1">
      <c r="A2992" s="20"/>
      <c r="B2992" s="20" t="str">
        <f>IFERROR(VLOOKUP(A2992,Sheet1!$E$3:$H$27,4,0),"")</f>
        <v/>
      </c>
      <c r="C2992" s="15"/>
      <c r="D2992" s="20"/>
      <c r="E2992" s="13" t="str">
        <f>IFERROR(VLOOKUP(D2992,Sheet1!$B$1:$C$45,2,0),"")</f>
        <v/>
      </c>
      <c r="F2992" s="20"/>
      <c r="G2992" s="13" t="str">
        <f t="shared" si="9"/>
        <v/>
      </c>
      <c r="H2992" s="15" t="str">
        <f>IFERROR(VLOOKUP(A2992,Sheet1!$E$3:$F$27,2,),"")</f>
        <v/>
      </c>
      <c r="I2992" s="16" t="str">
        <f>IFERROR(VLOOKUP(A2992,Sheet1!$E$3:$G$27,3,0),"")</f>
        <v/>
      </c>
      <c r="J2992" s="20"/>
      <c r="K2992" s="17"/>
      <c r="L2992" s="17"/>
      <c r="M2992" s="13"/>
      <c r="N2992" s="23"/>
      <c r="O2992" s="22"/>
      <c r="P2992" s="22"/>
    </row>
    <row r="2993" ht="22.5" customHeight="1">
      <c r="A2993" s="20"/>
      <c r="B2993" s="20" t="str">
        <f>IFERROR(VLOOKUP(A2993,Sheet1!$E$3:$H$27,4,0),"")</f>
        <v/>
      </c>
      <c r="C2993" s="15"/>
      <c r="D2993" s="20"/>
      <c r="E2993" s="13" t="str">
        <f>IFERROR(VLOOKUP(D2993,Sheet1!$B$1:$C$45,2,0),"")</f>
        <v/>
      </c>
      <c r="F2993" s="20"/>
      <c r="G2993" s="13" t="str">
        <f t="shared" si="9"/>
        <v/>
      </c>
      <c r="H2993" s="15" t="str">
        <f>IFERROR(VLOOKUP(A2993,Sheet1!$E$3:$F$27,2,),"")</f>
        <v/>
      </c>
      <c r="I2993" s="16" t="str">
        <f>IFERROR(VLOOKUP(A2993,Sheet1!$E$3:$G$27,3,0),"")</f>
        <v/>
      </c>
      <c r="J2993" s="20"/>
      <c r="K2993" s="17"/>
      <c r="L2993" s="17"/>
      <c r="M2993" s="13"/>
      <c r="N2993" s="23"/>
      <c r="O2993" s="22"/>
      <c r="P2993" s="22"/>
    </row>
    <row r="2994" ht="22.5" customHeight="1">
      <c r="A2994" s="20"/>
      <c r="B2994" s="20" t="str">
        <f>IFERROR(VLOOKUP(A2994,Sheet1!$E$3:$H$27,4,0),"")</f>
        <v/>
      </c>
      <c r="C2994" s="15"/>
      <c r="D2994" s="20"/>
      <c r="E2994" s="13" t="str">
        <f>IFERROR(VLOOKUP(D2994,Sheet1!$B$1:$C$45,2,0),"")</f>
        <v/>
      </c>
      <c r="F2994" s="20"/>
      <c r="G2994" s="13" t="str">
        <f t="shared" si="9"/>
        <v/>
      </c>
      <c r="H2994" s="15" t="str">
        <f>IFERROR(VLOOKUP(A2994,Sheet1!$E$3:$F$27,2,),"")</f>
        <v/>
      </c>
      <c r="I2994" s="16" t="str">
        <f>IFERROR(VLOOKUP(A2994,Sheet1!$E$3:$G$27,3,0),"")</f>
        <v/>
      </c>
      <c r="J2994" s="20"/>
      <c r="K2994" s="17"/>
      <c r="L2994" s="17"/>
      <c r="M2994" s="13"/>
      <c r="N2994" s="23"/>
      <c r="O2994" s="22"/>
      <c r="P2994" s="22"/>
    </row>
    <row r="2995" ht="22.5" customHeight="1">
      <c r="A2995" s="20"/>
      <c r="B2995" s="20" t="str">
        <f>IFERROR(VLOOKUP(A2995,Sheet1!$E$3:$H$27,4,0),"")</f>
        <v/>
      </c>
      <c r="C2995" s="15"/>
      <c r="D2995" s="20"/>
      <c r="E2995" s="13" t="str">
        <f>IFERROR(VLOOKUP(D2995,Sheet1!$B$1:$C$45,2,0),"")</f>
        <v/>
      </c>
      <c r="F2995" s="20"/>
      <c r="G2995" s="13" t="str">
        <f t="shared" si="9"/>
        <v/>
      </c>
      <c r="H2995" s="15" t="str">
        <f>IFERROR(VLOOKUP(A2995,Sheet1!$E$3:$F$27,2,),"")</f>
        <v/>
      </c>
      <c r="I2995" s="16" t="str">
        <f>IFERROR(VLOOKUP(A2995,Sheet1!$E$3:$G$27,3,0),"")</f>
        <v/>
      </c>
      <c r="J2995" s="20"/>
      <c r="K2995" s="17"/>
      <c r="L2995" s="17"/>
      <c r="M2995" s="13"/>
      <c r="N2995" s="23"/>
      <c r="O2995" s="22"/>
      <c r="P2995" s="22"/>
    </row>
    <row r="2996" ht="22.5" customHeight="1">
      <c r="A2996" s="20"/>
      <c r="B2996" s="20" t="str">
        <f>IFERROR(VLOOKUP(A2996,Sheet1!$E$3:$H$27,4,0),"")</f>
        <v/>
      </c>
      <c r="C2996" s="15"/>
      <c r="D2996" s="20"/>
      <c r="E2996" s="13" t="str">
        <f>IFERROR(VLOOKUP(D2996,Sheet1!$B$1:$C$45,2,0),"")</f>
        <v/>
      </c>
      <c r="F2996" s="20"/>
      <c r="G2996" s="13" t="str">
        <f t="shared" si="9"/>
        <v/>
      </c>
      <c r="H2996" s="15" t="str">
        <f>IFERROR(VLOOKUP(A2996,Sheet1!$E$3:$F$27,2,),"")</f>
        <v/>
      </c>
      <c r="I2996" s="16" t="str">
        <f>IFERROR(VLOOKUP(A2996,Sheet1!$E$3:$G$27,3,0),"")</f>
        <v/>
      </c>
      <c r="J2996" s="20"/>
      <c r="K2996" s="17"/>
      <c r="L2996" s="17"/>
      <c r="M2996" s="13"/>
      <c r="N2996" s="23"/>
      <c r="O2996" s="22"/>
      <c r="P2996" s="22"/>
    </row>
    <row r="2997" ht="22.5" customHeight="1">
      <c r="A2997" s="20"/>
      <c r="B2997" s="20" t="str">
        <f>IFERROR(VLOOKUP(A2997,Sheet1!$E$3:$H$27,4,0),"")</f>
        <v/>
      </c>
      <c r="C2997" s="15"/>
      <c r="D2997" s="20"/>
      <c r="E2997" s="13" t="str">
        <f>IFERROR(VLOOKUP(D2997,Sheet1!$B$1:$C$45,2,0),"")</f>
        <v/>
      </c>
      <c r="F2997" s="20"/>
      <c r="G2997" s="13" t="str">
        <f t="shared" si="9"/>
        <v/>
      </c>
      <c r="H2997" s="15" t="str">
        <f>IFERROR(VLOOKUP(A2997,Sheet1!$E$3:$F$27,2,),"")</f>
        <v/>
      </c>
      <c r="I2997" s="16" t="str">
        <f>IFERROR(VLOOKUP(A2997,Sheet1!$E$3:$G$27,3,0),"")</f>
        <v/>
      </c>
      <c r="J2997" s="20"/>
      <c r="K2997" s="17"/>
      <c r="L2997" s="17"/>
      <c r="M2997" s="13"/>
      <c r="N2997" s="23"/>
      <c r="O2997" s="22"/>
      <c r="P2997" s="22"/>
    </row>
    <row r="2998" ht="22.5" customHeight="1">
      <c r="A2998" s="20"/>
      <c r="B2998" s="20" t="str">
        <f>IFERROR(VLOOKUP(A2998,Sheet1!$E$3:$H$27,4,0),"")</f>
        <v/>
      </c>
      <c r="C2998" s="15"/>
      <c r="D2998" s="20"/>
      <c r="E2998" s="13" t="str">
        <f>IFERROR(VLOOKUP(D2998,Sheet1!$B$1:$C$45,2,0),"")</f>
        <v/>
      </c>
      <c r="F2998" s="20"/>
      <c r="G2998" s="13" t="str">
        <f t="shared" si="9"/>
        <v/>
      </c>
      <c r="H2998" s="15" t="str">
        <f>IFERROR(VLOOKUP(A2998,Sheet1!$E$3:$F$27,2,),"")</f>
        <v/>
      </c>
      <c r="I2998" s="16" t="str">
        <f>IFERROR(VLOOKUP(A2998,Sheet1!$E$3:$G$27,3,0),"")</f>
        <v/>
      </c>
      <c r="J2998" s="20"/>
      <c r="K2998" s="17"/>
      <c r="L2998" s="17"/>
      <c r="M2998" s="13"/>
      <c r="N2998" s="23"/>
      <c r="O2998" s="22"/>
      <c r="P2998" s="22"/>
    </row>
    <row r="2999" ht="22.5" customHeight="1">
      <c r="A2999" s="20"/>
      <c r="B2999" s="20" t="str">
        <f>IFERROR(VLOOKUP(A2999,Sheet1!$E$3:$H$27,4,0),"")</f>
        <v/>
      </c>
      <c r="C2999" s="15"/>
      <c r="D2999" s="20"/>
      <c r="E2999" s="13" t="str">
        <f>IFERROR(VLOOKUP(D2999,Sheet1!$B$1:$C$45,2,0),"")</f>
        <v/>
      </c>
      <c r="F2999" s="20"/>
      <c r="G2999" s="13" t="str">
        <f t="shared" si="9"/>
        <v/>
      </c>
      <c r="H2999" s="15" t="str">
        <f>IFERROR(VLOOKUP(A2999,Sheet1!$E$3:$F$27,2,),"")</f>
        <v/>
      </c>
      <c r="I2999" s="16" t="str">
        <f>IFERROR(VLOOKUP(A2999,Sheet1!$E$3:$G$27,3,0),"")</f>
        <v/>
      </c>
      <c r="J2999" s="20"/>
      <c r="K2999" s="17"/>
      <c r="L2999" s="17"/>
      <c r="M2999" s="13"/>
      <c r="N2999" s="23"/>
      <c r="O2999" s="22"/>
      <c r="P2999" s="22"/>
    </row>
    <row r="3000" ht="22.5" customHeight="1">
      <c r="A3000" s="20"/>
      <c r="B3000" s="20" t="str">
        <f>IFERROR(VLOOKUP(A3000,Sheet1!$E$3:$H$27,4,0),"")</f>
        <v/>
      </c>
      <c r="C3000" s="15"/>
      <c r="D3000" s="20"/>
      <c r="E3000" s="13" t="str">
        <f>IFERROR(VLOOKUP(D3000,Sheet1!$B$1:$C$45,2,0),"")</f>
        <v/>
      </c>
      <c r="F3000" s="20"/>
      <c r="G3000" s="13" t="str">
        <f t="shared" si="9"/>
        <v/>
      </c>
      <c r="H3000" s="15" t="str">
        <f>IFERROR(VLOOKUP(A3000,Sheet1!$E$3:$F$27,2,),"")</f>
        <v/>
      </c>
      <c r="I3000" s="16" t="str">
        <f>IFERROR(VLOOKUP(A3000,Sheet1!$E$3:$G$27,3,0),"")</f>
        <v/>
      </c>
      <c r="J3000" s="20"/>
      <c r="K3000" s="17"/>
      <c r="L3000" s="17"/>
      <c r="M3000" s="13"/>
      <c r="N3000" s="23"/>
      <c r="O3000" s="22"/>
      <c r="P3000" s="22"/>
    </row>
    <row r="3001" ht="22.5" customHeight="1">
      <c r="A3001" s="20"/>
      <c r="B3001" s="20" t="str">
        <f>IFERROR(VLOOKUP(A3001,Sheet1!$E$3:$H$27,4,0),"")</f>
        <v/>
      </c>
      <c r="C3001" s="15"/>
      <c r="D3001" s="20"/>
      <c r="E3001" s="13" t="str">
        <f>IFERROR(VLOOKUP(D3001,Sheet1!$B$1:$C$45,2,0),"")</f>
        <v/>
      </c>
      <c r="F3001" s="20"/>
      <c r="G3001" s="13" t="str">
        <f t="shared" si="9"/>
        <v/>
      </c>
      <c r="H3001" s="15" t="str">
        <f>IFERROR(VLOOKUP(A3001,Sheet1!$E$3:$F$27,2,),"")</f>
        <v/>
      </c>
      <c r="I3001" s="16" t="str">
        <f>IFERROR(VLOOKUP(A3001,Sheet1!$E$3:$G$27,3,0),"")</f>
        <v/>
      </c>
      <c r="J3001" s="20"/>
      <c r="K3001" s="17"/>
      <c r="L3001" s="17"/>
      <c r="M3001" s="13"/>
      <c r="N3001" s="23"/>
      <c r="O3001" s="22"/>
      <c r="P3001" s="22"/>
    </row>
    <row r="3002" ht="22.5" customHeight="1">
      <c r="A3002" s="20"/>
      <c r="B3002" s="20" t="str">
        <f>IFERROR(VLOOKUP(A3002,Sheet1!$E$3:$H$27,4,0),"")</f>
        <v/>
      </c>
      <c r="C3002" s="15"/>
      <c r="D3002" s="20"/>
      <c r="E3002" s="13" t="str">
        <f>IFERROR(VLOOKUP(D3002,Sheet1!$B$1:$C$45,2,0),"")</f>
        <v/>
      </c>
      <c r="F3002" s="20"/>
      <c r="G3002" s="13" t="str">
        <f t="shared" si="9"/>
        <v/>
      </c>
      <c r="H3002" s="15" t="str">
        <f>IFERROR(VLOOKUP(A3002,Sheet1!$E$3:$F$27,2,),"")</f>
        <v/>
      </c>
      <c r="I3002" s="16" t="str">
        <f>IFERROR(VLOOKUP(A3002,Sheet1!$E$3:$G$27,3,0),"")</f>
        <v/>
      </c>
      <c r="J3002" s="20"/>
      <c r="K3002" s="17"/>
      <c r="L3002" s="17"/>
      <c r="M3002" s="13"/>
      <c r="N3002" s="23"/>
      <c r="O3002" s="22"/>
      <c r="P3002" s="22"/>
    </row>
    <row r="3003" ht="22.5" customHeight="1">
      <c r="A3003" s="20"/>
      <c r="B3003" s="20" t="str">
        <f>IFERROR(VLOOKUP(A3003,Sheet1!$E$3:$H$27,4,0),"")</f>
        <v/>
      </c>
      <c r="C3003" s="15"/>
      <c r="D3003" s="20"/>
      <c r="E3003" s="13" t="str">
        <f>IFERROR(VLOOKUP(D3003,Sheet1!$B$1:$C$45,2,0),"")</f>
        <v/>
      </c>
      <c r="F3003" s="20"/>
      <c r="G3003" s="13" t="str">
        <f t="shared" si="9"/>
        <v/>
      </c>
      <c r="H3003" s="15" t="str">
        <f>IFERROR(VLOOKUP(A3003,Sheet1!$E$3:$F$27,2,),"")</f>
        <v/>
      </c>
      <c r="I3003" s="16" t="str">
        <f>IFERROR(VLOOKUP(A3003,Sheet1!$E$3:$G$27,3,0),"")</f>
        <v/>
      </c>
      <c r="J3003" s="20"/>
      <c r="K3003" s="17"/>
      <c r="L3003" s="17"/>
      <c r="M3003" s="13"/>
      <c r="N3003" s="23"/>
      <c r="O3003" s="22"/>
      <c r="P3003" s="22"/>
    </row>
    <row r="3004" ht="22.5" customHeight="1">
      <c r="A3004" s="20"/>
      <c r="B3004" s="20" t="str">
        <f>IFERROR(VLOOKUP(A3004,Sheet1!$E$3:$H$27,4,0),"")</f>
        <v/>
      </c>
      <c r="C3004" s="15"/>
      <c r="D3004" s="20"/>
      <c r="E3004" s="13" t="str">
        <f>IFERROR(VLOOKUP(D3004,Sheet1!$B$1:$C$45,2,0),"")</f>
        <v/>
      </c>
      <c r="F3004" s="20"/>
      <c r="G3004" s="13" t="str">
        <f t="shared" si="9"/>
        <v/>
      </c>
      <c r="H3004" s="15" t="str">
        <f>IFERROR(VLOOKUP(A3004,Sheet1!$E$3:$F$27,2,),"")</f>
        <v/>
      </c>
      <c r="I3004" s="16" t="str">
        <f>IFERROR(VLOOKUP(A3004,Sheet1!$E$3:$G$27,3,0),"")</f>
        <v/>
      </c>
      <c r="J3004" s="20"/>
      <c r="K3004" s="17"/>
      <c r="L3004" s="17"/>
      <c r="M3004" s="13"/>
      <c r="N3004" s="23"/>
      <c r="O3004" s="22"/>
      <c r="P3004" s="22"/>
    </row>
    <row r="3005" ht="22.5" customHeight="1">
      <c r="A3005" s="20"/>
      <c r="B3005" s="20" t="str">
        <f>IFERROR(VLOOKUP(A3005,Sheet1!$E$3:$H$27,4,0),"")</f>
        <v/>
      </c>
      <c r="C3005" s="15"/>
      <c r="D3005" s="20"/>
      <c r="E3005" s="13" t="str">
        <f>IFERROR(VLOOKUP(D3005,Sheet1!$B$1:$C$45,2,0),"")</f>
        <v/>
      </c>
      <c r="F3005" s="20"/>
      <c r="G3005" s="13" t="str">
        <f t="shared" si="9"/>
        <v/>
      </c>
      <c r="H3005" s="15" t="str">
        <f>IFERROR(VLOOKUP(A3005,Sheet1!$E$3:$F$27,2,),"")</f>
        <v/>
      </c>
      <c r="I3005" s="16" t="str">
        <f>IFERROR(VLOOKUP(A3005,Sheet1!$E$3:$G$27,3,0),"")</f>
        <v/>
      </c>
      <c r="J3005" s="20"/>
      <c r="K3005" s="17"/>
      <c r="L3005" s="17"/>
      <c r="M3005" s="13"/>
      <c r="N3005" s="23"/>
      <c r="O3005" s="22"/>
      <c r="P3005" s="22"/>
    </row>
    <row r="3006" ht="22.5" customHeight="1">
      <c r="A3006" s="20"/>
      <c r="B3006" s="20" t="str">
        <f>IFERROR(VLOOKUP(A3006,Sheet1!$E$3:$H$27,4,0),"")</f>
        <v/>
      </c>
      <c r="C3006" s="15"/>
      <c r="D3006" s="20"/>
      <c r="E3006" s="13" t="str">
        <f>IFERROR(VLOOKUP(D3006,Sheet1!$B$1:$C$45,2,0),"")</f>
        <v/>
      </c>
      <c r="F3006" s="20"/>
      <c r="G3006" s="13" t="str">
        <f t="shared" si="9"/>
        <v/>
      </c>
      <c r="H3006" s="15" t="str">
        <f>IFERROR(VLOOKUP(A3006,Sheet1!$E$3:$F$27,2,),"")</f>
        <v/>
      </c>
      <c r="I3006" s="16" t="str">
        <f>IFERROR(VLOOKUP(A3006,Sheet1!$E$3:$G$27,3,0),"")</f>
        <v/>
      </c>
      <c r="J3006" s="20"/>
      <c r="K3006" s="17"/>
      <c r="L3006" s="17"/>
      <c r="M3006" s="13"/>
      <c r="N3006" s="23"/>
      <c r="O3006" s="22"/>
      <c r="P3006" s="22"/>
    </row>
  </sheetData>
  <customSheetViews>
    <customSheetView guid="{88A91579-1256-4D1B-B698-3B2C7BE0BC38}" filter="1" showAutoFilter="1">
      <autoFilter ref="$A$3:$P$3006">
        <filterColumn colId="10">
          <filters blank="1">
            <filter val="22/01/2026"/>
            <filter val="12/03/2026"/>
            <filter val="10/03/2026"/>
            <filter val="06/04/2026"/>
            <filter val="09/01/2026"/>
            <filter val="20/01/2026"/>
            <filter val="16/02/2026"/>
            <filter val="20/10/2026"/>
            <filter val="03/02/2026"/>
            <filter val="07/01/2026"/>
            <filter val="18/02/2026"/>
            <filter val="08/04/2026"/>
            <filter val="26/01/2026"/>
            <filter val="05/02/2026"/>
            <filter val="28/01/2026"/>
            <filter val="10/02/2026"/>
            <filter val="13/01/2026"/>
            <filter val="14/04/2026"/>
            <filter val="05/03/2026"/>
            <filter val="14/01/2026"/>
            <filter val="16/04/2026"/>
            <filter val="13/10/2026"/>
            <filter val="11/02/2026"/>
            <filter val="16/01/2026"/>
            <filter val="13/02/2026"/>
            <filter val="20/02/2026"/>
            <filter val="09/03/2026"/>
            <filter val="09/06/2026"/>
            <filter val="02/01/2026"/>
            <filter val="23/04/2026"/>
            <filter val="21/01/2026"/>
            <filter val="15/10/2026"/>
            <filter val="12/06/2026"/>
            <filter val="11/03/2026"/>
            <filter val="07/04/2026"/>
            <filter val="19/10/2026"/>
            <filter val="08/01/2026"/>
            <filter val="06/01/2026"/>
            <filter val="23/01/2026"/>
            <filter val="19/02/2026"/>
            <filter val="02/02/2026"/>
            <filter val="13/03/2026"/>
            <filter val="09/04/2026"/>
            <filter val="04/02/2026"/>
            <filter val="06/02/2026"/>
            <filter val="05/05/2026"/>
            <filter val="12/01/2026"/>
            <filter val="02/03/2026"/>
            <filter val="13/04/2026"/>
            <filter val="31/12/2025"/>
            <filter val="30/01/2026"/>
            <filter val="23/02/2026"/>
            <filter val="27/01/2026"/>
            <filter val="04/03/2026"/>
            <filter val="15/01/2026"/>
            <filter val="15/04/2026"/>
            <filter val="29/01/2026"/>
            <filter val="17/04/2026"/>
            <filter val="09/02/2026"/>
            <filter val="06/03/2026"/>
            <filter val="12/10/2026"/>
            <filter val="12/02/2026"/>
            <filter val="19/01/2026"/>
            <filter val="03/04/2026"/>
            <filter val="10/04/2026"/>
            <filter val="14/10/2026"/>
            <filter val="14/02/2026"/>
            <filter val="16/10/2026"/>
            <filter val="05/01/2026"/>
            <filter val="30/09/2026"/>
          </filters>
        </filterColumn>
      </autoFilter>
    </customSheetView>
    <customSheetView guid="{849228C0-4E7B-448E-9BCB-15156E34AFA8}" filter="1" showAutoFilter="1">
      <autoFilter ref="$A$3:$P$3006">
        <filterColumn colId="10">
          <filters blank="1">
            <filter val="22/01/2026"/>
            <filter val="12/03/2026"/>
            <filter val="10/03/2026"/>
            <filter val="06/04/2026"/>
            <filter val="20/01/2026"/>
            <filter val="16/02/2026"/>
            <filter val="20/10/2026"/>
            <filter val="03/02/2026"/>
            <filter val="18/02/2026"/>
            <filter val="08/04/2026"/>
            <filter val="26/01/2026"/>
            <filter val="05/02/2026"/>
            <filter val="28/01/2026"/>
            <filter val="10/02/2026"/>
            <filter val="14/04/2026"/>
            <filter val="05/03/2026"/>
            <filter val="16/04/2026"/>
            <filter val="13/10/2026"/>
            <filter val="11/02/2026"/>
            <filter val="13/02/2026"/>
            <filter val="20/02/2026"/>
            <filter val="09/03/2026"/>
            <filter val="09/06/2026"/>
            <filter val="23/04/2026"/>
            <filter val="21/01/2026"/>
            <filter val="15/10/2026"/>
            <filter val="12/06/2026"/>
            <filter val="11/03/2026"/>
            <filter val="07/04/2026"/>
            <filter val="19/10/2026"/>
            <filter val="23/01/2026"/>
            <filter val="19/02/2026"/>
            <filter val="02/02/2026"/>
            <filter val="13/03/2026"/>
            <filter val="09/04/2026"/>
            <filter val="04/02/2026"/>
            <filter val="06/02/2026"/>
            <filter val="05/05/2026"/>
            <filter val="02/03/2026"/>
            <filter val="13/04/2026"/>
            <filter val="30/01/2026"/>
            <filter val="23/02/2026"/>
            <filter val="27/01/2026"/>
            <filter val="04/03/2026"/>
            <filter val="15/01/2026"/>
            <filter val="15/04/2026"/>
            <filter val="29/01/2026"/>
            <filter val="17/04/2026"/>
            <filter val="09/02/2026"/>
            <filter val="06/03/2026"/>
            <filter val="12/10/2026"/>
            <filter val="12/02/2026"/>
            <filter val="19/01/2026"/>
            <filter val="03/04/2026"/>
            <filter val="10/04/2026"/>
            <filter val="14/10/2026"/>
            <filter val="14/02/2026"/>
            <filter val="16/10/2026"/>
            <filter val="30/09/2026"/>
          </filters>
        </filterColumn>
      </autoFilter>
    </customSheetView>
  </customSheetViews>
  <conditionalFormatting sqref="H4:H3006">
    <cfRule type="containsText" dxfId="5" priority="1" operator="containsText" text="Corrective">
      <formula>NOT(ISERROR(SEARCH(("Corrective"),(H4))))</formula>
    </cfRule>
  </conditionalFormatting>
  <conditionalFormatting sqref="H4:H3006">
    <cfRule type="containsText" dxfId="6" priority="2" operator="containsText" text="Preventive">
      <formula>NOT(ISERROR(SEARCH(("Preventive"),(H4))))</formula>
    </cfRule>
  </conditionalFormatting>
  <conditionalFormatting sqref="H4:H3006">
    <cfRule type="containsText" dxfId="7" priority="3" operator="containsText" text="Standby">
      <formula>NOT(ISERROR(SEARCH(("Standby"),(H4))))</formula>
    </cfRule>
  </conditionalFormatting>
  <dataValidations>
    <dataValidation type="list" allowBlank="1" sqref="G4:G3006">
      <formula1>"Barito Raya,Palangkaraya"</formula1>
    </dataValidation>
    <dataValidation type="custom" allowBlank="1" showDropDown="1" sqref="K4:L3006">
      <formula1>OR(NOT(ISERROR(DATEVALUE(K4))), AND(ISNUMBER(K4), LEFT(CELL("format", K4))="D"))</formula1>
    </dataValidation>
    <dataValidation type="list" allowBlank="1" sqref="M4:M3006">
      <formula1>"Done,Pending,Waiting Update"</formula1>
    </dataValidation>
    <dataValidation type="list" allowBlank="1" sqref="B4:B3006">
      <formula1>"P1,P2,P3"</formula1>
    </dataValidation>
    <dataValidation type="list" allowBlank="1" sqref="E4:E3006">
      <formula1>"TE,MBP,CME,PM"</formula1>
    </dataValidation>
    <dataValidation allowBlank="1" showDropDown="1" sqref="N4:N3006"/>
    <dataValidation type="list" allowBlank="1" sqref="A4:A3006 D4:D3006">
      <formula1>#REF!</formula1>
    </dataValidation>
    <dataValidation type="list" allowBlank="1" sqref="F4:F3006">
      <formula1>"Winda Sokenda,Doni Damara"</formula1>
    </dataValidation>
    <dataValidation type="list" allowBlank="1" sqref="J4:J3006">
      <formula1>"On Progress,Waiting Material,Standby"</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IFERROR(__xludf.DUMMYFUNCTION("IMPORTRANGE(""https://docs.google.com/spreadsheets/d/1_hyXprjSM1g4AdEhPoiMjyaBs29sh04zf_9ON8dHV1g/edit?gid"",""to do list!A3:A1015"")"),"Category Task")</f>
        <v>Category Task</v>
      </c>
      <c r="B1" s="3" t="str">
        <f>IFERROR(__xludf.DUMMYFUNCTION("IMPORTRANGE(""https://docs.google.com/spreadsheets/d/1_hyXprjSM1g4AdEhPoiMjyaBs29sh04zf_9ON8dHV1g/edit?gid"",""to do list!B3:B1015"")"),"Prioritas")</f>
        <v>Prioritas</v>
      </c>
      <c r="C1" s="3" t="str">
        <f>IFERROR(__xludf.DUMMYFUNCTION("IMPORTRANGE(""https://docs.google.com/spreadsheets/d/1_hyXprjSM1g4AdEhPoiMjyaBs29sh04zf_9ON8dHV1g/edit?gid"",""to do list!C3:C1015"")"),"Site ID")</f>
        <v>Site ID</v>
      </c>
      <c r="D1" s="3" t="str">
        <f>IFERROR(__xludf.DUMMYFUNCTION("IMPORTRANGE(""https://docs.google.com/spreadsheets/d/1_hyXprjSM1g4AdEhPoiMjyaBs29sh04zf_9ON8dHV1g/edit?gid"",""to do list!D3:D1015"")"),"FME Name")</f>
        <v>FME Name</v>
      </c>
      <c r="E1" s="3" t="str">
        <f>IFERROR(__xludf.DUMMYFUNCTION("IMPORTRANGE(""https://docs.google.com/spreadsheets/d/1_hyXprjSM1g4AdEhPoiMjyaBs29sh04zf_9ON8dHV1g/edit?gid"",""to do list!E3:E1015"")"),"Role")</f>
        <v>Role</v>
      </c>
      <c r="F1" s="3" t="str">
        <f>IFERROR(__xludf.DUMMYFUNCTION("IMPORTRANGE(""https://docs.google.com/spreadsheets/d/1_hyXprjSM1g4AdEhPoiMjyaBs29sh04zf_9ON8dHV1g/edit?gid"",""to do list!F3:F1015"")"),"RTS Name")</f>
        <v>RTS Name</v>
      </c>
      <c r="G1" s="3" t="str">
        <f>IFERROR(__xludf.DUMMYFUNCTION("IMPORTRANGE(""https://docs.google.com/spreadsheets/d/1_hyXprjSM1g4AdEhPoiMjyaBs29sh04zf_9ON8dHV1g/edit?gid"",""to do list!G3:G1015"")"),"Cluster")</f>
        <v>Cluster</v>
      </c>
      <c r="H1" s="3" t="str">
        <f>IFERROR(__xludf.DUMMYFUNCTION("IMPORTRANGE(""https://docs.google.com/spreadsheets/d/1_hyXprjSM1g4AdEhPoiMjyaBs29sh04zf_9ON8dHV1g/edit?gid"",""to do list!H3:H1015"")"),"Category Activity")</f>
        <v>Category Activity</v>
      </c>
      <c r="I1" s="3" t="str">
        <f>IFERROR(__xludf.DUMMYFUNCTION("IMPORTRANGE(""https://docs.google.com/spreadsheets/d/1_hyXprjSM1g4AdEhPoiMjyaBs29sh04zf_9ON8dHV1g/edit?gid"",""to do list!I3:I1015"")"),"Detail Activity")</f>
        <v>Detail Activity</v>
      </c>
      <c r="J1" s="3" t="str">
        <f>IFERROR(__xludf.DUMMYFUNCTION("IMPORTRANGE(""https://docs.google.com/spreadsheets/d/1_hyXprjSM1g4AdEhPoiMjyaBs29sh04zf_9ON8dHV1g/edit?gid"",""to do list!J3:J1015"")"),"Activity")</f>
        <v>Activity</v>
      </c>
      <c r="K1" s="3" t="str">
        <f>IFERROR(__xludf.DUMMYFUNCTION("IMPORTRANGE(""https://docs.google.com/spreadsheets/d/1_hyXprjSM1g4AdEhPoiMjyaBs29sh04zf_9ON8dHV1g/edit?gid"",""to do list!K3:K1015"")"),"Start Date")</f>
        <v>Start Date</v>
      </c>
      <c r="L1" s="3" t="str">
        <f>IFERROR(__xludf.DUMMYFUNCTION("IMPORTRANGE(""https://docs.google.com/spreadsheets/d/1_hyXprjSM1g4AdEhPoiMjyaBs29sh04zf_9ON8dHV1g/edit?gid"",""to do list!L3:L1015"")"),"End Date")</f>
        <v>End Date</v>
      </c>
      <c r="M1" s="3" t="str">
        <f>IFERROR(__xludf.DUMMYFUNCTION("IMPORTRANGE(""https://docs.google.com/spreadsheets/d/1_hyXprjSM1g4AdEhPoiMjyaBs29sh04zf_9ON8dHV1g/edit?gid"",""to do list!M3:M1015"")"),"Status Task")</f>
        <v>Status Task</v>
      </c>
      <c r="N1" s="3" t="str">
        <f>IFERROR(__xludf.DUMMYFUNCTION("IMPORTRANGE(""https://docs.google.com/spreadsheets/d/1_hyXprjSM1g4AdEhPoiMjyaBs29sh04zf_9ON8dHV1g/edit?gid"",""to do list!N3:N1015"")"),"Remark")</f>
        <v>Remark</v>
      </c>
      <c r="O1" s="2" t="s">
        <v>769</v>
      </c>
      <c r="P1" s="2" t="s">
        <v>770</v>
      </c>
      <c r="Q1" s="2" t="s">
        <v>771</v>
      </c>
    </row>
    <row r="2">
      <c r="A2" s="3" t="str">
        <f>IFERROR(__xludf.DUMMYFUNCTION("""COMPUTED_VALUE"""),"Standby On Call")</f>
        <v>Standby On Call</v>
      </c>
      <c r="B2" s="3" t="str">
        <f>IFERROR(__xludf.DUMMYFUNCTION("""COMPUTED_VALUE"""),"P3")</f>
        <v>P3</v>
      </c>
      <c r="C2" s="3"/>
      <c r="D2" s="3" t="str">
        <f>IFERROR(__xludf.DUMMYFUNCTION("""COMPUTED_VALUE"""),"Putra wardana")</f>
        <v>Putra wardana</v>
      </c>
      <c r="E2" s="3" t="str">
        <f>IFERROR(__xludf.DUMMYFUNCTION("""COMPUTED_VALUE"""),"TE")</f>
        <v>TE</v>
      </c>
      <c r="F2" s="3" t="str">
        <f>IFERROR(__xludf.DUMMYFUNCTION("""COMPUTED_VALUE"""),"Winda Sokenda")</f>
        <v>Winda Sokenda</v>
      </c>
      <c r="G2" s="3" t="str">
        <f>IFERROR(__xludf.DUMMYFUNCTION("""COMPUTED_VALUE"""),"Barito Raya")</f>
        <v>Barito Raya</v>
      </c>
      <c r="H2" s="3" t="str">
        <f>IFERROR(__xludf.DUMMYFUNCTION("""COMPUTED_VALUE"""),"Standby")</f>
        <v>Standby</v>
      </c>
      <c r="I2" s="3" t="str">
        <f>IFERROR(__xludf.DUMMYFUNCTION("""COMPUTED_VALUE"""),"Standby On Call")</f>
        <v>Standby On Call</v>
      </c>
      <c r="J2" s="3" t="str">
        <f>IFERROR(__xludf.DUMMYFUNCTION("""COMPUTED_VALUE"""),"Standby")</f>
        <v>Standby</v>
      </c>
      <c r="K2" s="27">
        <f>IFERROR(__xludf.DUMMYFUNCTION("""COMPUTED_VALUE"""),46315.0)</f>
        <v>46315</v>
      </c>
      <c r="L2" s="27">
        <f>IFERROR(__xludf.DUMMYFUNCTION("""COMPUTED_VALUE"""),46315.0)</f>
        <v>46315</v>
      </c>
      <c r="M2" s="3" t="str">
        <f>IFERROR(__xludf.DUMMYFUNCTION("""COMPUTED_VALUE"""),"Done")</f>
        <v>Done</v>
      </c>
      <c r="N2" s="3" t="str">
        <f>IFERROR(__xludf.DUMMYFUNCTION("""COMPUTED_VALUE"""),"Stanby")</f>
        <v>Stanby</v>
      </c>
      <c r="O2" s="2">
        <v>113.38514</v>
      </c>
      <c r="P2" s="2">
        <v>-1.3519</v>
      </c>
      <c r="Q2" s="2" t="str">
        <f t="shared" ref="Q2:Q1515" si="1">LEFT(K2,2)</f>
        <v>20</v>
      </c>
    </row>
    <row r="3">
      <c r="A3" s="3" t="str">
        <f>IFERROR(__xludf.DUMMYFUNCTION("""COMPUTED_VALUE"""),"Pengecekan Power")</f>
        <v>Pengecekan Power</v>
      </c>
      <c r="B3" s="3" t="str">
        <f>IFERROR(__xludf.DUMMYFUNCTION("""COMPUTED_VALUE"""),"P1")</f>
        <v>P1</v>
      </c>
      <c r="C3" s="3" t="str">
        <f>IFERROR(__xludf.DUMMYFUNCTION("""COMPUTED_VALUE"""),"NTH149")</f>
        <v>NTH149</v>
      </c>
      <c r="D3" s="3" t="str">
        <f>IFERROR(__xludf.DUMMYFUNCTION("""COMPUTED_VALUE"""),"Sailillah")</f>
        <v>Sailillah</v>
      </c>
      <c r="E3" s="3" t="str">
        <f>IFERROR(__xludf.DUMMYFUNCTION("""COMPUTED_VALUE"""),"TE")</f>
        <v>TE</v>
      </c>
      <c r="F3" s="3" t="str">
        <f>IFERROR(__xludf.DUMMYFUNCTION("""COMPUTED_VALUE"""),"Winda Sokenda")</f>
        <v>Winda Sokenda</v>
      </c>
      <c r="G3" s="3" t="str">
        <f>IFERROR(__xludf.DUMMYFUNCTION("""COMPUTED_VALUE"""),"Barito Raya")</f>
        <v>Barito Raya</v>
      </c>
      <c r="H3" s="3" t="str">
        <f>IFERROR(__xludf.DUMMYFUNCTION("""COMPUTED_VALUE"""),"Preventive")</f>
        <v>Preventive</v>
      </c>
      <c r="I3" s="3" t="str">
        <f>IFERROR(__xludf.DUMMYFUNCTION("""COMPUTED_VALUE"""),"MCB trip/Power upnormal")</f>
        <v>MCB trip/Power upnormal</v>
      </c>
      <c r="J3" s="3" t="str">
        <f>IFERROR(__xludf.DUMMYFUNCTION("""COMPUTED_VALUE"""),"On Progress")</f>
        <v>On Progress</v>
      </c>
      <c r="K3" s="27">
        <f>IFERROR(__xludf.DUMMYFUNCTION("""COMPUTED_VALUE"""),46315.0)</f>
        <v>46315</v>
      </c>
      <c r="L3" s="27">
        <f>IFERROR(__xludf.DUMMYFUNCTION("""COMPUTED_VALUE"""),46315.0)</f>
        <v>46315</v>
      </c>
      <c r="M3" s="3" t="str">
        <f>IFERROR(__xludf.DUMMYFUNCTION("""COMPUTED_VALUE"""),"Done")</f>
        <v>Done</v>
      </c>
      <c r="N3" s="3" t="str">
        <f>IFERROR(__xludf.DUMMYFUNCTION("""COMPUTED_VALUE"""),"Isi token &amp; PMS done")</f>
        <v>Isi token &amp; PMS done</v>
      </c>
      <c r="O3" s="3">
        <f>IFERROR(VLOOKUP(C3,Sheet4!A3:F790,6,0),"")</f>
        <v>11519868</v>
      </c>
      <c r="Q3" s="2" t="str">
        <f t="shared" si="1"/>
        <v>20</v>
      </c>
    </row>
    <row r="4">
      <c r="A4" s="3" t="str">
        <f>IFERROR(__xludf.DUMMYFUNCTION("""COMPUTED_VALUE"""),"Sick")</f>
        <v>Sick</v>
      </c>
      <c r="B4" s="3" t="str">
        <f>IFERROR(__xludf.DUMMYFUNCTION("""COMPUTED_VALUE"""),"P3")</f>
        <v>P3</v>
      </c>
      <c r="C4" s="3"/>
      <c r="D4" s="3" t="str">
        <f>IFERROR(__xludf.DUMMYFUNCTION("""COMPUTED_VALUE"""),"Tiviansyah")</f>
        <v>Tiviansyah</v>
      </c>
      <c r="E4" s="3" t="str">
        <f>IFERROR(__xludf.DUMMYFUNCTION("""COMPUTED_VALUE"""),"TE")</f>
        <v>TE</v>
      </c>
      <c r="F4" s="3" t="str">
        <f>IFERROR(__xludf.DUMMYFUNCTION("""COMPUTED_VALUE"""),"Winda Sokenda")</f>
        <v>Winda Sokenda</v>
      </c>
      <c r="G4" s="3" t="str">
        <f>IFERROR(__xludf.DUMMYFUNCTION("""COMPUTED_VALUE"""),"Barito Raya")</f>
        <v>Barito Raya</v>
      </c>
      <c r="H4" s="3" t="str">
        <f>IFERROR(__xludf.DUMMYFUNCTION("""COMPUTED_VALUE"""),"Sick")</f>
        <v>Sick</v>
      </c>
      <c r="I4" s="3" t="str">
        <f>IFERROR(__xludf.DUMMYFUNCTION("""COMPUTED_VALUE"""),"Sick")</f>
        <v>Sick</v>
      </c>
      <c r="J4" s="3" t="str">
        <f>IFERROR(__xludf.DUMMYFUNCTION("""COMPUTED_VALUE"""),"Standby")</f>
        <v>Standby</v>
      </c>
      <c r="K4" s="27">
        <f>IFERROR(__xludf.DUMMYFUNCTION("""COMPUTED_VALUE"""),46315.0)</f>
        <v>46315</v>
      </c>
      <c r="L4" s="27">
        <f>IFERROR(__xludf.DUMMYFUNCTION("""COMPUTED_VALUE"""),46315.0)</f>
        <v>46315</v>
      </c>
      <c r="M4" s="3" t="str">
        <f>IFERROR(__xludf.DUMMYFUNCTION("""COMPUTED_VALUE"""),"Done")</f>
        <v>Done</v>
      </c>
      <c r="N4" s="3" t="str">
        <f>IFERROR(__xludf.DUMMYFUNCTION("""COMPUTED_VALUE"""),"Izin sakit")</f>
        <v>Izin sakit</v>
      </c>
      <c r="O4" s="3" t="str">
        <f>IFERROR(VLOOKUP(C4,Sheet4!A4:F791,6,0),"")</f>
        <v/>
      </c>
      <c r="Q4" s="2" t="str">
        <f t="shared" si="1"/>
        <v>20</v>
      </c>
    </row>
    <row r="5">
      <c r="A5" s="3" t="str">
        <f>IFERROR(__xludf.DUMMYFUNCTION("""COMPUTED_VALUE"""),"Site Down")</f>
        <v>Site Down</v>
      </c>
      <c r="B5" s="3" t="str">
        <f>IFERROR(__xludf.DUMMYFUNCTION("""COMPUTED_VALUE"""),"P1")</f>
        <v>P1</v>
      </c>
      <c r="C5" s="3" t="str">
        <f>IFERROR(__xludf.DUMMYFUNCTION("""COMPUTED_VALUE"""),"COH937")</f>
        <v>COH937</v>
      </c>
      <c r="D5" s="3" t="str">
        <f>IFERROR(__xludf.DUMMYFUNCTION("""COMPUTED_VALUE"""),"munawir akhmad")</f>
        <v>munawir akhmad</v>
      </c>
      <c r="E5" s="3" t="str">
        <f>IFERROR(__xludf.DUMMYFUNCTION("""COMPUTED_VALUE"""),"TE")</f>
        <v>TE</v>
      </c>
      <c r="F5" s="3" t="str">
        <f>IFERROR(__xludf.DUMMYFUNCTION("""COMPUTED_VALUE"""),"Winda Sokenda")</f>
        <v>Winda Sokenda</v>
      </c>
      <c r="G5" s="3" t="str">
        <f>IFERROR(__xludf.DUMMYFUNCTION("""COMPUTED_VALUE"""),"Barito Raya")</f>
        <v>Barito Raya</v>
      </c>
      <c r="H5" s="3" t="str">
        <f>IFERROR(__xludf.DUMMYFUNCTION("""COMPUTED_VALUE"""),"Corrective")</f>
        <v>Corrective</v>
      </c>
      <c r="I5" s="3" t="str">
        <f>IFERROR(__xludf.DUMMYFUNCTION("""COMPUTED_VALUE"""),"Pemadaman,MCB Trip,Transmisi problem")</f>
        <v>Pemadaman,MCB Trip,Transmisi problem</v>
      </c>
      <c r="J5" s="3" t="str">
        <f>IFERROR(__xludf.DUMMYFUNCTION("""COMPUTED_VALUE"""),"On Progress")</f>
        <v>On Progress</v>
      </c>
      <c r="K5" s="27">
        <f>IFERROR(__xludf.DUMMYFUNCTION("""COMPUTED_VALUE"""),46315.0)</f>
        <v>46315</v>
      </c>
      <c r="L5" s="27">
        <f>IFERROR(__xludf.DUMMYFUNCTION("""COMPUTED_VALUE"""),46315.0)</f>
        <v>46315</v>
      </c>
      <c r="M5" s="3" t="str">
        <f>IFERROR(__xludf.DUMMYFUNCTION("""COMPUTED_VALUE"""),"Done")</f>
        <v>Done</v>
      </c>
      <c r="N5" s="3" t="str">
        <f>IFERROR(__xludf.DUMMYFUNCTION("""COMPUTED_VALUE"""),"PLN off, kawal team telkom MTW248")</f>
        <v>PLN off, kawal team telkom MTW248</v>
      </c>
      <c r="O5" s="3">
        <f>IFERROR(VLOOKUP(C5,Sheet4!A5:F792,6,0),"")</f>
        <v>11490638</v>
      </c>
      <c r="Q5" s="2" t="str">
        <f t="shared" si="1"/>
        <v>20</v>
      </c>
    </row>
    <row r="6">
      <c r="A6" s="3" t="str">
        <f>IFERROR(__xludf.DUMMYFUNCTION("""COMPUTED_VALUE"""),"Site Down")</f>
        <v>Site Down</v>
      </c>
      <c r="B6" s="3" t="str">
        <f>IFERROR(__xludf.DUMMYFUNCTION("""COMPUTED_VALUE"""),"P1")</f>
        <v>P1</v>
      </c>
      <c r="C6" s="3" t="str">
        <f>IFERROR(__xludf.DUMMYFUNCTION("""COMPUTED_VALUE"""),"PRC038")</f>
        <v>PRC038</v>
      </c>
      <c r="D6" s="3" t="str">
        <f>IFERROR(__xludf.DUMMYFUNCTION("""COMPUTED_VALUE"""),"Murjani")</f>
        <v>Murjani</v>
      </c>
      <c r="E6" s="3" t="str">
        <f>IFERROR(__xludf.DUMMYFUNCTION("""COMPUTED_VALUE"""),"TE")</f>
        <v>TE</v>
      </c>
      <c r="F6" s="3" t="str">
        <f>IFERROR(__xludf.DUMMYFUNCTION("""COMPUTED_VALUE"""),"Winda Sokenda")</f>
        <v>Winda Sokenda</v>
      </c>
      <c r="G6" s="3" t="str">
        <f>IFERROR(__xludf.DUMMYFUNCTION("""COMPUTED_VALUE"""),"Barito Raya")</f>
        <v>Barito Raya</v>
      </c>
      <c r="H6" s="3" t="str">
        <f>IFERROR(__xludf.DUMMYFUNCTION("""COMPUTED_VALUE"""),"Corrective")</f>
        <v>Corrective</v>
      </c>
      <c r="I6" s="3" t="str">
        <f>IFERROR(__xludf.DUMMYFUNCTION("""COMPUTED_VALUE"""),"Pemadaman,MCB Trip,Transmisi problem")</f>
        <v>Pemadaman,MCB Trip,Transmisi problem</v>
      </c>
      <c r="J6" s="3" t="str">
        <f>IFERROR(__xludf.DUMMYFUNCTION("""COMPUTED_VALUE"""),"On Progress")</f>
        <v>On Progress</v>
      </c>
      <c r="K6" s="27">
        <f>IFERROR(__xludf.DUMMYFUNCTION("""COMPUTED_VALUE"""),46315.0)</f>
        <v>46315</v>
      </c>
      <c r="L6" s="27">
        <f>IFERROR(__xludf.DUMMYFUNCTION("""COMPUTED_VALUE"""),46315.0)</f>
        <v>46315</v>
      </c>
      <c r="M6" s="3" t="str">
        <f>IFERROR(__xludf.DUMMYFUNCTION("""COMPUTED_VALUE"""),"Done")</f>
        <v>Done</v>
      </c>
      <c r="N6" s="3" t="str">
        <f>IFERROR(__xludf.DUMMYFUNCTION("""COMPUTED_VALUE"""),"Replace RRU")</f>
        <v>Replace RRU</v>
      </c>
      <c r="O6" s="3">
        <f>IFERROR(VLOOKUP(C6,Sheet4!A6:F793,6,0),"")</f>
        <v>1145281</v>
      </c>
      <c r="Q6" s="2" t="str">
        <f t="shared" si="1"/>
        <v>20</v>
      </c>
    </row>
    <row r="7">
      <c r="A7" s="3" t="str">
        <f>IFERROR(__xludf.DUMMYFUNCTION("""COMPUTED_VALUE"""),"Tshoot Genset")</f>
        <v>Tshoot Genset</v>
      </c>
      <c r="B7" s="3" t="str">
        <f>IFERROR(__xludf.DUMMYFUNCTION("""COMPUTED_VALUE"""),"P1")</f>
        <v>P1</v>
      </c>
      <c r="C7" s="3" t="str">
        <f>IFERROR(__xludf.DUMMYFUNCTION("""COMPUTED_VALUE"""),"KKP305")</f>
        <v>KKP305</v>
      </c>
      <c r="D7" s="3" t="str">
        <f>IFERROR(__xludf.DUMMYFUNCTION("""COMPUTED_VALUE"""),"Reynaldy Ricardo Putra")</f>
        <v>Reynaldy Ricardo Putra</v>
      </c>
      <c r="E7" s="3" t="str">
        <f>IFERROR(__xludf.DUMMYFUNCTION("""COMPUTED_VALUE"""),"TE")</f>
        <v>TE</v>
      </c>
      <c r="F7" s="3" t="str">
        <f>IFERROR(__xludf.DUMMYFUNCTION("""COMPUTED_VALUE"""),"Winda Sokenda")</f>
        <v>Winda Sokenda</v>
      </c>
      <c r="G7" s="3" t="str">
        <f>IFERROR(__xludf.DUMMYFUNCTION("""COMPUTED_VALUE"""),"Barito Raya")</f>
        <v>Barito Raya</v>
      </c>
      <c r="H7" s="3" t="str">
        <f>IFERROR(__xludf.DUMMYFUNCTION("""COMPUTED_VALUE"""),"Corrective")</f>
        <v>Corrective</v>
      </c>
      <c r="I7" s="3" t="str">
        <f>IFERROR(__xludf.DUMMYFUNCTION("""COMPUTED_VALUE"""),"Perbaikan Auto,pergantian relay,timer, yang berhubungan genset")</f>
        <v>Perbaikan Auto,pergantian relay,timer, yang berhubungan genset</v>
      </c>
      <c r="J7" s="3" t="str">
        <f>IFERROR(__xludf.DUMMYFUNCTION("""COMPUTED_VALUE"""),"On Progress")</f>
        <v>On Progress</v>
      </c>
      <c r="K7" s="27">
        <f>IFERROR(__xludf.DUMMYFUNCTION("""COMPUTED_VALUE"""),46315.0)</f>
        <v>46315</v>
      </c>
      <c r="L7" s="27">
        <f>IFERROR(__xludf.DUMMYFUNCTION("""COMPUTED_VALUE"""),46315.0)</f>
        <v>46315</v>
      </c>
      <c r="M7" s="3" t="str">
        <f>IFERROR(__xludf.DUMMYFUNCTION("""COMPUTED_VALUE"""),"Done")</f>
        <v>Done</v>
      </c>
      <c r="N7" s="3" t="str">
        <f>IFERROR(__xludf.DUMMYFUNCTION("""COMPUTED_VALUE"""),"geser KKP124 ts cell down")</f>
        <v>geser KKP124 ts cell down</v>
      </c>
      <c r="O7" s="3">
        <f>IFERROR(VLOOKUP(C7,Sheet4!A7:F794,6,0),"")</f>
        <v>11440769</v>
      </c>
      <c r="Q7" s="2" t="str">
        <f t="shared" si="1"/>
        <v>20</v>
      </c>
    </row>
    <row r="8">
      <c r="A8" s="3" t="str">
        <f>IFERROR(__xludf.DUMMYFUNCTION("""COMPUTED_VALUE"""),"Cell down")</f>
        <v>Cell down</v>
      </c>
      <c r="B8" s="3" t="str">
        <f>IFERROR(__xludf.DUMMYFUNCTION("""COMPUTED_VALUE"""),"P1")</f>
        <v>P1</v>
      </c>
      <c r="C8" s="3" t="str">
        <f>IFERROR(__xludf.DUMMYFUNCTION("""COMPUTED_VALUE"""),"KKP117")</f>
        <v>KKP117</v>
      </c>
      <c r="D8" s="3" t="str">
        <f>IFERROR(__xludf.DUMMYFUNCTION("""COMPUTED_VALUE"""),"Sahrul Saputra")</f>
        <v>Sahrul Saputra</v>
      </c>
      <c r="E8" s="3" t="str">
        <f>IFERROR(__xludf.DUMMYFUNCTION("""COMPUTED_VALUE"""),"TE")</f>
        <v>TE</v>
      </c>
      <c r="F8" s="3" t="str">
        <f>IFERROR(__xludf.DUMMYFUNCTION("""COMPUTED_VALUE"""),"Winda Sokenda")</f>
        <v>Winda Sokenda</v>
      </c>
      <c r="G8" s="3" t="str">
        <f>IFERROR(__xludf.DUMMYFUNCTION("""COMPUTED_VALUE"""),"Barito Raya")</f>
        <v>Barito Raya</v>
      </c>
      <c r="H8" s="3" t="str">
        <f>IFERROR(__xludf.DUMMYFUNCTION("""COMPUTED_VALUE"""),"Corrective")</f>
        <v>Corrective</v>
      </c>
      <c r="I8" s="3" t="str">
        <f>IFERROR(__xludf.DUMMYFUNCTION("""COMPUTED_VALUE"""),"Replace Optik,RRU/Soket Power/Replace GPS")</f>
        <v>Replace Optik,RRU/Soket Power/Replace GPS</v>
      </c>
      <c r="J8" s="3" t="str">
        <f>IFERROR(__xludf.DUMMYFUNCTION("""COMPUTED_VALUE"""),"On Progress")</f>
        <v>On Progress</v>
      </c>
      <c r="K8" s="27">
        <f>IFERROR(__xludf.DUMMYFUNCTION("""COMPUTED_VALUE"""),46315.0)</f>
        <v>46315</v>
      </c>
      <c r="L8" s="27">
        <f>IFERROR(__xludf.DUMMYFUNCTION("""COMPUTED_VALUE"""),46315.0)</f>
        <v>46315</v>
      </c>
      <c r="M8" s="3" t="str">
        <f>IFERROR(__xludf.DUMMYFUNCTION("""COMPUTED_VALUE"""),"Pending")</f>
        <v>Pending</v>
      </c>
      <c r="N8" s="3" t="str">
        <f>IFERROR(__xludf.DUMMYFUNCTION("""COMPUTED_VALUE"""),"Lanjut Besok, kondisi hujan d jalan")</f>
        <v>Lanjut Besok, kondisi hujan d jalan</v>
      </c>
      <c r="O8" s="3">
        <f>IFERROR(VLOOKUP(C8,Sheet4!A8:F795,6,0),"")</f>
        <v>11448663</v>
      </c>
      <c r="Q8" s="2" t="str">
        <f t="shared" si="1"/>
        <v>20</v>
      </c>
    </row>
    <row r="9">
      <c r="A9" s="3" t="str">
        <f>IFERROR(__xludf.DUMMYFUNCTION("""COMPUTED_VALUE"""),"Pengecekan Power")</f>
        <v>Pengecekan Power</v>
      </c>
      <c r="B9" s="3" t="str">
        <f>IFERROR(__xludf.DUMMYFUNCTION("""COMPUTED_VALUE"""),"P1")</f>
        <v>P1</v>
      </c>
      <c r="C9" s="3" t="str">
        <f>IFERROR(__xludf.DUMMYFUNCTION("""COMPUTED_VALUE"""),"PRC225 (backup)")</f>
        <v>PRC225 (backup)</v>
      </c>
      <c r="D9" s="3" t="str">
        <f>IFERROR(__xludf.DUMMYFUNCTION("""COMPUTED_VALUE"""),"Ahmad Muzakir")</f>
        <v>Ahmad Muzakir</v>
      </c>
      <c r="E9" s="3" t="str">
        <f>IFERROR(__xludf.DUMMYFUNCTION("""COMPUTED_VALUE"""),"MBP")</f>
        <v>MBP</v>
      </c>
      <c r="F9" s="3" t="str">
        <f>IFERROR(__xludf.DUMMYFUNCTION("""COMPUTED_VALUE"""),"Winda Sokenda")</f>
        <v>Winda Sokenda</v>
      </c>
      <c r="G9" s="3" t="str">
        <f>IFERROR(__xludf.DUMMYFUNCTION("""COMPUTED_VALUE"""),"Barito Raya")</f>
        <v>Barito Raya</v>
      </c>
      <c r="H9" s="3" t="str">
        <f>IFERROR(__xludf.DUMMYFUNCTION("""COMPUTED_VALUE"""),"Preventive")</f>
        <v>Preventive</v>
      </c>
      <c r="I9" s="3" t="str">
        <f>IFERROR(__xludf.DUMMYFUNCTION("""COMPUTED_VALUE"""),"MCB trip/Power upnormal")</f>
        <v>MCB trip/Power upnormal</v>
      </c>
      <c r="J9" s="3" t="str">
        <f>IFERROR(__xludf.DUMMYFUNCTION("""COMPUTED_VALUE"""),"On Progress")</f>
        <v>On Progress</v>
      </c>
      <c r="K9" s="27">
        <f>IFERROR(__xludf.DUMMYFUNCTION("""COMPUTED_VALUE"""),46315.0)</f>
        <v>46315</v>
      </c>
      <c r="L9" s="27">
        <f>IFERROR(__xludf.DUMMYFUNCTION("""COMPUTED_VALUE"""),46315.0)</f>
        <v>46315</v>
      </c>
      <c r="M9" s="3" t="str">
        <f>IFERROR(__xludf.DUMMYFUNCTION("""COMPUTED_VALUE"""),"Done")</f>
        <v>Done</v>
      </c>
      <c r="N9" s="3" t="str">
        <f>IFERROR(__xludf.DUMMYFUNCTION("""COMPUTED_VALUE"""),"Backup PRC225")</f>
        <v>Backup PRC225</v>
      </c>
      <c r="O9" s="3" t="str">
        <f>IFERROR(VLOOKUP(C9,Sheet4!A9:F796,6,0),"")</f>
        <v/>
      </c>
      <c r="Q9" s="2" t="str">
        <f t="shared" si="1"/>
        <v>20</v>
      </c>
    </row>
    <row r="10">
      <c r="A10" s="3" t="str">
        <f>IFERROR(__xludf.DUMMYFUNCTION("""COMPUTED_VALUE"""),"Pengecekan Power")</f>
        <v>Pengecekan Power</v>
      </c>
      <c r="B10" s="3" t="str">
        <f>IFERROR(__xludf.DUMMYFUNCTION("""COMPUTED_VALUE"""),"P1")</f>
        <v>P1</v>
      </c>
      <c r="C10" s="3" t="str">
        <f>IFERROR(__xludf.DUMMYFUNCTION("""COMPUTED_VALUE"""),"TML005 (Backup)")</f>
        <v>TML005 (Backup)</v>
      </c>
      <c r="D10" s="3" t="str">
        <f>IFERROR(__xludf.DUMMYFUNCTION("""COMPUTED_VALUE"""),"Harun Nurasyid")</f>
        <v>Harun Nurasyid</v>
      </c>
      <c r="E10" s="3" t="str">
        <f>IFERROR(__xludf.DUMMYFUNCTION("""COMPUTED_VALUE"""),"CME")</f>
        <v>CME</v>
      </c>
      <c r="F10" s="3" t="str">
        <f>IFERROR(__xludf.DUMMYFUNCTION("""COMPUTED_VALUE"""),"Winda Sokenda")</f>
        <v>Winda Sokenda</v>
      </c>
      <c r="G10" s="3" t="str">
        <f>IFERROR(__xludf.DUMMYFUNCTION("""COMPUTED_VALUE"""),"Barito Raya")</f>
        <v>Barito Raya</v>
      </c>
      <c r="H10" s="3" t="str">
        <f>IFERROR(__xludf.DUMMYFUNCTION("""COMPUTED_VALUE"""),"Preventive")</f>
        <v>Preventive</v>
      </c>
      <c r="I10" s="3" t="str">
        <f>IFERROR(__xludf.DUMMYFUNCTION("""COMPUTED_VALUE"""),"MCB trip/Power upnormal")</f>
        <v>MCB trip/Power upnormal</v>
      </c>
      <c r="J10" s="3" t="str">
        <f>IFERROR(__xludf.DUMMYFUNCTION("""COMPUTED_VALUE"""),"On Progress")</f>
        <v>On Progress</v>
      </c>
      <c r="K10" s="27">
        <f>IFERROR(__xludf.DUMMYFUNCTION("""COMPUTED_VALUE"""),46315.0)</f>
        <v>46315</v>
      </c>
      <c r="L10" s="27">
        <f>IFERROR(__xludf.DUMMYFUNCTION("""COMPUTED_VALUE"""),46315.0)</f>
        <v>46315</v>
      </c>
      <c r="M10" s="3" t="str">
        <f>IFERROR(__xludf.DUMMYFUNCTION("""COMPUTED_VALUE"""),"Done")</f>
        <v>Done</v>
      </c>
      <c r="N10" s="3" t="str">
        <f>IFERROR(__xludf.DUMMYFUNCTION("""COMPUTED_VALUE"""),"Standbay Pemadaman")</f>
        <v>Standbay Pemadaman</v>
      </c>
      <c r="O10" s="3" t="str">
        <f>IFERROR(VLOOKUP(C10,Sheet4!A10:F797,6,0),"")</f>
        <v/>
      </c>
      <c r="Q10" s="2" t="str">
        <f t="shared" si="1"/>
        <v>20</v>
      </c>
    </row>
    <row r="11">
      <c r="A11" s="3" t="str">
        <f>IFERROR(__xludf.DUMMYFUNCTION("""COMPUTED_VALUE"""),"Pengecekan Power")</f>
        <v>Pengecekan Power</v>
      </c>
      <c r="B11" s="3" t="str">
        <f>IFERROR(__xludf.DUMMYFUNCTION("""COMPUTED_VALUE"""),"P1")</f>
        <v>P1</v>
      </c>
      <c r="C11" s="3" t="str">
        <f>IFERROR(__xludf.DUMMYFUNCTION("""COMPUTED_VALUE"""),"KKP072 (backup)")</f>
        <v>KKP072 (backup)</v>
      </c>
      <c r="D11" s="3" t="str">
        <f>IFERROR(__xludf.DUMMYFUNCTION("""COMPUTED_VALUE"""),"Nurhayat")</f>
        <v>Nurhayat</v>
      </c>
      <c r="E11" s="3" t="str">
        <f>IFERROR(__xludf.DUMMYFUNCTION("""COMPUTED_VALUE"""),"MBP")</f>
        <v>MBP</v>
      </c>
      <c r="F11" s="3" t="str">
        <f>IFERROR(__xludf.DUMMYFUNCTION("""COMPUTED_VALUE"""),"Winda Sokenda")</f>
        <v>Winda Sokenda</v>
      </c>
      <c r="G11" s="3" t="str">
        <f>IFERROR(__xludf.DUMMYFUNCTION("""COMPUTED_VALUE"""),"Barito Raya")</f>
        <v>Barito Raya</v>
      </c>
      <c r="H11" s="3" t="str">
        <f>IFERROR(__xludf.DUMMYFUNCTION("""COMPUTED_VALUE"""),"Preventive")</f>
        <v>Preventive</v>
      </c>
      <c r="I11" s="3" t="str">
        <f>IFERROR(__xludf.DUMMYFUNCTION("""COMPUTED_VALUE"""),"MCB trip/Power upnormal")</f>
        <v>MCB trip/Power upnormal</v>
      </c>
      <c r="J11" s="3" t="str">
        <f>IFERROR(__xludf.DUMMYFUNCTION("""COMPUTED_VALUE"""),"On Progress")</f>
        <v>On Progress</v>
      </c>
      <c r="K11" s="27">
        <f>IFERROR(__xludf.DUMMYFUNCTION("""COMPUTED_VALUE"""),46315.0)</f>
        <v>46315</v>
      </c>
      <c r="L11" s="27">
        <f>IFERROR(__xludf.DUMMYFUNCTION("""COMPUTED_VALUE"""),46315.0)</f>
        <v>46315</v>
      </c>
      <c r="M11" s="3" t="str">
        <f>IFERROR(__xludf.DUMMYFUNCTION("""COMPUTED_VALUE"""),"Done")</f>
        <v>Done</v>
      </c>
      <c r="N11" s="3" t="str">
        <f>IFERROR(__xludf.DUMMYFUNCTION("""COMPUTED_VALUE"""),"Standbay Pemadaman")</f>
        <v>Standbay Pemadaman</v>
      </c>
      <c r="O11" s="3" t="str">
        <f>IFERROR(VLOOKUP(C11,Sheet4!A11:F798,6,0),"")</f>
        <v/>
      </c>
      <c r="Q11" s="2" t="str">
        <f t="shared" si="1"/>
        <v>20</v>
      </c>
    </row>
    <row r="12">
      <c r="A12" s="3" t="str">
        <f>IFERROR(__xludf.DUMMYFUNCTION("""COMPUTED_VALUE"""),"Tshoot Genset")</f>
        <v>Tshoot Genset</v>
      </c>
      <c r="B12" s="3" t="str">
        <f>IFERROR(__xludf.DUMMYFUNCTION("""COMPUTED_VALUE"""),"P1")</f>
        <v>P1</v>
      </c>
      <c r="C12" s="3" t="str">
        <f>IFERROR(__xludf.DUMMYFUNCTION("""COMPUTED_VALUE"""),"KKP305")</f>
        <v>KKP305</v>
      </c>
      <c r="D12" s="3" t="str">
        <f>IFERROR(__xludf.DUMMYFUNCTION("""COMPUTED_VALUE"""),"Pujianto")</f>
        <v>Pujianto</v>
      </c>
      <c r="E12" s="3" t="str">
        <f>IFERROR(__xludf.DUMMYFUNCTION("""COMPUTED_VALUE"""),"MBP")</f>
        <v>MBP</v>
      </c>
      <c r="F12" s="3" t="str">
        <f>IFERROR(__xludf.DUMMYFUNCTION("""COMPUTED_VALUE"""),"Winda Sokenda")</f>
        <v>Winda Sokenda</v>
      </c>
      <c r="G12" s="3" t="str">
        <f>IFERROR(__xludf.DUMMYFUNCTION("""COMPUTED_VALUE"""),"Barito Raya")</f>
        <v>Barito Raya</v>
      </c>
      <c r="H12" s="3" t="str">
        <f>IFERROR(__xludf.DUMMYFUNCTION("""COMPUTED_VALUE"""),"Corrective")</f>
        <v>Corrective</v>
      </c>
      <c r="I12" s="3" t="str">
        <f>IFERROR(__xludf.DUMMYFUNCTION("""COMPUTED_VALUE"""),"Perbaikan Auto,pergantian relay,timer, yang berhubungan genset")</f>
        <v>Perbaikan Auto,pergantian relay,timer, yang berhubungan genset</v>
      </c>
      <c r="J12" s="3" t="str">
        <f>IFERROR(__xludf.DUMMYFUNCTION("""COMPUTED_VALUE"""),"On Progress")</f>
        <v>On Progress</v>
      </c>
      <c r="K12" s="27">
        <f>IFERROR(__xludf.DUMMYFUNCTION("""COMPUTED_VALUE"""),46315.0)</f>
        <v>46315</v>
      </c>
      <c r="L12" s="27">
        <f>IFERROR(__xludf.DUMMYFUNCTION("""COMPUTED_VALUE"""),46315.0)</f>
        <v>46315</v>
      </c>
      <c r="M12" s="3" t="str">
        <f>IFERROR(__xludf.DUMMYFUNCTION("""COMPUTED_VALUE"""),"Done")</f>
        <v>Done</v>
      </c>
      <c r="N12" s="3" t="str">
        <f>IFERROR(__xludf.DUMMYFUNCTION("""COMPUTED_VALUE"""),"Backup KKP093")</f>
        <v>Backup KKP093</v>
      </c>
      <c r="O12" s="3">
        <f>IFERROR(VLOOKUP(C12,Sheet4!A12:F799,6,0),"")</f>
        <v>11440769</v>
      </c>
      <c r="Q12" s="2" t="str">
        <f t="shared" si="1"/>
        <v>20</v>
      </c>
    </row>
    <row r="13">
      <c r="A13" s="3" t="str">
        <f>IFERROR(__xludf.DUMMYFUNCTION("""COMPUTED_VALUE"""),"Pengecekan Power")</f>
        <v>Pengecekan Power</v>
      </c>
      <c r="B13" s="3" t="str">
        <f>IFERROR(__xludf.DUMMYFUNCTION("""COMPUTED_VALUE"""),"P1")</f>
        <v>P1</v>
      </c>
      <c r="C13" s="3" t="str">
        <f>IFERROR(__xludf.DUMMYFUNCTION("""COMPUTED_VALUE"""),"KKP065 (Backup)")</f>
        <v>KKP065 (Backup)</v>
      </c>
      <c r="D13" s="3" t="str">
        <f>IFERROR(__xludf.DUMMYFUNCTION("""COMPUTED_VALUE"""),"Alfi Syahri")</f>
        <v>Alfi Syahri</v>
      </c>
      <c r="E13" s="3" t="str">
        <f>IFERROR(__xludf.DUMMYFUNCTION("""COMPUTED_VALUE"""),"CME")</f>
        <v>CME</v>
      </c>
      <c r="F13" s="3" t="str">
        <f>IFERROR(__xludf.DUMMYFUNCTION("""COMPUTED_VALUE"""),"Winda Sokenda")</f>
        <v>Winda Sokenda</v>
      </c>
      <c r="G13" s="3" t="str">
        <f>IFERROR(__xludf.DUMMYFUNCTION("""COMPUTED_VALUE"""),"Barito Raya")</f>
        <v>Barito Raya</v>
      </c>
      <c r="H13" s="3" t="str">
        <f>IFERROR(__xludf.DUMMYFUNCTION("""COMPUTED_VALUE"""),"Preventive")</f>
        <v>Preventive</v>
      </c>
      <c r="I13" s="3" t="str">
        <f>IFERROR(__xludf.DUMMYFUNCTION("""COMPUTED_VALUE"""),"MCB trip/Power upnormal")</f>
        <v>MCB trip/Power upnormal</v>
      </c>
      <c r="J13" s="3" t="str">
        <f>IFERROR(__xludf.DUMMYFUNCTION("""COMPUTED_VALUE"""),"On Progress")</f>
        <v>On Progress</v>
      </c>
      <c r="K13" s="27">
        <f>IFERROR(__xludf.DUMMYFUNCTION("""COMPUTED_VALUE"""),46315.0)</f>
        <v>46315</v>
      </c>
      <c r="L13" s="27">
        <f>IFERROR(__xludf.DUMMYFUNCTION("""COMPUTED_VALUE"""),46315.0)</f>
        <v>46315</v>
      </c>
      <c r="M13" s="3" t="str">
        <f>IFERROR(__xludf.DUMMYFUNCTION("""COMPUTED_VALUE"""),"Done")</f>
        <v>Done</v>
      </c>
      <c r="N13" s="3" t="str">
        <f>IFERROR(__xludf.DUMMYFUNCTION("""COMPUTED_VALUE"""),"Standbay Pemadaman")</f>
        <v>Standbay Pemadaman</v>
      </c>
      <c r="O13" s="3" t="str">
        <f>IFERROR(VLOOKUP(C13,Sheet4!A13:F800,6,0),"")</f>
        <v/>
      </c>
      <c r="Q13" s="2" t="str">
        <f t="shared" si="1"/>
        <v>20</v>
      </c>
    </row>
    <row r="14">
      <c r="A14" s="3" t="str">
        <f>IFERROR(__xludf.DUMMYFUNCTION("""COMPUTED_VALUE"""),"Pengecekan Power")</f>
        <v>Pengecekan Power</v>
      </c>
      <c r="B14" s="3" t="str">
        <f>IFERROR(__xludf.DUMMYFUNCTION("""COMPUTED_VALUE"""),"P1")</f>
        <v>P1</v>
      </c>
      <c r="C14" s="3" t="str">
        <f>IFERROR(__xludf.DUMMYFUNCTION("""COMPUTED_VALUE"""),"MTW004 (Backup)")</f>
        <v>MTW004 (Backup)</v>
      </c>
      <c r="D14" s="3" t="str">
        <f>IFERROR(__xludf.DUMMYFUNCTION("""COMPUTED_VALUE"""),"Taklim")</f>
        <v>Taklim</v>
      </c>
      <c r="E14" s="3" t="str">
        <f>IFERROR(__xludf.DUMMYFUNCTION("""COMPUTED_VALUE"""),"MBP")</f>
        <v>MBP</v>
      </c>
      <c r="F14" s="3" t="str">
        <f>IFERROR(__xludf.DUMMYFUNCTION("""COMPUTED_VALUE"""),"Winda Sokenda")</f>
        <v>Winda Sokenda</v>
      </c>
      <c r="G14" s="3" t="str">
        <f>IFERROR(__xludf.DUMMYFUNCTION("""COMPUTED_VALUE"""),"Barito Raya")</f>
        <v>Barito Raya</v>
      </c>
      <c r="H14" s="3" t="str">
        <f>IFERROR(__xludf.DUMMYFUNCTION("""COMPUTED_VALUE"""),"Preventive")</f>
        <v>Preventive</v>
      </c>
      <c r="I14" s="3" t="str">
        <f>IFERROR(__xludf.DUMMYFUNCTION("""COMPUTED_VALUE"""),"MCB trip/Power upnormal")</f>
        <v>MCB trip/Power upnormal</v>
      </c>
      <c r="J14" s="3" t="str">
        <f>IFERROR(__xludf.DUMMYFUNCTION("""COMPUTED_VALUE"""),"On Progress")</f>
        <v>On Progress</v>
      </c>
      <c r="K14" s="27">
        <f>IFERROR(__xludf.DUMMYFUNCTION("""COMPUTED_VALUE"""),46315.0)</f>
        <v>46315</v>
      </c>
      <c r="L14" s="27">
        <f>IFERROR(__xludf.DUMMYFUNCTION("""COMPUTED_VALUE"""),46315.0)</f>
        <v>46315</v>
      </c>
      <c r="M14" s="3" t="str">
        <f>IFERROR(__xludf.DUMMYFUNCTION("""COMPUTED_VALUE"""),"Done")</f>
        <v>Done</v>
      </c>
      <c r="N14" s="3" t="str">
        <f>IFERROR(__xludf.DUMMYFUNCTION("""COMPUTED_VALUE"""),"Backup MTW004")</f>
        <v>Backup MTW004</v>
      </c>
      <c r="O14" s="3" t="str">
        <f>IFERROR(VLOOKUP(C14,Sheet4!A14:F801,6,0),"")</f>
        <v/>
      </c>
      <c r="Q14" s="2" t="str">
        <f t="shared" si="1"/>
        <v>20</v>
      </c>
    </row>
    <row r="15">
      <c r="A15" s="3" t="str">
        <f>IFERROR(__xludf.DUMMYFUNCTION("""COMPUTED_VALUE"""),"Standby On Call")</f>
        <v>Standby On Call</v>
      </c>
      <c r="B15" s="3" t="str">
        <f>IFERROR(__xludf.DUMMYFUNCTION("""COMPUTED_VALUE"""),"P3")</f>
        <v>P3</v>
      </c>
      <c r="C15" s="3"/>
      <c r="D15" s="3" t="str">
        <f>IFERROR(__xludf.DUMMYFUNCTION("""COMPUTED_VALUE"""),"Riko setiadi")</f>
        <v>Riko setiadi</v>
      </c>
      <c r="E15" s="3" t="str">
        <f>IFERROR(__xludf.DUMMYFUNCTION("""COMPUTED_VALUE"""),"PM")</f>
        <v>PM</v>
      </c>
      <c r="F15" s="3" t="str">
        <f>IFERROR(__xludf.DUMMYFUNCTION("""COMPUTED_VALUE"""),"Winda Sokenda")</f>
        <v>Winda Sokenda</v>
      </c>
      <c r="G15" s="3" t="str">
        <f>IFERROR(__xludf.DUMMYFUNCTION("""COMPUTED_VALUE"""),"Barito Raya")</f>
        <v>Barito Raya</v>
      </c>
      <c r="H15" s="3" t="str">
        <f>IFERROR(__xludf.DUMMYFUNCTION("""COMPUTED_VALUE"""),"Standby")</f>
        <v>Standby</v>
      </c>
      <c r="I15" s="3" t="str">
        <f>IFERROR(__xludf.DUMMYFUNCTION("""COMPUTED_VALUE"""),"Standby On Call")</f>
        <v>Standby On Call</v>
      </c>
      <c r="J15" s="3" t="str">
        <f>IFERROR(__xludf.DUMMYFUNCTION("""COMPUTED_VALUE"""),"On Progress")</f>
        <v>On Progress</v>
      </c>
      <c r="K15" s="27">
        <f>IFERROR(__xludf.DUMMYFUNCTION("""COMPUTED_VALUE"""),46315.0)</f>
        <v>46315</v>
      </c>
      <c r="L15" s="27">
        <f>IFERROR(__xludf.DUMMYFUNCTION("""COMPUTED_VALUE"""),46315.0)</f>
        <v>46315</v>
      </c>
      <c r="M15" s="3" t="str">
        <f>IFERROR(__xludf.DUMMYFUNCTION("""COMPUTED_VALUE"""),"Done")</f>
        <v>Done</v>
      </c>
      <c r="N15" s="3" t="str">
        <f>IFERROR(__xludf.DUMMYFUNCTION("""COMPUTED_VALUE"""),"Kawal pengisian BBM &amp; cek genset ")</f>
        <v>Kawal pengisian BBM &amp; cek genset </v>
      </c>
      <c r="O15" s="3" t="str">
        <f>IFERROR(VLOOKUP(C15,Sheet4!A15:F802,6,0),"")</f>
        <v/>
      </c>
      <c r="Q15" s="2" t="str">
        <f t="shared" si="1"/>
        <v>20</v>
      </c>
    </row>
    <row r="16">
      <c r="A16" s="3" t="str">
        <f>IFERROR(__xludf.DUMMYFUNCTION("""COMPUTED_VALUE"""),"PM")</f>
        <v>PM</v>
      </c>
      <c r="B16" s="3" t="str">
        <f>IFERROR(__xludf.DUMMYFUNCTION("""COMPUTED_VALUE"""),"P2")</f>
        <v>P2</v>
      </c>
      <c r="C16" s="3" t="str">
        <f>IFERROR(__xludf.DUMMYFUNCTION("""COMPUTED_VALUE"""),"KKP007")</f>
        <v>KKP007</v>
      </c>
      <c r="D16" s="3" t="str">
        <f>IFERROR(__xludf.DUMMYFUNCTION("""COMPUTED_VALUE"""),"Khilal dawai katiri")</f>
        <v>Khilal dawai katiri</v>
      </c>
      <c r="E16" s="3" t="str">
        <f>IFERROR(__xludf.DUMMYFUNCTION("""COMPUTED_VALUE"""),"MBP")</f>
        <v>MBP</v>
      </c>
      <c r="F16" s="3" t="str">
        <f>IFERROR(__xludf.DUMMYFUNCTION("""COMPUTED_VALUE"""),"Winda Sokenda")</f>
        <v>Winda Sokenda</v>
      </c>
      <c r="G16" s="3" t="str">
        <f>IFERROR(__xludf.DUMMYFUNCTION("""COMPUTED_VALUE"""),"Barito Raya")</f>
        <v>Barito Raya</v>
      </c>
      <c r="H16" s="3" t="str">
        <f>IFERROR(__xludf.DUMMYFUNCTION("""COMPUTED_VALUE"""),"Preventive")</f>
        <v>Preventive</v>
      </c>
      <c r="I16" s="3" t="str">
        <f>IFERROR(__xludf.DUMMYFUNCTION("""COMPUTED_VALUE"""),"Preventive Maintenance")</f>
        <v>Preventive Maintenance</v>
      </c>
      <c r="J16" s="3" t="str">
        <f>IFERROR(__xludf.DUMMYFUNCTION("""COMPUTED_VALUE"""),"On Progress")</f>
        <v>On Progress</v>
      </c>
      <c r="K16" s="27">
        <f>IFERROR(__xludf.DUMMYFUNCTION("""COMPUTED_VALUE"""),46315.0)</f>
        <v>46315</v>
      </c>
      <c r="L16" s="27">
        <f>IFERROR(__xludf.DUMMYFUNCTION("""COMPUTED_VALUE"""),46315.0)</f>
        <v>46315</v>
      </c>
      <c r="M16" s="3" t="str">
        <f>IFERROR(__xludf.DUMMYFUNCTION("""COMPUTED_VALUE"""),"Pending")</f>
        <v>Pending</v>
      </c>
      <c r="N16" s="3" t="str">
        <f>IFERROR(__xludf.DUMMYFUNCTION("""COMPUTED_VALUE"""),"PMS")</f>
        <v>PMS</v>
      </c>
      <c r="O16" s="3">
        <f>IFERROR(VLOOKUP(C16,Sheet4!A16:F803,6,0),"")</f>
        <v>11447972</v>
      </c>
      <c r="Q16" s="2" t="str">
        <f t="shared" si="1"/>
        <v>20</v>
      </c>
    </row>
    <row r="17">
      <c r="A17" s="3" t="str">
        <f>IFERROR(__xludf.DUMMYFUNCTION("""COMPUTED_VALUE"""),"PM")</f>
        <v>PM</v>
      </c>
      <c r="B17" s="3" t="str">
        <f>IFERROR(__xludf.DUMMYFUNCTION("""COMPUTED_VALUE"""),"P2")</f>
        <v>P2</v>
      </c>
      <c r="C17" s="3" t="str">
        <f>IFERROR(__xludf.DUMMYFUNCTION("""COMPUTED_VALUE"""),"PRC008")</f>
        <v>PRC008</v>
      </c>
      <c r="D17" s="3" t="str">
        <f>IFERROR(__xludf.DUMMYFUNCTION("""COMPUTED_VALUE"""),"Riko setiadi")</f>
        <v>Riko setiadi</v>
      </c>
      <c r="E17" s="3" t="str">
        <f>IFERROR(__xludf.DUMMYFUNCTION("""COMPUTED_VALUE"""),"PM")</f>
        <v>PM</v>
      </c>
      <c r="F17" s="3" t="str">
        <f>IFERROR(__xludf.DUMMYFUNCTION("""COMPUTED_VALUE"""),"Winda Sokenda")</f>
        <v>Winda Sokenda</v>
      </c>
      <c r="G17" s="3" t="str">
        <f>IFERROR(__xludf.DUMMYFUNCTION("""COMPUTED_VALUE"""),"Barito Raya")</f>
        <v>Barito Raya</v>
      </c>
      <c r="H17" s="3" t="str">
        <f>IFERROR(__xludf.DUMMYFUNCTION("""COMPUTED_VALUE"""),"Preventive")</f>
        <v>Preventive</v>
      </c>
      <c r="I17" s="3" t="str">
        <f>IFERROR(__xludf.DUMMYFUNCTION("""COMPUTED_VALUE"""),"Preventive Maintenance")</f>
        <v>Preventive Maintenance</v>
      </c>
      <c r="J17" s="3" t="str">
        <f>IFERROR(__xludf.DUMMYFUNCTION("""COMPUTED_VALUE"""),"On Progress")</f>
        <v>On Progress</v>
      </c>
      <c r="K17" s="27">
        <f>IFERROR(__xludf.DUMMYFUNCTION("""COMPUTED_VALUE"""),46315.0)</f>
        <v>46315</v>
      </c>
      <c r="L17" s="27">
        <f>IFERROR(__xludf.DUMMYFUNCTION("""COMPUTED_VALUE"""),46315.0)</f>
        <v>46315</v>
      </c>
      <c r="M17" s="3" t="str">
        <f>IFERROR(__xludf.DUMMYFUNCTION("""COMPUTED_VALUE"""),"Waiting Update")</f>
        <v>Waiting Update</v>
      </c>
      <c r="N17" s="3" t="str">
        <f>IFERROR(__xludf.DUMMYFUNCTION("""COMPUTED_VALUE"""),"PMG")</f>
        <v>PMG</v>
      </c>
      <c r="O17" s="3">
        <f>IFERROR(VLOOKUP(C17,Sheet4!A17:F804,6,0),"")</f>
        <v>11473414</v>
      </c>
      <c r="Q17" s="2" t="str">
        <f t="shared" si="1"/>
        <v>20</v>
      </c>
    </row>
    <row r="18">
      <c r="A18" s="3" t="str">
        <f>IFERROR(__xludf.DUMMYFUNCTION("""COMPUTED_VALUE"""),"Cell down")</f>
        <v>Cell down</v>
      </c>
      <c r="B18" s="3" t="str">
        <f>IFERROR(__xludf.DUMMYFUNCTION("""COMPUTED_VALUE"""),"P1")</f>
        <v>P1</v>
      </c>
      <c r="C18" s="3" t="str">
        <f>IFERROR(__xludf.DUMMYFUNCTION("""COMPUTED_VALUE"""),"BNT006")</f>
        <v>BNT006</v>
      </c>
      <c r="D18" s="3" t="str">
        <f>IFERROR(__xludf.DUMMYFUNCTION("""COMPUTED_VALUE"""),"Putra wardana")</f>
        <v>Putra wardana</v>
      </c>
      <c r="E18" s="3" t="str">
        <f>IFERROR(__xludf.DUMMYFUNCTION("""COMPUTED_VALUE"""),"TE")</f>
        <v>TE</v>
      </c>
      <c r="F18" s="3" t="str">
        <f>IFERROR(__xludf.DUMMYFUNCTION("""COMPUTED_VALUE"""),"Winda Sokenda")</f>
        <v>Winda Sokenda</v>
      </c>
      <c r="G18" s="3" t="str">
        <f>IFERROR(__xludf.DUMMYFUNCTION("""COMPUTED_VALUE"""),"Barito Raya")</f>
        <v>Barito Raya</v>
      </c>
      <c r="H18" s="3" t="str">
        <f>IFERROR(__xludf.DUMMYFUNCTION("""COMPUTED_VALUE"""),"Corrective")</f>
        <v>Corrective</v>
      </c>
      <c r="I18" s="3" t="str">
        <f>IFERROR(__xludf.DUMMYFUNCTION("""COMPUTED_VALUE"""),"Replace Optik,RRU/Soket Power/Replace GPS")</f>
        <v>Replace Optik,RRU/Soket Power/Replace GPS</v>
      </c>
      <c r="J18" s="3" t="str">
        <f>IFERROR(__xludf.DUMMYFUNCTION("""COMPUTED_VALUE"""),"On Progress")</f>
        <v>On Progress</v>
      </c>
      <c r="K18" s="27">
        <f>IFERROR(__xludf.DUMMYFUNCTION("""COMPUTED_VALUE"""),46310.0)</f>
        <v>46310</v>
      </c>
      <c r="L18" s="27">
        <f>IFERROR(__xludf.DUMMYFUNCTION("""COMPUTED_VALUE"""),46310.0)</f>
        <v>46310</v>
      </c>
      <c r="M18" s="3" t="str">
        <f>IFERROR(__xludf.DUMMYFUNCTION("""COMPUTED_VALUE"""),"Waiting Update")</f>
        <v>Waiting Update</v>
      </c>
      <c r="N18" s="3" t="str">
        <f>IFERROR(__xludf.DUMMYFUNCTION("""COMPUTED_VALUE"""),"Replace RRU monitoring asap")</f>
        <v>Replace RRU monitoring asap</v>
      </c>
      <c r="O18" s="3">
        <f>IFERROR(VLOOKUP(C18,Sheet4!A18:F805,6,0),"")</f>
        <v>11505932</v>
      </c>
      <c r="Q18" s="2" t="str">
        <f t="shared" si="1"/>
        <v>15</v>
      </c>
    </row>
    <row r="19">
      <c r="A19" s="3" t="str">
        <f>IFERROR(__xludf.DUMMYFUNCTION("""COMPUTED_VALUE"""),"PM")</f>
        <v>PM</v>
      </c>
      <c r="B19" s="3" t="str">
        <f>IFERROR(__xludf.DUMMYFUNCTION("""COMPUTED_VALUE"""),"P2")</f>
        <v>P2</v>
      </c>
      <c r="C19" s="3" t="str">
        <f>IFERROR(__xludf.DUMMYFUNCTION("""COMPUTED_VALUE"""),"AMT003")</f>
        <v>AMT003</v>
      </c>
      <c r="D19" s="3" t="str">
        <f>IFERROR(__xludf.DUMMYFUNCTION("""COMPUTED_VALUE"""),"Sailillah")</f>
        <v>Sailillah</v>
      </c>
      <c r="E19" s="3" t="str">
        <f>IFERROR(__xludf.DUMMYFUNCTION("""COMPUTED_VALUE"""),"TE")</f>
        <v>TE</v>
      </c>
      <c r="F19" s="3" t="str">
        <f>IFERROR(__xludf.DUMMYFUNCTION("""COMPUTED_VALUE"""),"Winda Sokenda")</f>
        <v>Winda Sokenda</v>
      </c>
      <c r="G19" s="3" t="str">
        <f>IFERROR(__xludf.DUMMYFUNCTION("""COMPUTED_VALUE"""),"Barito Raya")</f>
        <v>Barito Raya</v>
      </c>
      <c r="H19" s="3" t="str">
        <f>IFERROR(__xludf.DUMMYFUNCTION("""COMPUTED_VALUE"""),"Preventive")</f>
        <v>Preventive</v>
      </c>
      <c r="I19" s="3" t="str">
        <f>IFERROR(__xludf.DUMMYFUNCTION("""COMPUTED_VALUE"""),"Preventive Maintenance")</f>
        <v>Preventive Maintenance</v>
      </c>
      <c r="J19" s="3" t="str">
        <f>IFERROR(__xludf.DUMMYFUNCTION("""COMPUTED_VALUE"""),"On Progress")</f>
        <v>On Progress</v>
      </c>
      <c r="K19" s="27">
        <f>IFERROR(__xludf.DUMMYFUNCTION("""COMPUTED_VALUE"""),46310.0)</f>
        <v>46310</v>
      </c>
      <c r="L19" s="27">
        <f>IFERROR(__xludf.DUMMYFUNCTION("""COMPUTED_VALUE"""),46310.0)</f>
        <v>46310</v>
      </c>
      <c r="M19" s="3" t="str">
        <f>IFERROR(__xludf.DUMMYFUNCTION("""COMPUTED_VALUE"""),"Waiting Update")</f>
        <v>Waiting Update</v>
      </c>
      <c r="N19" s="3" t="str">
        <f>IFERROR(__xludf.DUMMYFUNCTION("""COMPUTED_VALUE"""),"PMG, waiting ops akses susur sungai")</f>
        <v>PMG, waiting ops akses susur sungai</v>
      </c>
      <c r="O19" s="3">
        <f>IFERROR(VLOOKUP(C19,Sheet4!A19:F806,6,0),"")</f>
        <v>11491403</v>
      </c>
      <c r="Q19" s="2" t="str">
        <f t="shared" si="1"/>
        <v>15</v>
      </c>
    </row>
    <row r="20">
      <c r="A20" s="3" t="str">
        <f>IFERROR(__xludf.DUMMYFUNCTION("""COMPUTED_VALUE"""),"Pengecekan battrey")</f>
        <v>Pengecekan battrey</v>
      </c>
      <c r="B20" s="3" t="str">
        <f>IFERROR(__xludf.DUMMYFUNCTION("""COMPUTED_VALUE"""),"P2")</f>
        <v>P2</v>
      </c>
      <c r="C20" s="3" t="str">
        <f>IFERROR(__xludf.DUMMYFUNCTION("""COMPUTED_VALUE"""),"BNT006")</f>
        <v>BNT006</v>
      </c>
      <c r="D20" s="3" t="str">
        <f>IFERROR(__xludf.DUMMYFUNCTION("""COMPUTED_VALUE"""),"Tiviansyah")</f>
        <v>Tiviansyah</v>
      </c>
      <c r="E20" s="3" t="str">
        <f>IFERROR(__xludf.DUMMYFUNCTION("""COMPUTED_VALUE"""),"TE")</f>
        <v>TE</v>
      </c>
      <c r="F20" s="3" t="str">
        <f>IFERROR(__xludf.DUMMYFUNCTION("""COMPUTED_VALUE"""),"Winda Sokenda")</f>
        <v>Winda Sokenda</v>
      </c>
      <c r="G20" s="3" t="str">
        <f>IFERROR(__xludf.DUMMYFUNCTION("""COMPUTED_VALUE"""),"Barito Raya")</f>
        <v>Barito Raya</v>
      </c>
      <c r="H20" s="3" t="str">
        <f>IFERROR(__xludf.DUMMYFUNCTION("""COMPUTED_VALUE"""),"Preventive")</f>
        <v>Preventive</v>
      </c>
      <c r="I20" s="3" t="str">
        <f>IFERROR(__xludf.DUMMYFUNCTION("""COMPUTED_VALUE"""),"Pengukuran dan pengambilan data log serta input Gdoc BBT")</f>
        <v>Pengukuran dan pengambilan data log serta input Gdoc BBT</v>
      </c>
      <c r="J20" s="3" t="str">
        <f>IFERROR(__xludf.DUMMYFUNCTION("""COMPUTED_VALUE"""),"On Progress")</f>
        <v>On Progress</v>
      </c>
      <c r="K20" s="27">
        <f>IFERROR(__xludf.DUMMYFUNCTION("""COMPUTED_VALUE"""),46310.0)</f>
        <v>46310</v>
      </c>
      <c r="L20" s="27">
        <f>IFERROR(__xludf.DUMMYFUNCTION("""COMPUTED_VALUE"""),46310.0)</f>
        <v>46310</v>
      </c>
      <c r="M20" s="3" t="str">
        <f>IFERROR(__xludf.DUMMYFUNCTION("""COMPUTED_VALUE"""),"Waiting Update")</f>
        <v>Waiting Update</v>
      </c>
      <c r="N20" s="3" t="str">
        <f>IFERROR(__xludf.DUMMYFUNCTION("""COMPUTED_VALUE"""),"Replace RRU monitoring asap")</f>
        <v>Replace RRU monitoring asap</v>
      </c>
      <c r="O20" s="3">
        <f>IFERROR(VLOOKUP(C20,Sheet4!A20:F807,6,0),"")</f>
        <v>11505932</v>
      </c>
      <c r="Q20" s="2" t="str">
        <f t="shared" si="1"/>
        <v>15</v>
      </c>
    </row>
    <row r="21">
      <c r="A21" s="3" t="str">
        <f>IFERROR(__xludf.DUMMYFUNCTION("""COMPUTED_VALUE"""),"Standby On Call")</f>
        <v>Standby On Call</v>
      </c>
      <c r="B21" s="3" t="str">
        <f>IFERROR(__xludf.DUMMYFUNCTION("""COMPUTED_VALUE"""),"P3")</f>
        <v>P3</v>
      </c>
      <c r="C21" s="3"/>
      <c r="D21" s="3" t="str">
        <f>IFERROR(__xludf.DUMMYFUNCTION("""COMPUTED_VALUE"""),"munawir akhmad")</f>
        <v>munawir akhmad</v>
      </c>
      <c r="E21" s="3" t="str">
        <f>IFERROR(__xludf.DUMMYFUNCTION("""COMPUTED_VALUE"""),"TE")</f>
        <v>TE</v>
      </c>
      <c r="F21" s="3" t="str">
        <f>IFERROR(__xludf.DUMMYFUNCTION("""COMPUTED_VALUE"""),"Winda Sokenda")</f>
        <v>Winda Sokenda</v>
      </c>
      <c r="G21" s="3" t="str">
        <f>IFERROR(__xludf.DUMMYFUNCTION("""COMPUTED_VALUE"""),"Barito Raya")</f>
        <v>Barito Raya</v>
      </c>
      <c r="H21" s="3" t="str">
        <f>IFERROR(__xludf.DUMMYFUNCTION("""COMPUTED_VALUE"""),"Standby")</f>
        <v>Standby</v>
      </c>
      <c r="I21" s="3" t="str">
        <f>IFERROR(__xludf.DUMMYFUNCTION("""COMPUTED_VALUE"""),"Standby On Call")</f>
        <v>Standby On Call</v>
      </c>
      <c r="J21" s="3" t="str">
        <f>IFERROR(__xludf.DUMMYFUNCTION("""COMPUTED_VALUE"""),"On Progress")</f>
        <v>On Progress</v>
      </c>
      <c r="K21" s="27">
        <f>IFERROR(__xludf.DUMMYFUNCTION("""COMPUTED_VALUE"""),46310.0)</f>
        <v>46310</v>
      </c>
      <c r="L21" s="27">
        <f>IFERROR(__xludf.DUMMYFUNCTION("""COMPUTED_VALUE"""),46310.0)</f>
        <v>46310</v>
      </c>
      <c r="M21" s="3" t="str">
        <f>IFERROR(__xludf.DUMMYFUNCTION("""COMPUTED_VALUE"""),"Waiting Update")</f>
        <v>Waiting Update</v>
      </c>
      <c r="N21" s="3" t="str">
        <f>IFERROR(__xludf.DUMMYFUNCTION("""COMPUTED_VALUE"""),"Plan CO MTW180")</f>
        <v>Plan CO MTW180</v>
      </c>
      <c r="O21" s="3" t="str">
        <f>IFERROR(VLOOKUP(C21,Sheet4!A21:F808,6,0),"")</f>
        <v/>
      </c>
      <c r="Q21" s="2" t="str">
        <f t="shared" si="1"/>
        <v>15</v>
      </c>
    </row>
    <row r="22">
      <c r="A22" s="3" t="str">
        <f>IFERROR(__xludf.DUMMYFUNCTION("""COMPUTED_VALUE"""),"Site Down")</f>
        <v>Site Down</v>
      </c>
      <c r="B22" s="3" t="str">
        <f>IFERROR(__xludf.DUMMYFUNCTION("""COMPUTED_VALUE"""),"P1")</f>
        <v>P1</v>
      </c>
      <c r="C22" s="3" t="str">
        <f>IFERROR(__xludf.DUMMYFUNCTION("""COMPUTED_VALUE"""),"PRC189")</f>
        <v>PRC189</v>
      </c>
      <c r="D22" s="3" t="str">
        <f>IFERROR(__xludf.DUMMYFUNCTION("""COMPUTED_VALUE"""),"Murjani")</f>
        <v>Murjani</v>
      </c>
      <c r="E22" s="3" t="str">
        <f>IFERROR(__xludf.DUMMYFUNCTION("""COMPUTED_VALUE"""),"TE")</f>
        <v>TE</v>
      </c>
      <c r="F22" s="3" t="str">
        <f>IFERROR(__xludf.DUMMYFUNCTION("""COMPUTED_VALUE"""),"Winda Sokenda")</f>
        <v>Winda Sokenda</v>
      </c>
      <c r="G22" s="3" t="str">
        <f>IFERROR(__xludf.DUMMYFUNCTION("""COMPUTED_VALUE"""),"Barito Raya")</f>
        <v>Barito Raya</v>
      </c>
      <c r="H22" s="3" t="str">
        <f>IFERROR(__xludf.DUMMYFUNCTION("""COMPUTED_VALUE"""),"Corrective")</f>
        <v>Corrective</v>
      </c>
      <c r="I22" s="3" t="str">
        <f>IFERROR(__xludf.DUMMYFUNCTION("""COMPUTED_VALUE"""),"Pemadaman,MCB Trip,Transmisi problem")</f>
        <v>Pemadaman,MCB Trip,Transmisi problem</v>
      </c>
      <c r="J22" s="3" t="str">
        <f>IFERROR(__xludf.DUMMYFUNCTION("""COMPUTED_VALUE"""),"On Progress")</f>
        <v>On Progress</v>
      </c>
      <c r="K22" s="27">
        <f>IFERROR(__xludf.DUMMYFUNCTION("""COMPUTED_VALUE"""),46310.0)</f>
        <v>46310</v>
      </c>
      <c r="L22" s="27">
        <f>IFERROR(__xludf.DUMMYFUNCTION("""COMPUTED_VALUE"""),46310.0)</f>
        <v>46310</v>
      </c>
      <c r="M22" s="3" t="str">
        <f>IFERROR(__xludf.DUMMYFUNCTION("""COMPUTED_VALUE"""),"Waiting Update")</f>
        <v>Waiting Update</v>
      </c>
      <c r="N22" s="3" t="str">
        <f>IFERROR(__xludf.DUMMYFUNCTION("""COMPUTED_VALUE"""),"Pembersihan VP")</f>
        <v>Pembersihan VP</v>
      </c>
      <c r="O22" s="3">
        <f>IFERROR(VLOOKUP(C22,Sheet4!A22:F809,6,0),"")</f>
        <v>11463516</v>
      </c>
      <c r="Q22" s="2" t="str">
        <f t="shared" si="1"/>
        <v>15</v>
      </c>
    </row>
    <row r="23">
      <c r="A23" s="3" t="str">
        <f>IFERROR(__xludf.DUMMYFUNCTION("""COMPUTED_VALUE"""),"Site Down")</f>
        <v>Site Down</v>
      </c>
      <c r="B23" s="3" t="str">
        <f>IFERROR(__xludf.DUMMYFUNCTION("""COMPUTED_VALUE"""),"P1")</f>
        <v>P1</v>
      </c>
      <c r="C23" s="3" t="str">
        <f>IFERROR(__xludf.DUMMYFUNCTION("""COMPUTED_VALUE"""),"KKP159")</f>
        <v>KKP159</v>
      </c>
      <c r="D23" s="3" t="str">
        <f>IFERROR(__xludf.DUMMYFUNCTION("""COMPUTED_VALUE"""),"Reynaldy Ricardo Putra")</f>
        <v>Reynaldy Ricardo Putra</v>
      </c>
      <c r="E23" s="3" t="str">
        <f>IFERROR(__xludf.DUMMYFUNCTION("""COMPUTED_VALUE"""),"TE")</f>
        <v>TE</v>
      </c>
      <c r="F23" s="3" t="str">
        <f>IFERROR(__xludf.DUMMYFUNCTION("""COMPUTED_VALUE"""),"Winda Sokenda")</f>
        <v>Winda Sokenda</v>
      </c>
      <c r="G23" s="3" t="str">
        <f>IFERROR(__xludf.DUMMYFUNCTION("""COMPUTED_VALUE"""),"Barito Raya")</f>
        <v>Barito Raya</v>
      </c>
      <c r="H23" s="3" t="str">
        <f>IFERROR(__xludf.DUMMYFUNCTION("""COMPUTED_VALUE"""),"Corrective")</f>
        <v>Corrective</v>
      </c>
      <c r="I23" s="3" t="str">
        <f>IFERROR(__xludf.DUMMYFUNCTION("""COMPUTED_VALUE"""),"Pemadaman,MCB Trip,Transmisi problem")</f>
        <v>Pemadaman,MCB Trip,Transmisi problem</v>
      </c>
      <c r="J23" s="3" t="str">
        <f>IFERROR(__xludf.DUMMYFUNCTION("""COMPUTED_VALUE"""),"On Progress")</f>
        <v>On Progress</v>
      </c>
      <c r="K23" s="27">
        <f>IFERROR(__xludf.DUMMYFUNCTION("""COMPUTED_VALUE"""),46310.0)</f>
        <v>46310</v>
      </c>
      <c r="L23" s="27">
        <f>IFERROR(__xludf.DUMMYFUNCTION("""COMPUTED_VALUE"""),46310.0)</f>
        <v>46310</v>
      </c>
      <c r="M23" s="3" t="str">
        <f>IFERROR(__xludf.DUMMYFUNCTION("""COMPUTED_VALUE"""),"Waiting Update")</f>
        <v>Waiting Update</v>
      </c>
      <c r="N23" s="3" t="str">
        <f>IFERROR(__xludf.DUMMYFUNCTION("""COMPUTED_VALUE"""),"Cek power")</f>
        <v>Cek power</v>
      </c>
      <c r="O23" s="3">
        <f>IFERROR(VLOOKUP(C23,Sheet4!A23:F810,6,0),"")</f>
        <v>11433822</v>
      </c>
      <c r="Q23" s="2" t="str">
        <f t="shared" si="1"/>
        <v>15</v>
      </c>
    </row>
    <row r="24">
      <c r="A24" s="3" t="str">
        <f>IFERROR(__xludf.DUMMYFUNCTION("""COMPUTED_VALUE"""),"Pengecekan battrey")</f>
        <v>Pengecekan battrey</v>
      </c>
      <c r="B24" s="3" t="str">
        <f>IFERROR(__xludf.DUMMYFUNCTION("""COMPUTED_VALUE"""),"P2")</f>
        <v>P2</v>
      </c>
      <c r="C24" s="3" t="str">
        <f>IFERROR(__xludf.DUMMYFUNCTION("""COMPUTED_VALUE"""),"KKP113")</f>
        <v>KKP113</v>
      </c>
      <c r="D24" s="3" t="str">
        <f>IFERROR(__xludf.DUMMYFUNCTION("""COMPUTED_VALUE"""),"Sahrul Saputra")</f>
        <v>Sahrul Saputra</v>
      </c>
      <c r="E24" s="3" t="str">
        <f>IFERROR(__xludf.DUMMYFUNCTION("""COMPUTED_VALUE"""),"TE")</f>
        <v>TE</v>
      </c>
      <c r="F24" s="3" t="str">
        <f>IFERROR(__xludf.DUMMYFUNCTION("""COMPUTED_VALUE"""),"Winda Sokenda")</f>
        <v>Winda Sokenda</v>
      </c>
      <c r="G24" s="3" t="str">
        <f>IFERROR(__xludf.DUMMYFUNCTION("""COMPUTED_VALUE"""),"Barito Raya")</f>
        <v>Barito Raya</v>
      </c>
      <c r="H24" s="3" t="str">
        <f>IFERROR(__xludf.DUMMYFUNCTION("""COMPUTED_VALUE"""),"Preventive")</f>
        <v>Preventive</v>
      </c>
      <c r="I24" s="3" t="str">
        <f>IFERROR(__xludf.DUMMYFUNCTION("""COMPUTED_VALUE"""),"Pengukuran dan pengambilan data log serta input Gdoc BBT")</f>
        <v>Pengukuran dan pengambilan data log serta input Gdoc BBT</v>
      </c>
      <c r="J24" s="3" t="str">
        <f>IFERROR(__xludf.DUMMYFUNCTION("""COMPUTED_VALUE"""),"On Progress")</f>
        <v>On Progress</v>
      </c>
      <c r="K24" s="27">
        <f>IFERROR(__xludf.DUMMYFUNCTION("""COMPUTED_VALUE"""),46310.0)</f>
        <v>46310</v>
      </c>
      <c r="L24" s="27">
        <f>IFERROR(__xludf.DUMMYFUNCTION("""COMPUTED_VALUE"""),46310.0)</f>
        <v>46310</v>
      </c>
      <c r="M24" s="3" t="str">
        <f>IFERROR(__xludf.DUMMYFUNCTION("""COMPUTED_VALUE"""),"Waiting Update")</f>
        <v>Waiting Update</v>
      </c>
      <c r="N24" s="3" t="str">
        <f>IFERROR(__xludf.DUMMYFUNCTION("""COMPUTED_VALUE"""),"BBT 0")</f>
        <v>BBT 0</v>
      </c>
      <c r="O24" s="3">
        <f>IFERROR(VLOOKUP(C24,Sheet4!A24:F811,6,0),"")</f>
        <v>11447436</v>
      </c>
      <c r="Q24" s="2" t="str">
        <f t="shared" si="1"/>
        <v>15</v>
      </c>
    </row>
    <row r="25">
      <c r="A25" s="3" t="str">
        <f>IFERROR(__xludf.DUMMYFUNCTION("""COMPUTED_VALUE"""),"Pengecekan Power")</f>
        <v>Pengecekan Power</v>
      </c>
      <c r="B25" s="3" t="str">
        <f>IFERROR(__xludf.DUMMYFUNCTION("""COMPUTED_VALUE"""),"P1")</f>
        <v>P1</v>
      </c>
      <c r="C25" s="3" t="str">
        <f>IFERROR(__xludf.DUMMYFUNCTION("""COMPUTED_VALUE"""),"PRC200 (backup)")</f>
        <v>PRC200 (backup)</v>
      </c>
      <c r="D25" s="3" t="str">
        <f>IFERROR(__xludf.DUMMYFUNCTION("""COMPUTED_VALUE"""),"Ahmad Muzakir")</f>
        <v>Ahmad Muzakir</v>
      </c>
      <c r="E25" s="3" t="str">
        <f>IFERROR(__xludf.DUMMYFUNCTION("""COMPUTED_VALUE"""),"MBP")</f>
        <v>MBP</v>
      </c>
      <c r="F25" s="3" t="str">
        <f>IFERROR(__xludf.DUMMYFUNCTION("""COMPUTED_VALUE"""),"Winda Sokenda")</f>
        <v>Winda Sokenda</v>
      </c>
      <c r="G25" s="3" t="str">
        <f>IFERROR(__xludf.DUMMYFUNCTION("""COMPUTED_VALUE"""),"Barito Raya")</f>
        <v>Barito Raya</v>
      </c>
      <c r="H25" s="3" t="str">
        <f>IFERROR(__xludf.DUMMYFUNCTION("""COMPUTED_VALUE"""),"Preventive")</f>
        <v>Preventive</v>
      </c>
      <c r="I25" s="3" t="str">
        <f>IFERROR(__xludf.DUMMYFUNCTION("""COMPUTED_VALUE"""),"MCB trip/Power upnormal")</f>
        <v>MCB trip/Power upnormal</v>
      </c>
      <c r="J25" s="3" t="str">
        <f>IFERROR(__xludf.DUMMYFUNCTION("""COMPUTED_VALUE"""),"On Progress")</f>
        <v>On Progress</v>
      </c>
      <c r="K25" s="27">
        <f>IFERROR(__xludf.DUMMYFUNCTION("""COMPUTED_VALUE"""),46310.0)</f>
        <v>46310</v>
      </c>
      <c r="L25" s="27">
        <f>IFERROR(__xludf.DUMMYFUNCTION("""COMPUTED_VALUE"""),46310.0)</f>
        <v>46310</v>
      </c>
      <c r="M25" s="3" t="str">
        <f>IFERROR(__xludf.DUMMYFUNCTION("""COMPUTED_VALUE"""),"Waiting Update")</f>
        <v>Waiting Update</v>
      </c>
      <c r="N25" s="3" t="str">
        <f>IFERROR(__xludf.DUMMYFUNCTION("""COMPUTED_VALUE"""),"Standbay Pemadaman")</f>
        <v>Standbay Pemadaman</v>
      </c>
      <c r="O25" s="3" t="str">
        <f>IFERROR(VLOOKUP(C25,Sheet4!A25:F812,6,0),"")</f>
        <v/>
      </c>
      <c r="Q25" s="2" t="str">
        <f t="shared" si="1"/>
        <v>15</v>
      </c>
    </row>
    <row r="26">
      <c r="A26" s="3" t="str">
        <f>IFERROR(__xludf.DUMMYFUNCTION("""COMPUTED_VALUE"""),"Pengecekan Power")</f>
        <v>Pengecekan Power</v>
      </c>
      <c r="B26" s="3" t="str">
        <f>IFERROR(__xludf.DUMMYFUNCTION("""COMPUTED_VALUE"""),"P1")</f>
        <v>P1</v>
      </c>
      <c r="C26" s="3" t="str">
        <f>IFERROR(__xludf.DUMMYFUNCTION("""COMPUTED_VALUE"""),"TML005 (Backup)")</f>
        <v>TML005 (Backup)</v>
      </c>
      <c r="D26" s="3" t="str">
        <f>IFERROR(__xludf.DUMMYFUNCTION("""COMPUTED_VALUE"""),"Harun Nurasyid")</f>
        <v>Harun Nurasyid</v>
      </c>
      <c r="E26" s="3" t="str">
        <f>IFERROR(__xludf.DUMMYFUNCTION("""COMPUTED_VALUE"""),"CME")</f>
        <v>CME</v>
      </c>
      <c r="F26" s="3" t="str">
        <f>IFERROR(__xludf.DUMMYFUNCTION("""COMPUTED_VALUE"""),"Winda Sokenda")</f>
        <v>Winda Sokenda</v>
      </c>
      <c r="G26" s="3" t="str">
        <f>IFERROR(__xludf.DUMMYFUNCTION("""COMPUTED_VALUE"""),"Barito Raya")</f>
        <v>Barito Raya</v>
      </c>
      <c r="H26" s="3" t="str">
        <f>IFERROR(__xludf.DUMMYFUNCTION("""COMPUTED_VALUE"""),"Preventive")</f>
        <v>Preventive</v>
      </c>
      <c r="I26" s="3" t="str">
        <f>IFERROR(__xludf.DUMMYFUNCTION("""COMPUTED_VALUE"""),"MCB trip/Power upnormal")</f>
        <v>MCB trip/Power upnormal</v>
      </c>
      <c r="J26" s="3" t="str">
        <f>IFERROR(__xludf.DUMMYFUNCTION("""COMPUTED_VALUE"""),"On Progress")</f>
        <v>On Progress</v>
      </c>
      <c r="K26" s="27">
        <f>IFERROR(__xludf.DUMMYFUNCTION("""COMPUTED_VALUE"""),46310.0)</f>
        <v>46310</v>
      </c>
      <c r="L26" s="27">
        <f>IFERROR(__xludf.DUMMYFUNCTION("""COMPUTED_VALUE"""),46310.0)</f>
        <v>46310</v>
      </c>
      <c r="M26" s="3" t="str">
        <f>IFERROR(__xludf.DUMMYFUNCTION("""COMPUTED_VALUE"""),"Waiting Update")</f>
        <v>Waiting Update</v>
      </c>
      <c r="N26" s="3" t="str">
        <f>IFERROR(__xludf.DUMMYFUNCTION("""COMPUTED_VALUE"""),"Standbay Pemadaman")</f>
        <v>Standbay Pemadaman</v>
      </c>
      <c r="O26" s="3" t="str">
        <f>IFERROR(VLOOKUP(C26,Sheet4!A26:F813,6,0),"")</f>
        <v/>
      </c>
      <c r="Q26" s="2" t="str">
        <f t="shared" si="1"/>
        <v>15</v>
      </c>
    </row>
    <row r="27">
      <c r="A27" s="3" t="str">
        <f>IFERROR(__xludf.DUMMYFUNCTION("""COMPUTED_VALUE"""),"Pengecekan Power")</f>
        <v>Pengecekan Power</v>
      </c>
      <c r="B27" s="3" t="str">
        <f>IFERROR(__xludf.DUMMYFUNCTION("""COMPUTED_VALUE"""),"P1")</f>
        <v>P1</v>
      </c>
      <c r="C27" s="3" t="str">
        <f>IFERROR(__xludf.DUMMYFUNCTION("""COMPUTED_VALUE"""),"KKP072 (backup)")</f>
        <v>KKP072 (backup)</v>
      </c>
      <c r="D27" s="3" t="str">
        <f>IFERROR(__xludf.DUMMYFUNCTION("""COMPUTED_VALUE"""),"Nurhayat")</f>
        <v>Nurhayat</v>
      </c>
      <c r="E27" s="3" t="str">
        <f>IFERROR(__xludf.DUMMYFUNCTION("""COMPUTED_VALUE"""),"MBP")</f>
        <v>MBP</v>
      </c>
      <c r="F27" s="3" t="str">
        <f>IFERROR(__xludf.DUMMYFUNCTION("""COMPUTED_VALUE"""),"Winda Sokenda")</f>
        <v>Winda Sokenda</v>
      </c>
      <c r="G27" s="3" t="str">
        <f>IFERROR(__xludf.DUMMYFUNCTION("""COMPUTED_VALUE"""),"Barito Raya")</f>
        <v>Barito Raya</v>
      </c>
      <c r="H27" s="3" t="str">
        <f>IFERROR(__xludf.DUMMYFUNCTION("""COMPUTED_VALUE"""),"Preventive")</f>
        <v>Preventive</v>
      </c>
      <c r="I27" s="3" t="str">
        <f>IFERROR(__xludf.DUMMYFUNCTION("""COMPUTED_VALUE"""),"MCB trip/Power upnormal")</f>
        <v>MCB trip/Power upnormal</v>
      </c>
      <c r="J27" s="3" t="str">
        <f>IFERROR(__xludf.DUMMYFUNCTION("""COMPUTED_VALUE"""),"On Progress")</f>
        <v>On Progress</v>
      </c>
      <c r="K27" s="27">
        <f>IFERROR(__xludf.DUMMYFUNCTION("""COMPUTED_VALUE"""),46310.0)</f>
        <v>46310</v>
      </c>
      <c r="L27" s="27">
        <f>IFERROR(__xludf.DUMMYFUNCTION("""COMPUTED_VALUE"""),46310.0)</f>
        <v>46310</v>
      </c>
      <c r="M27" s="3" t="str">
        <f>IFERROR(__xludf.DUMMYFUNCTION("""COMPUTED_VALUE"""),"Waiting Update")</f>
        <v>Waiting Update</v>
      </c>
      <c r="N27" s="3" t="str">
        <f>IFERROR(__xludf.DUMMYFUNCTION("""COMPUTED_VALUE"""),"Standbay Pemadaman")</f>
        <v>Standbay Pemadaman</v>
      </c>
      <c r="O27" s="3" t="str">
        <f>IFERROR(VLOOKUP(C27,Sheet4!A27:F814,6,0),"")</f>
        <v/>
      </c>
      <c r="Q27" s="2" t="str">
        <f t="shared" si="1"/>
        <v>15</v>
      </c>
    </row>
    <row r="28">
      <c r="A28" s="3" t="str">
        <f>IFERROR(__xludf.DUMMYFUNCTION("""COMPUTED_VALUE"""),"Repointing MW")</f>
        <v>Repointing MW</v>
      </c>
      <c r="B28" s="3" t="str">
        <f>IFERROR(__xludf.DUMMYFUNCTION("""COMPUTED_VALUE"""),"P1")</f>
        <v>P1</v>
      </c>
      <c r="C28" s="3" t="str">
        <f>IFERROR(__xludf.DUMMYFUNCTION("""COMPUTED_VALUE"""),"KKP005 (backup)")</f>
        <v>KKP005 (backup)</v>
      </c>
      <c r="D28" s="3" t="str">
        <f>IFERROR(__xludf.DUMMYFUNCTION("""COMPUTED_VALUE"""),"Pujianto")</f>
        <v>Pujianto</v>
      </c>
      <c r="E28" s="3" t="str">
        <f>IFERROR(__xludf.DUMMYFUNCTION("""COMPUTED_VALUE"""),"MBP")</f>
        <v>MBP</v>
      </c>
      <c r="F28" s="3" t="str">
        <f>IFERROR(__xludf.DUMMYFUNCTION("""COMPUTED_VALUE"""),"Winda Sokenda")</f>
        <v>Winda Sokenda</v>
      </c>
      <c r="G28" s="3" t="str">
        <f>IFERROR(__xludf.DUMMYFUNCTION("""COMPUTED_VALUE"""),"Barito Raya")</f>
        <v>Barito Raya</v>
      </c>
      <c r="H28" s="3" t="str">
        <f>IFERROR(__xludf.DUMMYFUNCTION("""COMPUTED_VALUE"""),"Corrective")</f>
        <v>Corrective</v>
      </c>
      <c r="I28" s="3" t="str">
        <f>IFERROR(__xludf.DUMMYFUNCTION("""COMPUTED_VALUE"""),"Impact BTS down / RX Level &gt;70 / PL")</f>
        <v>Impact BTS down / RX Level &gt;70 / PL</v>
      </c>
      <c r="J28" s="3" t="str">
        <f>IFERROR(__xludf.DUMMYFUNCTION("""COMPUTED_VALUE"""),"On Progress")</f>
        <v>On Progress</v>
      </c>
      <c r="K28" s="27">
        <f>IFERROR(__xludf.DUMMYFUNCTION("""COMPUTED_VALUE"""),46310.0)</f>
        <v>46310</v>
      </c>
      <c r="L28" s="27">
        <f>IFERROR(__xludf.DUMMYFUNCTION("""COMPUTED_VALUE"""),46310.0)</f>
        <v>46310</v>
      </c>
      <c r="M28" s="3" t="str">
        <f>IFERROR(__xludf.DUMMYFUNCTION("""COMPUTED_VALUE"""),"Waiting Update")</f>
        <v>Waiting Update</v>
      </c>
      <c r="N28" s="3" t="str">
        <f>IFERROR(__xludf.DUMMYFUNCTION("""COMPUTED_VALUE"""),"Standbay Pemadaman")</f>
        <v>Standbay Pemadaman</v>
      </c>
      <c r="O28" s="3" t="str">
        <f>IFERROR(VLOOKUP(C28,Sheet4!A28:F815,6,0),"")</f>
        <v/>
      </c>
      <c r="Q28" s="2" t="str">
        <f t="shared" si="1"/>
        <v>15</v>
      </c>
    </row>
    <row r="29">
      <c r="A29" s="3" t="str">
        <f>IFERROR(__xludf.DUMMYFUNCTION("""COMPUTED_VALUE"""),"Penambahan Modul Recti")</f>
        <v>Penambahan Modul Recti</v>
      </c>
      <c r="B29" s="3" t="str">
        <f>IFERROR(__xludf.DUMMYFUNCTION("""COMPUTED_VALUE"""),"P2")</f>
        <v>P2</v>
      </c>
      <c r="C29" s="3" t="str">
        <f>IFERROR(__xludf.DUMMYFUNCTION("""COMPUTED_VALUE"""),"KKP065 ")</f>
        <v>KKP065 </v>
      </c>
      <c r="D29" s="3" t="str">
        <f>IFERROR(__xludf.DUMMYFUNCTION("""COMPUTED_VALUE"""),"Alfi Syahri")</f>
        <v>Alfi Syahri</v>
      </c>
      <c r="E29" s="3" t="str">
        <f>IFERROR(__xludf.DUMMYFUNCTION("""COMPUTED_VALUE"""),"CME")</f>
        <v>CME</v>
      </c>
      <c r="F29" s="3" t="str">
        <f>IFERROR(__xludf.DUMMYFUNCTION("""COMPUTED_VALUE"""),"Winda Sokenda")</f>
        <v>Winda Sokenda</v>
      </c>
      <c r="G29" s="3" t="str">
        <f>IFERROR(__xludf.DUMMYFUNCTION("""COMPUTED_VALUE"""),"Barito Raya")</f>
        <v>Barito Raya</v>
      </c>
      <c r="H29" s="3" t="str">
        <f>IFERROR(__xludf.DUMMYFUNCTION("""COMPUTED_VALUE"""),"Corrective")</f>
        <v>Corrective</v>
      </c>
      <c r="I29" s="3" t="str">
        <f>IFERROR(__xludf.DUMMYFUNCTION("""COMPUTED_VALUE"""),"Penambahan Modul Recti")</f>
        <v>Penambahan Modul Recti</v>
      </c>
      <c r="J29" s="3" t="str">
        <f>IFERROR(__xludf.DUMMYFUNCTION("""COMPUTED_VALUE"""),"On Progress")</f>
        <v>On Progress</v>
      </c>
      <c r="K29" s="27">
        <f>IFERROR(__xludf.DUMMYFUNCTION("""COMPUTED_VALUE"""),46310.0)</f>
        <v>46310</v>
      </c>
      <c r="L29" s="27">
        <f>IFERROR(__xludf.DUMMYFUNCTION("""COMPUTED_VALUE"""),46310.0)</f>
        <v>46310</v>
      </c>
      <c r="M29" s="3" t="str">
        <f>IFERROR(__xludf.DUMMYFUNCTION("""COMPUTED_VALUE"""),"Waiting Update")</f>
        <v>Waiting Update</v>
      </c>
      <c r="N29" s="3" t="str">
        <f>IFERROR(__xludf.DUMMYFUNCTION("""COMPUTED_VALUE"""),"Replace APR")</f>
        <v>Replace APR</v>
      </c>
      <c r="O29" s="3" t="str">
        <f>IFERROR(VLOOKUP(C29,Sheet4!A29:F816,6,0),"")</f>
        <v/>
      </c>
      <c r="Q29" s="2" t="str">
        <f t="shared" si="1"/>
        <v>15</v>
      </c>
    </row>
    <row r="30">
      <c r="A30" s="3" t="str">
        <f>IFERROR(__xludf.DUMMYFUNCTION("""COMPUTED_VALUE"""),"Pengecekan Power")</f>
        <v>Pengecekan Power</v>
      </c>
      <c r="B30" s="3" t="str">
        <f>IFERROR(__xludf.DUMMYFUNCTION("""COMPUTED_VALUE"""),"P1")</f>
        <v>P1</v>
      </c>
      <c r="C30" s="3" t="str">
        <f>IFERROR(__xludf.DUMMYFUNCTION("""COMPUTED_VALUE"""),"MTW004 (Backup)")</f>
        <v>MTW004 (Backup)</v>
      </c>
      <c r="D30" s="3" t="str">
        <f>IFERROR(__xludf.DUMMYFUNCTION("""COMPUTED_VALUE"""),"Taklim")</f>
        <v>Taklim</v>
      </c>
      <c r="E30" s="3" t="str">
        <f>IFERROR(__xludf.DUMMYFUNCTION("""COMPUTED_VALUE"""),"MBP")</f>
        <v>MBP</v>
      </c>
      <c r="F30" s="3" t="str">
        <f>IFERROR(__xludf.DUMMYFUNCTION("""COMPUTED_VALUE"""),"Winda Sokenda")</f>
        <v>Winda Sokenda</v>
      </c>
      <c r="G30" s="3" t="str">
        <f>IFERROR(__xludf.DUMMYFUNCTION("""COMPUTED_VALUE"""),"Barito Raya")</f>
        <v>Barito Raya</v>
      </c>
      <c r="H30" s="3" t="str">
        <f>IFERROR(__xludf.DUMMYFUNCTION("""COMPUTED_VALUE"""),"Preventive")</f>
        <v>Preventive</v>
      </c>
      <c r="I30" s="3" t="str">
        <f>IFERROR(__xludf.DUMMYFUNCTION("""COMPUTED_VALUE"""),"MCB trip/Power upnormal")</f>
        <v>MCB trip/Power upnormal</v>
      </c>
      <c r="J30" s="3" t="str">
        <f>IFERROR(__xludf.DUMMYFUNCTION("""COMPUTED_VALUE"""),"On Progress")</f>
        <v>On Progress</v>
      </c>
      <c r="K30" s="27">
        <f>IFERROR(__xludf.DUMMYFUNCTION("""COMPUTED_VALUE"""),46310.0)</f>
        <v>46310</v>
      </c>
      <c r="L30" s="27">
        <f>IFERROR(__xludf.DUMMYFUNCTION("""COMPUTED_VALUE"""),46310.0)</f>
        <v>46310</v>
      </c>
      <c r="M30" s="3" t="str">
        <f>IFERROR(__xludf.DUMMYFUNCTION("""COMPUTED_VALUE"""),"Waiting Update")</f>
        <v>Waiting Update</v>
      </c>
      <c r="N30" s="3" t="str">
        <f>IFERROR(__xludf.DUMMYFUNCTION("""COMPUTED_VALUE"""),"Standbay Pemadaman")</f>
        <v>Standbay Pemadaman</v>
      </c>
      <c r="O30" s="3" t="str">
        <f>IFERROR(VLOOKUP(C30,Sheet4!A30:F817,6,0),"")</f>
        <v/>
      </c>
      <c r="Q30" s="2" t="str">
        <f t="shared" si="1"/>
        <v>15</v>
      </c>
    </row>
    <row r="31">
      <c r="A31" s="3" t="str">
        <f>IFERROR(__xludf.DUMMYFUNCTION("""COMPUTED_VALUE"""),"Cell down")</f>
        <v>Cell down</v>
      </c>
      <c r="B31" s="3" t="str">
        <f>IFERROR(__xludf.DUMMYFUNCTION("""COMPUTED_VALUE"""),"P1")</f>
        <v>P1</v>
      </c>
      <c r="C31" s="3" t="str">
        <f>IFERROR(__xludf.DUMMYFUNCTION("""COMPUTED_VALUE"""),"KKP146")</f>
        <v>KKP146</v>
      </c>
      <c r="D31" s="3" t="str">
        <f>IFERROR(__xludf.DUMMYFUNCTION("""COMPUTED_VALUE"""),"Yahya Muhamad")</f>
        <v>Yahya Muhamad</v>
      </c>
      <c r="E31" s="3" t="str">
        <f>IFERROR(__xludf.DUMMYFUNCTION("""COMPUTED_VALUE"""),"TE")</f>
        <v>TE</v>
      </c>
      <c r="F31" s="3" t="str">
        <f>IFERROR(__xludf.DUMMYFUNCTION("""COMPUTED_VALUE"""),"Winda Sokenda")</f>
        <v>Winda Sokenda</v>
      </c>
      <c r="G31" s="3" t="str">
        <f>IFERROR(__xludf.DUMMYFUNCTION("""COMPUTED_VALUE"""),"Barito Raya")</f>
        <v>Barito Raya</v>
      </c>
      <c r="H31" s="3" t="str">
        <f>IFERROR(__xludf.DUMMYFUNCTION("""COMPUTED_VALUE"""),"Corrective")</f>
        <v>Corrective</v>
      </c>
      <c r="I31" s="3" t="str">
        <f>IFERROR(__xludf.DUMMYFUNCTION("""COMPUTED_VALUE"""),"Replace Optik,RRU/Soket Power/Replace GPS")</f>
        <v>Replace Optik,RRU/Soket Power/Replace GPS</v>
      </c>
      <c r="J31" s="3" t="str">
        <f>IFERROR(__xludf.DUMMYFUNCTION("""COMPUTED_VALUE"""),"On Progress")</f>
        <v>On Progress</v>
      </c>
      <c r="K31" s="27">
        <f>IFERROR(__xludf.DUMMYFUNCTION("""COMPUTED_VALUE"""),46310.0)</f>
        <v>46310</v>
      </c>
      <c r="L31" s="27">
        <f>IFERROR(__xludf.DUMMYFUNCTION("""COMPUTED_VALUE"""),46310.0)</f>
        <v>46310</v>
      </c>
      <c r="M31" s="3" t="str">
        <f>IFERROR(__xludf.DUMMYFUNCTION("""COMPUTED_VALUE"""),"Waiting Update")</f>
        <v>Waiting Update</v>
      </c>
      <c r="N31" s="3" t="str">
        <f>IFERROR(__xludf.DUMMYFUNCTION("""COMPUTED_VALUE"""),"Cell Flicker")</f>
        <v>Cell Flicker</v>
      </c>
      <c r="O31" s="3">
        <f>IFERROR(VLOOKUP(C31,Sheet4!A31:F818,6,0),"")</f>
        <v>11426215</v>
      </c>
      <c r="Q31" s="2" t="str">
        <f t="shared" si="1"/>
        <v>15</v>
      </c>
    </row>
    <row r="32">
      <c r="A32" s="3" t="str">
        <f>IFERROR(__xludf.DUMMYFUNCTION("""COMPUTED_VALUE"""),"PM")</f>
        <v>PM</v>
      </c>
      <c r="B32" s="3" t="str">
        <f>IFERROR(__xludf.DUMMYFUNCTION("""COMPUTED_VALUE"""),"P2")</f>
        <v>P2</v>
      </c>
      <c r="C32" s="3" t="str">
        <f>IFERROR(__xludf.DUMMYFUNCTION("""COMPUTED_VALUE"""),"TML026")</f>
        <v>TML026</v>
      </c>
      <c r="D32" s="3" t="str">
        <f>IFERROR(__xludf.DUMMYFUNCTION("""COMPUTED_VALUE"""),"Khilal dawai katiri")</f>
        <v>Khilal dawai katiri</v>
      </c>
      <c r="E32" s="3" t="str">
        <f>IFERROR(__xludf.DUMMYFUNCTION("""COMPUTED_VALUE"""),"MBP")</f>
        <v>MBP</v>
      </c>
      <c r="F32" s="3" t="str">
        <f>IFERROR(__xludf.DUMMYFUNCTION("""COMPUTED_VALUE"""),"Winda Sokenda")</f>
        <v>Winda Sokenda</v>
      </c>
      <c r="G32" s="3" t="str">
        <f>IFERROR(__xludf.DUMMYFUNCTION("""COMPUTED_VALUE"""),"Barito Raya")</f>
        <v>Barito Raya</v>
      </c>
      <c r="H32" s="3" t="str">
        <f>IFERROR(__xludf.DUMMYFUNCTION("""COMPUTED_VALUE"""),"Preventive")</f>
        <v>Preventive</v>
      </c>
      <c r="I32" s="3" t="str">
        <f>IFERROR(__xludf.DUMMYFUNCTION("""COMPUTED_VALUE"""),"Preventive Maintenance")</f>
        <v>Preventive Maintenance</v>
      </c>
      <c r="J32" s="3" t="str">
        <f>IFERROR(__xludf.DUMMYFUNCTION("""COMPUTED_VALUE"""),"On Progress")</f>
        <v>On Progress</v>
      </c>
      <c r="K32" s="27">
        <f>IFERROR(__xludf.DUMMYFUNCTION("""COMPUTED_VALUE"""),46310.0)</f>
        <v>46310</v>
      </c>
      <c r="L32" s="27">
        <f>IFERROR(__xludf.DUMMYFUNCTION("""COMPUTED_VALUE"""),46310.0)</f>
        <v>46310</v>
      </c>
      <c r="M32" s="3" t="str">
        <f>IFERROR(__xludf.DUMMYFUNCTION("""COMPUTED_VALUE"""),"Waiting Update")</f>
        <v>Waiting Update</v>
      </c>
      <c r="N32" s="3" t="str">
        <f>IFERROR(__xludf.DUMMYFUNCTION("""COMPUTED_VALUE"""),"PMS")</f>
        <v>PMS</v>
      </c>
      <c r="O32" s="3">
        <f>IFERROR(VLOOKUP(C32,Sheet4!A32:F819,6,0),"")</f>
        <v>11515247</v>
      </c>
      <c r="Q32" s="2" t="str">
        <f t="shared" si="1"/>
        <v>15</v>
      </c>
    </row>
    <row r="33">
      <c r="A33" s="3" t="str">
        <f>IFERROR(__xludf.DUMMYFUNCTION("""COMPUTED_VALUE"""),"PM")</f>
        <v>PM</v>
      </c>
      <c r="B33" s="3" t="str">
        <f>IFERROR(__xludf.DUMMYFUNCTION("""COMPUTED_VALUE"""),"P2")</f>
        <v>P2</v>
      </c>
      <c r="C33" s="3" t="str">
        <f>IFERROR(__xludf.DUMMYFUNCTION("""COMPUTED_VALUE"""),"PRC051")</f>
        <v>PRC051</v>
      </c>
      <c r="D33" s="3" t="str">
        <f>IFERROR(__xludf.DUMMYFUNCTION("""COMPUTED_VALUE"""),"Riko setiadi")</f>
        <v>Riko setiadi</v>
      </c>
      <c r="E33" s="3" t="str">
        <f>IFERROR(__xludf.DUMMYFUNCTION("""COMPUTED_VALUE"""),"PM")</f>
        <v>PM</v>
      </c>
      <c r="F33" s="3" t="str">
        <f>IFERROR(__xludf.DUMMYFUNCTION("""COMPUTED_VALUE"""),"Winda Sokenda")</f>
        <v>Winda Sokenda</v>
      </c>
      <c r="G33" s="3" t="str">
        <f>IFERROR(__xludf.DUMMYFUNCTION("""COMPUTED_VALUE"""),"Barito Raya")</f>
        <v>Barito Raya</v>
      </c>
      <c r="H33" s="3" t="str">
        <f>IFERROR(__xludf.DUMMYFUNCTION("""COMPUTED_VALUE"""),"Preventive")</f>
        <v>Preventive</v>
      </c>
      <c r="I33" s="3" t="str">
        <f>IFERROR(__xludf.DUMMYFUNCTION("""COMPUTED_VALUE"""),"Preventive Maintenance")</f>
        <v>Preventive Maintenance</v>
      </c>
      <c r="J33" s="3" t="str">
        <f>IFERROR(__xludf.DUMMYFUNCTION("""COMPUTED_VALUE"""),"Standby")</f>
        <v>Standby</v>
      </c>
      <c r="K33" s="27">
        <f>IFERROR(__xludf.DUMMYFUNCTION("""COMPUTED_VALUE"""),46310.0)</f>
        <v>46310</v>
      </c>
      <c r="L33" s="27">
        <f>IFERROR(__xludf.DUMMYFUNCTION("""COMPUTED_VALUE"""),46310.0)</f>
        <v>46310</v>
      </c>
      <c r="M33" s="3" t="str">
        <f>IFERROR(__xludf.DUMMYFUNCTION("""COMPUTED_VALUE"""),"Waiting Update")</f>
        <v>Waiting Update</v>
      </c>
      <c r="N33" s="3" t="str">
        <f>IFERROR(__xludf.DUMMYFUNCTION("""COMPUTED_VALUE"""),"PMS")</f>
        <v>PMS</v>
      </c>
      <c r="O33" s="3">
        <f>IFERROR(VLOOKUP(C33,Sheet4!A33:F820,6,0),"")</f>
        <v>11459734</v>
      </c>
      <c r="Q33" s="2" t="str">
        <f t="shared" si="1"/>
        <v>15</v>
      </c>
    </row>
    <row r="34">
      <c r="A34" s="3" t="str">
        <f>IFERROR(__xludf.DUMMYFUNCTION("""COMPUTED_VALUE"""),"Pengecekan battrey")</f>
        <v>Pengecekan battrey</v>
      </c>
      <c r="B34" s="3" t="str">
        <f>IFERROR(__xludf.DUMMYFUNCTION("""COMPUTED_VALUE"""),"P2")</f>
        <v>P2</v>
      </c>
      <c r="C34" s="3" t="str">
        <f>IFERROR(__xludf.DUMMYFUNCTION("""COMPUTED_VALUE"""),"BNT006 ")</f>
        <v>BNT006 </v>
      </c>
      <c r="D34" s="3" t="str">
        <f>IFERROR(__xludf.DUMMYFUNCTION("""COMPUTED_VALUE"""),"Putra wardana")</f>
        <v>Putra wardana</v>
      </c>
      <c r="E34" s="3" t="str">
        <f>IFERROR(__xludf.DUMMYFUNCTION("""COMPUTED_VALUE"""),"TE")</f>
        <v>TE</v>
      </c>
      <c r="F34" s="3" t="str">
        <f>IFERROR(__xludf.DUMMYFUNCTION("""COMPUTED_VALUE"""),"Winda Sokenda")</f>
        <v>Winda Sokenda</v>
      </c>
      <c r="G34" s="3" t="str">
        <f>IFERROR(__xludf.DUMMYFUNCTION("""COMPUTED_VALUE"""),"Barito Raya")</f>
        <v>Barito Raya</v>
      </c>
      <c r="H34" s="3" t="str">
        <f>IFERROR(__xludf.DUMMYFUNCTION("""COMPUTED_VALUE"""),"Preventive")</f>
        <v>Preventive</v>
      </c>
      <c r="I34" s="3" t="str">
        <f>IFERROR(__xludf.DUMMYFUNCTION("""COMPUTED_VALUE"""),"Pengukuran dan pengambilan data log serta input Gdoc BBT")</f>
        <v>Pengukuran dan pengambilan data log serta input Gdoc BBT</v>
      </c>
      <c r="J34" s="3" t="str">
        <f>IFERROR(__xludf.DUMMYFUNCTION("""COMPUTED_VALUE"""),"On Progress")</f>
        <v>On Progress</v>
      </c>
      <c r="K34" s="27">
        <f>IFERROR(__xludf.DUMMYFUNCTION("""COMPUTED_VALUE"""),46307.0)</f>
        <v>46307</v>
      </c>
      <c r="L34" s="27">
        <f>IFERROR(__xludf.DUMMYFUNCTION("""COMPUTED_VALUE"""),46307.0)</f>
        <v>46307</v>
      </c>
      <c r="M34" s="3" t="str">
        <f>IFERROR(__xludf.DUMMYFUNCTION("""COMPUTED_VALUE"""),"Done")</f>
        <v>Done</v>
      </c>
      <c r="N34" s="3" t="str">
        <f>IFERROR(__xludf.DUMMYFUNCTION("""COMPUTED_VALUE"""),"BBT 0")</f>
        <v>BBT 0</v>
      </c>
      <c r="O34" s="3" t="str">
        <f>IFERROR(VLOOKUP(C34,Sheet4!A34:F821,6,0),"")</f>
        <v/>
      </c>
      <c r="Q34" s="2" t="str">
        <f t="shared" si="1"/>
        <v>12</v>
      </c>
    </row>
    <row r="35">
      <c r="A35" s="3" t="str">
        <f>IFERROR(__xludf.DUMMYFUNCTION("""COMPUTED_VALUE"""),"Site Down")</f>
        <v>Site Down</v>
      </c>
      <c r="B35" s="3" t="str">
        <f>IFERROR(__xludf.DUMMYFUNCTION("""COMPUTED_VALUE"""),"P1")</f>
        <v>P1</v>
      </c>
      <c r="C35" s="3" t="str">
        <f>IFERROR(__xludf.DUMMYFUNCTION("""COMPUTED_VALUE"""),"AMT003")</f>
        <v>AMT003</v>
      </c>
      <c r="D35" s="3" t="str">
        <f>IFERROR(__xludf.DUMMYFUNCTION("""COMPUTED_VALUE"""),"Sailillah")</f>
        <v>Sailillah</v>
      </c>
      <c r="E35" s="3" t="str">
        <f>IFERROR(__xludf.DUMMYFUNCTION("""COMPUTED_VALUE"""),"TE")</f>
        <v>TE</v>
      </c>
      <c r="F35" s="3" t="str">
        <f>IFERROR(__xludf.DUMMYFUNCTION("""COMPUTED_VALUE"""),"Winda Sokenda")</f>
        <v>Winda Sokenda</v>
      </c>
      <c r="G35" s="3" t="str">
        <f>IFERROR(__xludf.DUMMYFUNCTION("""COMPUTED_VALUE"""),"Barito Raya")</f>
        <v>Barito Raya</v>
      </c>
      <c r="H35" s="3" t="str">
        <f>IFERROR(__xludf.DUMMYFUNCTION("""COMPUTED_VALUE"""),"Corrective")</f>
        <v>Corrective</v>
      </c>
      <c r="I35" s="3" t="str">
        <f>IFERROR(__xludf.DUMMYFUNCTION("""COMPUTED_VALUE"""),"Pemadaman,MCB Trip,Transmisi problem")</f>
        <v>Pemadaman,MCB Trip,Transmisi problem</v>
      </c>
      <c r="J35" s="3" t="str">
        <f>IFERROR(__xludf.DUMMYFUNCTION("""COMPUTED_VALUE"""),"On Progress")</f>
        <v>On Progress</v>
      </c>
      <c r="K35" s="27">
        <f>IFERROR(__xludf.DUMMYFUNCTION("""COMPUTED_VALUE"""),46307.0)</f>
        <v>46307</v>
      </c>
      <c r="L35" s="27">
        <f>IFERROR(__xludf.DUMMYFUNCTION("""COMPUTED_VALUE"""),46307.0)</f>
        <v>46307</v>
      </c>
      <c r="M35" s="3" t="str">
        <f>IFERROR(__xludf.DUMMYFUNCTION("""COMPUTED_VALUE"""),"Done")</f>
        <v>Done</v>
      </c>
      <c r="N35" s="3" t="str">
        <f>IFERROR(__xludf.DUMMYFUNCTION("""COMPUTED_VALUE"""),"Koordinasi to pjs")</f>
        <v>Koordinasi to pjs</v>
      </c>
      <c r="O35" s="3">
        <f>IFERROR(VLOOKUP(C35,Sheet4!A35:F822,6,0),"")</f>
        <v>11491403</v>
      </c>
      <c r="Q35" s="2" t="str">
        <f t="shared" si="1"/>
        <v>12</v>
      </c>
    </row>
    <row r="36">
      <c r="A36" s="3" t="str">
        <f>IFERROR(__xludf.DUMMYFUNCTION("""COMPUTED_VALUE"""),"Pengecekan battrey")</f>
        <v>Pengecekan battrey</v>
      </c>
      <c r="B36" s="3" t="str">
        <f>IFERROR(__xludf.DUMMYFUNCTION("""COMPUTED_VALUE"""),"P2")</f>
        <v>P2</v>
      </c>
      <c r="C36" s="3" t="str">
        <f>IFERROR(__xludf.DUMMYFUNCTION("""COMPUTED_VALUE"""),"MTW062")</f>
        <v>MTW062</v>
      </c>
      <c r="D36" s="3" t="str">
        <f>IFERROR(__xludf.DUMMYFUNCTION("""COMPUTED_VALUE"""),"Tiviansyah")</f>
        <v>Tiviansyah</v>
      </c>
      <c r="E36" s="3" t="str">
        <f>IFERROR(__xludf.DUMMYFUNCTION("""COMPUTED_VALUE"""),"TE")</f>
        <v>TE</v>
      </c>
      <c r="F36" s="3" t="str">
        <f>IFERROR(__xludf.DUMMYFUNCTION("""COMPUTED_VALUE"""),"Winda Sokenda")</f>
        <v>Winda Sokenda</v>
      </c>
      <c r="G36" s="3" t="str">
        <f>IFERROR(__xludf.DUMMYFUNCTION("""COMPUTED_VALUE"""),"Barito Raya")</f>
        <v>Barito Raya</v>
      </c>
      <c r="H36" s="3" t="str">
        <f>IFERROR(__xludf.DUMMYFUNCTION("""COMPUTED_VALUE"""),"Preventive")</f>
        <v>Preventive</v>
      </c>
      <c r="I36" s="3" t="str">
        <f>IFERROR(__xludf.DUMMYFUNCTION("""COMPUTED_VALUE"""),"Pengukuran dan pengambilan data log serta input Gdoc BBT")</f>
        <v>Pengukuran dan pengambilan data log serta input Gdoc BBT</v>
      </c>
      <c r="J36" s="3" t="str">
        <f>IFERROR(__xludf.DUMMYFUNCTION("""COMPUTED_VALUE"""),"On Progress")</f>
        <v>On Progress</v>
      </c>
      <c r="K36" s="27">
        <f>IFERROR(__xludf.DUMMYFUNCTION("""COMPUTED_VALUE"""),46307.0)</f>
        <v>46307</v>
      </c>
      <c r="L36" s="27">
        <f>IFERROR(__xludf.DUMMYFUNCTION("""COMPUTED_VALUE"""),46307.0)</f>
        <v>46307</v>
      </c>
      <c r="M36" s="3" t="str">
        <f>IFERROR(__xludf.DUMMYFUNCTION("""COMPUTED_VALUE"""),"Done")</f>
        <v>Done</v>
      </c>
      <c r="N36" s="3" t="str">
        <f>IFERROR(__xludf.DUMMYFUNCTION("""COMPUTED_VALUE"""),"BBT 0")</f>
        <v>BBT 0</v>
      </c>
      <c r="O36" s="3">
        <f>IFERROR(VLOOKUP(C36,Sheet4!A36:F823,6,0),"")</f>
        <v>11514783</v>
      </c>
      <c r="Q36" s="2" t="str">
        <f t="shared" si="1"/>
        <v>12</v>
      </c>
    </row>
    <row r="37">
      <c r="A37" s="3" t="str">
        <f>IFERROR(__xludf.DUMMYFUNCTION("""COMPUTED_VALUE"""),"Pengecekan battrey")</f>
        <v>Pengecekan battrey</v>
      </c>
      <c r="B37" s="3" t="str">
        <f>IFERROR(__xludf.DUMMYFUNCTION("""COMPUTED_VALUE"""),"P2")</f>
        <v>P2</v>
      </c>
      <c r="C37" s="3" t="str">
        <f>IFERROR(__xludf.DUMMYFUNCTION("""COMPUTED_VALUE"""),"MTW088")</f>
        <v>MTW088</v>
      </c>
      <c r="D37" s="3" t="str">
        <f>IFERROR(__xludf.DUMMYFUNCTION("""COMPUTED_VALUE"""),"munawir akhmad")</f>
        <v>munawir akhmad</v>
      </c>
      <c r="E37" s="3" t="str">
        <f>IFERROR(__xludf.DUMMYFUNCTION("""COMPUTED_VALUE"""),"TE")</f>
        <v>TE</v>
      </c>
      <c r="F37" s="3" t="str">
        <f>IFERROR(__xludf.DUMMYFUNCTION("""COMPUTED_VALUE"""),"Winda Sokenda")</f>
        <v>Winda Sokenda</v>
      </c>
      <c r="G37" s="3" t="str">
        <f>IFERROR(__xludf.DUMMYFUNCTION("""COMPUTED_VALUE"""),"Barito Raya")</f>
        <v>Barito Raya</v>
      </c>
      <c r="H37" s="3" t="str">
        <f>IFERROR(__xludf.DUMMYFUNCTION("""COMPUTED_VALUE"""),"Preventive")</f>
        <v>Preventive</v>
      </c>
      <c r="I37" s="3" t="str">
        <f>IFERROR(__xludf.DUMMYFUNCTION("""COMPUTED_VALUE"""),"Pengukuran dan pengambilan data log serta input Gdoc BBT")</f>
        <v>Pengukuran dan pengambilan data log serta input Gdoc BBT</v>
      </c>
      <c r="J37" s="3" t="str">
        <f>IFERROR(__xludf.DUMMYFUNCTION("""COMPUTED_VALUE"""),"On Progress")</f>
        <v>On Progress</v>
      </c>
      <c r="K37" s="27">
        <f>IFERROR(__xludf.DUMMYFUNCTION("""COMPUTED_VALUE"""),46307.0)</f>
        <v>46307</v>
      </c>
      <c r="L37" s="27">
        <f>IFERROR(__xludf.DUMMYFUNCTION("""COMPUTED_VALUE"""),46307.0)</f>
        <v>46307</v>
      </c>
      <c r="M37" s="3" t="str">
        <f>IFERROR(__xludf.DUMMYFUNCTION("""COMPUTED_VALUE"""),"Done")</f>
        <v>Done</v>
      </c>
      <c r="N37" s="3" t="str">
        <f>IFERROR(__xludf.DUMMYFUNCTION("""COMPUTED_VALUE"""),"BBT 0")</f>
        <v>BBT 0</v>
      </c>
      <c r="O37" s="3">
        <f>IFERROR(VLOOKUP(C37,Sheet4!A37:F824,6,0),"")</f>
        <v>11490715</v>
      </c>
      <c r="Q37" s="2" t="str">
        <f t="shared" si="1"/>
        <v>12</v>
      </c>
    </row>
    <row r="38">
      <c r="A38" s="3" t="str">
        <f>IFERROR(__xludf.DUMMYFUNCTION("""COMPUTED_VALUE"""),"Pengecekan Power")</f>
        <v>Pengecekan Power</v>
      </c>
      <c r="B38" s="3" t="str">
        <f>IFERROR(__xludf.DUMMYFUNCTION("""COMPUTED_VALUE"""),"P1")</f>
        <v>P1</v>
      </c>
      <c r="C38" s="3" t="str">
        <f>IFERROR(__xludf.DUMMYFUNCTION("""COMPUTED_VALUE"""),"PRC005")</f>
        <v>PRC005</v>
      </c>
      <c r="D38" s="3" t="str">
        <f>IFERROR(__xludf.DUMMYFUNCTION("""COMPUTED_VALUE"""),"Murjani")</f>
        <v>Murjani</v>
      </c>
      <c r="E38" s="3" t="str">
        <f>IFERROR(__xludf.DUMMYFUNCTION("""COMPUTED_VALUE"""),"TE")</f>
        <v>TE</v>
      </c>
      <c r="F38" s="3" t="str">
        <f>IFERROR(__xludf.DUMMYFUNCTION("""COMPUTED_VALUE"""),"Winda Sokenda")</f>
        <v>Winda Sokenda</v>
      </c>
      <c r="G38" s="3" t="str">
        <f>IFERROR(__xludf.DUMMYFUNCTION("""COMPUTED_VALUE"""),"Barito Raya")</f>
        <v>Barito Raya</v>
      </c>
      <c r="H38" s="3" t="str">
        <f>IFERROR(__xludf.DUMMYFUNCTION("""COMPUTED_VALUE"""),"Preventive")</f>
        <v>Preventive</v>
      </c>
      <c r="I38" s="3" t="str">
        <f>IFERROR(__xludf.DUMMYFUNCTION("""COMPUTED_VALUE"""),"MCB trip/Power upnormal")</f>
        <v>MCB trip/Power upnormal</v>
      </c>
      <c r="J38" s="3" t="str">
        <f>IFERROR(__xludf.DUMMYFUNCTION("""COMPUTED_VALUE"""),"On Progress")</f>
        <v>On Progress</v>
      </c>
      <c r="K38" s="27">
        <f>IFERROR(__xludf.DUMMYFUNCTION("""COMPUTED_VALUE"""),46307.0)</f>
        <v>46307</v>
      </c>
      <c r="L38" s="27">
        <f>IFERROR(__xludf.DUMMYFUNCTION("""COMPUTED_VALUE"""),46307.0)</f>
        <v>46307</v>
      </c>
      <c r="M38" s="3" t="str">
        <f>IFERROR(__xludf.DUMMYFUNCTION("""COMPUTED_VALUE"""),"Done")</f>
        <v>Done</v>
      </c>
      <c r="N38" s="3"/>
      <c r="O38" s="3">
        <f>IFERROR(VLOOKUP(C38,Sheet4!A38:F825,6,0),"")</f>
        <v>11456278</v>
      </c>
      <c r="Q38" s="2" t="str">
        <f t="shared" si="1"/>
        <v>12</v>
      </c>
    </row>
    <row r="39">
      <c r="A39" s="3" t="str">
        <f>IFERROR(__xludf.DUMMYFUNCTION("""COMPUTED_VALUE"""),"Pengecekan Power")</f>
        <v>Pengecekan Power</v>
      </c>
      <c r="B39" s="3" t="str">
        <f>IFERROR(__xludf.DUMMYFUNCTION("""COMPUTED_VALUE"""),"P1")</f>
        <v>P1</v>
      </c>
      <c r="C39" s="3" t="str">
        <f>IFERROR(__xludf.DUMMYFUNCTION("""COMPUTED_VALUE"""),"KKP093")</f>
        <v>KKP093</v>
      </c>
      <c r="D39" s="3" t="str">
        <f>IFERROR(__xludf.DUMMYFUNCTION("""COMPUTED_VALUE"""),"Reynaldy Ricardo Putra")</f>
        <v>Reynaldy Ricardo Putra</v>
      </c>
      <c r="E39" s="3" t="str">
        <f>IFERROR(__xludf.DUMMYFUNCTION("""COMPUTED_VALUE"""),"TE")</f>
        <v>TE</v>
      </c>
      <c r="F39" s="3" t="str">
        <f>IFERROR(__xludf.DUMMYFUNCTION("""COMPUTED_VALUE"""),"Winda Sokenda")</f>
        <v>Winda Sokenda</v>
      </c>
      <c r="G39" s="3" t="str">
        <f>IFERROR(__xludf.DUMMYFUNCTION("""COMPUTED_VALUE"""),"Barito Raya")</f>
        <v>Barito Raya</v>
      </c>
      <c r="H39" s="3" t="str">
        <f>IFERROR(__xludf.DUMMYFUNCTION("""COMPUTED_VALUE"""),"Preventive")</f>
        <v>Preventive</v>
      </c>
      <c r="I39" s="3" t="str">
        <f>IFERROR(__xludf.DUMMYFUNCTION("""COMPUTED_VALUE"""),"MCB trip/Power upnormal")</f>
        <v>MCB trip/Power upnormal</v>
      </c>
      <c r="J39" s="3" t="str">
        <f>IFERROR(__xludf.DUMMYFUNCTION("""COMPUTED_VALUE"""),"On Progress")</f>
        <v>On Progress</v>
      </c>
      <c r="K39" s="27">
        <f>IFERROR(__xludf.DUMMYFUNCTION("""COMPUTED_VALUE"""),46307.0)</f>
        <v>46307</v>
      </c>
      <c r="L39" s="27">
        <f>IFERROR(__xludf.DUMMYFUNCTION("""COMPUTED_VALUE"""),46307.0)</f>
        <v>46307</v>
      </c>
      <c r="M39" s="3" t="str">
        <f>IFERROR(__xludf.DUMMYFUNCTION("""COMPUTED_VALUE"""),"Done")</f>
        <v>Done</v>
      </c>
      <c r="N39" s="3" t="str">
        <f>IFERROR(__xludf.DUMMYFUNCTION("""COMPUTED_VALUE"""),"BBT 0")</f>
        <v>BBT 0</v>
      </c>
      <c r="O39" s="3">
        <f>IFERROR(VLOOKUP(C39,Sheet4!A39:F826,6,0),"")</f>
        <v>1146016</v>
      </c>
      <c r="Q39" s="2" t="str">
        <f t="shared" si="1"/>
        <v>12</v>
      </c>
    </row>
    <row r="40">
      <c r="A40" s="3" t="str">
        <f>IFERROR(__xludf.DUMMYFUNCTION("""COMPUTED_VALUE"""),"Pengecekan battrey")</f>
        <v>Pengecekan battrey</v>
      </c>
      <c r="B40" s="3" t="str">
        <f>IFERROR(__xludf.DUMMYFUNCTION("""COMPUTED_VALUE"""),"P2")</f>
        <v>P2</v>
      </c>
      <c r="C40" s="3" t="str">
        <f>IFERROR(__xludf.DUMMYFUNCTION("""COMPUTED_VALUE"""),"KKP036 ")</f>
        <v>KKP036 </v>
      </c>
      <c r="D40" s="3" t="str">
        <f>IFERROR(__xludf.DUMMYFUNCTION("""COMPUTED_VALUE"""),"Sahrul Saputra")</f>
        <v>Sahrul Saputra</v>
      </c>
      <c r="E40" s="3" t="str">
        <f>IFERROR(__xludf.DUMMYFUNCTION("""COMPUTED_VALUE"""),"TE")</f>
        <v>TE</v>
      </c>
      <c r="F40" s="3" t="str">
        <f>IFERROR(__xludf.DUMMYFUNCTION("""COMPUTED_VALUE"""),"Winda Sokenda")</f>
        <v>Winda Sokenda</v>
      </c>
      <c r="G40" s="3" t="str">
        <f>IFERROR(__xludf.DUMMYFUNCTION("""COMPUTED_VALUE"""),"Barito Raya")</f>
        <v>Barito Raya</v>
      </c>
      <c r="H40" s="3" t="str">
        <f>IFERROR(__xludf.DUMMYFUNCTION("""COMPUTED_VALUE"""),"Preventive")</f>
        <v>Preventive</v>
      </c>
      <c r="I40" s="3" t="str">
        <f>IFERROR(__xludf.DUMMYFUNCTION("""COMPUTED_VALUE"""),"Pengukuran dan pengambilan data log serta input Gdoc BBT")</f>
        <v>Pengukuran dan pengambilan data log serta input Gdoc BBT</v>
      </c>
      <c r="J40" s="3" t="str">
        <f>IFERROR(__xludf.DUMMYFUNCTION("""COMPUTED_VALUE"""),"On Progress")</f>
        <v>On Progress</v>
      </c>
      <c r="K40" s="27">
        <f>IFERROR(__xludf.DUMMYFUNCTION("""COMPUTED_VALUE"""),46307.0)</f>
        <v>46307</v>
      </c>
      <c r="L40" s="27">
        <f>IFERROR(__xludf.DUMMYFUNCTION("""COMPUTED_VALUE"""),46307.0)</f>
        <v>46307</v>
      </c>
      <c r="M40" s="3" t="str">
        <f>IFERROR(__xludf.DUMMYFUNCTION("""COMPUTED_VALUE"""),"Done")</f>
        <v>Done</v>
      </c>
      <c r="N40" s="3" t="str">
        <f>IFERROR(__xludf.DUMMYFUNCTION("""COMPUTED_VALUE"""),"BBT 0")</f>
        <v>BBT 0</v>
      </c>
      <c r="O40" s="3" t="str">
        <f>IFERROR(VLOOKUP(C40,Sheet4!A40:F827,6,0),"")</f>
        <v/>
      </c>
      <c r="Q40" s="2" t="str">
        <f t="shared" si="1"/>
        <v>12</v>
      </c>
    </row>
    <row r="41">
      <c r="A41" s="3" t="str">
        <f>IFERROR(__xludf.DUMMYFUNCTION("""COMPUTED_VALUE"""),"Pengecekan Power")</f>
        <v>Pengecekan Power</v>
      </c>
      <c r="B41" s="3" t="str">
        <f>IFERROR(__xludf.DUMMYFUNCTION("""COMPUTED_VALUE"""),"P1")</f>
        <v>P1</v>
      </c>
      <c r="C41" s="3" t="str">
        <f>IFERROR(__xludf.DUMMYFUNCTION("""COMPUTED_VALUE"""),"PRC200 (backup)")</f>
        <v>PRC200 (backup)</v>
      </c>
      <c r="D41" s="3" t="str">
        <f>IFERROR(__xludf.DUMMYFUNCTION("""COMPUTED_VALUE"""),"Ahmad Muzakir")</f>
        <v>Ahmad Muzakir</v>
      </c>
      <c r="E41" s="3" t="str">
        <f>IFERROR(__xludf.DUMMYFUNCTION("""COMPUTED_VALUE"""),"MBP")</f>
        <v>MBP</v>
      </c>
      <c r="F41" s="3" t="str">
        <f>IFERROR(__xludf.DUMMYFUNCTION("""COMPUTED_VALUE"""),"Winda Sokenda")</f>
        <v>Winda Sokenda</v>
      </c>
      <c r="G41" s="3" t="str">
        <f>IFERROR(__xludf.DUMMYFUNCTION("""COMPUTED_VALUE"""),"Barito Raya")</f>
        <v>Barito Raya</v>
      </c>
      <c r="H41" s="3" t="str">
        <f>IFERROR(__xludf.DUMMYFUNCTION("""COMPUTED_VALUE"""),"Preventive")</f>
        <v>Preventive</v>
      </c>
      <c r="I41" s="3" t="str">
        <f>IFERROR(__xludf.DUMMYFUNCTION("""COMPUTED_VALUE"""),"MCB trip/Power upnormal")</f>
        <v>MCB trip/Power upnormal</v>
      </c>
      <c r="J41" s="3" t="str">
        <f>IFERROR(__xludf.DUMMYFUNCTION("""COMPUTED_VALUE"""),"On Progress")</f>
        <v>On Progress</v>
      </c>
      <c r="K41" s="27">
        <f>IFERROR(__xludf.DUMMYFUNCTION("""COMPUTED_VALUE"""),46307.0)</f>
        <v>46307</v>
      </c>
      <c r="L41" s="27">
        <f>IFERROR(__xludf.DUMMYFUNCTION("""COMPUTED_VALUE"""),46307.0)</f>
        <v>46307</v>
      </c>
      <c r="M41" s="3" t="str">
        <f>IFERROR(__xludf.DUMMYFUNCTION("""COMPUTED_VALUE"""),"Done")</f>
        <v>Done</v>
      </c>
      <c r="N41" s="3" t="str">
        <f>IFERROR(__xludf.DUMMYFUNCTION("""COMPUTED_VALUE"""),"Backup PRC043")</f>
        <v>Backup PRC043</v>
      </c>
      <c r="O41" s="3" t="str">
        <f>IFERROR(VLOOKUP(C41,Sheet4!A41:F828,6,0),"")</f>
        <v/>
      </c>
      <c r="Q41" s="2" t="str">
        <f t="shared" si="1"/>
        <v>12</v>
      </c>
    </row>
    <row r="42">
      <c r="A42" s="3" t="str">
        <f>IFERROR(__xludf.DUMMYFUNCTION("""COMPUTED_VALUE"""),"Pengecekan Power")</f>
        <v>Pengecekan Power</v>
      </c>
      <c r="B42" s="3" t="str">
        <f>IFERROR(__xludf.DUMMYFUNCTION("""COMPUTED_VALUE"""),"P1")</f>
        <v>P1</v>
      </c>
      <c r="C42" s="3" t="str">
        <f>IFERROR(__xludf.DUMMYFUNCTION("""COMPUTED_VALUE"""),"TML005 (Backup)")</f>
        <v>TML005 (Backup)</v>
      </c>
      <c r="D42" s="3" t="str">
        <f>IFERROR(__xludf.DUMMYFUNCTION("""COMPUTED_VALUE"""),"Harun Nurasyid")</f>
        <v>Harun Nurasyid</v>
      </c>
      <c r="E42" s="3" t="str">
        <f>IFERROR(__xludf.DUMMYFUNCTION("""COMPUTED_VALUE"""),"CME")</f>
        <v>CME</v>
      </c>
      <c r="F42" s="3" t="str">
        <f>IFERROR(__xludf.DUMMYFUNCTION("""COMPUTED_VALUE"""),"Winda Sokenda")</f>
        <v>Winda Sokenda</v>
      </c>
      <c r="G42" s="3" t="str">
        <f>IFERROR(__xludf.DUMMYFUNCTION("""COMPUTED_VALUE"""),"Barito Raya")</f>
        <v>Barito Raya</v>
      </c>
      <c r="H42" s="3" t="str">
        <f>IFERROR(__xludf.DUMMYFUNCTION("""COMPUTED_VALUE"""),"Preventive")</f>
        <v>Preventive</v>
      </c>
      <c r="I42" s="3" t="str">
        <f>IFERROR(__xludf.DUMMYFUNCTION("""COMPUTED_VALUE"""),"MCB trip/Power upnormal")</f>
        <v>MCB trip/Power upnormal</v>
      </c>
      <c r="J42" s="3" t="str">
        <f>IFERROR(__xludf.DUMMYFUNCTION("""COMPUTED_VALUE"""),"On Progress")</f>
        <v>On Progress</v>
      </c>
      <c r="K42" s="27">
        <f>IFERROR(__xludf.DUMMYFUNCTION("""COMPUTED_VALUE"""),46307.0)</f>
        <v>46307</v>
      </c>
      <c r="L42" s="27">
        <f>IFERROR(__xludf.DUMMYFUNCTION("""COMPUTED_VALUE"""),46307.0)</f>
        <v>46307</v>
      </c>
      <c r="M42" s="3" t="str">
        <f>IFERROR(__xludf.DUMMYFUNCTION("""COMPUTED_VALUE"""),"Done")</f>
        <v>Done</v>
      </c>
      <c r="N42" s="3" t="str">
        <f>IFERROR(__xludf.DUMMYFUNCTION("""COMPUTED_VALUE"""),"Standbay Pemadaman")</f>
        <v>Standbay Pemadaman</v>
      </c>
      <c r="O42" s="3" t="str">
        <f>IFERROR(VLOOKUP(C42,Sheet4!A42:F829,6,0),"")</f>
        <v/>
      </c>
      <c r="Q42" s="2" t="str">
        <f t="shared" si="1"/>
        <v>12</v>
      </c>
    </row>
    <row r="43">
      <c r="A43" s="3" t="str">
        <f>IFERROR(__xludf.DUMMYFUNCTION("""COMPUTED_VALUE"""),"Pengecekan Power")</f>
        <v>Pengecekan Power</v>
      </c>
      <c r="B43" s="3" t="str">
        <f>IFERROR(__xludf.DUMMYFUNCTION("""COMPUTED_VALUE"""),"P1")</f>
        <v>P1</v>
      </c>
      <c r="C43" s="3" t="str">
        <f>IFERROR(__xludf.DUMMYFUNCTION("""COMPUTED_VALUE"""),"KKP072 (backup)")</f>
        <v>KKP072 (backup)</v>
      </c>
      <c r="D43" s="3" t="str">
        <f>IFERROR(__xludf.DUMMYFUNCTION("""COMPUTED_VALUE"""),"Nurhayat")</f>
        <v>Nurhayat</v>
      </c>
      <c r="E43" s="3" t="str">
        <f>IFERROR(__xludf.DUMMYFUNCTION("""COMPUTED_VALUE"""),"MBP")</f>
        <v>MBP</v>
      </c>
      <c r="F43" s="3" t="str">
        <f>IFERROR(__xludf.DUMMYFUNCTION("""COMPUTED_VALUE"""),"Winda Sokenda")</f>
        <v>Winda Sokenda</v>
      </c>
      <c r="G43" s="3" t="str">
        <f>IFERROR(__xludf.DUMMYFUNCTION("""COMPUTED_VALUE"""),"Barito Raya")</f>
        <v>Barito Raya</v>
      </c>
      <c r="H43" s="3" t="str">
        <f>IFERROR(__xludf.DUMMYFUNCTION("""COMPUTED_VALUE"""),"Preventive")</f>
        <v>Preventive</v>
      </c>
      <c r="I43" s="3" t="str">
        <f>IFERROR(__xludf.DUMMYFUNCTION("""COMPUTED_VALUE"""),"MCB trip/Power upnormal")</f>
        <v>MCB trip/Power upnormal</v>
      </c>
      <c r="J43" s="3" t="str">
        <f>IFERROR(__xludf.DUMMYFUNCTION("""COMPUTED_VALUE"""),"On Progress")</f>
        <v>On Progress</v>
      </c>
      <c r="K43" s="27">
        <f>IFERROR(__xludf.DUMMYFUNCTION("""COMPUTED_VALUE"""),46307.0)</f>
        <v>46307</v>
      </c>
      <c r="L43" s="27">
        <f>IFERROR(__xludf.DUMMYFUNCTION("""COMPUTED_VALUE"""),46307.0)</f>
        <v>46307</v>
      </c>
      <c r="M43" s="3" t="str">
        <f>IFERROR(__xludf.DUMMYFUNCTION("""COMPUTED_VALUE"""),"Done")</f>
        <v>Done</v>
      </c>
      <c r="N43" s="3" t="str">
        <f>IFERROR(__xludf.DUMMYFUNCTION("""COMPUTED_VALUE"""),"Backup KKP008")</f>
        <v>Backup KKP008</v>
      </c>
      <c r="O43" s="3" t="str">
        <f>IFERROR(VLOOKUP(C43,Sheet4!A43:F830,6,0),"")</f>
        <v/>
      </c>
      <c r="Q43" s="2" t="str">
        <f t="shared" si="1"/>
        <v>12</v>
      </c>
    </row>
    <row r="44">
      <c r="A44" s="3" t="str">
        <f>IFERROR(__xludf.DUMMYFUNCTION("""COMPUTED_VALUE"""),"Pengecekan Power")</f>
        <v>Pengecekan Power</v>
      </c>
      <c r="B44" s="3" t="str">
        <f>IFERROR(__xludf.DUMMYFUNCTION("""COMPUTED_VALUE"""),"P1")</f>
        <v>P1</v>
      </c>
      <c r="C44" s="3" t="str">
        <f>IFERROR(__xludf.DUMMYFUNCTION("""COMPUTED_VALUE"""),"KKP005 (backup)")</f>
        <v>KKP005 (backup)</v>
      </c>
      <c r="D44" s="3" t="str">
        <f>IFERROR(__xludf.DUMMYFUNCTION("""COMPUTED_VALUE"""),"Pujianto")</f>
        <v>Pujianto</v>
      </c>
      <c r="E44" s="3" t="str">
        <f>IFERROR(__xludf.DUMMYFUNCTION("""COMPUTED_VALUE"""),"MBP")</f>
        <v>MBP</v>
      </c>
      <c r="F44" s="3" t="str">
        <f>IFERROR(__xludf.DUMMYFUNCTION("""COMPUTED_VALUE"""),"Winda Sokenda")</f>
        <v>Winda Sokenda</v>
      </c>
      <c r="G44" s="3" t="str">
        <f>IFERROR(__xludf.DUMMYFUNCTION("""COMPUTED_VALUE"""),"Barito Raya")</f>
        <v>Barito Raya</v>
      </c>
      <c r="H44" s="3" t="str">
        <f>IFERROR(__xludf.DUMMYFUNCTION("""COMPUTED_VALUE"""),"Preventive")</f>
        <v>Preventive</v>
      </c>
      <c r="I44" s="3" t="str">
        <f>IFERROR(__xludf.DUMMYFUNCTION("""COMPUTED_VALUE"""),"MCB trip/Power upnormal")</f>
        <v>MCB trip/Power upnormal</v>
      </c>
      <c r="J44" s="3" t="str">
        <f>IFERROR(__xludf.DUMMYFUNCTION("""COMPUTED_VALUE"""),"On Progress")</f>
        <v>On Progress</v>
      </c>
      <c r="K44" s="27">
        <f>IFERROR(__xludf.DUMMYFUNCTION("""COMPUTED_VALUE"""),46307.0)</f>
        <v>46307</v>
      </c>
      <c r="L44" s="27">
        <f>IFERROR(__xludf.DUMMYFUNCTION("""COMPUTED_VALUE"""),46307.0)</f>
        <v>46307</v>
      </c>
      <c r="M44" s="3" t="str">
        <f>IFERROR(__xludf.DUMMYFUNCTION("""COMPUTED_VALUE"""),"Done")</f>
        <v>Done</v>
      </c>
      <c r="N44" s="3" t="str">
        <f>IFERROR(__xludf.DUMMYFUNCTION("""COMPUTED_VALUE"""),"Backup KKP004")</f>
        <v>Backup KKP004</v>
      </c>
      <c r="O44" s="3" t="str">
        <f>IFERROR(VLOOKUP(C44,Sheet4!A44:F831,6,0),"")</f>
        <v/>
      </c>
      <c r="Q44" s="2" t="str">
        <f t="shared" si="1"/>
        <v>12</v>
      </c>
    </row>
    <row r="45">
      <c r="A45" s="3" t="str">
        <f>IFERROR(__xludf.DUMMYFUNCTION("""COMPUTED_VALUE"""),"Pengecekan Power")</f>
        <v>Pengecekan Power</v>
      </c>
      <c r="B45" s="3" t="str">
        <f>IFERROR(__xludf.DUMMYFUNCTION("""COMPUTED_VALUE"""),"P1")</f>
        <v>P1</v>
      </c>
      <c r="C45" s="3" t="str">
        <f>IFERROR(__xludf.DUMMYFUNCTION("""COMPUTED_VALUE"""),"KKP065 (Backup)")</f>
        <v>KKP065 (Backup)</v>
      </c>
      <c r="D45" s="3" t="str">
        <f>IFERROR(__xludf.DUMMYFUNCTION("""COMPUTED_VALUE"""),"Alfi Syahri")</f>
        <v>Alfi Syahri</v>
      </c>
      <c r="E45" s="3" t="str">
        <f>IFERROR(__xludf.DUMMYFUNCTION("""COMPUTED_VALUE"""),"CME")</f>
        <v>CME</v>
      </c>
      <c r="F45" s="3" t="str">
        <f>IFERROR(__xludf.DUMMYFUNCTION("""COMPUTED_VALUE"""),"Winda Sokenda")</f>
        <v>Winda Sokenda</v>
      </c>
      <c r="G45" s="3" t="str">
        <f>IFERROR(__xludf.DUMMYFUNCTION("""COMPUTED_VALUE"""),"Barito Raya")</f>
        <v>Barito Raya</v>
      </c>
      <c r="H45" s="3" t="str">
        <f>IFERROR(__xludf.DUMMYFUNCTION("""COMPUTED_VALUE"""),"Preventive")</f>
        <v>Preventive</v>
      </c>
      <c r="I45" s="3" t="str">
        <f>IFERROR(__xludf.DUMMYFUNCTION("""COMPUTED_VALUE"""),"MCB trip/Power upnormal")</f>
        <v>MCB trip/Power upnormal</v>
      </c>
      <c r="J45" s="3" t="str">
        <f>IFERROR(__xludf.DUMMYFUNCTION("""COMPUTED_VALUE"""),"On Progress")</f>
        <v>On Progress</v>
      </c>
      <c r="K45" s="27">
        <f>IFERROR(__xludf.DUMMYFUNCTION("""COMPUTED_VALUE"""),46307.0)</f>
        <v>46307</v>
      </c>
      <c r="L45" s="27">
        <f>IFERROR(__xludf.DUMMYFUNCTION("""COMPUTED_VALUE"""),46307.0)</f>
        <v>46307</v>
      </c>
      <c r="M45" s="3" t="str">
        <f>IFERROR(__xludf.DUMMYFUNCTION("""COMPUTED_VALUE"""),"Done")</f>
        <v>Done</v>
      </c>
      <c r="N45" s="3" t="str">
        <f>IFERROR(__xludf.DUMMYFUNCTION("""COMPUTED_VALUE"""),"Backup KKP065")</f>
        <v>Backup KKP065</v>
      </c>
      <c r="O45" s="3" t="str">
        <f>IFERROR(VLOOKUP(C45,Sheet4!A45:F832,6,0),"")</f>
        <v/>
      </c>
      <c r="Q45" s="2" t="str">
        <f t="shared" si="1"/>
        <v>12</v>
      </c>
    </row>
    <row r="46">
      <c r="A46" s="3" t="str">
        <f>IFERROR(__xludf.DUMMYFUNCTION("""COMPUTED_VALUE"""),"Pengecekan Power")</f>
        <v>Pengecekan Power</v>
      </c>
      <c r="B46" s="3" t="str">
        <f>IFERROR(__xludf.DUMMYFUNCTION("""COMPUTED_VALUE"""),"P1")</f>
        <v>P1</v>
      </c>
      <c r="C46" s="3" t="str">
        <f>IFERROR(__xludf.DUMMYFUNCTION("""COMPUTED_VALUE"""),"MTW004 (Backup)")</f>
        <v>MTW004 (Backup)</v>
      </c>
      <c r="D46" s="3" t="str">
        <f>IFERROR(__xludf.DUMMYFUNCTION("""COMPUTED_VALUE"""),"Taklim")</f>
        <v>Taklim</v>
      </c>
      <c r="E46" s="3" t="str">
        <f>IFERROR(__xludf.DUMMYFUNCTION("""COMPUTED_VALUE"""),"MBP")</f>
        <v>MBP</v>
      </c>
      <c r="F46" s="3" t="str">
        <f>IFERROR(__xludf.DUMMYFUNCTION("""COMPUTED_VALUE"""),"Winda Sokenda")</f>
        <v>Winda Sokenda</v>
      </c>
      <c r="G46" s="3" t="str">
        <f>IFERROR(__xludf.DUMMYFUNCTION("""COMPUTED_VALUE"""),"Barito Raya")</f>
        <v>Barito Raya</v>
      </c>
      <c r="H46" s="3" t="str">
        <f>IFERROR(__xludf.DUMMYFUNCTION("""COMPUTED_VALUE"""),"Preventive")</f>
        <v>Preventive</v>
      </c>
      <c r="I46" s="3" t="str">
        <f>IFERROR(__xludf.DUMMYFUNCTION("""COMPUTED_VALUE"""),"MCB trip/Power upnormal")</f>
        <v>MCB trip/Power upnormal</v>
      </c>
      <c r="J46" s="3" t="str">
        <f>IFERROR(__xludf.DUMMYFUNCTION("""COMPUTED_VALUE"""),"On Progress")</f>
        <v>On Progress</v>
      </c>
      <c r="K46" s="27">
        <f>IFERROR(__xludf.DUMMYFUNCTION("""COMPUTED_VALUE"""),46307.0)</f>
        <v>46307</v>
      </c>
      <c r="L46" s="27">
        <f>IFERROR(__xludf.DUMMYFUNCTION("""COMPUTED_VALUE"""),46307.0)</f>
        <v>46307</v>
      </c>
      <c r="M46" s="3" t="str">
        <f>IFERROR(__xludf.DUMMYFUNCTION("""COMPUTED_VALUE"""),"Done")</f>
        <v>Done</v>
      </c>
      <c r="N46" s="3" t="str">
        <f>IFERROR(__xludf.DUMMYFUNCTION("""COMPUTED_VALUE"""),"Standbay Pemadaman")</f>
        <v>Standbay Pemadaman</v>
      </c>
      <c r="O46" s="3" t="str">
        <f>IFERROR(VLOOKUP(C46,Sheet4!A46:F833,6,0),"")</f>
        <v/>
      </c>
      <c r="Q46" s="2" t="str">
        <f t="shared" si="1"/>
        <v>12</v>
      </c>
    </row>
    <row r="47">
      <c r="A47" s="3" t="str">
        <f>IFERROR(__xludf.DUMMYFUNCTION("""COMPUTED_VALUE"""),"PM")</f>
        <v>PM</v>
      </c>
      <c r="B47" s="3" t="str">
        <f>IFERROR(__xludf.DUMMYFUNCTION("""COMPUTED_VALUE"""),"P2")</f>
        <v>P2</v>
      </c>
      <c r="C47" s="3" t="str">
        <f>IFERROR(__xludf.DUMMYFUNCTION("""COMPUTED_VALUE"""),"BNT044")</f>
        <v>BNT044</v>
      </c>
      <c r="D47" s="3" t="str">
        <f>IFERROR(__xludf.DUMMYFUNCTION("""COMPUTED_VALUE"""),"Trisno Susanto")</f>
        <v>Trisno Susanto</v>
      </c>
      <c r="E47" s="3" t="str">
        <f>IFERROR(__xludf.DUMMYFUNCTION("""COMPUTED_VALUE"""),"CME")</f>
        <v>CME</v>
      </c>
      <c r="F47" s="3" t="str">
        <f>IFERROR(__xludf.DUMMYFUNCTION("""COMPUTED_VALUE"""),"Winda Sokenda")</f>
        <v>Winda Sokenda</v>
      </c>
      <c r="G47" s="3" t="str">
        <f>IFERROR(__xludf.DUMMYFUNCTION("""COMPUTED_VALUE"""),"Barito Raya")</f>
        <v>Barito Raya</v>
      </c>
      <c r="H47" s="3" t="str">
        <f>IFERROR(__xludf.DUMMYFUNCTION("""COMPUTED_VALUE"""),"Preventive")</f>
        <v>Preventive</v>
      </c>
      <c r="I47" s="3" t="str">
        <f>IFERROR(__xludf.DUMMYFUNCTION("""COMPUTED_VALUE"""),"Preventive Maintenance")</f>
        <v>Preventive Maintenance</v>
      </c>
      <c r="J47" s="3" t="str">
        <f>IFERROR(__xludf.DUMMYFUNCTION("""COMPUTED_VALUE"""),"On Progress")</f>
        <v>On Progress</v>
      </c>
      <c r="K47" s="27">
        <f>IFERROR(__xludf.DUMMYFUNCTION("""COMPUTED_VALUE"""),46307.0)</f>
        <v>46307</v>
      </c>
      <c r="L47" s="27">
        <f>IFERROR(__xludf.DUMMYFUNCTION("""COMPUTED_VALUE"""),46307.0)</f>
        <v>46307</v>
      </c>
      <c r="M47" s="3" t="str">
        <f>IFERROR(__xludf.DUMMYFUNCTION("""COMPUTED_VALUE"""),"Done")</f>
        <v>Done</v>
      </c>
      <c r="N47" s="3" t="str">
        <f>IFERROR(__xludf.DUMMYFUNCTION("""COMPUTED_VALUE"""),"PMS")</f>
        <v>PMS</v>
      </c>
      <c r="O47" s="3">
        <f>IFERROR(VLOOKUP(C47,Sheet4!A47:F834,6,0),"")</f>
        <v>11518049</v>
      </c>
      <c r="Q47" s="2" t="str">
        <f t="shared" si="1"/>
        <v>12</v>
      </c>
    </row>
    <row r="48">
      <c r="A48" s="3" t="str">
        <f>IFERROR(__xludf.DUMMYFUNCTION("""COMPUTED_VALUE"""),"PM")</f>
        <v>PM</v>
      </c>
      <c r="B48" s="3" t="str">
        <f>IFERROR(__xludf.DUMMYFUNCTION("""COMPUTED_VALUE"""),"P2")</f>
        <v>P2</v>
      </c>
      <c r="C48" s="3" t="str">
        <f>IFERROR(__xludf.DUMMYFUNCTION("""COMPUTED_VALUE"""),"BNT044")</f>
        <v>BNT044</v>
      </c>
      <c r="D48" s="3" t="str">
        <f>IFERROR(__xludf.DUMMYFUNCTION("""COMPUTED_VALUE"""),"Khilal dawai katiri")</f>
        <v>Khilal dawai katiri</v>
      </c>
      <c r="E48" s="3" t="str">
        <f>IFERROR(__xludf.DUMMYFUNCTION("""COMPUTED_VALUE"""),"MBP")</f>
        <v>MBP</v>
      </c>
      <c r="F48" s="3" t="str">
        <f>IFERROR(__xludf.DUMMYFUNCTION("""COMPUTED_VALUE"""),"Winda Sokenda")</f>
        <v>Winda Sokenda</v>
      </c>
      <c r="G48" s="3" t="str">
        <f>IFERROR(__xludf.DUMMYFUNCTION("""COMPUTED_VALUE"""),"Barito Raya")</f>
        <v>Barito Raya</v>
      </c>
      <c r="H48" s="3" t="str">
        <f>IFERROR(__xludf.DUMMYFUNCTION("""COMPUTED_VALUE"""),"Preventive")</f>
        <v>Preventive</v>
      </c>
      <c r="I48" s="3" t="str">
        <f>IFERROR(__xludf.DUMMYFUNCTION("""COMPUTED_VALUE"""),"Preventive Maintenance")</f>
        <v>Preventive Maintenance</v>
      </c>
      <c r="J48" s="3" t="str">
        <f>IFERROR(__xludf.DUMMYFUNCTION("""COMPUTED_VALUE"""),"On Progress")</f>
        <v>On Progress</v>
      </c>
      <c r="K48" s="27">
        <f>IFERROR(__xludf.DUMMYFUNCTION("""COMPUTED_VALUE"""),46307.0)</f>
        <v>46307</v>
      </c>
      <c r="L48" s="27">
        <f>IFERROR(__xludf.DUMMYFUNCTION("""COMPUTED_VALUE"""),46307.0)</f>
        <v>46307</v>
      </c>
      <c r="M48" s="3" t="str">
        <f>IFERROR(__xludf.DUMMYFUNCTION("""COMPUTED_VALUE"""),"Done")</f>
        <v>Done</v>
      </c>
      <c r="N48" s="3" t="str">
        <f>IFERROR(__xludf.DUMMYFUNCTION("""COMPUTED_VALUE"""),"PMS")</f>
        <v>PMS</v>
      </c>
      <c r="O48" s="3">
        <f>IFERROR(VLOOKUP(C48,Sheet4!A48:F835,6,0),"")</f>
        <v>11518049</v>
      </c>
      <c r="Q48" s="2" t="str">
        <f t="shared" si="1"/>
        <v>12</v>
      </c>
    </row>
    <row r="49">
      <c r="A49" s="3" t="str">
        <f>IFERROR(__xludf.DUMMYFUNCTION("""COMPUTED_VALUE"""),"PM")</f>
        <v>PM</v>
      </c>
      <c r="B49" s="3" t="str">
        <f>IFERROR(__xludf.DUMMYFUNCTION("""COMPUTED_VALUE"""),"P3")</f>
        <v>P3</v>
      </c>
      <c r="C49" s="3" t="str">
        <f>IFERROR(__xludf.DUMMYFUNCTION("""COMPUTED_VALUE"""),"MTW017 (PMG)")</f>
        <v>MTW017 (PMG)</v>
      </c>
      <c r="D49" s="3" t="str">
        <f>IFERROR(__xludf.DUMMYFUNCTION("""COMPUTED_VALUE"""),"Riko setiadi")</f>
        <v>Riko setiadi</v>
      </c>
      <c r="E49" s="3" t="str">
        <f>IFERROR(__xludf.DUMMYFUNCTION("""COMPUTED_VALUE"""),"CME")</f>
        <v>CME</v>
      </c>
      <c r="F49" s="3" t="str">
        <f>IFERROR(__xludf.DUMMYFUNCTION("""COMPUTED_VALUE"""),"Winda Sokenda")</f>
        <v>Winda Sokenda</v>
      </c>
      <c r="G49" s="3" t="str">
        <f>IFERROR(__xludf.DUMMYFUNCTION("""COMPUTED_VALUE"""),"Barito Raya")</f>
        <v>Barito Raya</v>
      </c>
      <c r="H49" s="3" t="str">
        <f>IFERROR(__xludf.DUMMYFUNCTION("""COMPUTED_VALUE"""),"Preventive")</f>
        <v>Preventive</v>
      </c>
      <c r="I49" s="3" t="str">
        <f>IFERROR(__xludf.DUMMYFUNCTION("""COMPUTED_VALUE"""),"Preventive Maintenance")</f>
        <v>Preventive Maintenance</v>
      </c>
      <c r="J49" s="3" t="str">
        <f>IFERROR(__xludf.DUMMYFUNCTION("""COMPUTED_VALUE"""),"On Progress")</f>
        <v>On Progress</v>
      </c>
      <c r="K49" s="27">
        <f>IFERROR(__xludf.DUMMYFUNCTION("""COMPUTED_VALUE"""),46307.0)</f>
        <v>46307</v>
      </c>
      <c r="L49" s="27">
        <f>IFERROR(__xludf.DUMMYFUNCTION("""COMPUTED_VALUE"""),46307.0)</f>
        <v>46307</v>
      </c>
      <c r="M49" s="3" t="str">
        <f>IFERROR(__xludf.DUMMYFUNCTION("""COMPUTED_VALUE"""),"Done")</f>
        <v>Done</v>
      </c>
      <c r="N49" s="3" t="str">
        <f>IFERROR(__xludf.DUMMYFUNCTION("""COMPUTED_VALUE"""),"PMG")</f>
        <v>PMG</v>
      </c>
      <c r="O49" s="3" t="str">
        <f>IFERROR(VLOOKUP(C49,Sheet4!A49:F836,6,0),"")</f>
        <v/>
      </c>
      <c r="Q49" s="2" t="str">
        <f t="shared" si="1"/>
        <v>12</v>
      </c>
    </row>
    <row r="50">
      <c r="A50" s="3" t="str">
        <f>IFERROR(__xludf.DUMMYFUNCTION("""COMPUTED_VALUE"""),"Cell down")</f>
        <v>Cell down</v>
      </c>
      <c r="B50" s="3" t="str">
        <f>IFERROR(__xludf.DUMMYFUNCTION("""COMPUTED_VALUE"""),"P1")</f>
        <v>P1</v>
      </c>
      <c r="C50" s="3" t="str">
        <f>IFERROR(__xludf.DUMMYFUNCTION("""COMPUTED_VALUE"""),"BNT006 ")</f>
        <v>BNT006 </v>
      </c>
      <c r="D50" s="3" t="str">
        <f>IFERROR(__xludf.DUMMYFUNCTION("""COMPUTED_VALUE"""),"Putra wardana")</f>
        <v>Putra wardana</v>
      </c>
      <c r="E50" s="3" t="str">
        <f>IFERROR(__xludf.DUMMYFUNCTION("""COMPUTED_VALUE"""),"TE")</f>
        <v>TE</v>
      </c>
      <c r="F50" s="3" t="str">
        <f>IFERROR(__xludf.DUMMYFUNCTION("""COMPUTED_VALUE"""),"Winda Sokenda")</f>
        <v>Winda Sokenda</v>
      </c>
      <c r="G50" s="3" t="str">
        <f>IFERROR(__xludf.DUMMYFUNCTION("""COMPUTED_VALUE"""),"Barito Raya")</f>
        <v>Barito Raya</v>
      </c>
      <c r="H50" s="3" t="str">
        <f>IFERROR(__xludf.DUMMYFUNCTION("""COMPUTED_VALUE"""),"Corrective")</f>
        <v>Corrective</v>
      </c>
      <c r="I50" s="3" t="str">
        <f>IFERROR(__xludf.DUMMYFUNCTION("""COMPUTED_VALUE"""),"Replace Optik,RRU/Soket Power/Replace GPS")</f>
        <v>Replace Optik,RRU/Soket Power/Replace GPS</v>
      </c>
      <c r="J50" s="3" t="str">
        <f>IFERROR(__xludf.DUMMYFUNCTION("""COMPUTED_VALUE"""),"Waiting Material")</f>
        <v>Waiting Material</v>
      </c>
      <c r="K50" s="27">
        <f>IFERROR(__xludf.DUMMYFUNCTION("""COMPUTED_VALUE"""),46308.0)</f>
        <v>46308</v>
      </c>
      <c r="L50" s="27">
        <f>IFERROR(__xludf.DUMMYFUNCTION("""COMPUTED_VALUE"""),46308.0)</f>
        <v>46308</v>
      </c>
      <c r="M50" s="3" t="str">
        <f>IFERROR(__xludf.DUMMYFUNCTION("""COMPUTED_VALUE"""),"Waiting Update")</f>
        <v>Waiting Update</v>
      </c>
      <c r="N50" s="3" t="str">
        <f>IFERROR(__xludf.DUMMYFUNCTION("""COMPUTED_VALUE"""),"Waiting RRU")</f>
        <v>Waiting RRU</v>
      </c>
      <c r="O50" s="3" t="str">
        <f>IFERROR(VLOOKUP(C50,Sheet4!A50:F837,6,0),"")</f>
        <v/>
      </c>
      <c r="Q50" s="2" t="str">
        <f t="shared" si="1"/>
        <v>13</v>
      </c>
    </row>
    <row r="51">
      <c r="A51" s="3" t="str">
        <f>IFERROR(__xludf.DUMMYFUNCTION("""COMPUTED_VALUE"""),"Site Down")</f>
        <v>Site Down</v>
      </c>
      <c r="B51" s="3" t="str">
        <f>IFERROR(__xludf.DUMMYFUNCTION("""COMPUTED_VALUE"""),"P1")</f>
        <v>P1</v>
      </c>
      <c r="C51" s="3" t="str">
        <f>IFERROR(__xludf.DUMMYFUNCTION("""COMPUTED_VALUE"""),"COH953")</f>
        <v>COH953</v>
      </c>
      <c r="D51" s="3" t="str">
        <f>IFERROR(__xludf.DUMMYFUNCTION("""COMPUTED_VALUE"""),"Sailillah")</f>
        <v>Sailillah</v>
      </c>
      <c r="E51" s="3" t="str">
        <f>IFERROR(__xludf.DUMMYFUNCTION("""COMPUTED_VALUE"""),"TE")</f>
        <v>TE</v>
      </c>
      <c r="F51" s="3" t="str">
        <f>IFERROR(__xludf.DUMMYFUNCTION("""COMPUTED_VALUE"""),"Winda Sokenda")</f>
        <v>Winda Sokenda</v>
      </c>
      <c r="G51" s="3" t="str">
        <f>IFERROR(__xludf.DUMMYFUNCTION("""COMPUTED_VALUE"""),"Barito Raya")</f>
        <v>Barito Raya</v>
      </c>
      <c r="H51" s="3" t="str">
        <f>IFERROR(__xludf.DUMMYFUNCTION("""COMPUTED_VALUE"""),"Corrective")</f>
        <v>Corrective</v>
      </c>
      <c r="I51" s="3" t="str">
        <f>IFERROR(__xludf.DUMMYFUNCTION("""COMPUTED_VALUE"""),"Pemadaman,MCB Trip,Transmisi problem")</f>
        <v>Pemadaman,MCB Trip,Transmisi problem</v>
      </c>
      <c r="J51" s="3" t="str">
        <f>IFERROR(__xludf.DUMMYFUNCTION("""COMPUTED_VALUE"""),"On Progress")</f>
        <v>On Progress</v>
      </c>
      <c r="K51" s="27">
        <f>IFERROR(__xludf.DUMMYFUNCTION("""COMPUTED_VALUE"""),46308.0)</f>
        <v>46308</v>
      </c>
      <c r="L51" s="27">
        <f>IFERROR(__xludf.DUMMYFUNCTION("""COMPUTED_VALUE"""),46308.0)</f>
        <v>46308</v>
      </c>
      <c r="M51" s="3" t="str">
        <f>IFERROR(__xludf.DUMMYFUNCTION("""COMPUTED_VALUE"""),"Waiting Update")</f>
        <v>Waiting Update</v>
      </c>
      <c r="N51" s="3" t="str">
        <f>IFERROR(__xludf.DUMMYFUNCTION("""COMPUTED_VALUE"""),"PMG")</f>
        <v>PMG</v>
      </c>
      <c r="O51" s="3" t="str">
        <f>IFERROR(VLOOKUP(C51,Sheet4!A51:F838,6,0),"")</f>
        <v/>
      </c>
      <c r="Q51" s="2" t="str">
        <f t="shared" si="1"/>
        <v>13</v>
      </c>
    </row>
    <row r="52">
      <c r="A52" s="3" t="str">
        <f>IFERROR(__xludf.DUMMYFUNCTION("""COMPUTED_VALUE"""),"Pengecekan battrey")</f>
        <v>Pengecekan battrey</v>
      </c>
      <c r="B52" s="3" t="str">
        <f>IFERROR(__xludf.DUMMYFUNCTION("""COMPUTED_VALUE"""),"P2")</f>
        <v>P2</v>
      </c>
      <c r="C52" s="3" t="str">
        <f>IFERROR(__xludf.DUMMYFUNCTION("""COMPUTED_VALUE"""),"TML")</f>
        <v>TML</v>
      </c>
      <c r="D52" s="3" t="str">
        <f>IFERROR(__xludf.DUMMYFUNCTION("""COMPUTED_VALUE"""),"Tiviansyah")</f>
        <v>Tiviansyah</v>
      </c>
      <c r="E52" s="3" t="str">
        <f>IFERROR(__xludf.DUMMYFUNCTION("""COMPUTED_VALUE"""),"TE")</f>
        <v>TE</v>
      </c>
      <c r="F52" s="3" t="str">
        <f>IFERROR(__xludf.DUMMYFUNCTION("""COMPUTED_VALUE"""),"Winda Sokenda")</f>
        <v>Winda Sokenda</v>
      </c>
      <c r="G52" s="3" t="str">
        <f>IFERROR(__xludf.DUMMYFUNCTION("""COMPUTED_VALUE"""),"Barito Raya")</f>
        <v>Barito Raya</v>
      </c>
      <c r="H52" s="3" t="str">
        <f>IFERROR(__xludf.DUMMYFUNCTION("""COMPUTED_VALUE"""),"Preventive")</f>
        <v>Preventive</v>
      </c>
      <c r="I52" s="3" t="str">
        <f>IFERROR(__xludf.DUMMYFUNCTION("""COMPUTED_VALUE"""),"Pengukuran dan pengambilan data log serta input Gdoc BBT")</f>
        <v>Pengukuran dan pengambilan data log serta input Gdoc BBT</v>
      </c>
      <c r="J52" s="3" t="str">
        <f>IFERROR(__xludf.DUMMYFUNCTION("""COMPUTED_VALUE"""),"On Progress")</f>
        <v>On Progress</v>
      </c>
      <c r="K52" s="27">
        <f>IFERROR(__xludf.DUMMYFUNCTION("""COMPUTED_VALUE"""),46308.0)</f>
        <v>46308</v>
      </c>
      <c r="L52" s="27">
        <f>IFERROR(__xludf.DUMMYFUNCTION("""COMPUTED_VALUE"""),46308.0)</f>
        <v>46308</v>
      </c>
      <c r="M52" s="3" t="str">
        <f>IFERROR(__xludf.DUMMYFUNCTION("""COMPUTED_VALUE"""),"Waiting Update")</f>
        <v>Waiting Update</v>
      </c>
      <c r="N52" s="3"/>
      <c r="O52" s="3" t="str">
        <f>IFERROR(VLOOKUP(C52,Sheet4!A52:F839,6,0),"")</f>
        <v/>
      </c>
      <c r="Q52" s="2" t="str">
        <f t="shared" si="1"/>
        <v>13</v>
      </c>
    </row>
    <row r="53">
      <c r="A53" s="3" t="str">
        <f>IFERROR(__xludf.DUMMYFUNCTION("""COMPUTED_VALUE"""),"Pengecekan battrey")</f>
        <v>Pengecekan battrey</v>
      </c>
      <c r="B53" s="3" t="str">
        <f>IFERROR(__xludf.DUMMYFUNCTION("""COMPUTED_VALUE"""),"P2")</f>
        <v>P2</v>
      </c>
      <c r="C53" s="3" t="str">
        <f>IFERROR(__xludf.DUMMYFUNCTION("""COMPUTED_VALUE"""),"NTH079")</f>
        <v>NTH079</v>
      </c>
      <c r="D53" s="3" t="str">
        <f>IFERROR(__xludf.DUMMYFUNCTION("""COMPUTED_VALUE"""),"munawir akhmad")</f>
        <v>munawir akhmad</v>
      </c>
      <c r="E53" s="3" t="str">
        <f>IFERROR(__xludf.DUMMYFUNCTION("""COMPUTED_VALUE"""),"TE")</f>
        <v>TE</v>
      </c>
      <c r="F53" s="3" t="str">
        <f>IFERROR(__xludf.DUMMYFUNCTION("""COMPUTED_VALUE"""),"Winda Sokenda")</f>
        <v>Winda Sokenda</v>
      </c>
      <c r="G53" s="3" t="str">
        <f>IFERROR(__xludf.DUMMYFUNCTION("""COMPUTED_VALUE"""),"Barito Raya")</f>
        <v>Barito Raya</v>
      </c>
      <c r="H53" s="3" t="str">
        <f>IFERROR(__xludf.DUMMYFUNCTION("""COMPUTED_VALUE"""),"Preventive")</f>
        <v>Preventive</v>
      </c>
      <c r="I53" s="3" t="str">
        <f>IFERROR(__xludf.DUMMYFUNCTION("""COMPUTED_VALUE"""),"Pengukuran dan pengambilan data log serta input Gdoc BBT")</f>
        <v>Pengukuran dan pengambilan data log serta input Gdoc BBT</v>
      </c>
      <c r="J53" s="3" t="str">
        <f>IFERROR(__xludf.DUMMYFUNCTION("""COMPUTED_VALUE"""),"On Progress")</f>
        <v>On Progress</v>
      </c>
      <c r="K53" s="27">
        <f>IFERROR(__xludf.DUMMYFUNCTION("""COMPUTED_VALUE"""),46308.0)</f>
        <v>46308</v>
      </c>
      <c r="L53" s="27">
        <f>IFERROR(__xludf.DUMMYFUNCTION("""COMPUTED_VALUE"""),46308.0)</f>
        <v>46308</v>
      </c>
      <c r="M53" s="3" t="str">
        <f>IFERROR(__xludf.DUMMYFUNCTION("""COMPUTED_VALUE"""),"Waiting Update")</f>
        <v>Waiting Update</v>
      </c>
      <c r="N53" s="3"/>
      <c r="O53" s="3">
        <f>IFERROR(VLOOKUP(C53,Sheet4!A53:F840,6,0),"")</f>
        <v>11514599</v>
      </c>
      <c r="Q53" s="2" t="str">
        <f t="shared" si="1"/>
        <v>13</v>
      </c>
    </row>
    <row r="54">
      <c r="A54" s="3" t="str">
        <f>IFERROR(__xludf.DUMMYFUNCTION("""COMPUTED_VALUE"""),"Vswr")</f>
        <v>Vswr</v>
      </c>
      <c r="B54" s="3" t="str">
        <f>IFERROR(__xludf.DUMMYFUNCTION("""COMPUTED_VALUE"""),"P1")</f>
        <v>P1</v>
      </c>
      <c r="C54" s="3" t="str">
        <f>IFERROR(__xludf.DUMMYFUNCTION("""COMPUTED_VALUE"""),"PRC051")</f>
        <v>PRC051</v>
      </c>
      <c r="D54" s="3" t="str">
        <f>IFERROR(__xludf.DUMMYFUNCTION("""COMPUTED_VALUE"""),"Murjani")</f>
        <v>Murjani</v>
      </c>
      <c r="E54" s="3" t="str">
        <f>IFERROR(__xludf.DUMMYFUNCTION("""COMPUTED_VALUE"""),"TE")</f>
        <v>TE</v>
      </c>
      <c r="F54" s="3" t="str">
        <f>IFERROR(__xludf.DUMMYFUNCTION("""COMPUTED_VALUE"""),"Winda Sokenda")</f>
        <v>Winda Sokenda</v>
      </c>
      <c r="G54" s="3" t="str">
        <f>IFERROR(__xludf.DUMMYFUNCTION("""COMPUTED_VALUE"""),"Barito Raya")</f>
        <v>Barito Raya</v>
      </c>
      <c r="H54" s="3" t="str">
        <f>IFERROR(__xludf.DUMMYFUNCTION("""COMPUTED_VALUE"""),"Corrective")</f>
        <v>Corrective</v>
      </c>
      <c r="I54" s="3" t="str">
        <f>IFERROR(__xludf.DUMMYFUNCTION("""COMPUTED_VALUE"""),"Replace Jumper,antena/RRU")</f>
        <v>Replace Jumper,antena/RRU</v>
      </c>
      <c r="J54" s="3" t="str">
        <f>IFERROR(__xludf.DUMMYFUNCTION("""COMPUTED_VALUE"""),"Waiting Material")</f>
        <v>Waiting Material</v>
      </c>
      <c r="K54" s="27">
        <f>IFERROR(__xludf.DUMMYFUNCTION("""COMPUTED_VALUE"""),46308.0)</f>
        <v>46308</v>
      </c>
      <c r="L54" s="27">
        <f>IFERROR(__xludf.DUMMYFUNCTION("""COMPUTED_VALUE"""),46308.0)</f>
        <v>46308</v>
      </c>
      <c r="M54" s="3" t="str">
        <f>IFERROR(__xludf.DUMMYFUNCTION("""COMPUTED_VALUE"""),"Waiting Update")</f>
        <v>Waiting Update</v>
      </c>
      <c r="N54" s="3" t="str">
        <f>IFERROR(__xludf.DUMMYFUNCTION("""COMPUTED_VALUE"""),"Waiting RRU")</f>
        <v>Waiting RRU</v>
      </c>
      <c r="O54" s="3">
        <f>IFERROR(VLOOKUP(C54,Sheet4!A54:F841,6,0),"")</f>
        <v>11459734</v>
      </c>
      <c r="Q54" s="2" t="str">
        <f t="shared" si="1"/>
        <v>13</v>
      </c>
    </row>
    <row r="55">
      <c r="A55" s="3" t="str">
        <f>IFERROR(__xludf.DUMMYFUNCTION("""COMPUTED_VALUE"""),"Pengecekan Power")</f>
        <v>Pengecekan Power</v>
      </c>
      <c r="B55" s="3" t="str">
        <f>IFERROR(__xludf.DUMMYFUNCTION("""COMPUTED_VALUE"""),"P1")</f>
        <v>P1</v>
      </c>
      <c r="C55" s="3" t="str">
        <f>IFERROR(__xludf.DUMMYFUNCTION("""COMPUTED_VALUE"""),"KKP038")</f>
        <v>KKP038</v>
      </c>
      <c r="D55" s="3" t="str">
        <f>IFERROR(__xludf.DUMMYFUNCTION("""COMPUTED_VALUE"""),"Reynaldy Ricardo Putra")</f>
        <v>Reynaldy Ricardo Putra</v>
      </c>
      <c r="E55" s="3" t="str">
        <f>IFERROR(__xludf.DUMMYFUNCTION("""COMPUTED_VALUE"""),"TE")</f>
        <v>TE</v>
      </c>
      <c r="F55" s="3" t="str">
        <f>IFERROR(__xludf.DUMMYFUNCTION("""COMPUTED_VALUE"""),"Winda Sokenda")</f>
        <v>Winda Sokenda</v>
      </c>
      <c r="G55" s="3" t="str">
        <f>IFERROR(__xludf.DUMMYFUNCTION("""COMPUTED_VALUE"""),"Barito Raya")</f>
        <v>Barito Raya</v>
      </c>
      <c r="H55" s="3" t="str">
        <f>IFERROR(__xludf.DUMMYFUNCTION("""COMPUTED_VALUE"""),"Preventive")</f>
        <v>Preventive</v>
      </c>
      <c r="I55" s="3" t="str">
        <f>IFERROR(__xludf.DUMMYFUNCTION("""COMPUTED_VALUE"""),"MCB trip/Power upnormal")</f>
        <v>MCB trip/Power upnormal</v>
      </c>
      <c r="J55" s="3" t="str">
        <f>IFERROR(__xludf.DUMMYFUNCTION("""COMPUTED_VALUE"""),"On Progress")</f>
        <v>On Progress</v>
      </c>
      <c r="K55" s="27">
        <f>IFERROR(__xludf.DUMMYFUNCTION("""COMPUTED_VALUE"""),46308.0)</f>
        <v>46308</v>
      </c>
      <c r="L55" s="27">
        <f>IFERROR(__xludf.DUMMYFUNCTION("""COMPUTED_VALUE"""),46308.0)</f>
        <v>46308</v>
      </c>
      <c r="M55" s="3" t="str">
        <f>IFERROR(__xludf.DUMMYFUNCTION("""COMPUTED_VALUE"""),"Waiting Update")</f>
        <v>Waiting Update</v>
      </c>
      <c r="N55" s="3"/>
      <c r="O55" s="3">
        <f>IFERROR(VLOOKUP(C55,Sheet4!A55:F842,6,0),"")</f>
        <v>11438998</v>
      </c>
      <c r="Q55" s="2" t="str">
        <f t="shared" si="1"/>
        <v>13</v>
      </c>
    </row>
    <row r="56">
      <c r="A56" s="3" t="str">
        <f>IFERROR(__xludf.DUMMYFUNCTION("""COMPUTED_VALUE"""),"PM")</f>
        <v>PM</v>
      </c>
      <c r="B56" s="3" t="str">
        <f>IFERROR(__xludf.DUMMYFUNCTION("""COMPUTED_VALUE"""),"P2")</f>
        <v>P2</v>
      </c>
      <c r="C56" s="3" t="str">
        <f>IFERROR(__xludf.DUMMYFUNCTION("""COMPUTED_VALUE"""),"KSN002")</f>
        <v>KSN002</v>
      </c>
      <c r="D56" s="3" t="str">
        <f>IFERROR(__xludf.DUMMYFUNCTION("""COMPUTED_VALUE"""),"Indra")</f>
        <v>Indra</v>
      </c>
      <c r="E56" s="3" t="str">
        <f>IFERROR(__xludf.DUMMYFUNCTION("""COMPUTED_VALUE"""),"PM")</f>
        <v>PM</v>
      </c>
      <c r="F56" s="3" t="str">
        <f>IFERROR(__xludf.DUMMYFUNCTION("""COMPUTED_VALUE"""),"Doni Damara")</f>
        <v>Doni Damara</v>
      </c>
      <c r="G56" s="3" t="str">
        <f>IFERROR(__xludf.DUMMYFUNCTION("""COMPUTED_VALUE"""),"Palangkaraya")</f>
        <v>Palangkaraya</v>
      </c>
      <c r="H56" s="3" t="str">
        <f>IFERROR(__xludf.DUMMYFUNCTION("""COMPUTED_VALUE"""),"Preventive")</f>
        <v>Preventive</v>
      </c>
      <c r="I56" s="3" t="str">
        <f>IFERROR(__xludf.DUMMYFUNCTION("""COMPUTED_VALUE"""),"Preventive Maintenance")</f>
        <v>Preventive Maintenance</v>
      </c>
      <c r="J56" s="3" t="str">
        <f>IFERROR(__xludf.DUMMYFUNCTION("""COMPUTED_VALUE"""),"On Progress")</f>
        <v>On Progress</v>
      </c>
      <c r="K56" s="27">
        <f>IFERROR(__xludf.DUMMYFUNCTION("""COMPUTED_VALUE"""),46004.0)</f>
        <v>46004</v>
      </c>
      <c r="L56" s="27">
        <f>IFERROR(__xludf.DUMMYFUNCTION("""COMPUTED_VALUE"""),46004.0)</f>
        <v>46004</v>
      </c>
      <c r="M56" s="3" t="str">
        <f>IFERROR(__xludf.DUMMYFUNCTION("""COMPUTED_VALUE"""),"Pending")</f>
        <v>Pending</v>
      </c>
      <c r="N56" s="3"/>
      <c r="O56" s="3">
        <f>IFERROR(VLOOKUP(C56,Sheet4!A56:F843,6,0),"")</f>
        <v>1126923</v>
      </c>
      <c r="Q56" s="2" t="str">
        <f t="shared" si="1"/>
        <v>13</v>
      </c>
    </row>
    <row r="57">
      <c r="A57" s="3" t="str">
        <f>IFERROR(__xludf.DUMMYFUNCTION("""COMPUTED_VALUE"""),"PM")</f>
        <v>PM</v>
      </c>
      <c r="B57" s="3" t="str">
        <f>IFERROR(__xludf.DUMMYFUNCTION("""COMPUTED_VALUE"""),"P2")</f>
        <v>P2</v>
      </c>
      <c r="C57" s="3" t="str">
        <f>IFERROR(__xludf.DUMMYFUNCTION("""COMPUTED_VALUE"""),"PLK012")</f>
        <v>PLK012</v>
      </c>
      <c r="D57" s="3" t="str">
        <f>IFERROR(__xludf.DUMMYFUNCTION("""COMPUTED_VALUE"""),"Darli")</f>
        <v>Darli</v>
      </c>
      <c r="E57" s="3" t="str">
        <f>IFERROR(__xludf.DUMMYFUNCTION("""COMPUTED_VALUE"""),"PM")</f>
        <v>PM</v>
      </c>
      <c r="F57" s="3" t="str">
        <f>IFERROR(__xludf.DUMMYFUNCTION("""COMPUTED_VALUE"""),"Doni Damara")</f>
        <v>Doni Damara</v>
      </c>
      <c r="G57" s="3" t="str">
        <f>IFERROR(__xludf.DUMMYFUNCTION("""COMPUTED_VALUE"""),"Palangkaraya")</f>
        <v>Palangkaraya</v>
      </c>
      <c r="H57" s="3" t="str">
        <f>IFERROR(__xludf.DUMMYFUNCTION("""COMPUTED_VALUE"""),"Preventive")</f>
        <v>Preventive</v>
      </c>
      <c r="I57" s="3" t="str">
        <f>IFERROR(__xludf.DUMMYFUNCTION("""COMPUTED_VALUE"""),"Preventive Maintenance")</f>
        <v>Preventive Maintenance</v>
      </c>
      <c r="J57" s="3" t="str">
        <f>IFERROR(__xludf.DUMMYFUNCTION("""COMPUTED_VALUE"""),"On Progress")</f>
        <v>On Progress</v>
      </c>
      <c r="K57" s="27">
        <f>IFERROR(__xludf.DUMMYFUNCTION("""COMPUTED_VALUE"""),46004.0)</f>
        <v>46004</v>
      </c>
      <c r="L57" s="27">
        <f>IFERROR(__xludf.DUMMYFUNCTION("""COMPUTED_VALUE"""),46004.0)</f>
        <v>46004</v>
      </c>
      <c r="M57" s="3" t="str">
        <f>IFERROR(__xludf.DUMMYFUNCTION("""COMPUTED_VALUE"""),"Done")</f>
        <v>Done</v>
      </c>
      <c r="N57" s="3"/>
      <c r="O57" s="3">
        <f>IFERROR(VLOOKUP(C57,Sheet4!A57:F844,6,0),"")</f>
        <v>11376615</v>
      </c>
      <c r="Q57" s="2" t="str">
        <f t="shared" si="1"/>
        <v>13</v>
      </c>
    </row>
    <row r="58">
      <c r="A58" s="3" t="str">
        <f>IFERROR(__xludf.DUMMYFUNCTION("""COMPUTED_VALUE"""),"PM")</f>
        <v>PM</v>
      </c>
      <c r="B58" s="3" t="str">
        <f>IFERROR(__xludf.DUMMYFUNCTION("""COMPUTED_VALUE"""),"P2")</f>
        <v>P2</v>
      </c>
      <c r="C58" s="3" t="str">
        <f>IFERROR(__xludf.DUMMYFUNCTION("""COMPUTED_VALUE"""),"PLK093")</f>
        <v>PLK093</v>
      </c>
      <c r="D58" s="3" t="str">
        <f>IFERROR(__xludf.DUMMYFUNCTION("""COMPUTED_VALUE"""),"AHMAD ARDIANTO FIRMANSYAH")</f>
        <v>AHMAD ARDIANTO FIRMANSYAH</v>
      </c>
      <c r="E58" s="3" t="str">
        <f>IFERROR(__xludf.DUMMYFUNCTION("""COMPUTED_VALUE"""),"PM")</f>
        <v>PM</v>
      </c>
      <c r="F58" s="3" t="str">
        <f>IFERROR(__xludf.DUMMYFUNCTION("""COMPUTED_VALUE"""),"Doni Damara")</f>
        <v>Doni Damara</v>
      </c>
      <c r="G58" s="3" t="str">
        <f>IFERROR(__xludf.DUMMYFUNCTION("""COMPUTED_VALUE"""),"Palangkaraya")</f>
        <v>Palangkaraya</v>
      </c>
      <c r="H58" s="3" t="str">
        <f>IFERROR(__xludf.DUMMYFUNCTION("""COMPUTED_VALUE"""),"Preventive")</f>
        <v>Preventive</v>
      </c>
      <c r="I58" s="3" t="str">
        <f>IFERROR(__xludf.DUMMYFUNCTION("""COMPUTED_VALUE"""),"Preventive Maintenance")</f>
        <v>Preventive Maintenance</v>
      </c>
      <c r="J58" s="3" t="str">
        <f>IFERROR(__xludf.DUMMYFUNCTION("""COMPUTED_VALUE"""),"On Progress")</f>
        <v>On Progress</v>
      </c>
      <c r="K58" s="27">
        <f>IFERROR(__xludf.DUMMYFUNCTION("""COMPUTED_VALUE"""),46004.0)</f>
        <v>46004</v>
      </c>
      <c r="L58" s="27">
        <f>IFERROR(__xludf.DUMMYFUNCTION("""COMPUTED_VALUE"""),46004.0)</f>
        <v>46004</v>
      </c>
      <c r="M58" s="3" t="str">
        <f>IFERROR(__xludf.DUMMYFUNCTION("""COMPUTED_VALUE"""),"Done")</f>
        <v>Done</v>
      </c>
      <c r="N58" s="3"/>
      <c r="O58" s="3">
        <f>IFERROR(VLOOKUP(C58,Sheet4!A58:F845,6,0),"")</f>
        <v>11389818</v>
      </c>
      <c r="Q58" s="2" t="str">
        <f t="shared" si="1"/>
        <v>13</v>
      </c>
    </row>
    <row r="59">
      <c r="A59" s="3" t="str">
        <f>IFERROR(__xludf.DUMMYFUNCTION("""COMPUTED_VALUE"""),"Standby On Call")</f>
        <v>Standby On Call</v>
      </c>
      <c r="B59" s="3" t="str">
        <f>IFERROR(__xludf.DUMMYFUNCTION("""COMPUTED_VALUE"""),"P3")</f>
        <v>P3</v>
      </c>
      <c r="C59" s="3"/>
      <c r="D59" s="3" t="str">
        <f>IFERROR(__xludf.DUMMYFUNCTION("""COMPUTED_VALUE"""),"Purwanto")</f>
        <v>Purwanto</v>
      </c>
      <c r="E59" s="3" t="str">
        <f>IFERROR(__xludf.DUMMYFUNCTION("""COMPUTED_VALUE"""),"MBP")</f>
        <v>MBP</v>
      </c>
      <c r="F59" s="3" t="str">
        <f>IFERROR(__xludf.DUMMYFUNCTION("""COMPUTED_VALUE"""),"Doni Damara")</f>
        <v>Doni Damara</v>
      </c>
      <c r="G59" s="3" t="str">
        <f>IFERROR(__xludf.DUMMYFUNCTION("""COMPUTED_VALUE"""),"Palangkaraya")</f>
        <v>Palangkaraya</v>
      </c>
      <c r="H59" s="3" t="str">
        <f>IFERROR(__xludf.DUMMYFUNCTION("""COMPUTED_VALUE"""),"Standby")</f>
        <v>Standby</v>
      </c>
      <c r="I59" s="3" t="str">
        <f>IFERROR(__xludf.DUMMYFUNCTION("""COMPUTED_VALUE"""),"Standby On Call")</f>
        <v>Standby On Call</v>
      </c>
      <c r="J59" s="3" t="str">
        <f>IFERROR(__xludf.DUMMYFUNCTION("""COMPUTED_VALUE"""),"Standby")</f>
        <v>Standby</v>
      </c>
      <c r="K59" s="27">
        <f>IFERROR(__xludf.DUMMYFUNCTION("""COMPUTED_VALUE"""),46004.0)</f>
        <v>46004</v>
      </c>
      <c r="L59" s="27">
        <f>IFERROR(__xludf.DUMMYFUNCTION("""COMPUTED_VALUE"""),46004.0)</f>
        <v>46004</v>
      </c>
      <c r="M59" s="3" t="str">
        <f>IFERROR(__xludf.DUMMYFUNCTION("""COMPUTED_VALUE"""),"Waiting Update")</f>
        <v>Waiting Update</v>
      </c>
      <c r="N59" s="3"/>
      <c r="O59" s="3" t="str">
        <f>IFERROR(VLOOKUP(C59,Sheet4!A59:F846,6,0),"")</f>
        <v/>
      </c>
      <c r="Q59" s="2" t="str">
        <f t="shared" si="1"/>
        <v>13</v>
      </c>
    </row>
    <row r="60">
      <c r="A60" s="3" t="str">
        <f>IFERROR(__xludf.DUMMYFUNCTION("""COMPUTED_VALUE"""),"Standby On Call")</f>
        <v>Standby On Call</v>
      </c>
      <c r="B60" s="3" t="str">
        <f>IFERROR(__xludf.DUMMYFUNCTION("""COMPUTED_VALUE"""),"P3")</f>
        <v>P3</v>
      </c>
      <c r="C60" s="3"/>
      <c r="D60" s="3" t="str">
        <f>IFERROR(__xludf.DUMMYFUNCTION("""COMPUTED_VALUE"""),"Sairaji")</f>
        <v>Sairaji</v>
      </c>
      <c r="E60" s="3" t="str">
        <f>IFERROR(__xludf.DUMMYFUNCTION("""COMPUTED_VALUE"""),"MBP")</f>
        <v>MBP</v>
      </c>
      <c r="F60" s="3" t="str">
        <f>IFERROR(__xludf.DUMMYFUNCTION("""COMPUTED_VALUE"""),"Doni Damara")</f>
        <v>Doni Damara</v>
      </c>
      <c r="G60" s="3" t="str">
        <f>IFERROR(__xludf.DUMMYFUNCTION("""COMPUTED_VALUE"""),"Palangkaraya")</f>
        <v>Palangkaraya</v>
      </c>
      <c r="H60" s="3" t="str">
        <f>IFERROR(__xludf.DUMMYFUNCTION("""COMPUTED_VALUE"""),"Standby")</f>
        <v>Standby</v>
      </c>
      <c r="I60" s="3" t="str">
        <f>IFERROR(__xludf.DUMMYFUNCTION("""COMPUTED_VALUE"""),"Standby On Call")</f>
        <v>Standby On Call</v>
      </c>
      <c r="J60" s="3" t="str">
        <f>IFERROR(__xludf.DUMMYFUNCTION("""COMPUTED_VALUE"""),"Standby")</f>
        <v>Standby</v>
      </c>
      <c r="K60" s="27">
        <f>IFERROR(__xludf.DUMMYFUNCTION("""COMPUTED_VALUE"""),46004.0)</f>
        <v>46004</v>
      </c>
      <c r="L60" s="27">
        <f>IFERROR(__xludf.DUMMYFUNCTION("""COMPUTED_VALUE"""),46004.0)</f>
        <v>46004</v>
      </c>
      <c r="M60" s="3" t="str">
        <f>IFERROR(__xludf.DUMMYFUNCTION("""COMPUTED_VALUE"""),"Waiting Update")</f>
        <v>Waiting Update</v>
      </c>
      <c r="N60" s="3"/>
      <c r="O60" s="3" t="str">
        <f>IFERROR(VLOOKUP(C60,Sheet4!A60:F847,6,0),"")</f>
        <v/>
      </c>
      <c r="Q60" s="2" t="str">
        <f t="shared" si="1"/>
        <v>13</v>
      </c>
    </row>
    <row r="61">
      <c r="A61" s="3" t="str">
        <f>IFERROR(__xludf.DUMMYFUNCTION("""COMPUTED_VALUE"""),"Standby On Call")</f>
        <v>Standby On Call</v>
      </c>
      <c r="B61" s="3" t="str">
        <f>IFERROR(__xludf.DUMMYFUNCTION("""COMPUTED_VALUE"""),"P3")</f>
        <v>P3</v>
      </c>
      <c r="C61" s="3"/>
      <c r="D61" s="3" t="str">
        <f>IFERROR(__xludf.DUMMYFUNCTION("""COMPUTED_VALUE"""),"Sarwono")</f>
        <v>Sarwono</v>
      </c>
      <c r="E61" s="3" t="str">
        <f>IFERROR(__xludf.DUMMYFUNCTION("""COMPUTED_VALUE"""),"CME")</f>
        <v>CME</v>
      </c>
      <c r="F61" s="3" t="str">
        <f>IFERROR(__xludf.DUMMYFUNCTION("""COMPUTED_VALUE"""),"Doni Damara")</f>
        <v>Doni Damara</v>
      </c>
      <c r="G61" s="3" t="str">
        <f>IFERROR(__xludf.DUMMYFUNCTION("""COMPUTED_VALUE"""),"Palangkaraya")</f>
        <v>Palangkaraya</v>
      </c>
      <c r="H61" s="3" t="str">
        <f>IFERROR(__xludf.DUMMYFUNCTION("""COMPUTED_VALUE"""),"Standby")</f>
        <v>Standby</v>
      </c>
      <c r="I61" s="3" t="str">
        <f>IFERROR(__xludf.DUMMYFUNCTION("""COMPUTED_VALUE"""),"Standby On Call")</f>
        <v>Standby On Call</v>
      </c>
      <c r="J61" s="3" t="str">
        <f>IFERROR(__xludf.DUMMYFUNCTION("""COMPUTED_VALUE"""),"Standby")</f>
        <v>Standby</v>
      </c>
      <c r="K61" s="27">
        <f>IFERROR(__xludf.DUMMYFUNCTION("""COMPUTED_VALUE"""),46004.0)</f>
        <v>46004</v>
      </c>
      <c r="L61" s="27">
        <f>IFERROR(__xludf.DUMMYFUNCTION("""COMPUTED_VALUE"""),46004.0)</f>
        <v>46004</v>
      </c>
      <c r="M61" s="3" t="str">
        <f>IFERROR(__xludf.DUMMYFUNCTION("""COMPUTED_VALUE"""),"Waiting Update")</f>
        <v>Waiting Update</v>
      </c>
      <c r="N61" s="3"/>
      <c r="O61" s="3" t="str">
        <f>IFERROR(VLOOKUP(C61,Sheet4!A61:F848,6,0),"")</f>
        <v/>
      </c>
      <c r="Q61" s="2" t="str">
        <f t="shared" si="1"/>
        <v>13</v>
      </c>
    </row>
    <row r="62">
      <c r="A62" s="3" t="str">
        <f>IFERROR(__xludf.DUMMYFUNCTION("""COMPUTED_VALUE"""),"Standby On Call")</f>
        <v>Standby On Call</v>
      </c>
      <c r="B62" s="3" t="str">
        <f>IFERROR(__xludf.DUMMYFUNCTION("""COMPUTED_VALUE"""),"P3")</f>
        <v>P3</v>
      </c>
      <c r="C62" s="3"/>
      <c r="D62" s="3" t="str">
        <f>IFERROR(__xludf.DUMMYFUNCTION("""COMPUTED_VALUE"""),"Fajrianur wahid")</f>
        <v>Fajrianur wahid</v>
      </c>
      <c r="E62" s="3" t="str">
        <f>IFERROR(__xludf.DUMMYFUNCTION("""COMPUTED_VALUE"""),"TE")</f>
        <v>TE</v>
      </c>
      <c r="F62" s="3" t="str">
        <f>IFERROR(__xludf.DUMMYFUNCTION("""COMPUTED_VALUE"""),"Doni Damara")</f>
        <v>Doni Damara</v>
      </c>
      <c r="G62" s="3" t="str">
        <f>IFERROR(__xludf.DUMMYFUNCTION("""COMPUTED_VALUE"""),"Palangkaraya")</f>
        <v>Palangkaraya</v>
      </c>
      <c r="H62" s="3" t="str">
        <f>IFERROR(__xludf.DUMMYFUNCTION("""COMPUTED_VALUE"""),"Standby")</f>
        <v>Standby</v>
      </c>
      <c r="I62" s="3" t="str">
        <f>IFERROR(__xludf.DUMMYFUNCTION("""COMPUTED_VALUE"""),"Standby On Call")</f>
        <v>Standby On Call</v>
      </c>
      <c r="J62" s="3" t="str">
        <f>IFERROR(__xludf.DUMMYFUNCTION("""COMPUTED_VALUE"""),"Standby")</f>
        <v>Standby</v>
      </c>
      <c r="K62" s="27">
        <f>IFERROR(__xludf.DUMMYFUNCTION("""COMPUTED_VALUE"""),46004.0)</f>
        <v>46004</v>
      </c>
      <c r="L62" s="27">
        <f>IFERROR(__xludf.DUMMYFUNCTION("""COMPUTED_VALUE"""),46004.0)</f>
        <v>46004</v>
      </c>
      <c r="M62" s="3" t="str">
        <f>IFERROR(__xludf.DUMMYFUNCTION("""COMPUTED_VALUE"""),"Waiting Update")</f>
        <v>Waiting Update</v>
      </c>
      <c r="N62" s="3"/>
      <c r="O62" s="3" t="str">
        <f>IFERROR(VLOOKUP(C62,Sheet4!A62:F849,6,0),"")</f>
        <v/>
      </c>
      <c r="Q62" s="2" t="str">
        <f t="shared" si="1"/>
        <v>13</v>
      </c>
    </row>
    <row r="63">
      <c r="A63" s="3" t="str">
        <f>IFERROR(__xludf.DUMMYFUNCTION("""COMPUTED_VALUE"""),"Site Down")</f>
        <v>Site Down</v>
      </c>
      <c r="B63" s="3" t="str">
        <f>IFERROR(__xludf.DUMMYFUNCTION("""COMPUTED_VALUE"""),"P1")</f>
        <v>P1</v>
      </c>
      <c r="C63" s="3" t="str">
        <f>IFERROR(__xludf.DUMMYFUNCTION("""COMPUTED_VALUE"""),"PPS007")</f>
        <v>PPS007</v>
      </c>
      <c r="D63" s="3" t="str">
        <f>IFERROR(__xludf.DUMMYFUNCTION("""COMPUTED_VALUE"""),"Agus muliana pamungkas")</f>
        <v>Agus muliana pamungkas</v>
      </c>
      <c r="E63" s="3" t="str">
        <f>IFERROR(__xludf.DUMMYFUNCTION("""COMPUTED_VALUE"""),"MBP")</f>
        <v>MBP</v>
      </c>
      <c r="F63" s="3" t="str">
        <f>IFERROR(__xludf.DUMMYFUNCTION("""COMPUTED_VALUE"""),"Doni Damara")</f>
        <v>Doni Damara</v>
      </c>
      <c r="G63" s="3" t="str">
        <f>IFERROR(__xludf.DUMMYFUNCTION("""COMPUTED_VALUE"""),"Palangkaraya")</f>
        <v>Palangkaraya</v>
      </c>
      <c r="H63" s="3" t="str">
        <f>IFERROR(__xludf.DUMMYFUNCTION("""COMPUTED_VALUE"""),"Corrective")</f>
        <v>Corrective</v>
      </c>
      <c r="I63" s="3" t="str">
        <f>IFERROR(__xludf.DUMMYFUNCTION("""COMPUTED_VALUE"""),"Pemadaman,MCB Trip,Transmisi problem")</f>
        <v>Pemadaman,MCB Trip,Transmisi problem</v>
      </c>
      <c r="J63" s="3" t="str">
        <f>IFERROR(__xludf.DUMMYFUNCTION("""COMPUTED_VALUE"""),"On Progress")</f>
        <v>On Progress</v>
      </c>
      <c r="K63" s="27">
        <f>IFERROR(__xludf.DUMMYFUNCTION("""COMPUTED_VALUE"""),46004.0)</f>
        <v>46004</v>
      </c>
      <c r="L63" s="27">
        <f>IFERROR(__xludf.DUMMYFUNCTION("""COMPUTED_VALUE"""),46004.0)</f>
        <v>46004</v>
      </c>
      <c r="M63" s="3" t="str">
        <f>IFERROR(__xludf.DUMMYFUNCTION("""COMPUTED_VALUE"""),"Done")</f>
        <v>Done</v>
      </c>
      <c r="N63" s="3"/>
      <c r="O63" s="3">
        <f>IFERROR(VLOOKUP(C63,Sheet4!A63:F850,6,0),"")</f>
        <v>11415633</v>
      </c>
      <c r="Q63" s="2" t="str">
        <f t="shared" si="1"/>
        <v>13</v>
      </c>
    </row>
    <row r="64">
      <c r="A64" s="3" t="str">
        <f>IFERROR(__xludf.DUMMYFUNCTION("""COMPUTED_VALUE"""),"Standby On Call")</f>
        <v>Standby On Call</v>
      </c>
      <c r="B64" s="3" t="str">
        <f>IFERROR(__xludf.DUMMYFUNCTION("""COMPUTED_VALUE"""),"P3")</f>
        <v>P3</v>
      </c>
      <c r="C64" s="3"/>
      <c r="D64" s="3" t="str">
        <f>IFERROR(__xludf.DUMMYFUNCTION("""COMPUTED_VALUE"""),"Harun Nurasyid")</f>
        <v>Harun Nurasyid</v>
      </c>
      <c r="E64" s="3" t="str">
        <f>IFERROR(__xludf.DUMMYFUNCTION("""COMPUTED_VALUE"""),"CME")</f>
        <v>CME</v>
      </c>
      <c r="F64" s="3" t="str">
        <f>IFERROR(__xludf.DUMMYFUNCTION("""COMPUTED_VALUE"""),"Winda Sokenda")</f>
        <v>Winda Sokenda</v>
      </c>
      <c r="G64" s="3" t="str">
        <f>IFERROR(__xludf.DUMMYFUNCTION("""COMPUTED_VALUE"""),"Barito Raya")</f>
        <v>Barito Raya</v>
      </c>
      <c r="H64" s="3" t="str">
        <f>IFERROR(__xludf.DUMMYFUNCTION("""COMPUTED_VALUE"""),"Standby")</f>
        <v>Standby</v>
      </c>
      <c r="I64" s="3" t="str">
        <f>IFERROR(__xludf.DUMMYFUNCTION("""COMPUTED_VALUE"""),"Standby On Call")</f>
        <v>Standby On Call</v>
      </c>
      <c r="J64" s="3" t="str">
        <f>IFERROR(__xludf.DUMMYFUNCTION("""COMPUTED_VALUE"""),"Standby")</f>
        <v>Standby</v>
      </c>
      <c r="K64" s="27">
        <f>IFERROR(__xludf.DUMMYFUNCTION("""COMPUTED_VALUE"""),3698431.0)</f>
        <v>3698431</v>
      </c>
      <c r="L64" s="27">
        <f>IFERROR(__xludf.DUMMYFUNCTION("""COMPUTED_VALUE"""),3698431.0)</f>
        <v>3698431</v>
      </c>
      <c r="M64" s="3" t="str">
        <f>IFERROR(__xludf.DUMMYFUNCTION("""COMPUTED_VALUE"""),"Waiting Update")</f>
        <v>Waiting Update</v>
      </c>
      <c r="N64" s="3"/>
      <c r="O64" s="3" t="str">
        <f>IFERROR(VLOOKUP(C64,Sheet4!A64:F851,6,0),"")</f>
        <v/>
      </c>
      <c r="Q64" s="2" t="str">
        <f t="shared" si="1"/>
        <v>15</v>
      </c>
    </row>
    <row r="65">
      <c r="A65" s="3" t="str">
        <f>IFERROR(__xludf.DUMMYFUNCTION("""COMPUTED_VALUE"""),"Standby On Call")</f>
        <v>Standby On Call</v>
      </c>
      <c r="B65" s="3" t="str">
        <f>IFERROR(__xludf.DUMMYFUNCTION("""COMPUTED_VALUE"""),"P3")</f>
        <v>P3</v>
      </c>
      <c r="C65" s="3"/>
      <c r="D65" s="3" t="str">
        <f>IFERROR(__xludf.DUMMYFUNCTION("""COMPUTED_VALUE"""),"Nurhayat")</f>
        <v>Nurhayat</v>
      </c>
      <c r="E65" s="3" t="str">
        <f>IFERROR(__xludf.DUMMYFUNCTION("""COMPUTED_VALUE"""),"MBP")</f>
        <v>MBP</v>
      </c>
      <c r="F65" s="3" t="str">
        <f>IFERROR(__xludf.DUMMYFUNCTION("""COMPUTED_VALUE"""),"Winda Sokenda")</f>
        <v>Winda Sokenda</v>
      </c>
      <c r="G65" s="3" t="str">
        <f>IFERROR(__xludf.DUMMYFUNCTION("""COMPUTED_VALUE"""),"Barito Raya")</f>
        <v>Barito Raya</v>
      </c>
      <c r="H65" s="3" t="str">
        <f>IFERROR(__xludf.DUMMYFUNCTION("""COMPUTED_VALUE"""),"Standby")</f>
        <v>Standby</v>
      </c>
      <c r="I65" s="3" t="str">
        <f>IFERROR(__xludf.DUMMYFUNCTION("""COMPUTED_VALUE"""),"Standby On Call")</f>
        <v>Standby On Call</v>
      </c>
      <c r="J65" s="3" t="str">
        <f>IFERROR(__xludf.DUMMYFUNCTION("""COMPUTED_VALUE"""),"Standby")</f>
        <v>Standby</v>
      </c>
      <c r="K65" s="27">
        <f>IFERROR(__xludf.DUMMYFUNCTION("""COMPUTED_VALUE"""),3698431.0)</f>
        <v>3698431</v>
      </c>
      <c r="L65" s="27">
        <f>IFERROR(__xludf.DUMMYFUNCTION("""COMPUTED_VALUE"""),3698431.0)</f>
        <v>3698431</v>
      </c>
      <c r="M65" s="3" t="str">
        <f>IFERROR(__xludf.DUMMYFUNCTION("""COMPUTED_VALUE"""),"Waiting Update")</f>
        <v>Waiting Update</v>
      </c>
      <c r="N65" s="3"/>
      <c r="O65" s="3" t="str">
        <f>IFERROR(VLOOKUP(C65,Sheet4!A65:F852,6,0),"")</f>
        <v/>
      </c>
      <c r="Q65" s="2" t="str">
        <f t="shared" si="1"/>
        <v>15</v>
      </c>
    </row>
    <row r="66">
      <c r="A66" s="3" t="str">
        <f>IFERROR(__xludf.DUMMYFUNCTION("""COMPUTED_VALUE"""),"Pengecekan battrey")</f>
        <v>Pengecekan battrey</v>
      </c>
      <c r="B66" s="3" t="str">
        <f>IFERROR(__xludf.DUMMYFUNCTION("""COMPUTED_VALUE"""),"P2")</f>
        <v>P2</v>
      </c>
      <c r="C66" s="3" t="str">
        <f>IFERROR(__xludf.DUMMYFUNCTION("""COMPUTED_VALUE"""),"BNT008")</f>
        <v>BNT008</v>
      </c>
      <c r="D66" s="3" t="str">
        <f>IFERROR(__xludf.DUMMYFUNCTION("""COMPUTED_VALUE"""),"Putra wardana")</f>
        <v>Putra wardana</v>
      </c>
      <c r="E66" s="3" t="str">
        <f>IFERROR(__xludf.DUMMYFUNCTION("""COMPUTED_VALUE"""),"TE")</f>
        <v>TE</v>
      </c>
      <c r="F66" s="3" t="str">
        <f>IFERROR(__xludf.DUMMYFUNCTION("""COMPUTED_VALUE"""),"Winda Sokenda")</f>
        <v>Winda Sokenda</v>
      </c>
      <c r="G66" s="3" t="str">
        <f>IFERROR(__xludf.DUMMYFUNCTION("""COMPUTED_VALUE"""),"Barito Raya")</f>
        <v>Barito Raya</v>
      </c>
      <c r="H66" s="3" t="str">
        <f>IFERROR(__xludf.DUMMYFUNCTION("""COMPUTED_VALUE"""),"Preventive")</f>
        <v>Preventive</v>
      </c>
      <c r="I66" s="3" t="str">
        <f>IFERROR(__xludf.DUMMYFUNCTION("""COMPUTED_VALUE"""),"Pengukuran dan pengambilan data log serta input Gdoc BBT")</f>
        <v>Pengukuran dan pengambilan data log serta input Gdoc BBT</v>
      </c>
      <c r="J66" s="3" t="str">
        <f>IFERROR(__xludf.DUMMYFUNCTION("""COMPUTED_VALUE"""),"On Progress")</f>
        <v>On Progress</v>
      </c>
      <c r="K66" s="27">
        <f>IFERROR(__xludf.DUMMYFUNCTION("""COMPUTED_VALUE"""),3698431.0)</f>
        <v>3698431</v>
      </c>
      <c r="L66" s="27">
        <f>IFERROR(__xludf.DUMMYFUNCTION("""COMPUTED_VALUE"""),3698431.0)</f>
        <v>3698431</v>
      </c>
      <c r="M66" s="3" t="str">
        <f>IFERROR(__xludf.DUMMYFUNCTION("""COMPUTED_VALUE"""),"Done")</f>
        <v>Done</v>
      </c>
      <c r="N66" s="3"/>
      <c r="O66" s="3" t="str">
        <f>IFERROR(VLOOKUP(C66,Sheet4!A66:F853,6,0),"")</f>
        <v/>
      </c>
      <c r="Q66" s="2" t="str">
        <f t="shared" si="1"/>
        <v>15</v>
      </c>
    </row>
    <row r="67">
      <c r="A67" s="3" t="str">
        <f>IFERROR(__xludf.DUMMYFUNCTION("""COMPUTED_VALUE"""),"Pengecekan battrey")</f>
        <v>Pengecekan battrey</v>
      </c>
      <c r="B67" s="3" t="str">
        <f>IFERROR(__xludf.DUMMYFUNCTION("""COMPUTED_VALUE"""),"P2")</f>
        <v>P2</v>
      </c>
      <c r="C67" s="3" t="str">
        <f>IFERROR(__xludf.DUMMYFUNCTION("""COMPUTED_VALUE"""),"TML113")</f>
        <v>TML113</v>
      </c>
      <c r="D67" s="3" t="str">
        <f>IFERROR(__xludf.DUMMYFUNCTION("""COMPUTED_VALUE"""),"Sailillah")</f>
        <v>Sailillah</v>
      </c>
      <c r="E67" s="3" t="str">
        <f>IFERROR(__xludf.DUMMYFUNCTION("""COMPUTED_VALUE"""),"TE")</f>
        <v>TE</v>
      </c>
      <c r="F67" s="3" t="str">
        <f>IFERROR(__xludf.DUMMYFUNCTION("""COMPUTED_VALUE"""),"Winda Sokenda")</f>
        <v>Winda Sokenda</v>
      </c>
      <c r="G67" s="3" t="str">
        <f>IFERROR(__xludf.DUMMYFUNCTION("""COMPUTED_VALUE"""),"Barito Raya")</f>
        <v>Barito Raya</v>
      </c>
      <c r="H67" s="3" t="str">
        <f>IFERROR(__xludf.DUMMYFUNCTION("""COMPUTED_VALUE"""),"Preventive")</f>
        <v>Preventive</v>
      </c>
      <c r="I67" s="3" t="str">
        <f>IFERROR(__xludf.DUMMYFUNCTION("""COMPUTED_VALUE"""),"Pengukuran dan pengambilan data log serta input Gdoc BBT")</f>
        <v>Pengukuran dan pengambilan data log serta input Gdoc BBT</v>
      </c>
      <c r="J67" s="3" t="str">
        <f>IFERROR(__xludf.DUMMYFUNCTION("""COMPUTED_VALUE"""),"On Progress")</f>
        <v>On Progress</v>
      </c>
      <c r="K67" s="27">
        <f>IFERROR(__xludf.DUMMYFUNCTION("""COMPUTED_VALUE"""),3698431.0)</f>
        <v>3698431</v>
      </c>
      <c r="L67" s="27">
        <f>IFERROR(__xludf.DUMMYFUNCTION("""COMPUTED_VALUE"""),3698431.0)</f>
        <v>3698431</v>
      </c>
      <c r="M67" s="3" t="str">
        <f>IFERROR(__xludf.DUMMYFUNCTION("""COMPUTED_VALUE"""),"Done")</f>
        <v>Done</v>
      </c>
      <c r="N67" s="3"/>
      <c r="O67" s="3">
        <f>IFERROR(VLOOKUP(C67,Sheet4!A67:F854,6,0),"")</f>
        <v>11519692</v>
      </c>
      <c r="Q67" s="2" t="str">
        <f t="shared" si="1"/>
        <v>15</v>
      </c>
    </row>
    <row r="68">
      <c r="A68" s="3" t="str">
        <f>IFERROR(__xludf.DUMMYFUNCTION("""COMPUTED_VALUE"""),"PM")</f>
        <v>PM</v>
      </c>
      <c r="B68" s="3" t="str">
        <f>IFERROR(__xludf.DUMMYFUNCTION("""COMPUTED_VALUE"""),"P2")</f>
        <v>P2</v>
      </c>
      <c r="C68" s="3" t="str">
        <f>IFERROR(__xludf.DUMMYFUNCTION("""COMPUTED_VALUE"""),"KKP008")</f>
        <v>KKP008</v>
      </c>
      <c r="D68" s="3" t="str">
        <f>IFERROR(__xludf.DUMMYFUNCTION("""COMPUTED_VALUE"""),"Khilal dawai katiri")</f>
        <v>Khilal dawai katiri</v>
      </c>
      <c r="E68" s="3" t="str">
        <f>IFERROR(__xludf.DUMMYFUNCTION("""COMPUTED_VALUE"""),"MBP")</f>
        <v>MBP</v>
      </c>
      <c r="F68" s="3" t="str">
        <f>IFERROR(__xludf.DUMMYFUNCTION("""COMPUTED_VALUE"""),"Winda Sokenda")</f>
        <v>Winda Sokenda</v>
      </c>
      <c r="G68" s="3" t="str">
        <f>IFERROR(__xludf.DUMMYFUNCTION("""COMPUTED_VALUE"""),"Barito Raya")</f>
        <v>Barito Raya</v>
      </c>
      <c r="H68" s="3" t="str">
        <f>IFERROR(__xludf.DUMMYFUNCTION("""COMPUTED_VALUE"""),"Preventive")</f>
        <v>Preventive</v>
      </c>
      <c r="I68" s="3" t="str">
        <f>IFERROR(__xludf.DUMMYFUNCTION("""COMPUTED_VALUE"""),"Preventive Maintenance")</f>
        <v>Preventive Maintenance</v>
      </c>
      <c r="J68" s="3" t="str">
        <f>IFERROR(__xludf.DUMMYFUNCTION("""COMPUTED_VALUE"""),"On Progress")</f>
        <v>On Progress</v>
      </c>
      <c r="K68" s="27">
        <f>IFERROR(__xludf.DUMMYFUNCTION("""COMPUTED_VALUE"""),3698431.0)</f>
        <v>3698431</v>
      </c>
      <c r="L68" s="27">
        <f>IFERROR(__xludf.DUMMYFUNCTION("""COMPUTED_VALUE"""),3698431.0)</f>
        <v>3698431</v>
      </c>
      <c r="M68" s="3" t="str">
        <f>IFERROR(__xludf.DUMMYFUNCTION("""COMPUTED_VALUE"""),"Pending")</f>
        <v>Pending</v>
      </c>
      <c r="N68" s="3" t="str">
        <f>IFERROR(__xludf.DUMMYFUNCTION("""COMPUTED_VALUE"""),"Lanjut 16/12/2025, kemarin mobil amblas")</f>
        <v>Lanjut 16/12/2025, kemarin mobil amblas</v>
      </c>
      <c r="O68" s="3">
        <f>IFERROR(VLOOKUP(C68,Sheet4!A68:F855,6,0),"")</f>
        <v>11436101</v>
      </c>
      <c r="Q68" s="2" t="str">
        <f t="shared" si="1"/>
        <v>15</v>
      </c>
    </row>
    <row r="69">
      <c r="A69" s="3" t="str">
        <f>IFERROR(__xludf.DUMMYFUNCTION("""COMPUTED_VALUE"""),"PM")</f>
        <v>PM</v>
      </c>
      <c r="B69" s="3" t="str">
        <f>IFERROR(__xludf.DUMMYFUNCTION("""COMPUTED_VALUE"""),"P2")</f>
        <v>P2</v>
      </c>
      <c r="C69" s="3" t="str">
        <f>IFERROR(__xludf.DUMMYFUNCTION("""COMPUTED_VALUE"""),"KKP008")</f>
        <v>KKP008</v>
      </c>
      <c r="D69" s="3" t="str">
        <f>IFERROR(__xludf.DUMMYFUNCTION("""COMPUTED_VALUE"""),"Trisno Susanto")</f>
        <v>Trisno Susanto</v>
      </c>
      <c r="E69" s="3" t="str">
        <f>IFERROR(__xludf.DUMMYFUNCTION("""COMPUTED_VALUE"""),"PM")</f>
        <v>PM</v>
      </c>
      <c r="F69" s="3" t="str">
        <f>IFERROR(__xludf.DUMMYFUNCTION("""COMPUTED_VALUE"""),"Winda Sokenda")</f>
        <v>Winda Sokenda</v>
      </c>
      <c r="G69" s="3" t="str">
        <f>IFERROR(__xludf.DUMMYFUNCTION("""COMPUTED_VALUE"""),"Barito Raya")</f>
        <v>Barito Raya</v>
      </c>
      <c r="H69" s="3" t="str">
        <f>IFERROR(__xludf.DUMMYFUNCTION("""COMPUTED_VALUE"""),"Preventive")</f>
        <v>Preventive</v>
      </c>
      <c r="I69" s="3" t="str">
        <f>IFERROR(__xludf.DUMMYFUNCTION("""COMPUTED_VALUE"""),"Preventive Maintenance")</f>
        <v>Preventive Maintenance</v>
      </c>
      <c r="J69" s="3" t="str">
        <f>IFERROR(__xludf.DUMMYFUNCTION("""COMPUTED_VALUE"""),"On Progress")</f>
        <v>On Progress</v>
      </c>
      <c r="K69" s="27">
        <f>IFERROR(__xludf.DUMMYFUNCTION("""COMPUTED_VALUE"""),3698431.0)</f>
        <v>3698431</v>
      </c>
      <c r="L69" s="27">
        <f>IFERROR(__xludf.DUMMYFUNCTION("""COMPUTED_VALUE"""),3698431.0)</f>
        <v>3698431</v>
      </c>
      <c r="M69" s="3" t="str">
        <f>IFERROR(__xludf.DUMMYFUNCTION("""COMPUTED_VALUE"""),"Pending")</f>
        <v>Pending</v>
      </c>
      <c r="N69" s="3" t="str">
        <f>IFERROR(__xludf.DUMMYFUNCTION("""COMPUTED_VALUE"""),"Lanjut 16/12/2025, kemarin mobil amblas")</f>
        <v>Lanjut 16/12/2025, kemarin mobil amblas</v>
      </c>
      <c r="O69" s="3">
        <f>IFERROR(VLOOKUP(C69,Sheet4!A69:F856,6,0),"")</f>
        <v>11436101</v>
      </c>
      <c r="Q69" s="2" t="str">
        <f t="shared" si="1"/>
        <v>15</v>
      </c>
    </row>
    <row r="70">
      <c r="A70" s="3" t="str">
        <f>IFERROR(__xludf.DUMMYFUNCTION("""COMPUTED_VALUE"""),"PM")</f>
        <v>PM</v>
      </c>
      <c r="B70" s="3" t="str">
        <f>IFERROR(__xludf.DUMMYFUNCTION("""COMPUTED_VALUE"""),"P2")</f>
        <v>P2</v>
      </c>
      <c r="C70" s="3" t="str">
        <f>IFERROR(__xludf.DUMMYFUNCTION("""COMPUTED_VALUE"""),"MTW071")</f>
        <v>MTW071</v>
      </c>
      <c r="D70" s="3" t="str">
        <f>IFERROR(__xludf.DUMMYFUNCTION("""COMPUTED_VALUE"""),"Riko setiadi")</f>
        <v>Riko setiadi</v>
      </c>
      <c r="E70" s="3" t="str">
        <f>IFERROR(__xludf.DUMMYFUNCTION("""COMPUTED_VALUE"""),"PM")</f>
        <v>PM</v>
      </c>
      <c r="F70" s="3" t="str">
        <f>IFERROR(__xludf.DUMMYFUNCTION("""COMPUTED_VALUE"""),"Winda Sokenda")</f>
        <v>Winda Sokenda</v>
      </c>
      <c r="G70" s="3" t="str">
        <f>IFERROR(__xludf.DUMMYFUNCTION("""COMPUTED_VALUE"""),"Barito Raya")</f>
        <v>Barito Raya</v>
      </c>
      <c r="H70" s="3" t="str">
        <f>IFERROR(__xludf.DUMMYFUNCTION("""COMPUTED_VALUE"""),"Preventive")</f>
        <v>Preventive</v>
      </c>
      <c r="I70" s="3" t="str">
        <f>IFERROR(__xludf.DUMMYFUNCTION("""COMPUTED_VALUE"""),"Preventive Maintenance")</f>
        <v>Preventive Maintenance</v>
      </c>
      <c r="J70" s="3" t="str">
        <f>IFERROR(__xludf.DUMMYFUNCTION("""COMPUTED_VALUE"""),"On Progress")</f>
        <v>On Progress</v>
      </c>
      <c r="K70" s="27">
        <f>IFERROR(__xludf.DUMMYFUNCTION("""COMPUTED_VALUE"""),3698431.0)</f>
        <v>3698431</v>
      </c>
      <c r="L70" s="27">
        <f>IFERROR(__xludf.DUMMYFUNCTION("""COMPUTED_VALUE"""),3698431.0)</f>
        <v>3698431</v>
      </c>
      <c r="M70" s="3" t="str">
        <f>IFERROR(__xludf.DUMMYFUNCTION("""COMPUTED_VALUE"""),"Done")</f>
        <v>Done</v>
      </c>
      <c r="N70" s="3"/>
      <c r="O70" s="3">
        <f>IFERROR(VLOOKUP(C70,Sheet4!A70:F857,6,0),"")</f>
        <v>11489885</v>
      </c>
      <c r="Q70" s="2" t="str">
        <f t="shared" si="1"/>
        <v>15</v>
      </c>
    </row>
    <row r="71">
      <c r="A71" s="3" t="str">
        <f>IFERROR(__xludf.DUMMYFUNCTION("""COMPUTED_VALUE"""),"Pengecekan Power")</f>
        <v>Pengecekan Power</v>
      </c>
      <c r="B71" s="3" t="str">
        <f>IFERROR(__xludf.DUMMYFUNCTION("""COMPUTED_VALUE"""),"P1")</f>
        <v>P1</v>
      </c>
      <c r="C71" s="3" t="str">
        <f>IFERROR(__xludf.DUMMYFUNCTION("""COMPUTED_VALUE"""),"KKP225")</f>
        <v>KKP225</v>
      </c>
      <c r="D71" s="3" t="str">
        <f>IFERROR(__xludf.DUMMYFUNCTION("""COMPUTED_VALUE"""),"Alfi Syahri")</f>
        <v>Alfi Syahri</v>
      </c>
      <c r="E71" s="3" t="str">
        <f>IFERROR(__xludf.DUMMYFUNCTION("""COMPUTED_VALUE"""),"CME")</f>
        <v>CME</v>
      </c>
      <c r="F71" s="3" t="str">
        <f>IFERROR(__xludf.DUMMYFUNCTION("""COMPUTED_VALUE"""),"Winda Sokenda")</f>
        <v>Winda Sokenda</v>
      </c>
      <c r="G71" s="3" t="str">
        <f>IFERROR(__xludf.DUMMYFUNCTION("""COMPUTED_VALUE"""),"Barito Raya")</f>
        <v>Barito Raya</v>
      </c>
      <c r="H71" s="3" t="str">
        <f>IFERROR(__xludf.DUMMYFUNCTION("""COMPUTED_VALUE"""),"Preventive")</f>
        <v>Preventive</v>
      </c>
      <c r="I71" s="3" t="str">
        <f>IFERROR(__xludf.DUMMYFUNCTION("""COMPUTED_VALUE"""),"MCB trip/Power upnormal")</f>
        <v>MCB trip/Power upnormal</v>
      </c>
      <c r="J71" s="3" t="str">
        <f>IFERROR(__xludf.DUMMYFUNCTION("""COMPUTED_VALUE"""),"On Progress")</f>
        <v>On Progress</v>
      </c>
      <c r="K71" s="27">
        <f>IFERROR(__xludf.DUMMYFUNCTION("""COMPUTED_VALUE"""),3698431.0)</f>
        <v>3698431</v>
      </c>
      <c r="L71" s="27">
        <f>IFERROR(__xludf.DUMMYFUNCTION("""COMPUTED_VALUE"""),3698431.0)</f>
        <v>3698431</v>
      </c>
      <c r="M71" s="3" t="str">
        <f>IFERROR(__xludf.DUMMYFUNCTION("""COMPUTED_VALUE"""),"Done")</f>
        <v>Done</v>
      </c>
      <c r="N71" s="3"/>
      <c r="O71" s="3">
        <f>IFERROR(VLOOKUP(C71,Sheet4!A71:F858,6,0),"")</f>
        <v>11439398</v>
      </c>
      <c r="Q71" s="2" t="str">
        <f t="shared" si="1"/>
        <v>15</v>
      </c>
    </row>
    <row r="72">
      <c r="A72" s="3" t="str">
        <f>IFERROR(__xludf.DUMMYFUNCTION("""COMPUTED_VALUE"""),"Vswr")</f>
        <v>Vswr</v>
      </c>
      <c r="B72" s="3" t="str">
        <f>IFERROR(__xludf.DUMMYFUNCTION("""COMPUTED_VALUE"""),"P1")</f>
        <v>P1</v>
      </c>
      <c r="C72" s="3" t="str">
        <f>IFERROR(__xludf.DUMMYFUNCTION("""COMPUTED_VALUE"""),"KKP067")</f>
        <v>KKP067</v>
      </c>
      <c r="D72" s="3" t="str">
        <f>IFERROR(__xludf.DUMMYFUNCTION("""COMPUTED_VALUE"""),"Riki Hidayat")</f>
        <v>Riki Hidayat</v>
      </c>
      <c r="E72" s="3" t="str">
        <f>IFERROR(__xludf.DUMMYFUNCTION("""COMPUTED_VALUE"""),"TE")</f>
        <v>TE</v>
      </c>
      <c r="F72" s="3" t="str">
        <f>IFERROR(__xludf.DUMMYFUNCTION("""COMPUTED_VALUE"""),"Winda Sokenda")</f>
        <v>Winda Sokenda</v>
      </c>
      <c r="G72" s="3" t="str">
        <f>IFERROR(__xludf.DUMMYFUNCTION("""COMPUTED_VALUE"""),"Barito Raya")</f>
        <v>Barito Raya</v>
      </c>
      <c r="H72" s="3" t="str">
        <f>IFERROR(__xludf.DUMMYFUNCTION("""COMPUTED_VALUE"""),"Corrective")</f>
        <v>Corrective</v>
      </c>
      <c r="I72" s="3" t="str">
        <f>IFERROR(__xludf.DUMMYFUNCTION("""COMPUTED_VALUE"""),"Replace Jumper,antena/RRU")</f>
        <v>Replace Jumper,antena/RRU</v>
      </c>
      <c r="J72" s="3" t="str">
        <f>IFERROR(__xludf.DUMMYFUNCTION("""COMPUTED_VALUE"""),"On Progress")</f>
        <v>On Progress</v>
      </c>
      <c r="K72" s="27">
        <f>IFERROR(__xludf.DUMMYFUNCTION("""COMPUTED_VALUE"""),3698431.0)</f>
        <v>3698431</v>
      </c>
      <c r="L72" s="27">
        <f>IFERROR(__xludf.DUMMYFUNCTION("""COMPUTED_VALUE"""),3698431.0)</f>
        <v>3698431</v>
      </c>
      <c r="M72" s="3" t="str">
        <f>IFERROR(__xludf.DUMMYFUNCTION("""COMPUTED_VALUE"""),"Pending")</f>
        <v>Pending</v>
      </c>
      <c r="N72" s="3" t="str">
        <f>IFERROR(__xludf.DUMMYFUNCTION("""COMPUTED_VALUE"""),"Lanjut 16/12/2025 ")</f>
        <v>Lanjut 16/12/2025 </v>
      </c>
      <c r="O72" s="3" t="str">
        <f>IFERROR(VLOOKUP(C72,Sheet4!A72:F859,6,0),"")</f>
        <v/>
      </c>
      <c r="Q72" s="2" t="str">
        <f t="shared" si="1"/>
        <v>15</v>
      </c>
    </row>
    <row r="73">
      <c r="A73" s="3" t="str">
        <f>IFERROR(__xludf.DUMMYFUNCTION("""COMPUTED_VALUE"""),"Standby On Call")</f>
        <v>Standby On Call</v>
      </c>
      <c r="B73" s="3" t="str">
        <f>IFERROR(__xludf.DUMMYFUNCTION("""COMPUTED_VALUE"""),"P3")</f>
        <v>P3</v>
      </c>
      <c r="C73" s="3"/>
      <c r="D73" s="3" t="str">
        <f>IFERROR(__xludf.DUMMYFUNCTION("""COMPUTED_VALUE"""),"Dayatullah")</f>
        <v>Dayatullah</v>
      </c>
      <c r="E73" s="3" t="str">
        <f>IFERROR(__xludf.DUMMYFUNCTION("""COMPUTED_VALUE"""),"MBP")</f>
        <v>MBP</v>
      </c>
      <c r="F73" s="3" t="str">
        <f>IFERROR(__xludf.DUMMYFUNCTION("""COMPUTED_VALUE"""),"Winda Sokenda")</f>
        <v>Winda Sokenda</v>
      </c>
      <c r="G73" s="3" t="str">
        <f>IFERROR(__xludf.DUMMYFUNCTION("""COMPUTED_VALUE"""),"Barito Raya")</f>
        <v>Barito Raya</v>
      </c>
      <c r="H73" s="3" t="str">
        <f>IFERROR(__xludf.DUMMYFUNCTION("""COMPUTED_VALUE"""),"Standby")</f>
        <v>Standby</v>
      </c>
      <c r="I73" s="3" t="str">
        <f>IFERROR(__xludf.DUMMYFUNCTION("""COMPUTED_VALUE"""),"Standby On Call")</f>
        <v>Standby On Call</v>
      </c>
      <c r="J73" s="3" t="str">
        <f>IFERROR(__xludf.DUMMYFUNCTION("""COMPUTED_VALUE"""),"Standby")</f>
        <v>Standby</v>
      </c>
      <c r="K73" s="27">
        <f>IFERROR(__xludf.DUMMYFUNCTION("""COMPUTED_VALUE"""),3698431.0)</f>
        <v>3698431</v>
      </c>
      <c r="L73" s="27">
        <f>IFERROR(__xludf.DUMMYFUNCTION("""COMPUTED_VALUE"""),3698431.0)</f>
        <v>3698431</v>
      </c>
      <c r="M73" s="3" t="str">
        <f>IFERROR(__xludf.DUMMYFUNCTION("""COMPUTED_VALUE"""),"Waiting Update")</f>
        <v>Waiting Update</v>
      </c>
      <c r="N73" s="3"/>
      <c r="O73" s="3" t="str">
        <f>IFERROR(VLOOKUP(C73,Sheet4!A73:F860,6,0),"")</f>
        <v/>
      </c>
      <c r="Q73" s="2" t="str">
        <f t="shared" si="1"/>
        <v>15</v>
      </c>
    </row>
    <row r="74">
      <c r="A74" s="3" t="str">
        <f>IFERROR(__xludf.DUMMYFUNCTION("""COMPUTED_VALUE"""),"Standby On Call")</f>
        <v>Standby On Call</v>
      </c>
      <c r="B74" s="3" t="str">
        <f>IFERROR(__xludf.DUMMYFUNCTION("""COMPUTED_VALUE"""),"P3")</f>
        <v>P3</v>
      </c>
      <c r="C74" s="3"/>
      <c r="D74" s="3" t="str">
        <f>IFERROR(__xludf.DUMMYFUNCTION("""COMPUTED_VALUE"""),"Taklim")</f>
        <v>Taklim</v>
      </c>
      <c r="E74" s="3" t="str">
        <f>IFERROR(__xludf.DUMMYFUNCTION("""COMPUTED_VALUE"""),"MBP")</f>
        <v>MBP</v>
      </c>
      <c r="F74" s="3" t="str">
        <f>IFERROR(__xludf.DUMMYFUNCTION("""COMPUTED_VALUE"""),"Winda Sokenda")</f>
        <v>Winda Sokenda</v>
      </c>
      <c r="G74" s="3" t="str">
        <f>IFERROR(__xludf.DUMMYFUNCTION("""COMPUTED_VALUE"""),"Barito Raya")</f>
        <v>Barito Raya</v>
      </c>
      <c r="H74" s="3" t="str">
        <f>IFERROR(__xludf.DUMMYFUNCTION("""COMPUTED_VALUE"""),"Standby")</f>
        <v>Standby</v>
      </c>
      <c r="I74" s="3" t="str">
        <f>IFERROR(__xludf.DUMMYFUNCTION("""COMPUTED_VALUE"""),"Standby On Call")</f>
        <v>Standby On Call</v>
      </c>
      <c r="J74" s="3" t="str">
        <f>IFERROR(__xludf.DUMMYFUNCTION("""COMPUTED_VALUE"""),"Standby")</f>
        <v>Standby</v>
      </c>
      <c r="K74" s="27">
        <f>IFERROR(__xludf.DUMMYFUNCTION("""COMPUTED_VALUE"""),3698431.0)</f>
        <v>3698431</v>
      </c>
      <c r="L74" s="27">
        <f>IFERROR(__xludf.DUMMYFUNCTION("""COMPUTED_VALUE"""),3698431.0)</f>
        <v>3698431</v>
      </c>
      <c r="M74" s="3" t="str">
        <f>IFERROR(__xludf.DUMMYFUNCTION("""COMPUTED_VALUE"""),"Waiting Update")</f>
        <v>Waiting Update</v>
      </c>
      <c r="N74" s="3"/>
      <c r="O74" s="3" t="str">
        <f>IFERROR(VLOOKUP(C74,Sheet4!A74:F861,6,0),"")</f>
        <v/>
      </c>
      <c r="Q74" s="2" t="str">
        <f t="shared" si="1"/>
        <v>15</v>
      </c>
    </row>
    <row r="75">
      <c r="A75" s="3" t="str">
        <f>IFERROR(__xludf.DUMMYFUNCTION("""COMPUTED_VALUE"""),"Pengecekan battrey")</f>
        <v>Pengecekan battrey</v>
      </c>
      <c r="B75" s="3" t="str">
        <f>IFERROR(__xludf.DUMMYFUNCTION("""COMPUTED_VALUE"""),"P2")</f>
        <v>P2</v>
      </c>
      <c r="C75" s="3" t="str">
        <f>IFERROR(__xludf.DUMMYFUNCTION("""COMPUTED_VALUE"""),"TML082")</f>
        <v>TML082</v>
      </c>
      <c r="D75" s="3" t="str">
        <f>IFERROR(__xludf.DUMMYFUNCTION("""COMPUTED_VALUE"""),"Tiviansyah")</f>
        <v>Tiviansyah</v>
      </c>
      <c r="E75" s="3" t="str">
        <f>IFERROR(__xludf.DUMMYFUNCTION("""COMPUTED_VALUE"""),"TE")</f>
        <v>TE</v>
      </c>
      <c r="F75" s="3" t="str">
        <f>IFERROR(__xludf.DUMMYFUNCTION("""COMPUTED_VALUE"""),"Winda Sokenda")</f>
        <v>Winda Sokenda</v>
      </c>
      <c r="G75" s="3" t="str">
        <f>IFERROR(__xludf.DUMMYFUNCTION("""COMPUTED_VALUE"""),"Barito Raya")</f>
        <v>Barito Raya</v>
      </c>
      <c r="H75" s="3" t="str">
        <f>IFERROR(__xludf.DUMMYFUNCTION("""COMPUTED_VALUE"""),"Preventive")</f>
        <v>Preventive</v>
      </c>
      <c r="I75" s="3" t="str">
        <f>IFERROR(__xludf.DUMMYFUNCTION("""COMPUTED_VALUE"""),"Pengukuran dan pengambilan data log serta input Gdoc BBT")</f>
        <v>Pengukuran dan pengambilan data log serta input Gdoc BBT</v>
      </c>
      <c r="J75" s="3" t="str">
        <f>IFERROR(__xludf.DUMMYFUNCTION("""COMPUTED_VALUE"""),"On Progress")</f>
        <v>On Progress</v>
      </c>
      <c r="K75" s="27">
        <f>IFERROR(__xludf.DUMMYFUNCTION("""COMPUTED_VALUE"""),3698431.0)</f>
        <v>3698431</v>
      </c>
      <c r="L75" s="27">
        <f>IFERROR(__xludf.DUMMYFUNCTION("""COMPUTED_VALUE"""),3698431.0)</f>
        <v>3698431</v>
      </c>
      <c r="M75" s="3" t="str">
        <f>IFERROR(__xludf.DUMMYFUNCTION("""COMPUTED_VALUE"""),"Waiting Update")</f>
        <v>Waiting Update</v>
      </c>
      <c r="N75" s="3"/>
      <c r="O75" s="3">
        <f>IFERROR(VLOOKUP(C75,Sheet4!A75:F862,6,0),"")</f>
        <v>11512014</v>
      </c>
      <c r="Q75" s="2" t="str">
        <f t="shared" si="1"/>
        <v>15</v>
      </c>
    </row>
    <row r="76">
      <c r="A76" s="3" t="str">
        <f>IFERROR(__xludf.DUMMYFUNCTION("""COMPUTED_VALUE"""),"Vswr")</f>
        <v>Vswr</v>
      </c>
      <c r="B76" s="3" t="str">
        <f>IFERROR(__xludf.DUMMYFUNCTION("""COMPUTED_VALUE"""),"P1")</f>
        <v>P1</v>
      </c>
      <c r="C76" s="3" t="str">
        <f>IFERROR(__xludf.DUMMYFUNCTION("""COMPUTED_VALUE"""),"KKP087")</f>
        <v>KKP087</v>
      </c>
      <c r="D76" s="3" t="str">
        <f>IFERROR(__xludf.DUMMYFUNCTION("""COMPUTED_VALUE"""),"Reynaldy Ricardo Putra")</f>
        <v>Reynaldy Ricardo Putra</v>
      </c>
      <c r="E76" s="3" t="str">
        <f>IFERROR(__xludf.DUMMYFUNCTION("""COMPUTED_VALUE"""),"TE")</f>
        <v>TE</v>
      </c>
      <c r="F76" s="3" t="str">
        <f>IFERROR(__xludf.DUMMYFUNCTION("""COMPUTED_VALUE"""),"Winda Sokenda")</f>
        <v>Winda Sokenda</v>
      </c>
      <c r="G76" s="3" t="str">
        <f>IFERROR(__xludf.DUMMYFUNCTION("""COMPUTED_VALUE"""),"Barito Raya")</f>
        <v>Barito Raya</v>
      </c>
      <c r="H76" s="3" t="str">
        <f>IFERROR(__xludf.DUMMYFUNCTION("""COMPUTED_VALUE"""),"Corrective")</f>
        <v>Corrective</v>
      </c>
      <c r="I76" s="3" t="str">
        <f>IFERROR(__xludf.DUMMYFUNCTION("""COMPUTED_VALUE"""),"Replace Jumper,antena/RRU")</f>
        <v>Replace Jumper,antena/RRU</v>
      </c>
      <c r="J76" s="3" t="str">
        <f>IFERROR(__xludf.DUMMYFUNCTION("""COMPUTED_VALUE"""),"On Progress")</f>
        <v>On Progress</v>
      </c>
      <c r="K76" s="27">
        <f>IFERROR(__xludf.DUMMYFUNCTION("""COMPUTED_VALUE"""),3698431.0)</f>
        <v>3698431</v>
      </c>
      <c r="L76" s="27">
        <f>IFERROR(__xludf.DUMMYFUNCTION("""COMPUTED_VALUE"""),3698431.0)</f>
        <v>3698431</v>
      </c>
      <c r="M76" s="3" t="str">
        <f>IFERROR(__xludf.DUMMYFUNCTION("""COMPUTED_VALUE"""),"Pending")</f>
        <v>Pending</v>
      </c>
      <c r="N76" s="3" t="str">
        <f>IFERROR(__xludf.DUMMYFUNCTION("""COMPUTED_VALUE"""),"Team relokasi battery 2P dari KKP019 ke KKP034")</f>
        <v>Team relokasi battery 2P dari KKP019 ke KKP034</v>
      </c>
      <c r="O76" s="3">
        <f>IFERROR(VLOOKUP(C76,Sheet4!A76:F863,6,0),"")</f>
        <v>11444619</v>
      </c>
      <c r="Q76" s="2" t="str">
        <f t="shared" si="1"/>
        <v>15</v>
      </c>
    </row>
    <row r="77">
      <c r="A77" s="3" t="str">
        <f>IFERROR(__xludf.DUMMYFUNCTION("""COMPUTED_VALUE"""),"Vswr")</f>
        <v>Vswr</v>
      </c>
      <c r="B77" s="3" t="str">
        <f>IFERROR(__xludf.DUMMYFUNCTION("""COMPUTED_VALUE"""),"P1")</f>
        <v>P1</v>
      </c>
      <c r="C77" s="3" t="str">
        <f>IFERROR(__xludf.DUMMYFUNCTION("""COMPUTED_VALUE"""),"KKP087")</f>
        <v>KKP087</v>
      </c>
      <c r="D77" s="3" t="str">
        <f>IFERROR(__xludf.DUMMYFUNCTION("""COMPUTED_VALUE"""),"Sahrul Saputra")</f>
        <v>Sahrul Saputra</v>
      </c>
      <c r="E77" s="3" t="str">
        <f>IFERROR(__xludf.DUMMYFUNCTION("""COMPUTED_VALUE"""),"TE")</f>
        <v>TE</v>
      </c>
      <c r="F77" s="3" t="str">
        <f>IFERROR(__xludf.DUMMYFUNCTION("""COMPUTED_VALUE"""),"Winda Sokenda")</f>
        <v>Winda Sokenda</v>
      </c>
      <c r="G77" s="3" t="str">
        <f>IFERROR(__xludf.DUMMYFUNCTION("""COMPUTED_VALUE"""),"Barito Raya")</f>
        <v>Barito Raya</v>
      </c>
      <c r="H77" s="3" t="str">
        <f>IFERROR(__xludf.DUMMYFUNCTION("""COMPUTED_VALUE"""),"Corrective")</f>
        <v>Corrective</v>
      </c>
      <c r="I77" s="3" t="str">
        <f>IFERROR(__xludf.DUMMYFUNCTION("""COMPUTED_VALUE"""),"Replace Jumper,antena/RRU")</f>
        <v>Replace Jumper,antena/RRU</v>
      </c>
      <c r="J77" s="3" t="str">
        <f>IFERROR(__xludf.DUMMYFUNCTION("""COMPUTED_VALUE"""),"On Progress")</f>
        <v>On Progress</v>
      </c>
      <c r="K77" s="27">
        <f>IFERROR(__xludf.DUMMYFUNCTION("""COMPUTED_VALUE"""),3698431.0)</f>
        <v>3698431</v>
      </c>
      <c r="L77" s="27">
        <f>IFERROR(__xludf.DUMMYFUNCTION("""COMPUTED_VALUE"""),3698431.0)</f>
        <v>3698431</v>
      </c>
      <c r="M77" s="3" t="str">
        <f>IFERROR(__xludf.DUMMYFUNCTION("""COMPUTED_VALUE"""),"Pending")</f>
        <v>Pending</v>
      </c>
      <c r="N77" s="3" t="str">
        <f>IFERROR(__xludf.DUMMYFUNCTION("""COMPUTED_VALUE"""),"Team ts celldown di KKP011")</f>
        <v>Team ts celldown di KKP011</v>
      </c>
      <c r="O77" s="3">
        <f>IFERROR(VLOOKUP(C77,Sheet4!A77:F864,6,0),"")</f>
        <v>11444619</v>
      </c>
      <c r="Q77" s="2" t="str">
        <f t="shared" si="1"/>
        <v>15</v>
      </c>
    </row>
    <row r="78">
      <c r="A78" s="3" t="str">
        <f>IFERROR(__xludf.DUMMYFUNCTION("""COMPUTED_VALUE"""),"Vswr")</f>
        <v>Vswr</v>
      </c>
      <c r="B78" s="3" t="str">
        <f>IFERROR(__xludf.DUMMYFUNCTION("""COMPUTED_VALUE"""),"P1")</f>
        <v>P1</v>
      </c>
      <c r="C78" s="3" t="str">
        <f>IFERROR(__xludf.DUMMYFUNCTION("""COMPUTED_VALUE"""),"KKP218")</f>
        <v>KKP218</v>
      </c>
      <c r="D78" s="3" t="str">
        <f>IFERROR(__xludf.DUMMYFUNCTION("""COMPUTED_VALUE"""),"Armadi")</f>
        <v>Armadi</v>
      </c>
      <c r="E78" s="3" t="str">
        <f>IFERROR(__xludf.DUMMYFUNCTION("""COMPUTED_VALUE"""),"TE")</f>
        <v>TE</v>
      </c>
      <c r="F78" s="3" t="str">
        <f>IFERROR(__xludf.DUMMYFUNCTION("""COMPUTED_VALUE"""),"Winda Sokenda")</f>
        <v>Winda Sokenda</v>
      </c>
      <c r="G78" s="3" t="str">
        <f>IFERROR(__xludf.DUMMYFUNCTION("""COMPUTED_VALUE"""),"Barito Raya")</f>
        <v>Barito Raya</v>
      </c>
      <c r="H78" s="3" t="str">
        <f>IFERROR(__xludf.DUMMYFUNCTION("""COMPUTED_VALUE"""),"Corrective")</f>
        <v>Corrective</v>
      </c>
      <c r="I78" s="3" t="str">
        <f>IFERROR(__xludf.DUMMYFUNCTION("""COMPUTED_VALUE"""),"Replace Jumper,antena/RRU")</f>
        <v>Replace Jumper,antena/RRU</v>
      </c>
      <c r="J78" s="3" t="str">
        <f>IFERROR(__xludf.DUMMYFUNCTION("""COMPUTED_VALUE"""),"On Progress")</f>
        <v>On Progress</v>
      </c>
      <c r="K78" s="27">
        <f>IFERROR(__xludf.DUMMYFUNCTION("""COMPUTED_VALUE"""),3698431.0)</f>
        <v>3698431</v>
      </c>
      <c r="L78" s="27">
        <f>IFERROR(__xludf.DUMMYFUNCTION("""COMPUTED_VALUE"""),3698431.0)</f>
        <v>3698431</v>
      </c>
      <c r="M78" s="3" t="str">
        <f>IFERROR(__xludf.DUMMYFUNCTION("""COMPUTED_VALUE"""),"Done")</f>
        <v>Done</v>
      </c>
      <c r="N78" s="3"/>
      <c r="O78" s="3" t="str">
        <f>IFERROR(VLOOKUP(C78,Sheet4!A78:F865,6,0),"")</f>
        <v/>
      </c>
      <c r="Q78" s="2" t="str">
        <f t="shared" si="1"/>
        <v>15</v>
      </c>
    </row>
    <row r="79">
      <c r="A79" s="3" t="str">
        <f>IFERROR(__xludf.DUMMYFUNCTION("""COMPUTED_VALUE"""),"Vswr")</f>
        <v>Vswr</v>
      </c>
      <c r="B79" s="3" t="str">
        <f>IFERROR(__xludf.DUMMYFUNCTION("""COMPUTED_VALUE"""),"P1")</f>
        <v>P1</v>
      </c>
      <c r="C79" s="3" t="str">
        <f>IFERROR(__xludf.DUMMYFUNCTION("""COMPUTED_VALUE"""),"KKP218")</f>
        <v>KKP218</v>
      </c>
      <c r="D79" s="3" t="str">
        <f>IFERROR(__xludf.DUMMYFUNCTION("""COMPUTED_VALUE"""),"Jumadi")</f>
        <v>Jumadi</v>
      </c>
      <c r="E79" s="3" t="str">
        <f>IFERROR(__xludf.DUMMYFUNCTION("""COMPUTED_VALUE"""),"TE")</f>
        <v>TE</v>
      </c>
      <c r="F79" s="3" t="str">
        <f>IFERROR(__xludf.DUMMYFUNCTION("""COMPUTED_VALUE"""),"Winda Sokenda")</f>
        <v>Winda Sokenda</v>
      </c>
      <c r="G79" s="3" t="str">
        <f>IFERROR(__xludf.DUMMYFUNCTION("""COMPUTED_VALUE"""),"Barito Raya")</f>
        <v>Barito Raya</v>
      </c>
      <c r="H79" s="3" t="str">
        <f>IFERROR(__xludf.DUMMYFUNCTION("""COMPUTED_VALUE"""),"Corrective")</f>
        <v>Corrective</v>
      </c>
      <c r="I79" s="3" t="str">
        <f>IFERROR(__xludf.DUMMYFUNCTION("""COMPUTED_VALUE"""),"Replace Jumper,antena/RRU")</f>
        <v>Replace Jumper,antena/RRU</v>
      </c>
      <c r="J79" s="3" t="str">
        <f>IFERROR(__xludf.DUMMYFUNCTION("""COMPUTED_VALUE"""),"On Progress")</f>
        <v>On Progress</v>
      </c>
      <c r="K79" s="27">
        <f>IFERROR(__xludf.DUMMYFUNCTION("""COMPUTED_VALUE"""),3698431.0)</f>
        <v>3698431</v>
      </c>
      <c r="L79" s="27">
        <f>IFERROR(__xludf.DUMMYFUNCTION("""COMPUTED_VALUE"""),3698431.0)</f>
        <v>3698431</v>
      </c>
      <c r="M79" s="3" t="str">
        <f>IFERROR(__xludf.DUMMYFUNCTION("""COMPUTED_VALUE"""),"Done")</f>
        <v>Done</v>
      </c>
      <c r="N79" s="3"/>
      <c r="O79" s="3" t="str">
        <f>IFERROR(VLOOKUP(C79,Sheet4!A79:F866,6,0),"")</f>
        <v/>
      </c>
      <c r="Q79" s="2" t="str">
        <f t="shared" si="1"/>
        <v>15</v>
      </c>
    </row>
    <row r="80">
      <c r="A80" s="3" t="str">
        <f>IFERROR(__xludf.DUMMYFUNCTION("""COMPUTED_VALUE"""),"Vswr")</f>
        <v>Vswr</v>
      </c>
      <c r="B80" s="3" t="str">
        <f>IFERROR(__xludf.DUMMYFUNCTION("""COMPUTED_VALUE"""),"P1")</f>
        <v>P1</v>
      </c>
      <c r="C80" s="3" t="str">
        <f>IFERROR(__xludf.DUMMYFUNCTION("""COMPUTED_VALUE"""),"KKP218")</f>
        <v>KKP218</v>
      </c>
      <c r="D80" s="3" t="str">
        <f>IFERROR(__xludf.DUMMYFUNCTION("""COMPUTED_VALUE"""),"Ahmad Setiawan")</f>
        <v>Ahmad Setiawan</v>
      </c>
      <c r="E80" s="3" t="str">
        <f>IFERROR(__xludf.DUMMYFUNCTION("""COMPUTED_VALUE"""),"TE")</f>
        <v>TE</v>
      </c>
      <c r="F80" s="3" t="str">
        <f>IFERROR(__xludf.DUMMYFUNCTION("""COMPUTED_VALUE"""),"Winda Sokenda")</f>
        <v>Winda Sokenda</v>
      </c>
      <c r="G80" s="3" t="str">
        <f>IFERROR(__xludf.DUMMYFUNCTION("""COMPUTED_VALUE"""),"Barito Raya")</f>
        <v>Barito Raya</v>
      </c>
      <c r="H80" s="3" t="str">
        <f>IFERROR(__xludf.DUMMYFUNCTION("""COMPUTED_VALUE"""),"Corrective")</f>
        <v>Corrective</v>
      </c>
      <c r="I80" s="3" t="str">
        <f>IFERROR(__xludf.DUMMYFUNCTION("""COMPUTED_VALUE"""),"Replace Jumper,antena/RRU")</f>
        <v>Replace Jumper,antena/RRU</v>
      </c>
      <c r="J80" s="3" t="str">
        <f>IFERROR(__xludf.DUMMYFUNCTION("""COMPUTED_VALUE"""),"On Progress")</f>
        <v>On Progress</v>
      </c>
      <c r="K80" s="27">
        <f>IFERROR(__xludf.DUMMYFUNCTION("""COMPUTED_VALUE"""),3698431.0)</f>
        <v>3698431</v>
      </c>
      <c r="L80" s="27">
        <f>IFERROR(__xludf.DUMMYFUNCTION("""COMPUTED_VALUE"""),3698431.0)</f>
        <v>3698431</v>
      </c>
      <c r="M80" s="3" t="str">
        <f>IFERROR(__xludf.DUMMYFUNCTION("""COMPUTED_VALUE"""),"Pending")</f>
        <v>Pending</v>
      </c>
      <c r="N80" s="3"/>
      <c r="O80" s="3" t="str">
        <f>IFERROR(VLOOKUP(C80,Sheet4!A80:F867,6,0),"")</f>
        <v/>
      </c>
      <c r="Q80" s="2" t="str">
        <f t="shared" si="1"/>
        <v>15</v>
      </c>
    </row>
    <row r="81">
      <c r="A81" s="3" t="str">
        <f>IFERROR(__xludf.DUMMYFUNCTION("""COMPUTED_VALUE"""),"Vswr")</f>
        <v>Vswr</v>
      </c>
      <c r="B81" s="3" t="str">
        <f>IFERROR(__xludf.DUMMYFUNCTION("""COMPUTED_VALUE"""),"P1")</f>
        <v>P1</v>
      </c>
      <c r="C81" s="3" t="str">
        <f>IFERROR(__xludf.DUMMYFUNCTION("""COMPUTED_VALUE"""),"KKP218")</f>
        <v>KKP218</v>
      </c>
      <c r="D81" s="3" t="str">
        <f>IFERROR(__xludf.DUMMYFUNCTION("""COMPUTED_VALUE"""),"Oky Bangkit Pamungkas")</f>
        <v>Oky Bangkit Pamungkas</v>
      </c>
      <c r="E81" s="3" t="str">
        <f>IFERROR(__xludf.DUMMYFUNCTION("""COMPUTED_VALUE"""),"TE")</f>
        <v>TE</v>
      </c>
      <c r="F81" s="3" t="str">
        <f>IFERROR(__xludf.DUMMYFUNCTION("""COMPUTED_VALUE"""),"Winda Sokenda")</f>
        <v>Winda Sokenda</v>
      </c>
      <c r="G81" s="3" t="str">
        <f>IFERROR(__xludf.DUMMYFUNCTION("""COMPUTED_VALUE"""),"Barito Raya")</f>
        <v>Barito Raya</v>
      </c>
      <c r="H81" s="3" t="str">
        <f>IFERROR(__xludf.DUMMYFUNCTION("""COMPUTED_VALUE"""),"Corrective")</f>
        <v>Corrective</v>
      </c>
      <c r="I81" s="3" t="str">
        <f>IFERROR(__xludf.DUMMYFUNCTION("""COMPUTED_VALUE"""),"Replace Jumper,antena/RRU")</f>
        <v>Replace Jumper,antena/RRU</v>
      </c>
      <c r="J81" s="3" t="str">
        <f>IFERROR(__xludf.DUMMYFUNCTION("""COMPUTED_VALUE"""),"On Progress")</f>
        <v>On Progress</v>
      </c>
      <c r="K81" s="27">
        <f>IFERROR(__xludf.DUMMYFUNCTION("""COMPUTED_VALUE"""),3698431.0)</f>
        <v>3698431</v>
      </c>
      <c r="L81" s="27">
        <f>IFERROR(__xludf.DUMMYFUNCTION("""COMPUTED_VALUE"""),3698431.0)</f>
        <v>3698431</v>
      </c>
      <c r="M81" s="3" t="str">
        <f>IFERROR(__xludf.DUMMYFUNCTION("""COMPUTED_VALUE"""),"Done")</f>
        <v>Done</v>
      </c>
      <c r="N81" s="3"/>
      <c r="O81" s="3" t="str">
        <f>IFERROR(VLOOKUP(C81,Sheet4!A81:F868,6,0),"")</f>
        <v/>
      </c>
      <c r="Q81" s="2" t="str">
        <f t="shared" si="1"/>
        <v>15</v>
      </c>
    </row>
    <row r="82">
      <c r="A82" s="3" t="str">
        <f>IFERROR(__xludf.DUMMYFUNCTION("""COMPUTED_VALUE"""),"Vswr")</f>
        <v>Vswr</v>
      </c>
      <c r="B82" s="3" t="str">
        <f>IFERROR(__xludf.DUMMYFUNCTION("""COMPUTED_VALUE"""),"P1")</f>
        <v>P1</v>
      </c>
      <c r="C82" s="3" t="str">
        <f>IFERROR(__xludf.DUMMYFUNCTION("""COMPUTED_VALUE"""),"MTW067")</f>
        <v>MTW067</v>
      </c>
      <c r="D82" s="3" t="str">
        <f>IFERROR(__xludf.DUMMYFUNCTION("""COMPUTED_VALUE"""),"munawir akhmad")</f>
        <v>munawir akhmad</v>
      </c>
      <c r="E82" s="3" t="str">
        <f>IFERROR(__xludf.DUMMYFUNCTION("""COMPUTED_VALUE"""),"TE")</f>
        <v>TE</v>
      </c>
      <c r="F82" s="3" t="str">
        <f>IFERROR(__xludf.DUMMYFUNCTION("""COMPUTED_VALUE"""),"Winda Sokenda")</f>
        <v>Winda Sokenda</v>
      </c>
      <c r="G82" s="3" t="str">
        <f>IFERROR(__xludf.DUMMYFUNCTION("""COMPUTED_VALUE"""),"Barito Raya")</f>
        <v>Barito Raya</v>
      </c>
      <c r="H82" s="3" t="str">
        <f>IFERROR(__xludf.DUMMYFUNCTION("""COMPUTED_VALUE"""),"Corrective")</f>
        <v>Corrective</v>
      </c>
      <c r="I82" s="3" t="str">
        <f>IFERROR(__xludf.DUMMYFUNCTION("""COMPUTED_VALUE"""),"Replace Jumper,antena/RRU")</f>
        <v>Replace Jumper,antena/RRU</v>
      </c>
      <c r="J82" s="3" t="str">
        <f>IFERROR(__xludf.DUMMYFUNCTION("""COMPUTED_VALUE"""),"On Progress")</f>
        <v>On Progress</v>
      </c>
      <c r="K82" s="27">
        <f>IFERROR(__xludf.DUMMYFUNCTION("""COMPUTED_VALUE"""),3698431.0)</f>
        <v>3698431</v>
      </c>
      <c r="L82" s="27">
        <f>IFERROR(__xludf.DUMMYFUNCTION("""COMPUTED_VALUE"""),3698431.0)</f>
        <v>3698431</v>
      </c>
      <c r="M82" s="3" t="str">
        <f>IFERROR(__xludf.DUMMYFUNCTION("""COMPUTED_VALUE"""),"Pending")</f>
        <v>Pending</v>
      </c>
      <c r="N82" s="3" t="str">
        <f>IFERROR(__xludf.DUMMYFUNCTION("""COMPUTED_VALUE"""),"Lanjut 16/12/2025 ")</f>
        <v>Lanjut 16/12/2025 </v>
      </c>
      <c r="O82" s="3">
        <f>IFERROR(VLOOKUP(C82,Sheet4!A82:F869,6,0),"")</f>
        <v>11488679</v>
      </c>
      <c r="Q82" s="2" t="str">
        <f t="shared" si="1"/>
        <v>15</v>
      </c>
    </row>
    <row r="83">
      <c r="A83" s="3" t="str">
        <f>IFERROR(__xludf.DUMMYFUNCTION("""COMPUTED_VALUE"""),"Standby On Call")</f>
        <v>Standby On Call</v>
      </c>
      <c r="B83" s="3" t="str">
        <f>IFERROR(__xludf.DUMMYFUNCTION("""COMPUTED_VALUE"""),"P3")</f>
        <v>P3</v>
      </c>
      <c r="C83" s="3"/>
      <c r="D83" s="3" t="str">
        <f>IFERROR(__xludf.DUMMYFUNCTION("""COMPUTED_VALUE"""),"Ahmad Muzakir")</f>
        <v>Ahmad Muzakir</v>
      </c>
      <c r="E83" s="3" t="str">
        <f>IFERROR(__xludf.DUMMYFUNCTION("""COMPUTED_VALUE"""),"MBP")</f>
        <v>MBP</v>
      </c>
      <c r="F83" s="3" t="str">
        <f>IFERROR(__xludf.DUMMYFUNCTION("""COMPUTED_VALUE"""),"Winda Sokenda")</f>
        <v>Winda Sokenda</v>
      </c>
      <c r="G83" s="3" t="str">
        <f>IFERROR(__xludf.DUMMYFUNCTION("""COMPUTED_VALUE"""),"Barito Raya")</f>
        <v>Barito Raya</v>
      </c>
      <c r="H83" s="3" t="str">
        <f>IFERROR(__xludf.DUMMYFUNCTION("""COMPUTED_VALUE"""),"Standby")</f>
        <v>Standby</v>
      </c>
      <c r="I83" s="3" t="str">
        <f>IFERROR(__xludf.DUMMYFUNCTION("""COMPUTED_VALUE"""),"Standby On Call")</f>
        <v>Standby On Call</v>
      </c>
      <c r="J83" s="3" t="str">
        <f>IFERROR(__xludf.DUMMYFUNCTION("""COMPUTED_VALUE"""),"Standby")</f>
        <v>Standby</v>
      </c>
      <c r="K83" s="27">
        <f>IFERROR(__xludf.DUMMYFUNCTION("""COMPUTED_VALUE"""),3698431.0)</f>
        <v>3698431</v>
      </c>
      <c r="L83" s="27">
        <f>IFERROR(__xludf.DUMMYFUNCTION("""COMPUTED_VALUE"""),3698431.0)</f>
        <v>3698431</v>
      </c>
      <c r="M83" s="3" t="str">
        <f>IFERROR(__xludf.DUMMYFUNCTION("""COMPUTED_VALUE"""),"Waiting Update")</f>
        <v>Waiting Update</v>
      </c>
      <c r="N83" s="3"/>
      <c r="O83" s="3" t="str">
        <f>IFERROR(VLOOKUP(C83,Sheet4!A83:F870,6,0),"")</f>
        <v/>
      </c>
      <c r="Q83" s="2" t="str">
        <f t="shared" si="1"/>
        <v>15</v>
      </c>
    </row>
    <row r="84">
      <c r="A84" s="3" t="str">
        <f>IFERROR(__xludf.DUMMYFUNCTION("""COMPUTED_VALUE"""),"Site Down")</f>
        <v>Site Down</v>
      </c>
      <c r="B84" s="3" t="str">
        <f>IFERROR(__xludf.DUMMYFUNCTION("""COMPUTED_VALUE"""),"P1")</f>
        <v>P1</v>
      </c>
      <c r="C84" s="3" t="str">
        <f>IFERROR(__xludf.DUMMYFUNCTION("""COMPUTED_VALUE"""),"PRC189")</f>
        <v>PRC189</v>
      </c>
      <c r="D84" s="3" t="str">
        <f>IFERROR(__xludf.DUMMYFUNCTION("""COMPUTED_VALUE"""),"Murjani")</f>
        <v>Murjani</v>
      </c>
      <c r="E84" s="3" t="str">
        <f>IFERROR(__xludf.DUMMYFUNCTION("""COMPUTED_VALUE"""),"TE")</f>
        <v>TE</v>
      </c>
      <c r="F84" s="3" t="str">
        <f>IFERROR(__xludf.DUMMYFUNCTION("""COMPUTED_VALUE"""),"Winda Sokenda")</f>
        <v>Winda Sokenda</v>
      </c>
      <c r="G84" s="3" t="str">
        <f>IFERROR(__xludf.DUMMYFUNCTION("""COMPUTED_VALUE"""),"Barito Raya")</f>
        <v>Barito Raya</v>
      </c>
      <c r="H84" s="3" t="str">
        <f>IFERROR(__xludf.DUMMYFUNCTION("""COMPUTED_VALUE"""),"Corrective")</f>
        <v>Corrective</v>
      </c>
      <c r="I84" s="3" t="str">
        <f>IFERROR(__xludf.DUMMYFUNCTION("""COMPUTED_VALUE"""),"Pemadaman,MCB Trip,Transmisi problem")</f>
        <v>Pemadaman,MCB Trip,Transmisi problem</v>
      </c>
      <c r="J84" s="3" t="str">
        <f>IFERROR(__xludf.DUMMYFUNCTION("""COMPUTED_VALUE"""),"On Progress")</f>
        <v>On Progress</v>
      </c>
      <c r="K84" s="27">
        <f>IFERROR(__xludf.DUMMYFUNCTION("""COMPUTED_VALUE"""),3698431.0)</f>
        <v>3698431</v>
      </c>
      <c r="L84" s="27">
        <f>IFERROR(__xludf.DUMMYFUNCTION("""COMPUTED_VALUE"""),3698431.0)</f>
        <v>3698431</v>
      </c>
      <c r="M84" s="3" t="str">
        <f>IFERROR(__xludf.DUMMYFUNCTION("""COMPUTED_VALUE"""),"Done")</f>
        <v>Done</v>
      </c>
      <c r="N84" s="3"/>
      <c r="O84" s="3">
        <f>IFERROR(VLOOKUP(C84,Sheet4!A84:F871,6,0),"")</f>
        <v>11463516</v>
      </c>
      <c r="Q84" s="2" t="str">
        <f t="shared" si="1"/>
        <v>15</v>
      </c>
    </row>
    <row r="85">
      <c r="A85" s="3" t="str">
        <f>IFERROR(__xludf.DUMMYFUNCTION("""COMPUTED_VALUE"""),"Tshoot Genset")</f>
        <v>Tshoot Genset</v>
      </c>
      <c r="B85" s="3" t="str">
        <f>IFERROR(__xludf.DUMMYFUNCTION("""COMPUTED_VALUE"""),"P1")</f>
        <v>P1</v>
      </c>
      <c r="C85" s="3" t="str">
        <f>IFERROR(__xludf.DUMMYFUNCTION("""COMPUTED_VALUE"""),"KKP217")</f>
        <v>KKP217</v>
      </c>
      <c r="D85" s="3" t="str">
        <f>IFERROR(__xludf.DUMMYFUNCTION("""COMPUTED_VALUE"""),"Fahmi")</f>
        <v>Fahmi</v>
      </c>
      <c r="E85" s="3" t="str">
        <f>IFERROR(__xludf.DUMMYFUNCTION("""COMPUTED_VALUE"""),"TE")</f>
        <v>TE</v>
      </c>
      <c r="F85" s="3" t="str">
        <f>IFERROR(__xludf.DUMMYFUNCTION("""COMPUTED_VALUE"""),"Winda Sokenda")</f>
        <v>Winda Sokenda</v>
      </c>
      <c r="G85" s="3" t="str">
        <f>IFERROR(__xludf.DUMMYFUNCTION("""COMPUTED_VALUE"""),"Barito Raya")</f>
        <v>Barito Raya</v>
      </c>
      <c r="H85" s="3" t="str">
        <f>IFERROR(__xludf.DUMMYFUNCTION("""COMPUTED_VALUE"""),"Corrective")</f>
        <v>Corrective</v>
      </c>
      <c r="I85" s="3" t="str">
        <f>IFERROR(__xludf.DUMMYFUNCTION("""COMPUTED_VALUE"""),"Perbaikan Auto,pergantian relay,timer, yang berhubungan genset")</f>
        <v>Perbaikan Auto,pergantian relay,timer, yang berhubungan genset</v>
      </c>
      <c r="J85" s="3" t="str">
        <f>IFERROR(__xludf.DUMMYFUNCTION("""COMPUTED_VALUE"""),"On Progress")</f>
        <v>On Progress</v>
      </c>
      <c r="K85" s="27">
        <f>IFERROR(__xludf.DUMMYFUNCTION("""COMPUTED_VALUE"""),3698431.0)</f>
        <v>3698431</v>
      </c>
      <c r="L85" s="27">
        <f>IFERROR(__xludf.DUMMYFUNCTION("""COMPUTED_VALUE"""),3698431.0)</f>
        <v>3698431</v>
      </c>
      <c r="M85" s="3" t="str">
        <f>IFERROR(__xludf.DUMMYFUNCTION("""COMPUTED_VALUE"""),"Waiting Update")</f>
        <v>Waiting Update</v>
      </c>
      <c r="N85" s="3"/>
      <c r="O85" s="3">
        <f>IFERROR(VLOOKUP(C85,Sheet4!A85:F872,6,0),"")</f>
        <v>11424023</v>
      </c>
      <c r="Q85" s="2" t="str">
        <f t="shared" si="1"/>
        <v>15</v>
      </c>
    </row>
    <row r="86">
      <c r="A86" s="3" t="str">
        <f>IFERROR(__xludf.DUMMYFUNCTION("""COMPUTED_VALUE"""),"Support Event")</f>
        <v>Support Event</v>
      </c>
      <c r="B86" s="3" t="str">
        <f>IFERROR(__xludf.DUMMYFUNCTION("""COMPUTED_VALUE"""),"P2")</f>
        <v>P2</v>
      </c>
      <c r="C86" s="3" t="str">
        <f>IFERROR(__xludf.DUMMYFUNCTION("""COMPUTED_VALUE"""),"PLK046")</f>
        <v>PLK046</v>
      </c>
      <c r="D86" s="3" t="str">
        <f>IFERROR(__xludf.DUMMYFUNCTION("""COMPUTED_VALUE"""),"james jimbris")</f>
        <v>james jimbris</v>
      </c>
      <c r="E86" s="3" t="str">
        <f>IFERROR(__xludf.DUMMYFUNCTION("""COMPUTED_VALUE"""),"TE")</f>
        <v>TE</v>
      </c>
      <c r="F86" s="3" t="str">
        <f>IFERROR(__xludf.DUMMYFUNCTION("""COMPUTED_VALUE"""),"Doni Damara")</f>
        <v>Doni Damara</v>
      </c>
      <c r="G86" s="3" t="str">
        <f>IFERROR(__xludf.DUMMYFUNCTION("""COMPUTED_VALUE"""),"Palangkaraya")</f>
        <v>Palangkaraya</v>
      </c>
      <c r="H86" s="3" t="str">
        <f>IFERROR(__xludf.DUMMYFUNCTION("""COMPUTED_VALUE"""),"Corrective")</f>
        <v>Corrective</v>
      </c>
      <c r="I86" s="3" t="str">
        <f>IFERROR(__xludf.DUMMYFUNCTION("""COMPUTED_VALUE"""),"Support Event")</f>
        <v>Support Event</v>
      </c>
      <c r="J86" s="3" t="str">
        <f>IFERROR(__xludf.DUMMYFUNCTION("""COMPUTED_VALUE"""),"On Progress")</f>
        <v>On Progress</v>
      </c>
      <c r="K86" s="27">
        <f>IFERROR(__xludf.DUMMYFUNCTION("""COMPUTED_VALUE"""),3698431.0)</f>
        <v>3698431</v>
      </c>
      <c r="L86" s="27">
        <f>IFERROR(__xludf.DUMMYFUNCTION("""COMPUTED_VALUE"""),3698431.0)</f>
        <v>3698431</v>
      </c>
      <c r="M86" s="3" t="str">
        <f>IFERROR(__xludf.DUMMYFUNCTION("""COMPUTED_VALUE"""),"Done")</f>
        <v>Done</v>
      </c>
      <c r="N86" s="3"/>
      <c r="O86" s="3">
        <f>IFERROR(VLOOKUP(C86,Sheet4!A86:F873,6,0),"")</f>
        <v>11391769</v>
      </c>
      <c r="Q86" s="2" t="str">
        <f t="shared" si="1"/>
        <v>15</v>
      </c>
    </row>
    <row r="87">
      <c r="A87" s="3" t="str">
        <f>IFERROR(__xludf.DUMMYFUNCTION("""COMPUTED_VALUE"""),"Cell down")</f>
        <v>Cell down</v>
      </c>
      <c r="B87" s="3" t="str">
        <f>IFERROR(__xludf.DUMMYFUNCTION("""COMPUTED_VALUE"""),"P1")</f>
        <v>P1</v>
      </c>
      <c r="C87" s="3" t="str">
        <f>IFERROR(__xludf.DUMMYFUNCTION("""COMPUTED_VALUE"""),"PLK247")</f>
        <v>PLK247</v>
      </c>
      <c r="D87" s="3" t="str">
        <f>IFERROR(__xludf.DUMMYFUNCTION("""COMPUTED_VALUE"""),"Ahmad")</f>
        <v>Ahmad</v>
      </c>
      <c r="E87" s="3" t="str">
        <f>IFERROR(__xludf.DUMMYFUNCTION("""COMPUTED_VALUE"""),"TE")</f>
        <v>TE</v>
      </c>
      <c r="F87" s="3" t="str">
        <f>IFERROR(__xludf.DUMMYFUNCTION("""COMPUTED_VALUE"""),"Doni Damara")</f>
        <v>Doni Damara</v>
      </c>
      <c r="G87" s="3" t="str">
        <f>IFERROR(__xludf.DUMMYFUNCTION("""COMPUTED_VALUE"""),"Palangkaraya")</f>
        <v>Palangkaraya</v>
      </c>
      <c r="H87" s="3" t="str">
        <f>IFERROR(__xludf.DUMMYFUNCTION("""COMPUTED_VALUE"""),"Corrective")</f>
        <v>Corrective</v>
      </c>
      <c r="I87" s="3" t="str">
        <f>IFERROR(__xludf.DUMMYFUNCTION("""COMPUTED_VALUE"""),"Replace Optik,RRU/Soket Power/Replace GPS")</f>
        <v>Replace Optik,RRU/Soket Power/Replace GPS</v>
      </c>
      <c r="J87" s="3" t="str">
        <f>IFERROR(__xludf.DUMMYFUNCTION("""COMPUTED_VALUE"""),"On Progress")</f>
        <v>On Progress</v>
      </c>
      <c r="K87" s="27">
        <f>IFERROR(__xludf.DUMMYFUNCTION("""COMPUTED_VALUE"""),3698431.0)</f>
        <v>3698431</v>
      </c>
      <c r="L87" s="27">
        <f>IFERROR(__xludf.DUMMYFUNCTION("""COMPUTED_VALUE"""),3698431.0)</f>
        <v>3698431</v>
      </c>
      <c r="M87" s="3" t="str">
        <f>IFERROR(__xludf.DUMMYFUNCTION("""COMPUTED_VALUE"""),"Pending")</f>
        <v>Pending</v>
      </c>
      <c r="N87" s="3"/>
      <c r="O87" s="3">
        <f>IFERROR(VLOOKUP(C87,Sheet4!A87:F874,6,0),"")</f>
        <v>11391569</v>
      </c>
      <c r="Q87" s="2" t="str">
        <f t="shared" si="1"/>
        <v>15</v>
      </c>
    </row>
    <row r="88">
      <c r="A88" s="3" t="str">
        <f>IFERROR(__xludf.DUMMYFUNCTION("""COMPUTED_VALUE"""),"Cell down")</f>
        <v>Cell down</v>
      </c>
      <c r="B88" s="3" t="str">
        <f>IFERROR(__xludf.DUMMYFUNCTION("""COMPUTED_VALUE"""),"P1")</f>
        <v>P1</v>
      </c>
      <c r="C88" s="3" t="str">
        <f>IFERROR(__xludf.DUMMYFUNCTION("""COMPUTED_VALUE"""),"PLK247")</f>
        <v>PLK247</v>
      </c>
      <c r="D88" s="3" t="str">
        <f>IFERROR(__xludf.DUMMYFUNCTION("""COMPUTED_VALUE"""),"Adi Bowo Santoso")</f>
        <v>Adi Bowo Santoso</v>
      </c>
      <c r="E88" s="3" t="str">
        <f>IFERROR(__xludf.DUMMYFUNCTION("""COMPUTED_VALUE"""),"TE")</f>
        <v>TE</v>
      </c>
      <c r="F88" s="3" t="str">
        <f>IFERROR(__xludf.DUMMYFUNCTION("""COMPUTED_VALUE"""),"Doni Damara")</f>
        <v>Doni Damara</v>
      </c>
      <c r="G88" s="3" t="str">
        <f>IFERROR(__xludf.DUMMYFUNCTION("""COMPUTED_VALUE"""),"Palangkaraya")</f>
        <v>Palangkaraya</v>
      </c>
      <c r="H88" s="3" t="str">
        <f>IFERROR(__xludf.DUMMYFUNCTION("""COMPUTED_VALUE"""),"Corrective")</f>
        <v>Corrective</v>
      </c>
      <c r="I88" s="3" t="str">
        <f>IFERROR(__xludf.DUMMYFUNCTION("""COMPUTED_VALUE"""),"Replace Optik,RRU/Soket Power/Replace GPS")</f>
        <v>Replace Optik,RRU/Soket Power/Replace GPS</v>
      </c>
      <c r="J88" s="3" t="str">
        <f>IFERROR(__xludf.DUMMYFUNCTION("""COMPUTED_VALUE"""),"On Progress")</f>
        <v>On Progress</v>
      </c>
      <c r="K88" s="27">
        <f>IFERROR(__xludf.DUMMYFUNCTION("""COMPUTED_VALUE"""),3698431.0)</f>
        <v>3698431</v>
      </c>
      <c r="L88" s="27">
        <f>IFERROR(__xludf.DUMMYFUNCTION("""COMPUTED_VALUE"""),3698431.0)</f>
        <v>3698431</v>
      </c>
      <c r="M88" s="3" t="str">
        <f>IFERROR(__xludf.DUMMYFUNCTION("""COMPUTED_VALUE"""),"Pending")</f>
        <v>Pending</v>
      </c>
      <c r="N88" s="3"/>
      <c r="O88" s="3">
        <f>IFERROR(VLOOKUP(C88,Sheet4!A88:F875,6,0),"")</f>
        <v>11391569</v>
      </c>
      <c r="Q88" s="2" t="str">
        <f t="shared" si="1"/>
        <v>15</v>
      </c>
    </row>
    <row r="89">
      <c r="A89" s="3" t="str">
        <f>IFERROR(__xludf.DUMMYFUNCTION("""COMPUTED_VALUE"""),"Pengecekan battrey")</f>
        <v>Pengecekan battrey</v>
      </c>
      <c r="B89" s="3" t="str">
        <f>IFERROR(__xludf.DUMMYFUNCTION("""COMPUTED_VALUE"""),"P2")</f>
        <v>P2</v>
      </c>
      <c r="C89" s="3" t="str">
        <f>IFERROR(__xludf.DUMMYFUNCTION("""COMPUTED_VALUE"""),"PPS054")</f>
        <v>PPS054</v>
      </c>
      <c r="D89" s="3" t="str">
        <f>IFERROR(__xludf.DUMMYFUNCTION("""COMPUTED_VALUE"""),"Yahya Muhamad")</f>
        <v>Yahya Muhamad</v>
      </c>
      <c r="E89" s="3" t="str">
        <f>IFERROR(__xludf.DUMMYFUNCTION("""COMPUTED_VALUE"""),"TE")</f>
        <v>TE</v>
      </c>
      <c r="F89" s="3" t="str">
        <f>IFERROR(__xludf.DUMMYFUNCTION("""COMPUTED_VALUE"""),"Doni Damara")</f>
        <v>Doni Damara</v>
      </c>
      <c r="G89" s="3" t="str">
        <f>IFERROR(__xludf.DUMMYFUNCTION("""COMPUTED_VALUE"""),"Palangkaraya")</f>
        <v>Palangkaraya</v>
      </c>
      <c r="H89" s="3" t="str">
        <f>IFERROR(__xludf.DUMMYFUNCTION("""COMPUTED_VALUE"""),"Preventive")</f>
        <v>Preventive</v>
      </c>
      <c r="I89" s="3" t="str">
        <f>IFERROR(__xludf.DUMMYFUNCTION("""COMPUTED_VALUE"""),"Pengukuran dan pengambilan data log serta input Gdoc BBT")</f>
        <v>Pengukuran dan pengambilan data log serta input Gdoc BBT</v>
      </c>
      <c r="J89" s="3" t="str">
        <f>IFERROR(__xludf.DUMMYFUNCTION("""COMPUTED_VALUE"""),"On Progress")</f>
        <v>On Progress</v>
      </c>
      <c r="K89" s="27">
        <f>IFERROR(__xludf.DUMMYFUNCTION("""COMPUTED_VALUE"""),3698431.0)</f>
        <v>3698431</v>
      </c>
      <c r="L89" s="27">
        <f>IFERROR(__xludf.DUMMYFUNCTION("""COMPUTED_VALUE"""),3698431.0)</f>
        <v>3698431</v>
      </c>
      <c r="M89" s="3" t="str">
        <f>IFERROR(__xludf.DUMMYFUNCTION("""COMPUTED_VALUE"""),"Pending")</f>
        <v>Pending</v>
      </c>
      <c r="N89" s="3"/>
      <c r="O89" s="3">
        <f>IFERROR(VLOOKUP(C89,Sheet4!A89:F876,6,0),"")</f>
        <v>11420639</v>
      </c>
      <c r="Q89" s="2" t="str">
        <f t="shared" si="1"/>
        <v>15</v>
      </c>
    </row>
    <row r="90">
      <c r="A90" s="3" t="str">
        <f>IFERROR(__xludf.DUMMYFUNCTION("""COMPUTED_VALUE"""),"Site Down")</f>
        <v>Site Down</v>
      </c>
      <c r="B90" s="3" t="str">
        <f>IFERROR(__xludf.DUMMYFUNCTION("""COMPUTED_VALUE"""),"P1")</f>
        <v>P1</v>
      </c>
      <c r="C90" s="3" t="str">
        <f>IFERROR(__xludf.DUMMYFUNCTION("""COMPUTED_VALUE"""),"PPS007")</f>
        <v>PPS007</v>
      </c>
      <c r="D90" s="3" t="str">
        <f>IFERROR(__xludf.DUMMYFUNCTION("""COMPUTED_VALUE"""),"Muhamad Rayhan")</f>
        <v>Muhamad Rayhan</v>
      </c>
      <c r="E90" s="3" t="str">
        <f>IFERROR(__xludf.DUMMYFUNCTION("""COMPUTED_VALUE"""),"TE")</f>
        <v>TE</v>
      </c>
      <c r="F90" s="3" t="str">
        <f>IFERROR(__xludf.DUMMYFUNCTION("""COMPUTED_VALUE"""),"Doni Damara")</f>
        <v>Doni Damara</v>
      </c>
      <c r="G90" s="3" t="str">
        <f>IFERROR(__xludf.DUMMYFUNCTION("""COMPUTED_VALUE"""),"Palangkaraya")</f>
        <v>Palangkaraya</v>
      </c>
      <c r="H90" s="3" t="str">
        <f>IFERROR(__xludf.DUMMYFUNCTION("""COMPUTED_VALUE"""),"Corrective")</f>
        <v>Corrective</v>
      </c>
      <c r="I90" s="3" t="str">
        <f>IFERROR(__xludf.DUMMYFUNCTION("""COMPUTED_VALUE"""),"Pemadaman,MCB Trip,Transmisi problem")</f>
        <v>Pemadaman,MCB Trip,Transmisi problem</v>
      </c>
      <c r="J90" s="3" t="str">
        <f>IFERROR(__xludf.DUMMYFUNCTION("""COMPUTED_VALUE"""),"On Progress")</f>
        <v>On Progress</v>
      </c>
      <c r="K90" s="27">
        <f>IFERROR(__xludf.DUMMYFUNCTION("""COMPUTED_VALUE"""),3698431.0)</f>
        <v>3698431</v>
      </c>
      <c r="L90" s="27">
        <f>IFERROR(__xludf.DUMMYFUNCTION("""COMPUTED_VALUE"""),3698431.0)</f>
        <v>3698431</v>
      </c>
      <c r="M90" s="3" t="str">
        <f>IFERROR(__xludf.DUMMYFUNCTION("""COMPUTED_VALUE"""),"Pending")</f>
        <v>Pending</v>
      </c>
      <c r="N90" s="3"/>
      <c r="O90" s="3">
        <f>IFERROR(VLOOKUP(C90,Sheet4!A90:F877,6,0),"")</f>
        <v>11415633</v>
      </c>
      <c r="Q90" s="2" t="str">
        <f t="shared" si="1"/>
        <v>15</v>
      </c>
    </row>
    <row r="91">
      <c r="A91" s="3" t="str">
        <f>IFERROR(__xludf.DUMMYFUNCTION("""COMPUTED_VALUE"""),"Vswr")</f>
        <v>Vswr</v>
      </c>
      <c r="B91" s="3" t="str">
        <f>IFERROR(__xludf.DUMMYFUNCTION("""COMPUTED_VALUE"""),"P1")</f>
        <v>P1</v>
      </c>
      <c r="C91" s="3" t="str">
        <f>IFERROR(__xludf.DUMMYFUNCTION("""COMPUTED_VALUE"""),"KKN006")</f>
        <v>KKN006</v>
      </c>
      <c r="D91" s="3" t="str">
        <f>IFERROR(__xludf.DUMMYFUNCTION("""COMPUTED_VALUE"""),"Leonard")</f>
        <v>Leonard</v>
      </c>
      <c r="E91" s="3" t="str">
        <f>IFERROR(__xludf.DUMMYFUNCTION("""COMPUTED_VALUE"""),"TE")</f>
        <v>TE</v>
      </c>
      <c r="F91" s="3" t="str">
        <f>IFERROR(__xludf.DUMMYFUNCTION("""COMPUTED_VALUE"""),"Doni Damara")</f>
        <v>Doni Damara</v>
      </c>
      <c r="G91" s="3" t="str">
        <f>IFERROR(__xludf.DUMMYFUNCTION("""COMPUTED_VALUE"""),"Palangkaraya")</f>
        <v>Palangkaraya</v>
      </c>
      <c r="H91" s="3" t="str">
        <f>IFERROR(__xludf.DUMMYFUNCTION("""COMPUTED_VALUE"""),"Corrective")</f>
        <v>Corrective</v>
      </c>
      <c r="I91" s="3" t="str">
        <f>IFERROR(__xludf.DUMMYFUNCTION("""COMPUTED_VALUE"""),"Replace Jumper,antena/RRU")</f>
        <v>Replace Jumper,antena/RRU</v>
      </c>
      <c r="J91" s="3" t="str">
        <f>IFERROR(__xludf.DUMMYFUNCTION("""COMPUTED_VALUE"""),"On Progress")</f>
        <v>On Progress</v>
      </c>
      <c r="K91" s="27">
        <f>IFERROR(__xludf.DUMMYFUNCTION("""COMPUTED_VALUE"""),3698431.0)</f>
        <v>3698431</v>
      </c>
      <c r="L91" s="27">
        <f>IFERROR(__xludf.DUMMYFUNCTION("""COMPUTED_VALUE"""),3698431.0)</f>
        <v>3698431</v>
      </c>
      <c r="M91" s="3" t="str">
        <f>IFERROR(__xludf.DUMMYFUNCTION("""COMPUTED_VALUE"""),"Done")</f>
        <v>Done</v>
      </c>
      <c r="N91" s="3"/>
      <c r="O91" s="3">
        <f>IFERROR(VLOOKUP(C91,Sheet4!A91:F878,6,0),"")</f>
        <v>11372689</v>
      </c>
      <c r="Q91" s="2" t="str">
        <f t="shared" si="1"/>
        <v>15</v>
      </c>
    </row>
    <row r="92">
      <c r="A92" s="3" t="str">
        <f>IFERROR(__xludf.DUMMYFUNCTION("""COMPUTED_VALUE"""),"Vswr")</f>
        <v>Vswr</v>
      </c>
      <c r="B92" s="3" t="str">
        <f>IFERROR(__xludf.DUMMYFUNCTION("""COMPUTED_VALUE"""),"P1")</f>
        <v>P1</v>
      </c>
      <c r="C92" s="3" t="str">
        <f>IFERROR(__xludf.DUMMYFUNCTION("""COMPUTED_VALUE"""),"KKN006")</f>
        <v>KKN006</v>
      </c>
      <c r="D92" s="3" t="str">
        <f>IFERROR(__xludf.DUMMYFUNCTION("""COMPUTED_VALUE"""),"Aulia Rahman")</f>
        <v>Aulia Rahman</v>
      </c>
      <c r="E92" s="3" t="str">
        <f>IFERROR(__xludf.DUMMYFUNCTION("""COMPUTED_VALUE"""),"TE")</f>
        <v>TE</v>
      </c>
      <c r="F92" s="3" t="str">
        <f>IFERROR(__xludf.DUMMYFUNCTION("""COMPUTED_VALUE"""),"Doni Damara")</f>
        <v>Doni Damara</v>
      </c>
      <c r="G92" s="3" t="str">
        <f>IFERROR(__xludf.DUMMYFUNCTION("""COMPUTED_VALUE"""),"Palangkaraya")</f>
        <v>Palangkaraya</v>
      </c>
      <c r="H92" s="3" t="str">
        <f>IFERROR(__xludf.DUMMYFUNCTION("""COMPUTED_VALUE"""),"Corrective")</f>
        <v>Corrective</v>
      </c>
      <c r="I92" s="3" t="str">
        <f>IFERROR(__xludf.DUMMYFUNCTION("""COMPUTED_VALUE"""),"Replace Jumper,antena/RRU")</f>
        <v>Replace Jumper,antena/RRU</v>
      </c>
      <c r="J92" s="3" t="str">
        <f>IFERROR(__xludf.DUMMYFUNCTION("""COMPUTED_VALUE"""),"On Progress")</f>
        <v>On Progress</v>
      </c>
      <c r="K92" s="27">
        <f>IFERROR(__xludf.DUMMYFUNCTION("""COMPUTED_VALUE"""),3698431.0)</f>
        <v>3698431</v>
      </c>
      <c r="L92" s="27">
        <f>IFERROR(__xludf.DUMMYFUNCTION("""COMPUTED_VALUE"""),3698431.0)</f>
        <v>3698431</v>
      </c>
      <c r="M92" s="3" t="str">
        <f>IFERROR(__xludf.DUMMYFUNCTION("""COMPUTED_VALUE"""),"Done")</f>
        <v>Done</v>
      </c>
      <c r="N92" s="3"/>
      <c r="O92" s="3">
        <f>IFERROR(VLOOKUP(C92,Sheet4!A92:F879,6,0),"")</f>
        <v>11372689</v>
      </c>
      <c r="Q92" s="2" t="str">
        <f t="shared" si="1"/>
        <v>15</v>
      </c>
    </row>
    <row r="93">
      <c r="A93" s="3" t="str">
        <f>IFERROR(__xludf.DUMMYFUNCTION("""COMPUTED_VALUE"""),"Site Down")</f>
        <v>Site Down</v>
      </c>
      <c r="B93" s="3" t="str">
        <f>IFERROR(__xludf.DUMMYFUNCTION("""COMPUTED_VALUE"""),"P1")</f>
        <v>P1</v>
      </c>
      <c r="C93" s="3" t="str">
        <f>IFERROR(__xludf.DUMMYFUNCTION("""COMPUTED_VALUE"""),"KSN765")</f>
        <v>KSN765</v>
      </c>
      <c r="D93" s="3" t="str">
        <f>IFERROR(__xludf.DUMMYFUNCTION("""COMPUTED_VALUE"""),"Muhammad Mukhlis")</f>
        <v>Muhammad Mukhlis</v>
      </c>
      <c r="E93" s="3" t="str">
        <f>IFERROR(__xludf.DUMMYFUNCTION("""COMPUTED_VALUE"""),"TE")</f>
        <v>TE</v>
      </c>
      <c r="F93" s="3" t="str">
        <f>IFERROR(__xludf.DUMMYFUNCTION("""COMPUTED_VALUE"""),"Doni Damara")</f>
        <v>Doni Damara</v>
      </c>
      <c r="G93" s="3" t="str">
        <f>IFERROR(__xludf.DUMMYFUNCTION("""COMPUTED_VALUE"""),"Palangkaraya")</f>
        <v>Palangkaraya</v>
      </c>
      <c r="H93" s="3" t="str">
        <f>IFERROR(__xludf.DUMMYFUNCTION("""COMPUTED_VALUE"""),"Corrective")</f>
        <v>Corrective</v>
      </c>
      <c r="I93" s="3" t="str">
        <f>IFERROR(__xludf.DUMMYFUNCTION("""COMPUTED_VALUE"""),"Pemadaman,MCB Trip,Transmisi problem")</f>
        <v>Pemadaman,MCB Trip,Transmisi problem</v>
      </c>
      <c r="J93" s="3" t="str">
        <f>IFERROR(__xludf.DUMMYFUNCTION("""COMPUTED_VALUE"""),"On Progress")</f>
        <v>On Progress</v>
      </c>
      <c r="K93" s="27">
        <f>IFERROR(__xludf.DUMMYFUNCTION("""COMPUTED_VALUE"""),3698431.0)</f>
        <v>3698431</v>
      </c>
      <c r="L93" s="27">
        <f>IFERROR(__xludf.DUMMYFUNCTION("""COMPUTED_VALUE"""),3698431.0)</f>
        <v>3698431</v>
      </c>
      <c r="M93" s="3" t="str">
        <f>IFERROR(__xludf.DUMMYFUNCTION("""COMPUTED_VALUE"""),"Done")</f>
        <v>Done</v>
      </c>
      <c r="N93" s="3"/>
      <c r="O93" s="3">
        <f>IFERROR(VLOOKUP(C93,Sheet4!A93:F880,6,0),"")</f>
        <v>11330861</v>
      </c>
      <c r="Q93" s="2" t="str">
        <f t="shared" si="1"/>
        <v>15</v>
      </c>
    </row>
    <row r="94">
      <c r="A94" s="3" t="str">
        <f>IFERROR(__xludf.DUMMYFUNCTION("""COMPUTED_VALUE"""),"Pengecekan battrey")</f>
        <v>Pengecekan battrey</v>
      </c>
      <c r="B94" s="3" t="str">
        <f>IFERROR(__xludf.DUMMYFUNCTION("""COMPUTED_VALUE"""),"P2")</f>
        <v>P2</v>
      </c>
      <c r="C94" s="3" t="str">
        <f>IFERROR(__xludf.DUMMYFUNCTION("""COMPUTED_VALUE"""),"KSN713")</f>
        <v>KSN713</v>
      </c>
      <c r="D94" s="3" t="str">
        <f>IFERROR(__xludf.DUMMYFUNCTION("""COMPUTED_VALUE"""),"Muhammad Mukti")</f>
        <v>Muhammad Mukti</v>
      </c>
      <c r="E94" s="3" t="str">
        <f>IFERROR(__xludf.DUMMYFUNCTION("""COMPUTED_VALUE"""),"TE")</f>
        <v>TE</v>
      </c>
      <c r="F94" s="3" t="str">
        <f>IFERROR(__xludf.DUMMYFUNCTION("""COMPUTED_VALUE"""),"Doni Damara")</f>
        <v>Doni Damara</v>
      </c>
      <c r="G94" s="3" t="str">
        <f>IFERROR(__xludf.DUMMYFUNCTION("""COMPUTED_VALUE"""),"Palangkaraya")</f>
        <v>Palangkaraya</v>
      </c>
      <c r="H94" s="3" t="str">
        <f>IFERROR(__xludf.DUMMYFUNCTION("""COMPUTED_VALUE"""),"Preventive")</f>
        <v>Preventive</v>
      </c>
      <c r="I94" s="3" t="str">
        <f>IFERROR(__xludf.DUMMYFUNCTION("""COMPUTED_VALUE"""),"Pengukuran dan pengambilan data log serta input Gdoc BBT")</f>
        <v>Pengukuran dan pengambilan data log serta input Gdoc BBT</v>
      </c>
      <c r="J94" s="3" t="str">
        <f>IFERROR(__xludf.DUMMYFUNCTION("""COMPUTED_VALUE"""),"On Progress")</f>
        <v>On Progress</v>
      </c>
      <c r="K94" s="27">
        <f>IFERROR(__xludf.DUMMYFUNCTION("""COMPUTED_VALUE"""),3698431.0)</f>
        <v>3698431</v>
      </c>
      <c r="L94" s="27">
        <f>IFERROR(__xludf.DUMMYFUNCTION("""COMPUTED_VALUE"""),3698431.0)</f>
        <v>3698431</v>
      </c>
      <c r="M94" s="3" t="str">
        <f>IFERROR(__xludf.DUMMYFUNCTION("""COMPUTED_VALUE"""),"Pending")</f>
        <v>Pending</v>
      </c>
      <c r="N94" s="3"/>
      <c r="O94" s="3" t="str">
        <f>IFERROR(VLOOKUP(C94,Sheet4!A94:F881,6,0),"")</f>
        <v/>
      </c>
      <c r="Q94" s="2" t="str">
        <f t="shared" si="1"/>
        <v>15</v>
      </c>
    </row>
    <row r="95">
      <c r="A95" s="3" t="str">
        <f>IFERROR(__xludf.DUMMYFUNCTION("""COMPUTED_VALUE"""),"PM")</f>
        <v>PM</v>
      </c>
      <c r="B95" s="3" t="str">
        <f>IFERROR(__xludf.DUMMYFUNCTION("""COMPUTED_VALUE"""),"P2")</f>
        <v>P2</v>
      </c>
      <c r="C95" s="3" t="str">
        <f>IFERROR(__xludf.DUMMYFUNCTION("""COMPUTED_VALUE"""),"KSN002")</f>
        <v>KSN002</v>
      </c>
      <c r="D95" s="3" t="str">
        <f>IFERROR(__xludf.DUMMYFUNCTION("""COMPUTED_VALUE"""),"Indra")</f>
        <v>Indra</v>
      </c>
      <c r="E95" s="3" t="str">
        <f>IFERROR(__xludf.DUMMYFUNCTION("""COMPUTED_VALUE"""),"PM")</f>
        <v>PM</v>
      </c>
      <c r="F95" s="3" t="str">
        <f>IFERROR(__xludf.DUMMYFUNCTION("""COMPUTED_VALUE"""),"Doni Damara")</f>
        <v>Doni Damara</v>
      </c>
      <c r="G95" s="3" t="str">
        <f>IFERROR(__xludf.DUMMYFUNCTION("""COMPUTED_VALUE"""),"Palangkaraya")</f>
        <v>Palangkaraya</v>
      </c>
      <c r="H95" s="3" t="str">
        <f>IFERROR(__xludf.DUMMYFUNCTION("""COMPUTED_VALUE"""),"Preventive")</f>
        <v>Preventive</v>
      </c>
      <c r="I95" s="3" t="str">
        <f>IFERROR(__xludf.DUMMYFUNCTION("""COMPUTED_VALUE"""),"Preventive Maintenance")</f>
        <v>Preventive Maintenance</v>
      </c>
      <c r="J95" s="3" t="str">
        <f>IFERROR(__xludf.DUMMYFUNCTION("""COMPUTED_VALUE"""),"On Progress")</f>
        <v>On Progress</v>
      </c>
      <c r="K95" s="27">
        <f>IFERROR(__xludf.DUMMYFUNCTION("""COMPUTED_VALUE"""),3698431.0)</f>
        <v>3698431</v>
      </c>
      <c r="L95" s="27">
        <f>IFERROR(__xludf.DUMMYFUNCTION("""COMPUTED_VALUE"""),3698431.0)</f>
        <v>3698431</v>
      </c>
      <c r="M95" s="3" t="str">
        <f>IFERROR(__xludf.DUMMYFUNCTION("""COMPUTED_VALUE"""),"Done")</f>
        <v>Done</v>
      </c>
      <c r="N95" s="3"/>
      <c r="O95" s="3">
        <f>IFERROR(VLOOKUP(C95,Sheet4!A95:F882,6,0),"")</f>
        <v>1126923</v>
      </c>
      <c r="Q95" s="2" t="str">
        <f t="shared" si="1"/>
        <v>15</v>
      </c>
    </row>
    <row r="96">
      <c r="A96" s="3" t="str">
        <f>IFERROR(__xludf.DUMMYFUNCTION("""COMPUTED_VALUE"""),"PM")</f>
        <v>PM</v>
      </c>
      <c r="B96" s="3" t="str">
        <f>IFERROR(__xludf.DUMMYFUNCTION("""COMPUTED_VALUE"""),"P2")</f>
        <v>P2</v>
      </c>
      <c r="C96" s="3" t="str">
        <f>IFERROR(__xludf.DUMMYFUNCTION("""COMPUTED_VALUE"""),"PLK018")</f>
        <v>PLK018</v>
      </c>
      <c r="D96" s="3" t="str">
        <f>IFERROR(__xludf.DUMMYFUNCTION("""COMPUTED_VALUE"""),"Darli")</f>
        <v>Darli</v>
      </c>
      <c r="E96" s="3" t="str">
        <f>IFERROR(__xludf.DUMMYFUNCTION("""COMPUTED_VALUE"""),"PM")</f>
        <v>PM</v>
      </c>
      <c r="F96" s="3" t="str">
        <f>IFERROR(__xludf.DUMMYFUNCTION("""COMPUTED_VALUE"""),"Doni Damara")</f>
        <v>Doni Damara</v>
      </c>
      <c r="G96" s="3" t="str">
        <f>IFERROR(__xludf.DUMMYFUNCTION("""COMPUTED_VALUE"""),"Palangkaraya")</f>
        <v>Palangkaraya</v>
      </c>
      <c r="H96" s="3" t="str">
        <f>IFERROR(__xludf.DUMMYFUNCTION("""COMPUTED_VALUE"""),"Preventive")</f>
        <v>Preventive</v>
      </c>
      <c r="I96" s="3" t="str">
        <f>IFERROR(__xludf.DUMMYFUNCTION("""COMPUTED_VALUE"""),"Preventive Maintenance")</f>
        <v>Preventive Maintenance</v>
      </c>
      <c r="J96" s="3" t="str">
        <f>IFERROR(__xludf.DUMMYFUNCTION("""COMPUTED_VALUE"""),"On Progress")</f>
        <v>On Progress</v>
      </c>
      <c r="K96" s="27">
        <f>IFERROR(__xludf.DUMMYFUNCTION("""COMPUTED_VALUE"""),3698431.0)</f>
        <v>3698431</v>
      </c>
      <c r="L96" s="27">
        <f>IFERROR(__xludf.DUMMYFUNCTION("""COMPUTED_VALUE"""),3698431.0)</f>
        <v>3698431</v>
      </c>
      <c r="M96" s="3" t="str">
        <f>IFERROR(__xludf.DUMMYFUNCTION("""COMPUTED_VALUE"""),"Pending")</f>
        <v>Pending</v>
      </c>
      <c r="N96" s="3"/>
      <c r="O96" s="3" t="str">
        <f>IFERROR(VLOOKUP(C96,Sheet4!A96:F883,6,0),"")</f>
        <v/>
      </c>
      <c r="Q96" s="2" t="str">
        <f t="shared" si="1"/>
        <v>15</v>
      </c>
    </row>
    <row r="97">
      <c r="A97" s="3" t="str">
        <f>IFERROR(__xludf.DUMMYFUNCTION("""COMPUTED_VALUE"""),"PM")</f>
        <v>PM</v>
      </c>
      <c r="B97" s="3" t="str">
        <f>IFERROR(__xludf.DUMMYFUNCTION("""COMPUTED_VALUE"""),"P2")</f>
        <v>P2</v>
      </c>
      <c r="C97" s="3" t="str">
        <f>IFERROR(__xludf.DUMMYFUNCTION("""COMPUTED_VALUE"""),"PLK835")</f>
        <v>PLK835</v>
      </c>
      <c r="D97" s="3" t="str">
        <f>IFERROR(__xludf.DUMMYFUNCTION("""COMPUTED_VALUE"""),"AHMAD ARDIANTO FIRMANSYAH")</f>
        <v>AHMAD ARDIANTO FIRMANSYAH</v>
      </c>
      <c r="E97" s="3" t="str">
        <f>IFERROR(__xludf.DUMMYFUNCTION("""COMPUTED_VALUE"""),"PM")</f>
        <v>PM</v>
      </c>
      <c r="F97" s="3" t="str">
        <f>IFERROR(__xludf.DUMMYFUNCTION("""COMPUTED_VALUE"""),"Doni Damara")</f>
        <v>Doni Damara</v>
      </c>
      <c r="G97" s="3" t="str">
        <f>IFERROR(__xludf.DUMMYFUNCTION("""COMPUTED_VALUE"""),"Palangkaraya")</f>
        <v>Palangkaraya</v>
      </c>
      <c r="H97" s="3" t="str">
        <f>IFERROR(__xludf.DUMMYFUNCTION("""COMPUTED_VALUE"""),"Preventive")</f>
        <v>Preventive</v>
      </c>
      <c r="I97" s="3" t="str">
        <f>IFERROR(__xludf.DUMMYFUNCTION("""COMPUTED_VALUE"""),"Preventive Maintenance")</f>
        <v>Preventive Maintenance</v>
      </c>
      <c r="J97" s="3" t="str">
        <f>IFERROR(__xludf.DUMMYFUNCTION("""COMPUTED_VALUE"""),"On Progress")</f>
        <v>On Progress</v>
      </c>
      <c r="K97" s="27">
        <f>IFERROR(__xludf.DUMMYFUNCTION("""COMPUTED_VALUE"""),3698431.0)</f>
        <v>3698431</v>
      </c>
      <c r="L97" s="27">
        <f>IFERROR(__xludf.DUMMYFUNCTION("""COMPUTED_VALUE"""),3698431.0)</f>
        <v>3698431</v>
      </c>
      <c r="M97" s="3" t="str">
        <f>IFERROR(__xludf.DUMMYFUNCTION("""COMPUTED_VALUE"""),"Done")</f>
        <v>Done</v>
      </c>
      <c r="N97" s="3"/>
      <c r="O97" s="3">
        <f>IFERROR(VLOOKUP(C97,Sheet4!A97:F884,6,0),"")</f>
        <v>11402814</v>
      </c>
      <c r="Q97" s="2" t="str">
        <f t="shared" si="1"/>
        <v>15</v>
      </c>
    </row>
    <row r="98">
      <c r="A98" s="3" t="str">
        <f>IFERROR(__xludf.DUMMYFUNCTION("""COMPUTED_VALUE"""),"Standby On Call")</f>
        <v>Standby On Call</v>
      </c>
      <c r="B98" s="3" t="str">
        <f>IFERROR(__xludf.DUMMYFUNCTION("""COMPUTED_VALUE"""),"P3")</f>
        <v>P3</v>
      </c>
      <c r="C98" s="3"/>
      <c r="D98" s="3" t="str">
        <f>IFERROR(__xludf.DUMMYFUNCTION("""COMPUTED_VALUE"""),"Sarwono")</f>
        <v>Sarwono</v>
      </c>
      <c r="E98" s="3" t="str">
        <f>IFERROR(__xludf.DUMMYFUNCTION("""COMPUTED_VALUE"""),"CME")</f>
        <v>CME</v>
      </c>
      <c r="F98" s="3" t="str">
        <f>IFERROR(__xludf.DUMMYFUNCTION("""COMPUTED_VALUE"""),"Doni Damara")</f>
        <v>Doni Damara</v>
      </c>
      <c r="G98" s="3" t="str">
        <f>IFERROR(__xludf.DUMMYFUNCTION("""COMPUTED_VALUE"""),"Palangkaraya")</f>
        <v>Palangkaraya</v>
      </c>
      <c r="H98" s="3" t="str">
        <f>IFERROR(__xludf.DUMMYFUNCTION("""COMPUTED_VALUE"""),"Standby")</f>
        <v>Standby</v>
      </c>
      <c r="I98" s="3" t="str">
        <f>IFERROR(__xludf.DUMMYFUNCTION("""COMPUTED_VALUE"""),"Standby On Call")</f>
        <v>Standby On Call</v>
      </c>
      <c r="J98" s="3" t="str">
        <f>IFERROR(__xludf.DUMMYFUNCTION("""COMPUTED_VALUE"""),"Standby")</f>
        <v>Standby</v>
      </c>
      <c r="K98" s="27">
        <f>IFERROR(__xludf.DUMMYFUNCTION("""COMPUTED_VALUE"""),3698431.0)</f>
        <v>3698431</v>
      </c>
      <c r="L98" s="27">
        <f>IFERROR(__xludf.DUMMYFUNCTION("""COMPUTED_VALUE"""),3698431.0)</f>
        <v>3698431</v>
      </c>
      <c r="M98" s="3" t="str">
        <f>IFERROR(__xludf.DUMMYFUNCTION("""COMPUTED_VALUE"""),"Waiting Update")</f>
        <v>Waiting Update</v>
      </c>
      <c r="N98" s="3"/>
      <c r="O98" s="3" t="str">
        <f>IFERROR(VLOOKUP(C98,Sheet4!A98:F885,6,0),"")</f>
        <v/>
      </c>
      <c r="Q98" s="2" t="str">
        <f t="shared" si="1"/>
        <v>15</v>
      </c>
    </row>
    <row r="99">
      <c r="A99" s="3" t="str">
        <f>IFERROR(__xludf.DUMMYFUNCTION("""COMPUTED_VALUE"""),"Standby On Call")</f>
        <v>Standby On Call</v>
      </c>
      <c r="B99" s="3" t="str">
        <f>IFERROR(__xludf.DUMMYFUNCTION("""COMPUTED_VALUE"""),"P3")</f>
        <v>P3</v>
      </c>
      <c r="C99" s="3"/>
      <c r="D99" s="3" t="str">
        <f>IFERROR(__xludf.DUMMYFUNCTION("""COMPUTED_VALUE"""),"Purwanto")</f>
        <v>Purwanto</v>
      </c>
      <c r="E99" s="3" t="str">
        <f>IFERROR(__xludf.DUMMYFUNCTION("""COMPUTED_VALUE"""),"MBP")</f>
        <v>MBP</v>
      </c>
      <c r="F99" s="3" t="str">
        <f>IFERROR(__xludf.DUMMYFUNCTION("""COMPUTED_VALUE"""),"Doni Damara")</f>
        <v>Doni Damara</v>
      </c>
      <c r="G99" s="3" t="str">
        <f>IFERROR(__xludf.DUMMYFUNCTION("""COMPUTED_VALUE"""),"Palangkaraya")</f>
        <v>Palangkaraya</v>
      </c>
      <c r="H99" s="3" t="str">
        <f>IFERROR(__xludf.DUMMYFUNCTION("""COMPUTED_VALUE"""),"Standby")</f>
        <v>Standby</v>
      </c>
      <c r="I99" s="3" t="str">
        <f>IFERROR(__xludf.DUMMYFUNCTION("""COMPUTED_VALUE"""),"Standby On Call")</f>
        <v>Standby On Call</v>
      </c>
      <c r="J99" s="3" t="str">
        <f>IFERROR(__xludf.DUMMYFUNCTION("""COMPUTED_VALUE"""),"Standby")</f>
        <v>Standby</v>
      </c>
      <c r="K99" s="27">
        <f>IFERROR(__xludf.DUMMYFUNCTION("""COMPUTED_VALUE"""),3698431.0)</f>
        <v>3698431</v>
      </c>
      <c r="L99" s="27">
        <f>IFERROR(__xludf.DUMMYFUNCTION("""COMPUTED_VALUE"""),3698431.0)</f>
        <v>3698431</v>
      </c>
      <c r="M99" s="3" t="str">
        <f>IFERROR(__xludf.DUMMYFUNCTION("""COMPUTED_VALUE"""),"Waiting Update")</f>
        <v>Waiting Update</v>
      </c>
      <c r="N99" s="3"/>
      <c r="O99" s="3" t="str">
        <f>IFERROR(VLOOKUP(C99,Sheet4!A99:F886,6,0),"")</f>
        <v/>
      </c>
      <c r="Q99" s="2" t="str">
        <f t="shared" si="1"/>
        <v>15</v>
      </c>
    </row>
    <row r="100">
      <c r="A100" s="3" t="str">
        <f>IFERROR(__xludf.DUMMYFUNCTION("""COMPUTED_VALUE"""),"Standby On Call")</f>
        <v>Standby On Call</v>
      </c>
      <c r="B100" s="3" t="str">
        <f>IFERROR(__xludf.DUMMYFUNCTION("""COMPUTED_VALUE"""),"P3")</f>
        <v>P3</v>
      </c>
      <c r="C100" s="3"/>
      <c r="D100" s="3" t="str">
        <f>IFERROR(__xludf.DUMMYFUNCTION("""COMPUTED_VALUE"""),"Sairaji")</f>
        <v>Sairaji</v>
      </c>
      <c r="E100" s="3" t="str">
        <f>IFERROR(__xludf.DUMMYFUNCTION("""COMPUTED_VALUE"""),"MBP")</f>
        <v>MBP</v>
      </c>
      <c r="F100" s="3" t="str">
        <f>IFERROR(__xludf.DUMMYFUNCTION("""COMPUTED_VALUE"""),"Doni Damara")</f>
        <v>Doni Damara</v>
      </c>
      <c r="G100" s="3" t="str">
        <f>IFERROR(__xludf.DUMMYFUNCTION("""COMPUTED_VALUE"""),"Palangkaraya")</f>
        <v>Palangkaraya</v>
      </c>
      <c r="H100" s="3" t="str">
        <f>IFERROR(__xludf.DUMMYFUNCTION("""COMPUTED_VALUE"""),"Standby")</f>
        <v>Standby</v>
      </c>
      <c r="I100" s="3" t="str">
        <f>IFERROR(__xludf.DUMMYFUNCTION("""COMPUTED_VALUE"""),"Standby On Call")</f>
        <v>Standby On Call</v>
      </c>
      <c r="J100" s="3" t="str">
        <f>IFERROR(__xludf.DUMMYFUNCTION("""COMPUTED_VALUE"""),"Standby")</f>
        <v>Standby</v>
      </c>
      <c r="K100" s="27">
        <f>IFERROR(__xludf.DUMMYFUNCTION("""COMPUTED_VALUE"""),3698431.0)</f>
        <v>3698431</v>
      </c>
      <c r="L100" s="27">
        <f>IFERROR(__xludf.DUMMYFUNCTION("""COMPUTED_VALUE"""),3698431.0)</f>
        <v>3698431</v>
      </c>
      <c r="M100" s="3" t="str">
        <f>IFERROR(__xludf.DUMMYFUNCTION("""COMPUTED_VALUE"""),"Waiting Update")</f>
        <v>Waiting Update</v>
      </c>
      <c r="N100" s="3"/>
      <c r="O100" s="3" t="str">
        <f>IFERROR(VLOOKUP(C100,Sheet4!A100:F887,6,0),"")</f>
        <v/>
      </c>
      <c r="Q100" s="2" t="str">
        <f t="shared" si="1"/>
        <v>15</v>
      </c>
    </row>
    <row r="101">
      <c r="A101" s="3" t="str">
        <f>IFERROR(__xludf.DUMMYFUNCTION("""COMPUTED_VALUE"""),"Standby On Call")</f>
        <v>Standby On Call</v>
      </c>
      <c r="B101" s="3" t="str">
        <f>IFERROR(__xludf.DUMMYFUNCTION("""COMPUTED_VALUE"""),"P3")</f>
        <v>P3</v>
      </c>
      <c r="C101" s="3"/>
      <c r="D101" s="3" t="str">
        <f>IFERROR(__xludf.DUMMYFUNCTION("""COMPUTED_VALUE"""),"Agus muliana pamungkas")</f>
        <v>Agus muliana pamungkas</v>
      </c>
      <c r="E101" s="3" t="str">
        <f>IFERROR(__xludf.DUMMYFUNCTION("""COMPUTED_VALUE"""),"MBP")</f>
        <v>MBP</v>
      </c>
      <c r="F101" s="3" t="str">
        <f>IFERROR(__xludf.DUMMYFUNCTION("""COMPUTED_VALUE"""),"Doni Damara")</f>
        <v>Doni Damara</v>
      </c>
      <c r="G101" s="3" t="str">
        <f>IFERROR(__xludf.DUMMYFUNCTION("""COMPUTED_VALUE"""),"Palangkaraya")</f>
        <v>Palangkaraya</v>
      </c>
      <c r="H101" s="3" t="str">
        <f>IFERROR(__xludf.DUMMYFUNCTION("""COMPUTED_VALUE"""),"Standby")</f>
        <v>Standby</v>
      </c>
      <c r="I101" s="3" t="str">
        <f>IFERROR(__xludf.DUMMYFUNCTION("""COMPUTED_VALUE"""),"Standby On Call")</f>
        <v>Standby On Call</v>
      </c>
      <c r="J101" s="3" t="str">
        <f>IFERROR(__xludf.DUMMYFUNCTION("""COMPUTED_VALUE"""),"Standby")</f>
        <v>Standby</v>
      </c>
      <c r="K101" s="27">
        <f>IFERROR(__xludf.DUMMYFUNCTION("""COMPUTED_VALUE"""),3698431.0)</f>
        <v>3698431</v>
      </c>
      <c r="L101" s="27">
        <f>IFERROR(__xludf.DUMMYFUNCTION("""COMPUTED_VALUE"""),3698431.0)</f>
        <v>3698431</v>
      </c>
      <c r="M101" s="3" t="str">
        <f>IFERROR(__xludf.DUMMYFUNCTION("""COMPUTED_VALUE"""),"Waiting Update")</f>
        <v>Waiting Update</v>
      </c>
      <c r="N101" s="3"/>
      <c r="O101" s="3" t="str">
        <f>IFERROR(VLOOKUP(C101,Sheet4!A101:F888,6,0),"")</f>
        <v/>
      </c>
      <c r="Q101" s="2" t="str">
        <f t="shared" si="1"/>
        <v>15</v>
      </c>
    </row>
    <row r="102">
      <c r="A102" s="3" t="str">
        <f>IFERROR(__xludf.DUMMYFUNCTION("""COMPUTED_VALUE"""),"Standby On Call")</f>
        <v>Standby On Call</v>
      </c>
      <c r="B102" s="3" t="str">
        <f>IFERROR(__xludf.DUMMYFUNCTION("""COMPUTED_VALUE"""),"P3")</f>
        <v>P3</v>
      </c>
      <c r="C102" s="3"/>
      <c r="D102" s="3" t="str">
        <f>IFERROR(__xludf.DUMMYFUNCTION("""COMPUTED_VALUE"""),"Fajrianur wahid")</f>
        <v>Fajrianur wahid</v>
      </c>
      <c r="E102" s="3" t="str">
        <f>IFERROR(__xludf.DUMMYFUNCTION("""COMPUTED_VALUE"""),"TE")</f>
        <v>TE</v>
      </c>
      <c r="F102" s="3" t="str">
        <f>IFERROR(__xludf.DUMMYFUNCTION("""COMPUTED_VALUE"""),"Doni Damara")</f>
        <v>Doni Damara</v>
      </c>
      <c r="G102" s="3" t="str">
        <f>IFERROR(__xludf.DUMMYFUNCTION("""COMPUTED_VALUE"""),"Palangkaraya")</f>
        <v>Palangkaraya</v>
      </c>
      <c r="H102" s="3" t="str">
        <f>IFERROR(__xludf.DUMMYFUNCTION("""COMPUTED_VALUE"""),"Standby")</f>
        <v>Standby</v>
      </c>
      <c r="I102" s="3" t="str">
        <f>IFERROR(__xludf.DUMMYFUNCTION("""COMPUTED_VALUE"""),"Standby On Call")</f>
        <v>Standby On Call</v>
      </c>
      <c r="J102" s="3" t="str">
        <f>IFERROR(__xludf.DUMMYFUNCTION("""COMPUTED_VALUE"""),"Standby")</f>
        <v>Standby</v>
      </c>
      <c r="K102" s="27">
        <f>IFERROR(__xludf.DUMMYFUNCTION("""COMPUTED_VALUE"""),3698431.0)</f>
        <v>3698431</v>
      </c>
      <c r="L102" s="27">
        <f>IFERROR(__xludf.DUMMYFUNCTION("""COMPUTED_VALUE"""),3698431.0)</f>
        <v>3698431</v>
      </c>
      <c r="M102" s="3" t="str">
        <f>IFERROR(__xludf.DUMMYFUNCTION("""COMPUTED_VALUE"""),"Waiting Update")</f>
        <v>Waiting Update</v>
      </c>
      <c r="N102" s="3"/>
      <c r="O102" s="3" t="str">
        <f>IFERROR(VLOOKUP(C102,Sheet4!A102:F889,6,0),"")</f>
        <v/>
      </c>
      <c r="Q102" s="2" t="str">
        <f t="shared" si="1"/>
        <v>15</v>
      </c>
    </row>
    <row r="103">
      <c r="A103" s="3" t="str">
        <f>IFERROR(__xludf.DUMMYFUNCTION("""COMPUTED_VALUE"""),"Standby On Call")</f>
        <v>Standby On Call</v>
      </c>
      <c r="B103" s="3" t="str">
        <f>IFERROR(__xludf.DUMMYFUNCTION("""COMPUTED_VALUE"""),"P3")</f>
        <v>P3</v>
      </c>
      <c r="C103" s="3"/>
      <c r="D103" s="3" t="str">
        <f>IFERROR(__xludf.DUMMYFUNCTION("""COMPUTED_VALUE"""),"Elia Ronaldo")</f>
        <v>Elia Ronaldo</v>
      </c>
      <c r="E103" s="3" t="str">
        <f>IFERROR(__xludf.DUMMYFUNCTION("""COMPUTED_VALUE"""),"MBP")</f>
        <v>MBP</v>
      </c>
      <c r="F103" s="3" t="str">
        <f>IFERROR(__xludf.DUMMYFUNCTION("""COMPUTED_VALUE"""),"Doni Damara")</f>
        <v>Doni Damara</v>
      </c>
      <c r="G103" s="3" t="str">
        <f>IFERROR(__xludf.DUMMYFUNCTION("""COMPUTED_VALUE"""),"Palangkaraya")</f>
        <v>Palangkaraya</v>
      </c>
      <c r="H103" s="3" t="str">
        <f>IFERROR(__xludf.DUMMYFUNCTION("""COMPUTED_VALUE"""),"Standby")</f>
        <v>Standby</v>
      </c>
      <c r="I103" s="3" t="str">
        <f>IFERROR(__xludf.DUMMYFUNCTION("""COMPUTED_VALUE"""),"Standby On Call")</f>
        <v>Standby On Call</v>
      </c>
      <c r="J103" s="3" t="str">
        <f>IFERROR(__xludf.DUMMYFUNCTION("""COMPUTED_VALUE"""),"Standby")</f>
        <v>Standby</v>
      </c>
      <c r="K103" s="27">
        <f>IFERROR(__xludf.DUMMYFUNCTION("""COMPUTED_VALUE"""),3698431.0)</f>
        <v>3698431</v>
      </c>
      <c r="L103" s="27">
        <f>IFERROR(__xludf.DUMMYFUNCTION("""COMPUTED_VALUE"""),3698431.0)</f>
        <v>3698431</v>
      </c>
      <c r="M103" s="3" t="str">
        <f>IFERROR(__xludf.DUMMYFUNCTION("""COMPUTED_VALUE"""),"Waiting Update")</f>
        <v>Waiting Update</v>
      </c>
      <c r="N103" s="3"/>
      <c r="O103" s="3" t="str">
        <f>IFERROR(VLOOKUP(C103,Sheet4!A103:F890,6,0),"")</f>
        <v/>
      </c>
      <c r="Q103" s="2" t="str">
        <f t="shared" si="1"/>
        <v>15</v>
      </c>
    </row>
    <row r="104">
      <c r="A104" s="3" t="str">
        <f>IFERROR(__xludf.DUMMYFUNCTION("""COMPUTED_VALUE"""),"On Leave")</f>
        <v>On Leave</v>
      </c>
      <c r="B104" s="3" t="str">
        <f>IFERROR(__xludf.DUMMYFUNCTION("""COMPUTED_VALUE"""),"P3")</f>
        <v>P3</v>
      </c>
      <c r="C104" s="3"/>
      <c r="D104" s="3" t="str">
        <f>IFERROR(__xludf.DUMMYFUNCTION("""COMPUTED_VALUE"""),"melky.O.Tulangow")</f>
        <v>melky.O.Tulangow</v>
      </c>
      <c r="E104" s="3" t="str">
        <f>IFERROR(__xludf.DUMMYFUNCTION("""COMPUTED_VALUE"""),"TE")</f>
        <v>TE</v>
      </c>
      <c r="F104" s="3" t="str">
        <f>IFERROR(__xludf.DUMMYFUNCTION("""COMPUTED_VALUE"""),"Doni Damara")</f>
        <v>Doni Damara</v>
      </c>
      <c r="G104" s="3" t="str">
        <f>IFERROR(__xludf.DUMMYFUNCTION("""COMPUTED_VALUE"""),"Palangkaraya")</f>
        <v>Palangkaraya</v>
      </c>
      <c r="H104" s="3" t="str">
        <f>IFERROR(__xludf.DUMMYFUNCTION("""COMPUTED_VALUE"""),"On Leave")</f>
        <v>On Leave</v>
      </c>
      <c r="I104" s="3" t="str">
        <f>IFERROR(__xludf.DUMMYFUNCTION("""COMPUTED_VALUE"""),"On Leave")</f>
        <v>On Leave</v>
      </c>
      <c r="J104" s="3" t="str">
        <f>IFERROR(__xludf.DUMMYFUNCTION("""COMPUTED_VALUE"""),"Standby")</f>
        <v>Standby</v>
      </c>
      <c r="K104" s="27">
        <f>IFERROR(__xludf.DUMMYFUNCTION("""COMPUTED_VALUE"""),3698431.0)</f>
        <v>3698431</v>
      </c>
      <c r="L104" s="27">
        <f>IFERROR(__xludf.DUMMYFUNCTION("""COMPUTED_VALUE"""),3698431.0)</f>
        <v>3698431</v>
      </c>
      <c r="M104" s="3" t="str">
        <f>IFERROR(__xludf.DUMMYFUNCTION("""COMPUTED_VALUE"""),"Waiting Update")</f>
        <v>Waiting Update</v>
      </c>
      <c r="N104" s="3"/>
      <c r="O104" s="3" t="str">
        <f>IFERROR(VLOOKUP(C104,Sheet4!A104:F891,6,0),"")</f>
        <v/>
      </c>
      <c r="Q104" s="2" t="str">
        <f t="shared" si="1"/>
        <v>15</v>
      </c>
    </row>
    <row r="105">
      <c r="A105" s="3" t="str">
        <f>IFERROR(__xludf.DUMMYFUNCTION("""COMPUTED_VALUE"""),"Standby On Call")</f>
        <v>Standby On Call</v>
      </c>
      <c r="B105" s="3" t="str">
        <f>IFERROR(__xludf.DUMMYFUNCTION("""COMPUTED_VALUE"""),"P3")</f>
        <v>P3</v>
      </c>
      <c r="C105" s="3"/>
      <c r="D105" s="3" t="str">
        <f>IFERROR(__xludf.DUMMYFUNCTION("""COMPUTED_VALUE"""),"Alfi Syahri")</f>
        <v>Alfi Syahri</v>
      </c>
      <c r="E105" s="3" t="str">
        <f>IFERROR(__xludf.DUMMYFUNCTION("""COMPUTED_VALUE"""),"CME")</f>
        <v>CME</v>
      </c>
      <c r="F105" s="3" t="str">
        <f>IFERROR(__xludf.DUMMYFUNCTION("""COMPUTED_VALUE"""),"Winda Sokenda")</f>
        <v>Winda Sokenda</v>
      </c>
      <c r="G105" s="3" t="str">
        <f>IFERROR(__xludf.DUMMYFUNCTION("""COMPUTED_VALUE"""),"Barito Raya")</f>
        <v>Barito Raya</v>
      </c>
      <c r="H105" s="3" t="str">
        <f>IFERROR(__xludf.DUMMYFUNCTION("""COMPUTED_VALUE"""),"Standby")</f>
        <v>Standby</v>
      </c>
      <c r="I105" s="3" t="str">
        <f>IFERROR(__xludf.DUMMYFUNCTION("""COMPUTED_VALUE"""),"Standby On Call")</f>
        <v>Standby On Call</v>
      </c>
      <c r="J105" s="3" t="str">
        <f>IFERROR(__xludf.DUMMYFUNCTION("""COMPUTED_VALUE"""),"Standby")</f>
        <v>Standby</v>
      </c>
      <c r="K105" s="27">
        <f>IFERROR(__xludf.DUMMYFUNCTION("""COMPUTED_VALUE"""),46007.0)</f>
        <v>46007</v>
      </c>
      <c r="L105" s="27">
        <f>IFERROR(__xludf.DUMMYFUNCTION("""COMPUTED_VALUE"""),46007.0)</f>
        <v>46007</v>
      </c>
      <c r="M105" s="3" t="str">
        <f>IFERROR(__xludf.DUMMYFUNCTION("""COMPUTED_VALUE"""),"Waiting Update")</f>
        <v>Waiting Update</v>
      </c>
      <c r="N105" s="3"/>
      <c r="O105" s="3" t="str">
        <f>IFERROR(VLOOKUP(C105,Sheet4!A105:F892,6,0),"")</f>
        <v/>
      </c>
      <c r="Q105" s="2" t="str">
        <f t="shared" si="1"/>
        <v>16</v>
      </c>
    </row>
    <row r="106">
      <c r="A106" s="3" t="str">
        <f>IFERROR(__xludf.DUMMYFUNCTION("""COMPUTED_VALUE"""),"Standby On Call")</f>
        <v>Standby On Call</v>
      </c>
      <c r="B106" s="3" t="str">
        <f>IFERROR(__xludf.DUMMYFUNCTION("""COMPUTED_VALUE"""),"P3")</f>
        <v>P3</v>
      </c>
      <c r="C106" s="3"/>
      <c r="D106" s="3" t="str">
        <f>IFERROR(__xludf.DUMMYFUNCTION("""COMPUTED_VALUE"""),"Harun Nurasyid")</f>
        <v>Harun Nurasyid</v>
      </c>
      <c r="E106" s="3" t="str">
        <f>IFERROR(__xludf.DUMMYFUNCTION("""COMPUTED_VALUE"""),"CME")</f>
        <v>CME</v>
      </c>
      <c r="F106" s="3" t="str">
        <f>IFERROR(__xludf.DUMMYFUNCTION("""COMPUTED_VALUE"""),"Winda Sokenda")</f>
        <v>Winda Sokenda</v>
      </c>
      <c r="G106" s="3" t="str">
        <f>IFERROR(__xludf.DUMMYFUNCTION("""COMPUTED_VALUE"""),"Barito Raya")</f>
        <v>Barito Raya</v>
      </c>
      <c r="H106" s="3" t="str">
        <f>IFERROR(__xludf.DUMMYFUNCTION("""COMPUTED_VALUE"""),"Standby")</f>
        <v>Standby</v>
      </c>
      <c r="I106" s="3" t="str">
        <f>IFERROR(__xludf.DUMMYFUNCTION("""COMPUTED_VALUE"""),"Standby On Call")</f>
        <v>Standby On Call</v>
      </c>
      <c r="J106" s="3" t="str">
        <f>IFERROR(__xludf.DUMMYFUNCTION("""COMPUTED_VALUE"""),"Standby")</f>
        <v>Standby</v>
      </c>
      <c r="K106" s="27">
        <f>IFERROR(__xludf.DUMMYFUNCTION("""COMPUTED_VALUE"""),46007.0)</f>
        <v>46007</v>
      </c>
      <c r="L106" s="27">
        <f>IFERROR(__xludf.DUMMYFUNCTION("""COMPUTED_VALUE"""),46007.0)</f>
        <v>46007</v>
      </c>
      <c r="M106" s="3" t="str">
        <f>IFERROR(__xludf.DUMMYFUNCTION("""COMPUTED_VALUE"""),"Waiting Update")</f>
        <v>Waiting Update</v>
      </c>
      <c r="N106" s="3"/>
      <c r="O106" s="3" t="str">
        <f>IFERROR(VLOOKUP(C106,Sheet4!A106:F893,6,0),"")</f>
        <v/>
      </c>
      <c r="Q106" s="2" t="str">
        <f t="shared" si="1"/>
        <v>16</v>
      </c>
    </row>
    <row r="107">
      <c r="A107" s="3" t="str">
        <f>IFERROR(__xludf.DUMMYFUNCTION("""COMPUTED_VALUE"""),"Standby On Call")</f>
        <v>Standby On Call</v>
      </c>
      <c r="B107" s="3" t="str">
        <f>IFERROR(__xludf.DUMMYFUNCTION("""COMPUTED_VALUE"""),"P3")</f>
        <v>P3</v>
      </c>
      <c r="C107" s="3"/>
      <c r="D107" s="3" t="str">
        <f>IFERROR(__xludf.DUMMYFUNCTION("""COMPUTED_VALUE"""),"Nurhayat")</f>
        <v>Nurhayat</v>
      </c>
      <c r="E107" s="3" t="str">
        <f>IFERROR(__xludf.DUMMYFUNCTION("""COMPUTED_VALUE"""),"MBP")</f>
        <v>MBP</v>
      </c>
      <c r="F107" s="3" t="str">
        <f>IFERROR(__xludf.DUMMYFUNCTION("""COMPUTED_VALUE"""),"Winda Sokenda")</f>
        <v>Winda Sokenda</v>
      </c>
      <c r="G107" s="3" t="str">
        <f>IFERROR(__xludf.DUMMYFUNCTION("""COMPUTED_VALUE"""),"Barito Raya")</f>
        <v>Barito Raya</v>
      </c>
      <c r="H107" s="3" t="str">
        <f>IFERROR(__xludf.DUMMYFUNCTION("""COMPUTED_VALUE"""),"Standby")</f>
        <v>Standby</v>
      </c>
      <c r="I107" s="3" t="str">
        <f>IFERROR(__xludf.DUMMYFUNCTION("""COMPUTED_VALUE"""),"Standby On Call")</f>
        <v>Standby On Call</v>
      </c>
      <c r="J107" s="3" t="str">
        <f>IFERROR(__xludf.DUMMYFUNCTION("""COMPUTED_VALUE"""),"Standby")</f>
        <v>Standby</v>
      </c>
      <c r="K107" s="27">
        <f>IFERROR(__xludf.DUMMYFUNCTION("""COMPUTED_VALUE"""),46007.0)</f>
        <v>46007</v>
      </c>
      <c r="L107" s="27">
        <f>IFERROR(__xludf.DUMMYFUNCTION("""COMPUTED_VALUE"""),46007.0)</f>
        <v>46007</v>
      </c>
      <c r="M107" s="3" t="str">
        <f>IFERROR(__xludf.DUMMYFUNCTION("""COMPUTED_VALUE"""),"Waiting Update")</f>
        <v>Waiting Update</v>
      </c>
      <c r="N107" s="3"/>
      <c r="O107" s="3" t="str">
        <f>IFERROR(VLOOKUP(C107,Sheet4!A107:F894,6,0),"")</f>
        <v/>
      </c>
      <c r="Q107" s="2" t="str">
        <f t="shared" si="1"/>
        <v>16</v>
      </c>
    </row>
    <row r="108">
      <c r="A108" s="3" t="str">
        <f>IFERROR(__xludf.DUMMYFUNCTION("""COMPUTED_VALUE"""),"Standby On Call")</f>
        <v>Standby On Call</v>
      </c>
      <c r="B108" s="3" t="str">
        <f>IFERROR(__xludf.DUMMYFUNCTION("""COMPUTED_VALUE"""),"P3")</f>
        <v>P3</v>
      </c>
      <c r="C108" s="3"/>
      <c r="D108" s="3" t="str">
        <f>IFERROR(__xludf.DUMMYFUNCTION("""COMPUTED_VALUE"""),"Taklim")</f>
        <v>Taklim</v>
      </c>
      <c r="E108" s="3" t="str">
        <f>IFERROR(__xludf.DUMMYFUNCTION("""COMPUTED_VALUE"""),"MBP")</f>
        <v>MBP</v>
      </c>
      <c r="F108" s="3" t="str">
        <f>IFERROR(__xludf.DUMMYFUNCTION("""COMPUTED_VALUE"""),"Winda Sokenda")</f>
        <v>Winda Sokenda</v>
      </c>
      <c r="G108" s="3" t="str">
        <f>IFERROR(__xludf.DUMMYFUNCTION("""COMPUTED_VALUE"""),"Barito Raya")</f>
        <v>Barito Raya</v>
      </c>
      <c r="H108" s="3" t="str">
        <f>IFERROR(__xludf.DUMMYFUNCTION("""COMPUTED_VALUE"""),"Standby")</f>
        <v>Standby</v>
      </c>
      <c r="I108" s="3" t="str">
        <f>IFERROR(__xludf.DUMMYFUNCTION("""COMPUTED_VALUE"""),"Standby On Call")</f>
        <v>Standby On Call</v>
      </c>
      <c r="J108" s="3" t="str">
        <f>IFERROR(__xludf.DUMMYFUNCTION("""COMPUTED_VALUE"""),"Standby")</f>
        <v>Standby</v>
      </c>
      <c r="K108" s="27">
        <f>IFERROR(__xludf.DUMMYFUNCTION("""COMPUTED_VALUE"""),46007.0)</f>
        <v>46007</v>
      </c>
      <c r="L108" s="27">
        <f>IFERROR(__xludf.DUMMYFUNCTION("""COMPUTED_VALUE"""),46007.0)</f>
        <v>46007</v>
      </c>
      <c r="M108" s="3" t="str">
        <f>IFERROR(__xludf.DUMMYFUNCTION("""COMPUTED_VALUE"""),"Waiting Update")</f>
        <v>Waiting Update</v>
      </c>
      <c r="N108" s="3"/>
      <c r="O108" s="3" t="str">
        <f>IFERROR(VLOOKUP(C108,Sheet4!A108:F895,6,0),"")</f>
        <v/>
      </c>
      <c r="Q108" s="2" t="str">
        <f t="shared" si="1"/>
        <v>16</v>
      </c>
    </row>
    <row r="109">
      <c r="A109" s="3" t="str">
        <f>IFERROR(__xludf.DUMMYFUNCTION("""COMPUTED_VALUE"""),"Standby On Call")</f>
        <v>Standby On Call</v>
      </c>
      <c r="B109" s="3" t="str">
        <f>IFERROR(__xludf.DUMMYFUNCTION("""COMPUTED_VALUE"""),"P3")</f>
        <v>P3</v>
      </c>
      <c r="C109" s="3"/>
      <c r="D109" s="3" t="str">
        <f>IFERROR(__xludf.DUMMYFUNCTION("""COMPUTED_VALUE"""),"Rio ardinata")</f>
        <v>Rio ardinata</v>
      </c>
      <c r="E109" s="3" t="str">
        <f>IFERROR(__xludf.DUMMYFUNCTION("""COMPUTED_VALUE"""),"MBP")</f>
        <v>MBP</v>
      </c>
      <c r="F109" s="3" t="str">
        <f>IFERROR(__xludf.DUMMYFUNCTION("""COMPUTED_VALUE"""),"Winda Sokenda")</f>
        <v>Winda Sokenda</v>
      </c>
      <c r="G109" s="3" t="str">
        <f>IFERROR(__xludf.DUMMYFUNCTION("""COMPUTED_VALUE"""),"Barito Raya")</f>
        <v>Barito Raya</v>
      </c>
      <c r="H109" s="3" t="str">
        <f>IFERROR(__xludf.DUMMYFUNCTION("""COMPUTED_VALUE"""),"Standby")</f>
        <v>Standby</v>
      </c>
      <c r="I109" s="3" t="str">
        <f>IFERROR(__xludf.DUMMYFUNCTION("""COMPUTED_VALUE"""),"Standby On Call")</f>
        <v>Standby On Call</v>
      </c>
      <c r="J109" s="3" t="str">
        <f>IFERROR(__xludf.DUMMYFUNCTION("""COMPUTED_VALUE"""),"Standby")</f>
        <v>Standby</v>
      </c>
      <c r="K109" s="27">
        <f>IFERROR(__xludf.DUMMYFUNCTION("""COMPUTED_VALUE"""),46007.0)</f>
        <v>46007</v>
      </c>
      <c r="L109" s="27">
        <f>IFERROR(__xludf.DUMMYFUNCTION("""COMPUTED_VALUE"""),46007.0)</f>
        <v>46007</v>
      </c>
      <c r="M109" s="3" t="str">
        <f>IFERROR(__xludf.DUMMYFUNCTION("""COMPUTED_VALUE"""),"Waiting Update")</f>
        <v>Waiting Update</v>
      </c>
      <c r="N109" s="3"/>
      <c r="O109" s="3" t="str">
        <f>IFERROR(VLOOKUP(C109,Sheet4!A109:F896,6,0),"")</f>
        <v/>
      </c>
      <c r="Q109" s="2" t="str">
        <f t="shared" si="1"/>
        <v>16</v>
      </c>
    </row>
    <row r="110">
      <c r="A110" s="3" t="str">
        <f>IFERROR(__xludf.DUMMYFUNCTION("""COMPUTED_VALUE"""),"Pengecekan battrey")</f>
        <v>Pengecekan battrey</v>
      </c>
      <c r="B110" s="3" t="str">
        <f>IFERROR(__xludf.DUMMYFUNCTION("""COMPUTED_VALUE"""),"P2")</f>
        <v>P2</v>
      </c>
      <c r="C110" s="3" t="str">
        <f>IFERROR(__xludf.DUMMYFUNCTION("""COMPUTED_VALUE"""),"KKP005")</f>
        <v>KKP005</v>
      </c>
      <c r="D110" s="3" t="str">
        <f>IFERROR(__xludf.DUMMYFUNCTION("""COMPUTED_VALUE"""),"Pujianto")</f>
        <v>Pujianto</v>
      </c>
      <c r="E110" s="3" t="str">
        <f>IFERROR(__xludf.DUMMYFUNCTION("""COMPUTED_VALUE"""),"MBP")</f>
        <v>MBP</v>
      </c>
      <c r="F110" s="3" t="str">
        <f>IFERROR(__xludf.DUMMYFUNCTION("""COMPUTED_VALUE"""),"Winda Sokenda")</f>
        <v>Winda Sokenda</v>
      </c>
      <c r="G110" s="3" t="str">
        <f>IFERROR(__xludf.DUMMYFUNCTION("""COMPUTED_VALUE"""),"Barito Raya")</f>
        <v>Barito Raya</v>
      </c>
      <c r="H110" s="3" t="str">
        <f>IFERROR(__xludf.DUMMYFUNCTION("""COMPUTED_VALUE"""),"Preventive")</f>
        <v>Preventive</v>
      </c>
      <c r="I110" s="3" t="str">
        <f>IFERROR(__xludf.DUMMYFUNCTION("""COMPUTED_VALUE"""),"Pengukuran dan pengambilan data log serta input Gdoc BBT")</f>
        <v>Pengukuran dan pengambilan data log serta input Gdoc BBT</v>
      </c>
      <c r="J110" s="3" t="str">
        <f>IFERROR(__xludf.DUMMYFUNCTION("""COMPUTED_VALUE"""),"On Progress")</f>
        <v>On Progress</v>
      </c>
      <c r="K110" s="27">
        <f>IFERROR(__xludf.DUMMYFUNCTION("""COMPUTED_VALUE"""),46007.0)</f>
        <v>46007</v>
      </c>
      <c r="L110" s="27">
        <f>IFERROR(__xludf.DUMMYFUNCTION("""COMPUTED_VALUE"""),46007.0)</f>
        <v>46007</v>
      </c>
      <c r="M110" s="3" t="str">
        <f>IFERROR(__xludf.DUMMYFUNCTION("""COMPUTED_VALUE"""),"Done")</f>
        <v>Done</v>
      </c>
      <c r="N110" s="3"/>
      <c r="O110" s="3">
        <f>IFERROR(VLOOKUP(C110,Sheet4!A110:F897,6,0),"")</f>
        <v>11446143</v>
      </c>
      <c r="Q110" s="2" t="str">
        <f t="shared" si="1"/>
        <v>16</v>
      </c>
    </row>
    <row r="111">
      <c r="A111" s="3" t="str">
        <f>IFERROR(__xludf.DUMMYFUNCTION("""COMPUTED_VALUE"""),"Pengecekan battrey")</f>
        <v>Pengecekan battrey</v>
      </c>
      <c r="B111" s="3" t="str">
        <f>IFERROR(__xludf.DUMMYFUNCTION("""COMPUTED_VALUE"""),"P2")</f>
        <v>P2</v>
      </c>
      <c r="C111" s="3" t="str">
        <f>IFERROR(__xludf.DUMMYFUNCTION("""COMPUTED_VALUE"""),"KKP005")</f>
        <v>KKP005</v>
      </c>
      <c r="D111" s="3" t="str">
        <f>IFERROR(__xludf.DUMMYFUNCTION("""COMPUTED_VALUE"""),"Reynaldy Ricardo Putra")</f>
        <v>Reynaldy Ricardo Putra</v>
      </c>
      <c r="E111" s="3" t="str">
        <f>IFERROR(__xludf.DUMMYFUNCTION("""COMPUTED_VALUE"""),"TE")</f>
        <v>TE</v>
      </c>
      <c r="F111" s="3" t="str">
        <f>IFERROR(__xludf.DUMMYFUNCTION("""COMPUTED_VALUE"""),"Winda Sokenda")</f>
        <v>Winda Sokenda</v>
      </c>
      <c r="G111" s="3" t="str">
        <f>IFERROR(__xludf.DUMMYFUNCTION("""COMPUTED_VALUE"""),"Barito Raya")</f>
        <v>Barito Raya</v>
      </c>
      <c r="H111" s="3" t="str">
        <f>IFERROR(__xludf.DUMMYFUNCTION("""COMPUTED_VALUE"""),"Preventive")</f>
        <v>Preventive</v>
      </c>
      <c r="I111" s="3" t="str">
        <f>IFERROR(__xludf.DUMMYFUNCTION("""COMPUTED_VALUE"""),"Pengukuran dan pengambilan data log serta input Gdoc BBT")</f>
        <v>Pengukuran dan pengambilan data log serta input Gdoc BBT</v>
      </c>
      <c r="J111" s="3" t="str">
        <f>IFERROR(__xludf.DUMMYFUNCTION("""COMPUTED_VALUE"""),"On Progress")</f>
        <v>On Progress</v>
      </c>
      <c r="K111" s="27">
        <f>IFERROR(__xludf.DUMMYFUNCTION("""COMPUTED_VALUE"""),46007.0)</f>
        <v>46007</v>
      </c>
      <c r="L111" s="27">
        <f>IFERROR(__xludf.DUMMYFUNCTION("""COMPUTED_VALUE"""),46007.0)</f>
        <v>46007</v>
      </c>
      <c r="M111" s="3" t="str">
        <f>IFERROR(__xludf.DUMMYFUNCTION("""COMPUTED_VALUE"""),"Done")</f>
        <v>Done</v>
      </c>
      <c r="N111" s="3"/>
      <c r="O111" s="3">
        <f>IFERROR(VLOOKUP(C111,Sheet4!A111:F898,6,0),"")</f>
        <v>11446143</v>
      </c>
      <c r="Q111" s="2" t="str">
        <f t="shared" si="1"/>
        <v>16</v>
      </c>
    </row>
    <row r="112">
      <c r="A112" s="3" t="str">
        <f>IFERROR(__xludf.DUMMYFUNCTION("""COMPUTED_VALUE"""),"Pemasangan battrey")</f>
        <v>Pemasangan battrey</v>
      </c>
      <c r="B112" s="3" t="str">
        <f>IFERROR(__xludf.DUMMYFUNCTION("""COMPUTED_VALUE"""),"P2")</f>
        <v>P2</v>
      </c>
      <c r="C112" s="3" t="str">
        <f>IFERROR(__xludf.DUMMYFUNCTION("""COMPUTED_VALUE"""),"KKP025")</f>
        <v>KKP025</v>
      </c>
      <c r="D112" s="3" t="str">
        <f>IFERROR(__xludf.DUMMYFUNCTION("""COMPUTED_VALUE"""),"Sahrul Saputra")</f>
        <v>Sahrul Saputra</v>
      </c>
      <c r="E112" s="3" t="str">
        <f>IFERROR(__xludf.DUMMYFUNCTION("""COMPUTED_VALUE"""),"TE")</f>
        <v>TE</v>
      </c>
      <c r="F112" s="3" t="str">
        <f>IFERROR(__xludf.DUMMYFUNCTION("""COMPUTED_VALUE"""),"Winda Sokenda")</f>
        <v>Winda Sokenda</v>
      </c>
      <c r="G112" s="3" t="str">
        <f>IFERROR(__xludf.DUMMYFUNCTION("""COMPUTED_VALUE"""),"Barito Raya")</f>
        <v>Barito Raya</v>
      </c>
      <c r="H112" s="3" t="str">
        <f>IFERROR(__xludf.DUMMYFUNCTION("""COMPUTED_VALUE"""),"Preventive")</f>
        <v>Preventive</v>
      </c>
      <c r="I112" s="3" t="str">
        <f>IFERROR(__xludf.DUMMYFUNCTION("""COMPUTED_VALUE"""),"Instalasi Battery")</f>
        <v>Instalasi Battery</v>
      </c>
      <c r="J112" s="3" t="str">
        <f>IFERROR(__xludf.DUMMYFUNCTION("""COMPUTED_VALUE"""),"On Progress")</f>
        <v>On Progress</v>
      </c>
      <c r="K112" s="27">
        <f>IFERROR(__xludf.DUMMYFUNCTION("""COMPUTED_VALUE"""),46007.0)</f>
        <v>46007</v>
      </c>
      <c r="L112" s="27">
        <f>IFERROR(__xludf.DUMMYFUNCTION("""COMPUTED_VALUE"""),46007.0)</f>
        <v>46007</v>
      </c>
      <c r="M112" s="3" t="str">
        <f>IFERROR(__xludf.DUMMYFUNCTION("""COMPUTED_VALUE"""),"Done")</f>
        <v>Done</v>
      </c>
      <c r="N112" s="3"/>
      <c r="O112" s="3">
        <f>IFERROR(VLOOKUP(C112,Sheet4!A112:F899,6,0),"")</f>
        <v>11458852</v>
      </c>
      <c r="Q112" s="2" t="str">
        <f t="shared" si="1"/>
        <v>16</v>
      </c>
    </row>
    <row r="113">
      <c r="A113" s="3" t="str">
        <f>IFERROR(__xludf.DUMMYFUNCTION("""COMPUTED_VALUE"""),"PM")</f>
        <v>PM</v>
      </c>
      <c r="B113" s="3" t="str">
        <f>IFERROR(__xludf.DUMMYFUNCTION("""COMPUTED_VALUE"""),"P2")</f>
        <v>P2</v>
      </c>
      <c r="C113" s="3" t="str">
        <f>IFERROR(__xludf.DUMMYFUNCTION("""COMPUTED_VALUE"""),"KKP046")</f>
        <v>KKP046</v>
      </c>
      <c r="D113" s="3" t="str">
        <f>IFERROR(__xludf.DUMMYFUNCTION("""COMPUTED_VALUE"""),"Trisno Susanto")</f>
        <v>Trisno Susanto</v>
      </c>
      <c r="E113" s="3" t="str">
        <f>IFERROR(__xludf.DUMMYFUNCTION("""COMPUTED_VALUE"""),"PM")</f>
        <v>PM</v>
      </c>
      <c r="F113" s="3" t="str">
        <f>IFERROR(__xludf.DUMMYFUNCTION("""COMPUTED_VALUE"""),"Winda Sokenda")</f>
        <v>Winda Sokenda</v>
      </c>
      <c r="G113" s="3" t="str">
        <f>IFERROR(__xludf.DUMMYFUNCTION("""COMPUTED_VALUE"""),"Barito Raya")</f>
        <v>Barito Raya</v>
      </c>
      <c r="H113" s="3" t="str">
        <f>IFERROR(__xludf.DUMMYFUNCTION("""COMPUTED_VALUE"""),"Preventive")</f>
        <v>Preventive</v>
      </c>
      <c r="I113" s="3" t="str">
        <f>IFERROR(__xludf.DUMMYFUNCTION("""COMPUTED_VALUE"""),"Preventive Maintenance")</f>
        <v>Preventive Maintenance</v>
      </c>
      <c r="J113" s="3" t="str">
        <f>IFERROR(__xludf.DUMMYFUNCTION("""COMPUTED_VALUE"""),"On Progress")</f>
        <v>On Progress</v>
      </c>
      <c r="K113" s="27">
        <f>IFERROR(__xludf.DUMMYFUNCTION("""COMPUTED_VALUE"""),46007.0)</f>
        <v>46007</v>
      </c>
      <c r="L113" s="27">
        <f>IFERROR(__xludf.DUMMYFUNCTION("""COMPUTED_VALUE"""),46007.0)</f>
        <v>46007</v>
      </c>
      <c r="M113" s="3" t="str">
        <f>IFERROR(__xludf.DUMMYFUNCTION("""COMPUTED_VALUE"""),"Done")</f>
        <v>Done</v>
      </c>
      <c r="N113" s="3"/>
      <c r="O113" s="3" t="str">
        <f>IFERROR(VLOOKUP(C113,Sheet4!A113:F900,6,0),"")</f>
        <v/>
      </c>
      <c r="Q113" s="2" t="str">
        <f t="shared" si="1"/>
        <v>16</v>
      </c>
    </row>
    <row r="114">
      <c r="A114" s="3" t="str">
        <f>IFERROR(__xludf.DUMMYFUNCTION("""COMPUTED_VALUE"""),"PM")</f>
        <v>PM</v>
      </c>
      <c r="B114" s="3" t="str">
        <f>IFERROR(__xludf.DUMMYFUNCTION("""COMPUTED_VALUE"""),"P2")</f>
        <v>P2</v>
      </c>
      <c r="C114" s="3" t="str">
        <f>IFERROR(__xludf.DUMMYFUNCTION("""COMPUTED_VALUE"""),"KKP008")</f>
        <v>KKP008</v>
      </c>
      <c r="D114" s="3" t="str">
        <f>IFERROR(__xludf.DUMMYFUNCTION("""COMPUTED_VALUE"""),"Khilal dawai katiri")</f>
        <v>Khilal dawai katiri</v>
      </c>
      <c r="E114" s="3" t="str">
        <f>IFERROR(__xludf.DUMMYFUNCTION("""COMPUTED_VALUE"""),"MBP")</f>
        <v>MBP</v>
      </c>
      <c r="F114" s="3" t="str">
        <f>IFERROR(__xludf.DUMMYFUNCTION("""COMPUTED_VALUE"""),"Winda Sokenda")</f>
        <v>Winda Sokenda</v>
      </c>
      <c r="G114" s="3" t="str">
        <f>IFERROR(__xludf.DUMMYFUNCTION("""COMPUTED_VALUE"""),"Barito Raya")</f>
        <v>Barito Raya</v>
      </c>
      <c r="H114" s="3" t="str">
        <f>IFERROR(__xludf.DUMMYFUNCTION("""COMPUTED_VALUE"""),"Preventive")</f>
        <v>Preventive</v>
      </c>
      <c r="I114" s="3" t="str">
        <f>IFERROR(__xludf.DUMMYFUNCTION("""COMPUTED_VALUE"""),"Preventive Maintenance")</f>
        <v>Preventive Maintenance</v>
      </c>
      <c r="J114" s="3" t="str">
        <f>IFERROR(__xludf.DUMMYFUNCTION("""COMPUTED_VALUE"""),"On Progress")</f>
        <v>On Progress</v>
      </c>
      <c r="K114" s="27">
        <f>IFERROR(__xludf.DUMMYFUNCTION("""COMPUTED_VALUE"""),46007.0)</f>
        <v>46007</v>
      </c>
      <c r="L114" s="27">
        <f>IFERROR(__xludf.DUMMYFUNCTION("""COMPUTED_VALUE"""),46007.0)</f>
        <v>46007</v>
      </c>
      <c r="M114" s="3" t="str">
        <f>IFERROR(__xludf.DUMMYFUNCTION("""COMPUTED_VALUE"""),"Done")</f>
        <v>Done</v>
      </c>
      <c r="N114" s="3"/>
      <c r="O114" s="3">
        <f>IFERROR(VLOOKUP(C114,Sheet4!A114:F901,6,0),"")</f>
        <v>11436101</v>
      </c>
      <c r="Q114" s="2" t="str">
        <f t="shared" si="1"/>
        <v>16</v>
      </c>
    </row>
    <row r="115">
      <c r="A115" s="3" t="str">
        <f>IFERROR(__xludf.DUMMYFUNCTION("""COMPUTED_VALUE"""),"PM")</f>
        <v>PM</v>
      </c>
      <c r="B115" s="3" t="str">
        <f>IFERROR(__xludf.DUMMYFUNCTION("""COMPUTED_VALUE"""),"P2")</f>
        <v>P2</v>
      </c>
      <c r="C115" s="3" t="str">
        <f>IFERROR(__xludf.DUMMYFUNCTION("""COMPUTED_VALUE"""),"MTW")</f>
        <v>MTW</v>
      </c>
      <c r="D115" s="3" t="str">
        <f>IFERROR(__xludf.DUMMYFUNCTION("""COMPUTED_VALUE"""),"Riko setiadi")</f>
        <v>Riko setiadi</v>
      </c>
      <c r="E115" s="3" t="str">
        <f>IFERROR(__xludf.DUMMYFUNCTION("""COMPUTED_VALUE"""),"PM")</f>
        <v>PM</v>
      </c>
      <c r="F115" s="3" t="str">
        <f>IFERROR(__xludf.DUMMYFUNCTION("""COMPUTED_VALUE"""),"Winda Sokenda")</f>
        <v>Winda Sokenda</v>
      </c>
      <c r="G115" s="3" t="str">
        <f>IFERROR(__xludf.DUMMYFUNCTION("""COMPUTED_VALUE"""),"Barito Raya")</f>
        <v>Barito Raya</v>
      </c>
      <c r="H115" s="3" t="str">
        <f>IFERROR(__xludf.DUMMYFUNCTION("""COMPUTED_VALUE"""),"Preventive")</f>
        <v>Preventive</v>
      </c>
      <c r="I115" s="3" t="str">
        <f>IFERROR(__xludf.DUMMYFUNCTION("""COMPUTED_VALUE"""),"Preventive Maintenance")</f>
        <v>Preventive Maintenance</v>
      </c>
      <c r="J115" s="3" t="str">
        <f>IFERROR(__xludf.DUMMYFUNCTION("""COMPUTED_VALUE"""),"On Progress")</f>
        <v>On Progress</v>
      </c>
      <c r="K115" s="27">
        <f>IFERROR(__xludf.DUMMYFUNCTION("""COMPUTED_VALUE"""),46007.0)</f>
        <v>46007</v>
      </c>
      <c r="L115" s="27">
        <f>IFERROR(__xludf.DUMMYFUNCTION("""COMPUTED_VALUE"""),46007.0)</f>
        <v>46007</v>
      </c>
      <c r="M115" s="3" t="str">
        <f>IFERROR(__xludf.DUMMYFUNCTION("""COMPUTED_VALUE"""),"Done")</f>
        <v>Done</v>
      </c>
      <c r="N115" s="3"/>
      <c r="O115" s="3" t="str">
        <f>IFERROR(VLOOKUP(C115,Sheet4!A115:F902,6,0),"")</f>
        <v/>
      </c>
      <c r="Q115" s="2" t="str">
        <f t="shared" si="1"/>
        <v>16</v>
      </c>
    </row>
    <row r="116">
      <c r="A116" s="3" t="str">
        <f>IFERROR(__xludf.DUMMYFUNCTION("""COMPUTED_VALUE"""),"Standby On Call")</f>
        <v>Standby On Call</v>
      </c>
      <c r="B116" s="3" t="str">
        <f>IFERROR(__xludf.DUMMYFUNCTION("""COMPUTED_VALUE"""),"P3")</f>
        <v>P3</v>
      </c>
      <c r="C116" s="3"/>
      <c r="D116" s="3" t="str">
        <f>IFERROR(__xludf.DUMMYFUNCTION("""COMPUTED_VALUE"""),"Dayatullah")</f>
        <v>Dayatullah</v>
      </c>
      <c r="E116" s="3" t="str">
        <f>IFERROR(__xludf.DUMMYFUNCTION("""COMPUTED_VALUE"""),"MBP")</f>
        <v>MBP</v>
      </c>
      <c r="F116" s="3" t="str">
        <f>IFERROR(__xludf.DUMMYFUNCTION("""COMPUTED_VALUE"""),"Winda Sokenda")</f>
        <v>Winda Sokenda</v>
      </c>
      <c r="G116" s="3" t="str">
        <f>IFERROR(__xludf.DUMMYFUNCTION("""COMPUTED_VALUE"""),"Barito Raya")</f>
        <v>Barito Raya</v>
      </c>
      <c r="H116" s="3" t="str">
        <f>IFERROR(__xludf.DUMMYFUNCTION("""COMPUTED_VALUE"""),"Standby")</f>
        <v>Standby</v>
      </c>
      <c r="I116" s="3" t="str">
        <f>IFERROR(__xludf.DUMMYFUNCTION("""COMPUTED_VALUE"""),"Standby On Call")</f>
        <v>Standby On Call</v>
      </c>
      <c r="J116" s="3" t="str">
        <f>IFERROR(__xludf.DUMMYFUNCTION("""COMPUTED_VALUE"""),"Standby")</f>
        <v>Standby</v>
      </c>
      <c r="K116" s="27">
        <f>IFERROR(__xludf.DUMMYFUNCTION("""COMPUTED_VALUE"""),46007.0)</f>
        <v>46007</v>
      </c>
      <c r="L116" s="27">
        <f>IFERROR(__xludf.DUMMYFUNCTION("""COMPUTED_VALUE"""),46007.0)</f>
        <v>46007</v>
      </c>
      <c r="M116" s="3" t="str">
        <f>IFERROR(__xludf.DUMMYFUNCTION("""COMPUTED_VALUE"""),"Waiting Update")</f>
        <v>Waiting Update</v>
      </c>
      <c r="N116" s="3" t="str">
        <f>IFERROR(__xludf.DUMMYFUNCTION("""COMPUTED_VALUE"""),"LEAVE")</f>
        <v>LEAVE</v>
      </c>
      <c r="O116" s="3" t="str">
        <f>IFERROR(VLOOKUP(C116,Sheet4!A116:F903,6,0),"")</f>
        <v/>
      </c>
      <c r="Q116" s="2" t="str">
        <f t="shared" si="1"/>
        <v>16</v>
      </c>
    </row>
    <row r="117">
      <c r="A117" s="3" t="str">
        <f>IFERROR(__xludf.DUMMYFUNCTION("""COMPUTED_VALUE"""),"Pengecekan battrey")</f>
        <v>Pengecekan battrey</v>
      </c>
      <c r="B117" s="3" t="str">
        <f>IFERROR(__xludf.DUMMYFUNCTION("""COMPUTED_VALUE"""),"P2")</f>
        <v>P2</v>
      </c>
      <c r="C117" s="3" t="str">
        <f>IFERROR(__xludf.DUMMYFUNCTION("""COMPUTED_VALUE"""),"TML112")</f>
        <v>TML112</v>
      </c>
      <c r="D117" s="3" t="str">
        <f>IFERROR(__xludf.DUMMYFUNCTION("""COMPUTED_VALUE"""),"Sailillah")</f>
        <v>Sailillah</v>
      </c>
      <c r="E117" s="3" t="str">
        <f>IFERROR(__xludf.DUMMYFUNCTION("""COMPUTED_VALUE"""),"TE")</f>
        <v>TE</v>
      </c>
      <c r="F117" s="3" t="str">
        <f>IFERROR(__xludf.DUMMYFUNCTION("""COMPUTED_VALUE"""),"Winda Sokenda")</f>
        <v>Winda Sokenda</v>
      </c>
      <c r="G117" s="3" t="str">
        <f>IFERROR(__xludf.DUMMYFUNCTION("""COMPUTED_VALUE"""),"Barito Raya")</f>
        <v>Barito Raya</v>
      </c>
      <c r="H117" s="3" t="str">
        <f>IFERROR(__xludf.DUMMYFUNCTION("""COMPUTED_VALUE"""),"Preventive")</f>
        <v>Preventive</v>
      </c>
      <c r="I117" s="3" t="str">
        <f>IFERROR(__xludf.DUMMYFUNCTION("""COMPUTED_VALUE"""),"Pengukuran dan pengambilan data log serta input Gdoc BBT")</f>
        <v>Pengukuran dan pengambilan data log serta input Gdoc BBT</v>
      </c>
      <c r="J117" s="3" t="str">
        <f>IFERROR(__xludf.DUMMYFUNCTION("""COMPUTED_VALUE"""),"On Progress")</f>
        <v>On Progress</v>
      </c>
      <c r="K117" s="27">
        <f>IFERROR(__xludf.DUMMYFUNCTION("""COMPUTED_VALUE"""),46007.0)</f>
        <v>46007</v>
      </c>
      <c r="L117" s="27">
        <f>IFERROR(__xludf.DUMMYFUNCTION("""COMPUTED_VALUE"""),46007.0)</f>
        <v>46007</v>
      </c>
      <c r="M117" s="3" t="str">
        <f>IFERROR(__xludf.DUMMYFUNCTION("""COMPUTED_VALUE"""),"Done")</f>
        <v>Done</v>
      </c>
      <c r="N117" s="3"/>
      <c r="O117" s="3">
        <f>IFERROR(VLOOKUP(C117,Sheet4!A117:F904,6,0),"")</f>
        <v>11522584</v>
      </c>
      <c r="Q117" s="2" t="str">
        <f t="shared" si="1"/>
        <v>16</v>
      </c>
    </row>
    <row r="118">
      <c r="A118" s="3" t="str">
        <f>IFERROR(__xludf.DUMMYFUNCTION("""COMPUTED_VALUE"""),"Vswr")</f>
        <v>Vswr</v>
      </c>
      <c r="B118" s="3" t="str">
        <f>IFERROR(__xludf.DUMMYFUNCTION("""COMPUTED_VALUE"""),"P1")</f>
        <v>P1</v>
      </c>
      <c r="C118" s="3" t="str">
        <f>IFERROR(__xludf.DUMMYFUNCTION("""COMPUTED_VALUE"""),"COH670")</f>
        <v>COH670</v>
      </c>
      <c r="D118" s="3" t="str">
        <f>IFERROR(__xludf.DUMMYFUNCTION("""COMPUTED_VALUE"""),"Tiviansyah")</f>
        <v>Tiviansyah</v>
      </c>
      <c r="E118" s="3" t="str">
        <f>IFERROR(__xludf.DUMMYFUNCTION("""COMPUTED_VALUE"""),"TE")</f>
        <v>TE</v>
      </c>
      <c r="F118" s="3" t="str">
        <f>IFERROR(__xludf.DUMMYFUNCTION("""COMPUTED_VALUE"""),"Winda Sokenda")</f>
        <v>Winda Sokenda</v>
      </c>
      <c r="G118" s="3" t="str">
        <f>IFERROR(__xludf.DUMMYFUNCTION("""COMPUTED_VALUE"""),"Barito Raya")</f>
        <v>Barito Raya</v>
      </c>
      <c r="H118" s="3" t="str">
        <f>IFERROR(__xludf.DUMMYFUNCTION("""COMPUTED_VALUE"""),"Corrective")</f>
        <v>Corrective</v>
      </c>
      <c r="I118" s="3" t="str">
        <f>IFERROR(__xludf.DUMMYFUNCTION("""COMPUTED_VALUE"""),"Replace Jumper,antena/RRU")</f>
        <v>Replace Jumper,antena/RRU</v>
      </c>
      <c r="J118" s="3" t="str">
        <f>IFERROR(__xludf.DUMMYFUNCTION("""COMPUTED_VALUE"""),"On Progress")</f>
        <v>On Progress</v>
      </c>
      <c r="K118" s="27">
        <f>IFERROR(__xludf.DUMMYFUNCTION("""COMPUTED_VALUE"""),46007.0)</f>
        <v>46007</v>
      </c>
      <c r="L118" s="27">
        <f>IFERROR(__xludf.DUMMYFUNCTION("""COMPUTED_VALUE"""),46007.0)</f>
        <v>46007</v>
      </c>
      <c r="M118" s="3" t="str">
        <f>IFERROR(__xludf.DUMMYFUNCTION("""COMPUTED_VALUE"""),"Pending")</f>
        <v>Pending</v>
      </c>
      <c r="N118" s="3"/>
      <c r="O118" s="3">
        <f>IFERROR(VLOOKUP(C118,Sheet4!A118:F905,6,0),"")</f>
        <v>11356588</v>
      </c>
      <c r="Q118" s="2" t="str">
        <f t="shared" si="1"/>
        <v>16</v>
      </c>
    </row>
    <row r="119">
      <c r="A119" s="3" t="str">
        <f>IFERROR(__xludf.DUMMYFUNCTION("""COMPUTED_VALUE"""),"Vswr")</f>
        <v>Vswr</v>
      </c>
      <c r="B119" s="3" t="str">
        <f>IFERROR(__xludf.DUMMYFUNCTION("""COMPUTED_VALUE"""),"P1")</f>
        <v>P1</v>
      </c>
      <c r="C119" s="3" t="str">
        <f>IFERROR(__xludf.DUMMYFUNCTION("""COMPUTED_VALUE"""),"MTW067")</f>
        <v>MTW067</v>
      </c>
      <c r="D119" s="3" t="str">
        <f>IFERROR(__xludf.DUMMYFUNCTION("""COMPUTED_VALUE"""),"munawir akhmad")</f>
        <v>munawir akhmad</v>
      </c>
      <c r="E119" s="3" t="str">
        <f>IFERROR(__xludf.DUMMYFUNCTION("""COMPUTED_VALUE"""),"TE")</f>
        <v>TE</v>
      </c>
      <c r="F119" s="3" t="str">
        <f>IFERROR(__xludf.DUMMYFUNCTION("""COMPUTED_VALUE"""),"Winda Sokenda")</f>
        <v>Winda Sokenda</v>
      </c>
      <c r="G119" s="3" t="str">
        <f>IFERROR(__xludf.DUMMYFUNCTION("""COMPUTED_VALUE"""),"Barito Raya")</f>
        <v>Barito Raya</v>
      </c>
      <c r="H119" s="3" t="str">
        <f>IFERROR(__xludf.DUMMYFUNCTION("""COMPUTED_VALUE"""),"Corrective")</f>
        <v>Corrective</v>
      </c>
      <c r="I119" s="3" t="str">
        <f>IFERROR(__xludf.DUMMYFUNCTION("""COMPUTED_VALUE"""),"Replace Jumper,antena/RRU")</f>
        <v>Replace Jumper,antena/RRU</v>
      </c>
      <c r="J119" s="3" t="str">
        <f>IFERROR(__xludf.DUMMYFUNCTION("""COMPUTED_VALUE"""),"On Progress")</f>
        <v>On Progress</v>
      </c>
      <c r="K119" s="27">
        <f>IFERROR(__xludf.DUMMYFUNCTION("""COMPUTED_VALUE"""),46007.0)</f>
        <v>46007</v>
      </c>
      <c r="L119" s="27">
        <f>IFERROR(__xludf.DUMMYFUNCTION("""COMPUTED_VALUE"""),46007.0)</f>
        <v>46007</v>
      </c>
      <c r="M119" s="3" t="str">
        <f>IFERROR(__xludf.DUMMYFUNCTION("""COMPUTED_VALUE"""),"Done")</f>
        <v>Done</v>
      </c>
      <c r="N119" s="3"/>
      <c r="O119" s="3">
        <f>IFERROR(VLOOKUP(C119,Sheet4!A119:F906,6,0),"")</f>
        <v>11488679</v>
      </c>
      <c r="Q119" s="2" t="str">
        <f t="shared" si="1"/>
        <v>16</v>
      </c>
    </row>
    <row r="120">
      <c r="A120" s="3" t="str">
        <f>IFERROR(__xludf.DUMMYFUNCTION("""COMPUTED_VALUE"""),"Vswr")</f>
        <v>Vswr</v>
      </c>
      <c r="B120" s="3" t="str">
        <f>IFERROR(__xludf.DUMMYFUNCTION("""COMPUTED_VALUE"""),"P1")</f>
        <v>P1</v>
      </c>
      <c r="C120" s="3" t="str">
        <f>IFERROR(__xludf.DUMMYFUNCTION("""COMPUTED_VALUE"""),"MTW067")</f>
        <v>MTW067</v>
      </c>
      <c r="D120" s="3" t="str">
        <f>IFERROR(__xludf.DUMMYFUNCTION("""COMPUTED_VALUE"""),"Riki Hidayat")</f>
        <v>Riki Hidayat</v>
      </c>
      <c r="E120" s="3" t="str">
        <f>IFERROR(__xludf.DUMMYFUNCTION("""COMPUTED_VALUE"""),"TE")</f>
        <v>TE</v>
      </c>
      <c r="F120" s="3" t="str">
        <f>IFERROR(__xludf.DUMMYFUNCTION("""COMPUTED_VALUE"""),"Winda Sokenda")</f>
        <v>Winda Sokenda</v>
      </c>
      <c r="G120" s="3" t="str">
        <f>IFERROR(__xludf.DUMMYFUNCTION("""COMPUTED_VALUE"""),"Barito Raya")</f>
        <v>Barito Raya</v>
      </c>
      <c r="H120" s="3" t="str">
        <f>IFERROR(__xludf.DUMMYFUNCTION("""COMPUTED_VALUE"""),"Corrective")</f>
        <v>Corrective</v>
      </c>
      <c r="I120" s="3" t="str">
        <f>IFERROR(__xludf.DUMMYFUNCTION("""COMPUTED_VALUE"""),"Replace Jumper,antena/RRU")</f>
        <v>Replace Jumper,antena/RRU</v>
      </c>
      <c r="J120" s="3" t="str">
        <f>IFERROR(__xludf.DUMMYFUNCTION("""COMPUTED_VALUE"""),"On Progress")</f>
        <v>On Progress</v>
      </c>
      <c r="K120" s="27">
        <f>IFERROR(__xludf.DUMMYFUNCTION("""COMPUTED_VALUE"""),46007.0)</f>
        <v>46007</v>
      </c>
      <c r="L120" s="27">
        <f>IFERROR(__xludf.DUMMYFUNCTION("""COMPUTED_VALUE"""),46007.0)</f>
        <v>46007</v>
      </c>
      <c r="M120" s="3" t="str">
        <f>IFERROR(__xludf.DUMMYFUNCTION("""COMPUTED_VALUE"""),"Done")</f>
        <v>Done</v>
      </c>
      <c r="N120" s="3"/>
      <c r="O120" s="3">
        <f>IFERROR(VLOOKUP(C120,Sheet4!A120:F907,6,0),"")</f>
        <v>11488679</v>
      </c>
      <c r="Q120" s="2" t="str">
        <f t="shared" si="1"/>
        <v>16</v>
      </c>
    </row>
    <row r="121">
      <c r="A121" s="3" t="str">
        <f>IFERROR(__xludf.DUMMYFUNCTION("""COMPUTED_VALUE"""),"Cell down")</f>
        <v>Cell down</v>
      </c>
      <c r="B121" s="3" t="str">
        <f>IFERROR(__xludf.DUMMYFUNCTION("""COMPUTED_VALUE"""),"P1")</f>
        <v>P1</v>
      </c>
      <c r="C121" s="3" t="str">
        <f>IFERROR(__xludf.DUMMYFUNCTION("""COMPUTED_VALUE"""),"KKP066")</f>
        <v>KKP066</v>
      </c>
      <c r="D121" s="3" t="str">
        <f>IFERROR(__xludf.DUMMYFUNCTION("""COMPUTED_VALUE"""),"Armadi")</f>
        <v>Armadi</v>
      </c>
      <c r="E121" s="3" t="str">
        <f>IFERROR(__xludf.DUMMYFUNCTION("""COMPUTED_VALUE"""),"TE")</f>
        <v>TE</v>
      </c>
      <c r="F121" s="3" t="str">
        <f>IFERROR(__xludf.DUMMYFUNCTION("""COMPUTED_VALUE"""),"Winda Sokenda")</f>
        <v>Winda Sokenda</v>
      </c>
      <c r="G121" s="3" t="str">
        <f>IFERROR(__xludf.DUMMYFUNCTION("""COMPUTED_VALUE"""),"Barito Raya")</f>
        <v>Barito Raya</v>
      </c>
      <c r="H121" s="3" t="str">
        <f>IFERROR(__xludf.DUMMYFUNCTION("""COMPUTED_VALUE"""),"Corrective")</f>
        <v>Corrective</v>
      </c>
      <c r="I121" s="3" t="str">
        <f>IFERROR(__xludf.DUMMYFUNCTION("""COMPUTED_VALUE"""),"Replace Optik,RRU/Soket Power/Replace GPS")</f>
        <v>Replace Optik,RRU/Soket Power/Replace GPS</v>
      </c>
      <c r="J121" s="3" t="str">
        <f>IFERROR(__xludf.DUMMYFUNCTION("""COMPUTED_VALUE"""),"On Progress")</f>
        <v>On Progress</v>
      </c>
      <c r="K121" s="27">
        <f>IFERROR(__xludf.DUMMYFUNCTION("""COMPUTED_VALUE"""),46007.0)</f>
        <v>46007</v>
      </c>
      <c r="L121" s="27">
        <f>IFERROR(__xludf.DUMMYFUNCTION("""COMPUTED_VALUE"""),46007.0)</f>
        <v>46007</v>
      </c>
      <c r="M121" s="3" t="str">
        <f>IFERROR(__xludf.DUMMYFUNCTION("""COMPUTED_VALUE"""),"Done")</f>
        <v>Done</v>
      </c>
      <c r="N121" s="3"/>
      <c r="O121" s="3" t="str">
        <f>IFERROR(VLOOKUP(C121,Sheet4!A121:F908,6,0),"")</f>
        <v/>
      </c>
      <c r="Q121" s="2" t="str">
        <f t="shared" si="1"/>
        <v>16</v>
      </c>
    </row>
    <row r="122">
      <c r="A122" s="3" t="str">
        <f>IFERROR(__xludf.DUMMYFUNCTION("""COMPUTED_VALUE"""),"Cell down")</f>
        <v>Cell down</v>
      </c>
      <c r="B122" s="3" t="str">
        <f>IFERROR(__xludf.DUMMYFUNCTION("""COMPUTED_VALUE"""),"P1")</f>
        <v>P1</v>
      </c>
      <c r="C122" s="3" t="str">
        <f>IFERROR(__xludf.DUMMYFUNCTION("""COMPUTED_VALUE"""),"KKP066")</f>
        <v>KKP066</v>
      </c>
      <c r="D122" s="3" t="str">
        <f>IFERROR(__xludf.DUMMYFUNCTION("""COMPUTED_VALUE"""),"Jumadi")</f>
        <v>Jumadi</v>
      </c>
      <c r="E122" s="3" t="str">
        <f>IFERROR(__xludf.DUMMYFUNCTION("""COMPUTED_VALUE"""),"TE")</f>
        <v>TE</v>
      </c>
      <c r="F122" s="3" t="str">
        <f>IFERROR(__xludf.DUMMYFUNCTION("""COMPUTED_VALUE"""),"Winda Sokenda")</f>
        <v>Winda Sokenda</v>
      </c>
      <c r="G122" s="3" t="str">
        <f>IFERROR(__xludf.DUMMYFUNCTION("""COMPUTED_VALUE"""),"Barito Raya")</f>
        <v>Barito Raya</v>
      </c>
      <c r="H122" s="3" t="str">
        <f>IFERROR(__xludf.DUMMYFUNCTION("""COMPUTED_VALUE"""),"Corrective")</f>
        <v>Corrective</v>
      </c>
      <c r="I122" s="3" t="str">
        <f>IFERROR(__xludf.DUMMYFUNCTION("""COMPUTED_VALUE"""),"Replace Optik,RRU/Soket Power/Replace GPS")</f>
        <v>Replace Optik,RRU/Soket Power/Replace GPS</v>
      </c>
      <c r="J122" s="3" t="str">
        <f>IFERROR(__xludf.DUMMYFUNCTION("""COMPUTED_VALUE"""),"On Progress")</f>
        <v>On Progress</v>
      </c>
      <c r="K122" s="27">
        <f>IFERROR(__xludf.DUMMYFUNCTION("""COMPUTED_VALUE"""),46007.0)</f>
        <v>46007</v>
      </c>
      <c r="L122" s="27">
        <f>IFERROR(__xludf.DUMMYFUNCTION("""COMPUTED_VALUE"""),46007.0)</f>
        <v>46007</v>
      </c>
      <c r="M122" s="3" t="str">
        <f>IFERROR(__xludf.DUMMYFUNCTION("""COMPUTED_VALUE"""),"Done")</f>
        <v>Done</v>
      </c>
      <c r="N122" s="3"/>
      <c r="O122" s="3" t="str">
        <f>IFERROR(VLOOKUP(C122,Sheet4!A122:F909,6,0),"")</f>
        <v/>
      </c>
      <c r="Q122" s="2" t="str">
        <f t="shared" si="1"/>
        <v>16</v>
      </c>
    </row>
    <row r="123">
      <c r="A123" s="3" t="str">
        <f>IFERROR(__xludf.DUMMYFUNCTION("""COMPUTED_VALUE"""),"Cell down")</f>
        <v>Cell down</v>
      </c>
      <c r="B123" s="3" t="str">
        <f>IFERROR(__xludf.DUMMYFUNCTION("""COMPUTED_VALUE"""),"P1")</f>
        <v>P1</v>
      </c>
      <c r="C123" s="3" t="str">
        <f>IFERROR(__xludf.DUMMYFUNCTION("""COMPUTED_VALUE"""),"KKP066")</f>
        <v>KKP066</v>
      </c>
      <c r="D123" s="3" t="str">
        <f>IFERROR(__xludf.DUMMYFUNCTION("""COMPUTED_VALUE"""),"Oky Bangkit Pamungkas")</f>
        <v>Oky Bangkit Pamungkas</v>
      </c>
      <c r="E123" s="3" t="str">
        <f>IFERROR(__xludf.DUMMYFUNCTION("""COMPUTED_VALUE"""),"TE")</f>
        <v>TE</v>
      </c>
      <c r="F123" s="3" t="str">
        <f>IFERROR(__xludf.DUMMYFUNCTION("""COMPUTED_VALUE"""),"Winda Sokenda")</f>
        <v>Winda Sokenda</v>
      </c>
      <c r="G123" s="3" t="str">
        <f>IFERROR(__xludf.DUMMYFUNCTION("""COMPUTED_VALUE"""),"Barito Raya")</f>
        <v>Barito Raya</v>
      </c>
      <c r="H123" s="3" t="str">
        <f>IFERROR(__xludf.DUMMYFUNCTION("""COMPUTED_VALUE"""),"Corrective")</f>
        <v>Corrective</v>
      </c>
      <c r="I123" s="3" t="str">
        <f>IFERROR(__xludf.DUMMYFUNCTION("""COMPUTED_VALUE"""),"Replace Optik,RRU/Soket Power/Replace GPS")</f>
        <v>Replace Optik,RRU/Soket Power/Replace GPS</v>
      </c>
      <c r="J123" s="3" t="str">
        <f>IFERROR(__xludf.DUMMYFUNCTION("""COMPUTED_VALUE"""),"On Progress")</f>
        <v>On Progress</v>
      </c>
      <c r="K123" s="27">
        <f>IFERROR(__xludf.DUMMYFUNCTION("""COMPUTED_VALUE"""),46007.0)</f>
        <v>46007</v>
      </c>
      <c r="L123" s="27">
        <f>IFERROR(__xludf.DUMMYFUNCTION("""COMPUTED_VALUE"""),46007.0)</f>
        <v>46007</v>
      </c>
      <c r="M123" s="3" t="str">
        <f>IFERROR(__xludf.DUMMYFUNCTION("""COMPUTED_VALUE"""),"Done")</f>
        <v>Done</v>
      </c>
      <c r="N123" s="3"/>
      <c r="O123" s="3" t="str">
        <f>IFERROR(VLOOKUP(C123,Sheet4!A123:F910,6,0),"")</f>
        <v/>
      </c>
      <c r="Q123" s="2" t="str">
        <f t="shared" si="1"/>
        <v>16</v>
      </c>
    </row>
    <row r="124">
      <c r="A124" s="3" t="str">
        <f>IFERROR(__xludf.DUMMYFUNCTION("""COMPUTED_VALUE"""),"Cell down")</f>
        <v>Cell down</v>
      </c>
      <c r="B124" s="3" t="str">
        <f>IFERROR(__xludf.DUMMYFUNCTION("""COMPUTED_VALUE"""),"P1")</f>
        <v>P1</v>
      </c>
      <c r="C124" s="3" t="str">
        <f>IFERROR(__xludf.DUMMYFUNCTION("""COMPUTED_VALUE"""),"KSN015")</f>
        <v>KSN015</v>
      </c>
      <c r="D124" s="3" t="str">
        <f>IFERROR(__xludf.DUMMYFUNCTION("""COMPUTED_VALUE"""),"Muhammad Mukhlis")</f>
        <v>Muhammad Mukhlis</v>
      </c>
      <c r="E124" s="3" t="str">
        <f>IFERROR(__xludf.DUMMYFUNCTION("""COMPUTED_VALUE"""),"TE")</f>
        <v>TE</v>
      </c>
      <c r="F124" s="3" t="str">
        <f>IFERROR(__xludf.DUMMYFUNCTION("""COMPUTED_VALUE"""),"Doni Damara")</f>
        <v>Doni Damara</v>
      </c>
      <c r="G124" s="3" t="str">
        <f>IFERROR(__xludf.DUMMYFUNCTION("""COMPUTED_VALUE"""),"Palangkaraya")</f>
        <v>Palangkaraya</v>
      </c>
      <c r="H124" s="3" t="str">
        <f>IFERROR(__xludf.DUMMYFUNCTION("""COMPUTED_VALUE"""),"Corrective")</f>
        <v>Corrective</v>
      </c>
      <c r="I124" s="3" t="str">
        <f>IFERROR(__xludf.DUMMYFUNCTION("""COMPUTED_VALUE"""),"Replace Optik,RRU/Soket Power/Replace GPS")</f>
        <v>Replace Optik,RRU/Soket Power/Replace GPS</v>
      </c>
      <c r="J124" s="3" t="str">
        <f>IFERROR(__xludf.DUMMYFUNCTION("""COMPUTED_VALUE"""),"On Progress")</f>
        <v>On Progress</v>
      </c>
      <c r="K124" s="27">
        <f>IFERROR(__xludf.DUMMYFUNCTION("""COMPUTED_VALUE"""),46007.0)</f>
        <v>46007</v>
      </c>
      <c r="L124" s="27">
        <f>IFERROR(__xludf.DUMMYFUNCTION("""COMPUTED_VALUE"""),46007.0)</f>
        <v>46007</v>
      </c>
      <c r="M124" s="3" t="str">
        <f>IFERROR(__xludf.DUMMYFUNCTION("""COMPUTED_VALUE"""),"Pending")</f>
        <v>Pending</v>
      </c>
      <c r="N124" s="3"/>
      <c r="O124" s="3">
        <f>IFERROR(VLOOKUP(C124,Sheet4!A124:F911,6,0),"")</f>
        <v>11321067</v>
      </c>
      <c r="Q124" s="2" t="str">
        <f t="shared" si="1"/>
        <v>16</v>
      </c>
    </row>
    <row r="125">
      <c r="A125" s="3" t="str">
        <f>IFERROR(__xludf.DUMMYFUNCTION("""COMPUTED_VALUE"""),"Pengecekan battrey")</f>
        <v>Pengecekan battrey</v>
      </c>
      <c r="B125" s="3" t="str">
        <f>IFERROR(__xludf.DUMMYFUNCTION("""COMPUTED_VALUE"""),"P2")</f>
        <v>P2</v>
      </c>
      <c r="C125" s="3" t="str">
        <f>IFERROR(__xludf.DUMMYFUNCTION("""COMPUTED_VALUE"""),"KSN028")</f>
        <v>KSN028</v>
      </c>
      <c r="D125" s="3" t="str">
        <f>IFERROR(__xludf.DUMMYFUNCTION("""COMPUTED_VALUE"""),"Muhammad Mukti")</f>
        <v>Muhammad Mukti</v>
      </c>
      <c r="E125" s="3" t="str">
        <f>IFERROR(__xludf.DUMMYFUNCTION("""COMPUTED_VALUE"""),"TE")</f>
        <v>TE</v>
      </c>
      <c r="F125" s="3" t="str">
        <f>IFERROR(__xludf.DUMMYFUNCTION("""COMPUTED_VALUE"""),"Doni Damara")</f>
        <v>Doni Damara</v>
      </c>
      <c r="G125" s="3" t="str">
        <f>IFERROR(__xludf.DUMMYFUNCTION("""COMPUTED_VALUE"""),"Palangkaraya")</f>
        <v>Palangkaraya</v>
      </c>
      <c r="H125" s="3" t="str">
        <f>IFERROR(__xludf.DUMMYFUNCTION("""COMPUTED_VALUE"""),"Preventive")</f>
        <v>Preventive</v>
      </c>
      <c r="I125" s="3" t="str">
        <f>IFERROR(__xludf.DUMMYFUNCTION("""COMPUTED_VALUE"""),"Pengukuran dan pengambilan data log serta input Gdoc BBT")</f>
        <v>Pengukuran dan pengambilan data log serta input Gdoc BBT</v>
      </c>
      <c r="J125" s="3" t="str">
        <f>IFERROR(__xludf.DUMMYFUNCTION("""COMPUTED_VALUE"""),"On Progress")</f>
        <v>On Progress</v>
      </c>
      <c r="K125" s="27">
        <f>IFERROR(__xludf.DUMMYFUNCTION("""COMPUTED_VALUE"""),46007.0)</f>
        <v>46007</v>
      </c>
      <c r="L125" s="27">
        <f>IFERROR(__xludf.DUMMYFUNCTION("""COMPUTED_VALUE"""),46007.0)</f>
        <v>46007</v>
      </c>
      <c r="M125" s="3" t="str">
        <f>IFERROR(__xludf.DUMMYFUNCTION("""COMPUTED_VALUE"""),"Pending")</f>
        <v>Pending</v>
      </c>
      <c r="N125" s="3"/>
      <c r="O125" s="3">
        <f>IFERROR(VLOOKUP(C125,Sheet4!A125:F912,6,0),"")</f>
        <v>1129584</v>
      </c>
      <c r="Q125" s="2" t="str">
        <f t="shared" si="1"/>
        <v>16</v>
      </c>
    </row>
    <row r="126">
      <c r="A126" s="3" t="str">
        <f>IFERROR(__xludf.DUMMYFUNCTION("""COMPUTED_VALUE"""),"Support Event")</f>
        <v>Support Event</v>
      </c>
      <c r="B126" s="3" t="str">
        <f>IFERROR(__xludf.DUMMYFUNCTION("""COMPUTED_VALUE"""),"P2")</f>
        <v>P2</v>
      </c>
      <c r="C126" s="3" t="str">
        <f>IFERROR(__xludf.DUMMYFUNCTION("""COMPUTED_VALUE"""),"PLK260")</f>
        <v>PLK260</v>
      </c>
      <c r="D126" s="3" t="str">
        <f>IFERROR(__xludf.DUMMYFUNCTION("""COMPUTED_VALUE"""),"Fahmi")</f>
        <v>Fahmi</v>
      </c>
      <c r="E126" s="3" t="str">
        <f>IFERROR(__xludf.DUMMYFUNCTION("""COMPUTED_VALUE"""),"TE")</f>
        <v>TE</v>
      </c>
      <c r="F126" s="3" t="str">
        <f>IFERROR(__xludf.DUMMYFUNCTION("""COMPUTED_VALUE"""),"Doni Damara")</f>
        <v>Doni Damara</v>
      </c>
      <c r="G126" s="3" t="str">
        <f>IFERROR(__xludf.DUMMYFUNCTION("""COMPUTED_VALUE"""),"Palangkaraya")</f>
        <v>Palangkaraya</v>
      </c>
      <c r="H126" s="3" t="str">
        <f>IFERROR(__xludf.DUMMYFUNCTION("""COMPUTED_VALUE"""),"Corrective")</f>
        <v>Corrective</v>
      </c>
      <c r="I126" s="3" t="str">
        <f>IFERROR(__xludf.DUMMYFUNCTION("""COMPUTED_VALUE"""),"Support Event")</f>
        <v>Support Event</v>
      </c>
      <c r="J126" s="3" t="str">
        <f>IFERROR(__xludf.DUMMYFUNCTION("""COMPUTED_VALUE"""),"On Progress")</f>
        <v>On Progress</v>
      </c>
      <c r="K126" s="27">
        <f>IFERROR(__xludf.DUMMYFUNCTION("""COMPUTED_VALUE"""),46007.0)</f>
        <v>46007</v>
      </c>
      <c r="L126" s="27">
        <f>IFERROR(__xludf.DUMMYFUNCTION("""COMPUTED_VALUE"""),46007.0)</f>
        <v>46007</v>
      </c>
      <c r="M126" s="3" t="str">
        <f>IFERROR(__xludf.DUMMYFUNCTION("""COMPUTED_VALUE"""),"Done")</f>
        <v>Done</v>
      </c>
      <c r="N126" s="3"/>
      <c r="O126" s="3">
        <f>IFERROR(VLOOKUP(C126,Sheet4!A126:F913,6,0),"")</f>
        <v>11393324</v>
      </c>
      <c r="Q126" s="2" t="str">
        <f t="shared" si="1"/>
        <v>16</v>
      </c>
    </row>
    <row r="127">
      <c r="A127" s="3" t="str">
        <f>IFERROR(__xludf.DUMMYFUNCTION("""COMPUTED_VALUE"""),"Support Event")</f>
        <v>Support Event</v>
      </c>
      <c r="B127" s="3" t="str">
        <f>IFERROR(__xludf.DUMMYFUNCTION("""COMPUTED_VALUE"""),"P2")</f>
        <v>P2</v>
      </c>
      <c r="C127" s="3" t="str">
        <f>IFERROR(__xludf.DUMMYFUNCTION("""COMPUTED_VALUE"""),"PLK260")</f>
        <v>PLK260</v>
      </c>
      <c r="D127" s="3" t="str">
        <f>IFERROR(__xludf.DUMMYFUNCTION("""COMPUTED_VALUE"""),"james jimbris")</f>
        <v>james jimbris</v>
      </c>
      <c r="E127" s="3" t="str">
        <f>IFERROR(__xludf.DUMMYFUNCTION("""COMPUTED_VALUE"""),"TE")</f>
        <v>TE</v>
      </c>
      <c r="F127" s="3" t="str">
        <f>IFERROR(__xludf.DUMMYFUNCTION("""COMPUTED_VALUE"""),"Doni Damara")</f>
        <v>Doni Damara</v>
      </c>
      <c r="G127" s="3" t="str">
        <f>IFERROR(__xludf.DUMMYFUNCTION("""COMPUTED_VALUE"""),"Palangkaraya")</f>
        <v>Palangkaraya</v>
      </c>
      <c r="H127" s="3" t="str">
        <f>IFERROR(__xludf.DUMMYFUNCTION("""COMPUTED_VALUE"""),"Corrective")</f>
        <v>Corrective</v>
      </c>
      <c r="I127" s="3" t="str">
        <f>IFERROR(__xludf.DUMMYFUNCTION("""COMPUTED_VALUE"""),"Support Event")</f>
        <v>Support Event</v>
      </c>
      <c r="J127" s="3" t="str">
        <f>IFERROR(__xludf.DUMMYFUNCTION("""COMPUTED_VALUE"""),"On Progress")</f>
        <v>On Progress</v>
      </c>
      <c r="K127" s="27">
        <f>IFERROR(__xludf.DUMMYFUNCTION("""COMPUTED_VALUE"""),46007.0)</f>
        <v>46007</v>
      </c>
      <c r="L127" s="27">
        <f>IFERROR(__xludf.DUMMYFUNCTION("""COMPUTED_VALUE"""),46007.0)</f>
        <v>46007</v>
      </c>
      <c r="M127" s="3" t="str">
        <f>IFERROR(__xludf.DUMMYFUNCTION("""COMPUTED_VALUE"""),"Done")</f>
        <v>Done</v>
      </c>
      <c r="N127" s="3"/>
      <c r="O127" s="3">
        <f>IFERROR(VLOOKUP(C127,Sheet4!A127:F914,6,0),"")</f>
        <v>11393324</v>
      </c>
      <c r="Q127" s="2" t="str">
        <f t="shared" si="1"/>
        <v>16</v>
      </c>
    </row>
    <row r="128">
      <c r="A128" s="3" t="str">
        <f>IFERROR(__xludf.DUMMYFUNCTION("""COMPUTED_VALUE"""),"Cell down")</f>
        <v>Cell down</v>
      </c>
      <c r="B128" s="3" t="str">
        <f>IFERROR(__xludf.DUMMYFUNCTION("""COMPUTED_VALUE"""),"P1")</f>
        <v>P1</v>
      </c>
      <c r="C128" s="3" t="str">
        <f>IFERROR(__xludf.DUMMYFUNCTION("""COMPUTED_VALUE"""),"PLK247")</f>
        <v>PLK247</v>
      </c>
      <c r="D128" s="3" t="str">
        <f>IFERROR(__xludf.DUMMYFUNCTION("""COMPUTED_VALUE"""),"Adi Bowo Santoso")</f>
        <v>Adi Bowo Santoso</v>
      </c>
      <c r="E128" s="3" t="str">
        <f>IFERROR(__xludf.DUMMYFUNCTION("""COMPUTED_VALUE"""),"TE")</f>
        <v>TE</v>
      </c>
      <c r="F128" s="3" t="str">
        <f>IFERROR(__xludf.DUMMYFUNCTION("""COMPUTED_VALUE"""),"Doni Damara")</f>
        <v>Doni Damara</v>
      </c>
      <c r="G128" s="3" t="str">
        <f>IFERROR(__xludf.DUMMYFUNCTION("""COMPUTED_VALUE"""),"Palangkaraya")</f>
        <v>Palangkaraya</v>
      </c>
      <c r="H128" s="3" t="str">
        <f>IFERROR(__xludf.DUMMYFUNCTION("""COMPUTED_VALUE"""),"Corrective")</f>
        <v>Corrective</v>
      </c>
      <c r="I128" s="3" t="str">
        <f>IFERROR(__xludf.DUMMYFUNCTION("""COMPUTED_VALUE"""),"Replace Optik,RRU/Soket Power/Replace GPS")</f>
        <v>Replace Optik,RRU/Soket Power/Replace GPS</v>
      </c>
      <c r="J128" s="3" t="str">
        <f>IFERROR(__xludf.DUMMYFUNCTION("""COMPUTED_VALUE"""),"On Progress")</f>
        <v>On Progress</v>
      </c>
      <c r="K128" s="27">
        <f>IFERROR(__xludf.DUMMYFUNCTION("""COMPUTED_VALUE"""),46007.0)</f>
        <v>46007</v>
      </c>
      <c r="L128" s="27">
        <f>IFERROR(__xludf.DUMMYFUNCTION("""COMPUTED_VALUE"""),46007.0)</f>
        <v>46007</v>
      </c>
      <c r="M128" s="3" t="str">
        <f>IFERROR(__xludf.DUMMYFUNCTION("""COMPUTED_VALUE"""),"Pending")</f>
        <v>Pending</v>
      </c>
      <c r="N128" s="3"/>
      <c r="O128" s="3">
        <f>IFERROR(VLOOKUP(C128,Sheet4!A128:F915,6,0),"")</f>
        <v>11391569</v>
      </c>
      <c r="Q128" s="2" t="str">
        <f t="shared" si="1"/>
        <v>16</v>
      </c>
    </row>
    <row r="129">
      <c r="A129" s="3" t="str">
        <f>IFERROR(__xludf.DUMMYFUNCTION("""COMPUTED_VALUE"""),"Cell down")</f>
        <v>Cell down</v>
      </c>
      <c r="B129" s="3" t="str">
        <f>IFERROR(__xludf.DUMMYFUNCTION("""COMPUTED_VALUE"""),"P1")</f>
        <v>P1</v>
      </c>
      <c r="C129" s="3" t="str">
        <f>IFERROR(__xludf.DUMMYFUNCTION("""COMPUTED_VALUE"""),"PLK247")</f>
        <v>PLK247</v>
      </c>
      <c r="D129" s="3" t="str">
        <f>IFERROR(__xludf.DUMMYFUNCTION("""COMPUTED_VALUE"""),"Ahmad")</f>
        <v>Ahmad</v>
      </c>
      <c r="E129" s="3" t="str">
        <f>IFERROR(__xludf.DUMMYFUNCTION("""COMPUTED_VALUE"""),"TE")</f>
        <v>TE</v>
      </c>
      <c r="F129" s="3" t="str">
        <f>IFERROR(__xludf.DUMMYFUNCTION("""COMPUTED_VALUE"""),"Doni Damara")</f>
        <v>Doni Damara</v>
      </c>
      <c r="G129" s="3" t="str">
        <f>IFERROR(__xludf.DUMMYFUNCTION("""COMPUTED_VALUE"""),"Palangkaraya")</f>
        <v>Palangkaraya</v>
      </c>
      <c r="H129" s="3" t="str">
        <f>IFERROR(__xludf.DUMMYFUNCTION("""COMPUTED_VALUE"""),"Corrective")</f>
        <v>Corrective</v>
      </c>
      <c r="I129" s="3" t="str">
        <f>IFERROR(__xludf.DUMMYFUNCTION("""COMPUTED_VALUE"""),"Replace Optik,RRU/Soket Power/Replace GPS")</f>
        <v>Replace Optik,RRU/Soket Power/Replace GPS</v>
      </c>
      <c r="J129" s="3" t="str">
        <f>IFERROR(__xludf.DUMMYFUNCTION("""COMPUTED_VALUE"""),"On Progress")</f>
        <v>On Progress</v>
      </c>
      <c r="K129" s="27">
        <f>IFERROR(__xludf.DUMMYFUNCTION("""COMPUTED_VALUE"""),46007.0)</f>
        <v>46007</v>
      </c>
      <c r="L129" s="27">
        <f>IFERROR(__xludf.DUMMYFUNCTION("""COMPUTED_VALUE"""),46007.0)</f>
        <v>46007</v>
      </c>
      <c r="M129" s="3" t="str">
        <f>IFERROR(__xludf.DUMMYFUNCTION("""COMPUTED_VALUE"""),"Pending")</f>
        <v>Pending</v>
      </c>
      <c r="N129" s="3"/>
      <c r="O129" s="3">
        <f>IFERROR(VLOOKUP(C129,Sheet4!A129:F916,6,0),"")</f>
        <v>11391569</v>
      </c>
      <c r="Q129" s="2" t="str">
        <f t="shared" si="1"/>
        <v>16</v>
      </c>
    </row>
    <row r="130">
      <c r="A130" s="3" t="str">
        <f>IFERROR(__xludf.DUMMYFUNCTION("""COMPUTED_VALUE"""),"Pengecekan battrey")</f>
        <v>Pengecekan battrey</v>
      </c>
      <c r="B130" s="3" t="str">
        <f>IFERROR(__xludf.DUMMYFUNCTION("""COMPUTED_VALUE"""),"P2")</f>
        <v>P2</v>
      </c>
      <c r="C130" s="3" t="str">
        <f>IFERROR(__xludf.DUMMYFUNCTION("""COMPUTED_VALUE"""),"PPS054")</f>
        <v>PPS054</v>
      </c>
      <c r="D130" s="3" t="str">
        <f>IFERROR(__xludf.DUMMYFUNCTION("""COMPUTED_VALUE"""),"Yahya Muhamad")</f>
        <v>Yahya Muhamad</v>
      </c>
      <c r="E130" s="3" t="str">
        <f>IFERROR(__xludf.DUMMYFUNCTION("""COMPUTED_VALUE"""),"TE")</f>
        <v>TE</v>
      </c>
      <c r="F130" s="3" t="str">
        <f>IFERROR(__xludf.DUMMYFUNCTION("""COMPUTED_VALUE"""),"Doni Damara")</f>
        <v>Doni Damara</v>
      </c>
      <c r="G130" s="3" t="str">
        <f>IFERROR(__xludf.DUMMYFUNCTION("""COMPUTED_VALUE"""),"Palangkaraya")</f>
        <v>Palangkaraya</v>
      </c>
      <c r="H130" s="3" t="str">
        <f>IFERROR(__xludf.DUMMYFUNCTION("""COMPUTED_VALUE"""),"Preventive")</f>
        <v>Preventive</v>
      </c>
      <c r="I130" s="3" t="str">
        <f>IFERROR(__xludf.DUMMYFUNCTION("""COMPUTED_VALUE"""),"Pengukuran dan pengambilan data log serta input Gdoc BBT")</f>
        <v>Pengukuran dan pengambilan data log serta input Gdoc BBT</v>
      </c>
      <c r="J130" s="3" t="str">
        <f>IFERROR(__xludf.DUMMYFUNCTION("""COMPUTED_VALUE"""),"On Progress")</f>
        <v>On Progress</v>
      </c>
      <c r="K130" s="27">
        <f>IFERROR(__xludf.DUMMYFUNCTION("""COMPUTED_VALUE"""),46007.0)</f>
        <v>46007</v>
      </c>
      <c r="L130" s="27">
        <f>IFERROR(__xludf.DUMMYFUNCTION("""COMPUTED_VALUE"""),46007.0)</f>
        <v>46007</v>
      </c>
      <c r="M130" s="3" t="str">
        <f>IFERROR(__xludf.DUMMYFUNCTION("""COMPUTED_VALUE"""),"Pending")</f>
        <v>Pending</v>
      </c>
      <c r="N130" s="3"/>
      <c r="O130" s="3">
        <f>IFERROR(VLOOKUP(C130,Sheet4!A130:F917,6,0),"")</f>
        <v>11420639</v>
      </c>
      <c r="Q130" s="2" t="str">
        <f t="shared" si="1"/>
        <v>16</v>
      </c>
    </row>
    <row r="131">
      <c r="A131" s="3" t="str">
        <f>IFERROR(__xludf.DUMMYFUNCTION("""COMPUTED_VALUE"""),"Site Down")</f>
        <v>Site Down</v>
      </c>
      <c r="B131" s="3" t="str">
        <f>IFERROR(__xludf.DUMMYFUNCTION("""COMPUTED_VALUE"""),"P1")</f>
        <v>P1</v>
      </c>
      <c r="C131" s="3" t="str">
        <f>IFERROR(__xludf.DUMMYFUNCTION("""COMPUTED_VALUE"""),"PPS007")</f>
        <v>PPS007</v>
      </c>
      <c r="D131" s="3" t="str">
        <f>IFERROR(__xludf.DUMMYFUNCTION("""COMPUTED_VALUE"""),"Muhamad Rayhan")</f>
        <v>Muhamad Rayhan</v>
      </c>
      <c r="E131" s="3" t="str">
        <f>IFERROR(__xludf.DUMMYFUNCTION("""COMPUTED_VALUE"""),"TE")</f>
        <v>TE</v>
      </c>
      <c r="F131" s="3" t="str">
        <f>IFERROR(__xludf.DUMMYFUNCTION("""COMPUTED_VALUE"""),"Doni Damara")</f>
        <v>Doni Damara</v>
      </c>
      <c r="G131" s="3" t="str">
        <f>IFERROR(__xludf.DUMMYFUNCTION("""COMPUTED_VALUE"""),"Palangkaraya")</f>
        <v>Palangkaraya</v>
      </c>
      <c r="H131" s="3" t="str">
        <f>IFERROR(__xludf.DUMMYFUNCTION("""COMPUTED_VALUE"""),"Corrective")</f>
        <v>Corrective</v>
      </c>
      <c r="I131" s="3" t="str">
        <f>IFERROR(__xludf.DUMMYFUNCTION("""COMPUTED_VALUE"""),"Pemadaman,MCB Trip,Transmisi problem")</f>
        <v>Pemadaman,MCB Trip,Transmisi problem</v>
      </c>
      <c r="J131" s="3" t="str">
        <f>IFERROR(__xludf.DUMMYFUNCTION("""COMPUTED_VALUE"""),"On Progress")</f>
        <v>On Progress</v>
      </c>
      <c r="K131" s="27">
        <f>IFERROR(__xludf.DUMMYFUNCTION("""COMPUTED_VALUE"""),46007.0)</f>
        <v>46007</v>
      </c>
      <c r="L131" s="27">
        <f>IFERROR(__xludf.DUMMYFUNCTION("""COMPUTED_VALUE"""),46007.0)</f>
        <v>46007</v>
      </c>
      <c r="M131" s="3" t="str">
        <f>IFERROR(__xludf.DUMMYFUNCTION("""COMPUTED_VALUE"""),"Pending")</f>
        <v>Pending</v>
      </c>
      <c r="N131" s="3"/>
      <c r="O131" s="3">
        <f>IFERROR(VLOOKUP(C131,Sheet4!A131:F918,6,0),"")</f>
        <v>11415633</v>
      </c>
      <c r="Q131" s="2" t="str">
        <f t="shared" si="1"/>
        <v>16</v>
      </c>
    </row>
    <row r="132">
      <c r="A132" s="3" t="str">
        <f>IFERROR(__xludf.DUMMYFUNCTION("""COMPUTED_VALUE"""),"PM")</f>
        <v>PM</v>
      </c>
      <c r="B132" s="3" t="str">
        <f>IFERROR(__xludf.DUMMYFUNCTION("""COMPUTED_VALUE"""),"P2")</f>
        <v>P2</v>
      </c>
      <c r="C132" s="3" t="str">
        <f>IFERROR(__xludf.DUMMYFUNCTION("""COMPUTED_VALUE"""),"KSN150")</f>
        <v>KSN150</v>
      </c>
      <c r="D132" s="3" t="str">
        <f>IFERROR(__xludf.DUMMYFUNCTION("""COMPUTED_VALUE"""),"Indra")</f>
        <v>Indra</v>
      </c>
      <c r="E132" s="3" t="str">
        <f>IFERROR(__xludf.DUMMYFUNCTION("""COMPUTED_VALUE"""),"PM")</f>
        <v>PM</v>
      </c>
      <c r="F132" s="3" t="str">
        <f>IFERROR(__xludf.DUMMYFUNCTION("""COMPUTED_VALUE"""),"Doni Damara")</f>
        <v>Doni Damara</v>
      </c>
      <c r="G132" s="3" t="str">
        <f>IFERROR(__xludf.DUMMYFUNCTION("""COMPUTED_VALUE"""),"Palangkaraya")</f>
        <v>Palangkaraya</v>
      </c>
      <c r="H132" s="3" t="str">
        <f>IFERROR(__xludf.DUMMYFUNCTION("""COMPUTED_VALUE"""),"Preventive")</f>
        <v>Preventive</v>
      </c>
      <c r="I132" s="3" t="str">
        <f>IFERROR(__xludf.DUMMYFUNCTION("""COMPUTED_VALUE"""),"Preventive Maintenance")</f>
        <v>Preventive Maintenance</v>
      </c>
      <c r="J132" s="3" t="str">
        <f>IFERROR(__xludf.DUMMYFUNCTION("""COMPUTED_VALUE"""),"On Progress")</f>
        <v>On Progress</v>
      </c>
      <c r="K132" s="27">
        <f>IFERROR(__xludf.DUMMYFUNCTION("""COMPUTED_VALUE"""),46007.0)</f>
        <v>46007</v>
      </c>
      <c r="L132" s="27">
        <f>IFERROR(__xludf.DUMMYFUNCTION("""COMPUTED_VALUE"""),46007.0)</f>
        <v>46007</v>
      </c>
      <c r="M132" s="3" t="str">
        <f>IFERROR(__xludf.DUMMYFUNCTION("""COMPUTED_VALUE"""),"Done")</f>
        <v>Done</v>
      </c>
      <c r="N132" s="3"/>
      <c r="O132" s="3">
        <f>IFERROR(VLOOKUP(C132,Sheet4!A132:F919,6,0),"")</f>
        <v>112496</v>
      </c>
      <c r="Q132" s="2" t="str">
        <f t="shared" si="1"/>
        <v>16</v>
      </c>
    </row>
    <row r="133">
      <c r="A133" s="3" t="str">
        <f>IFERROR(__xludf.DUMMYFUNCTION("""COMPUTED_VALUE"""),"PM")</f>
        <v>PM</v>
      </c>
      <c r="B133" s="3" t="str">
        <f>IFERROR(__xludf.DUMMYFUNCTION("""COMPUTED_VALUE"""),"P2")</f>
        <v>P2</v>
      </c>
      <c r="C133" s="3" t="str">
        <f>IFERROR(__xludf.DUMMYFUNCTION("""COMPUTED_VALUE"""),"KSN023")</f>
        <v>KSN023</v>
      </c>
      <c r="D133" s="3" t="str">
        <f>IFERROR(__xludf.DUMMYFUNCTION("""COMPUTED_VALUE"""),"Darli")</f>
        <v>Darli</v>
      </c>
      <c r="E133" s="3" t="str">
        <f>IFERROR(__xludf.DUMMYFUNCTION("""COMPUTED_VALUE"""),"PM")</f>
        <v>PM</v>
      </c>
      <c r="F133" s="3" t="str">
        <f>IFERROR(__xludf.DUMMYFUNCTION("""COMPUTED_VALUE"""),"Doni Damara")</f>
        <v>Doni Damara</v>
      </c>
      <c r="G133" s="3" t="str">
        <f>IFERROR(__xludf.DUMMYFUNCTION("""COMPUTED_VALUE"""),"Palangkaraya")</f>
        <v>Palangkaraya</v>
      </c>
      <c r="H133" s="3" t="str">
        <f>IFERROR(__xludf.DUMMYFUNCTION("""COMPUTED_VALUE"""),"Preventive")</f>
        <v>Preventive</v>
      </c>
      <c r="I133" s="3" t="str">
        <f>IFERROR(__xludf.DUMMYFUNCTION("""COMPUTED_VALUE"""),"Preventive Maintenance")</f>
        <v>Preventive Maintenance</v>
      </c>
      <c r="J133" s="3" t="str">
        <f>IFERROR(__xludf.DUMMYFUNCTION("""COMPUTED_VALUE"""),"On Progress")</f>
        <v>On Progress</v>
      </c>
      <c r="K133" s="27">
        <f>IFERROR(__xludf.DUMMYFUNCTION("""COMPUTED_VALUE"""),46007.0)</f>
        <v>46007</v>
      </c>
      <c r="L133" s="27">
        <f>IFERROR(__xludf.DUMMYFUNCTION("""COMPUTED_VALUE"""),46007.0)</f>
        <v>46007</v>
      </c>
      <c r="M133" s="3" t="str">
        <f>IFERROR(__xludf.DUMMYFUNCTION("""COMPUTED_VALUE"""),"Done")</f>
        <v>Done</v>
      </c>
      <c r="N133" s="3"/>
      <c r="O133" s="3">
        <f>IFERROR(VLOOKUP(C133,Sheet4!A133:F920,6,0),"")</f>
        <v>113289</v>
      </c>
      <c r="Q133" s="2" t="str">
        <f t="shared" si="1"/>
        <v>16</v>
      </c>
    </row>
    <row r="134">
      <c r="A134" s="3" t="str">
        <f>IFERROR(__xludf.DUMMYFUNCTION("""COMPUTED_VALUE"""),"PM")</f>
        <v>PM</v>
      </c>
      <c r="B134" s="3" t="str">
        <f>IFERROR(__xludf.DUMMYFUNCTION("""COMPUTED_VALUE"""),"P2")</f>
        <v>P2</v>
      </c>
      <c r="C134" s="3" t="str">
        <f>IFERROR(__xludf.DUMMYFUNCTION("""COMPUTED_VALUE"""),"PLK081")</f>
        <v>PLK081</v>
      </c>
      <c r="D134" s="3" t="str">
        <f>IFERROR(__xludf.DUMMYFUNCTION("""COMPUTED_VALUE"""),"AHMAD ARDIANTO FIRMANSYAH")</f>
        <v>AHMAD ARDIANTO FIRMANSYAH</v>
      </c>
      <c r="E134" s="3" t="str">
        <f>IFERROR(__xludf.DUMMYFUNCTION("""COMPUTED_VALUE"""),"PM")</f>
        <v>PM</v>
      </c>
      <c r="F134" s="3" t="str">
        <f>IFERROR(__xludf.DUMMYFUNCTION("""COMPUTED_VALUE"""),"Doni Damara")</f>
        <v>Doni Damara</v>
      </c>
      <c r="G134" s="3" t="str">
        <f>IFERROR(__xludf.DUMMYFUNCTION("""COMPUTED_VALUE"""),"Palangkaraya")</f>
        <v>Palangkaraya</v>
      </c>
      <c r="H134" s="3" t="str">
        <f>IFERROR(__xludf.DUMMYFUNCTION("""COMPUTED_VALUE"""),"Preventive")</f>
        <v>Preventive</v>
      </c>
      <c r="I134" s="3" t="str">
        <f>IFERROR(__xludf.DUMMYFUNCTION("""COMPUTED_VALUE"""),"Preventive Maintenance")</f>
        <v>Preventive Maintenance</v>
      </c>
      <c r="J134" s="3" t="str">
        <f>IFERROR(__xludf.DUMMYFUNCTION("""COMPUTED_VALUE"""),"On Progress")</f>
        <v>On Progress</v>
      </c>
      <c r="K134" s="27">
        <f>IFERROR(__xludf.DUMMYFUNCTION("""COMPUTED_VALUE"""),46007.0)</f>
        <v>46007</v>
      </c>
      <c r="L134" s="27">
        <f>IFERROR(__xludf.DUMMYFUNCTION("""COMPUTED_VALUE"""),46007.0)</f>
        <v>46007</v>
      </c>
      <c r="M134" s="3" t="str">
        <f>IFERROR(__xludf.DUMMYFUNCTION("""COMPUTED_VALUE"""),"Done")</f>
        <v>Done</v>
      </c>
      <c r="N134" s="3"/>
      <c r="O134" s="3" t="str">
        <f>IFERROR(VLOOKUP(C134,Sheet4!A134:F921,6,0),"")</f>
        <v/>
      </c>
      <c r="Q134" s="2" t="str">
        <f t="shared" si="1"/>
        <v>16</v>
      </c>
    </row>
    <row r="135">
      <c r="A135" s="3" t="str">
        <f>IFERROR(__xludf.DUMMYFUNCTION("""COMPUTED_VALUE"""),"Standby On Call")</f>
        <v>Standby On Call</v>
      </c>
      <c r="B135" s="3" t="str">
        <f>IFERROR(__xludf.DUMMYFUNCTION("""COMPUTED_VALUE"""),"P3")</f>
        <v>P3</v>
      </c>
      <c r="C135" s="3"/>
      <c r="D135" s="3" t="str">
        <f>IFERROR(__xludf.DUMMYFUNCTION("""COMPUTED_VALUE"""),"Purwanto")</f>
        <v>Purwanto</v>
      </c>
      <c r="E135" s="3" t="str">
        <f>IFERROR(__xludf.DUMMYFUNCTION("""COMPUTED_VALUE"""),"MBP")</f>
        <v>MBP</v>
      </c>
      <c r="F135" s="3" t="str">
        <f>IFERROR(__xludf.DUMMYFUNCTION("""COMPUTED_VALUE"""),"Doni Damara")</f>
        <v>Doni Damara</v>
      </c>
      <c r="G135" s="3" t="str">
        <f>IFERROR(__xludf.DUMMYFUNCTION("""COMPUTED_VALUE"""),"Palangkaraya")</f>
        <v>Palangkaraya</v>
      </c>
      <c r="H135" s="3" t="str">
        <f>IFERROR(__xludf.DUMMYFUNCTION("""COMPUTED_VALUE"""),"Standby")</f>
        <v>Standby</v>
      </c>
      <c r="I135" s="3" t="str">
        <f>IFERROR(__xludf.DUMMYFUNCTION("""COMPUTED_VALUE"""),"Standby On Call")</f>
        <v>Standby On Call</v>
      </c>
      <c r="J135" s="3" t="str">
        <f>IFERROR(__xludf.DUMMYFUNCTION("""COMPUTED_VALUE"""),"Standby")</f>
        <v>Standby</v>
      </c>
      <c r="K135" s="27">
        <f>IFERROR(__xludf.DUMMYFUNCTION("""COMPUTED_VALUE"""),46007.0)</f>
        <v>46007</v>
      </c>
      <c r="L135" s="27">
        <f>IFERROR(__xludf.DUMMYFUNCTION("""COMPUTED_VALUE"""),46007.0)</f>
        <v>46007</v>
      </c>
      <c r="M135" s="3" t="str">
        <f>IFERROR(__xludf.DUMMYFUNCTION("""COMPUTED_VALUE"""),"Waiting Update")</f>
        <v>Waiting Update</v>
      </c>
      <c r="N135" s="3"/>
      <c r="O135" s="3" t="str">
        <f>IFERROR(VLOOKUP(C135,Sheet4!A135:F922,6,0),"")</f>
        <v/>
      </c>
      <c r="Q135" s="2" t="str">
        <f t="shared" si="1"/>
        <v>16</v>
      </c>
    </row>
    <row r="136">
      <c r="A136" s="3" t="str">
        <f>IFERROR(__xludf.DUMMYFUNCTION("""COMPUTED_VALUE"""),"Standby On Call")</f>
        <v>Standby On Call</v>
      </c>
      <c r="B136" s="3" t="str">
        <f>IFERROR(__xludf.DUMMYFUNCTION("""COMPUTED_VALUE"""),"P3")</f>
        <v>P3</v>
      </c>
      <c r="C136" s="3"/>
      <c r="D136" s="3" t="str">
        <f>IFERROR(__xludf.DUMMYFUNCTION("""COMPUTED_VALUE"""),"Sarwono")</f>
        <v>Sarwono</v>
      </c>
      <c r="E136" s="3" t="str">
        <f>IFERROR(__xludf.DUMMYFUNCTION("""COMPUTED_VALUE"""),"CME")</f>
        <v>CME</v>
      </c>
      <c r="F136" s="3" t="str">
        <f>IFERROR(__xludf.DUMMYFUNCTION("""COMPUTED_VALUE"""),"Doni Damara")</f>
        <v>Doni Damara</v>
      </c>
      <c r="G136" s="3" t="str">
        <f>IFERROR(__xludf.DUMMYFUNCTION("""COMPUTED_VALUE"""),"Palangkaraya")</f>
        <v>Palangkaraya</v>
      </c>
      <c r="H136" s="3" t="str">
        <f>IFERROR(__xludf.DUMMYFUNCTION("""COMPUTED_VALUE"""),"Standby")</f>
        <v>Standby</v>
      </c>
      <c r="I136" s="3" t="str">
        <f>IFERROR(__xludf.DUMMYFUNCTION("""COMPUTED_VALUE"""),"Standby On Call")</f>
        <v>Standby On Call</v>
      </c>
      <c r="J136" s="3" t="str">
        <f>IFERROR(__xludf.DUMMYFUNCTION("""COMPUTED_VALUE"""),"Standby")</f>
        <v>Standby</v>
      </c>
      <c r="K136" s="27">
        <f>IFERROR(__xludf.DUMMYFUNCTION("""COMPUTED_VALUE"""),46007.0)</f>
        <v>46007</v>
      </c>
      <c r="L136" s="27">
        <f>IFERROR(__xludf.DUMMYFUNCTION("""COMPUTED_VALUE"""),46007.0)</f>
        <v>46007</v>
      </c>
      <c r="M136" s="3" t="str">
        <f>IFERROR(__xludf.DUMMYFUNCTION("""COMPUTED_VALUE"""),"Waiting Update")</f>
        <v>Waiting Update</v>
      </c>
      <c r="N136" s="3"/>
      <c r="O136" s="3" t="str">
        <f>IFERROR(VLOOKUP(C136,Sheet4!A136:F923,6,0),"")</f>
        <v/>
      </c>
      <c r="Q136" s="2" t="str">
        <f t="shared" si="1"/>
        <v>16</v>
      </c>
    </row>
    <row r="137">
      <c r="A137" s="3" t="str">
        <f>IFERROR(__xludf.DUMMYFUNCTION("""COMPUTED_VALUE"""),"Standby On Call")</f>
        <v>Standby On Call</v>
      </c>
      <c r="B137" s="3" t="str">
        <f>IFERROR(__xludf.DUMMYFUNCTION("""COMPUTED_VALUE"""),"P3")</f>
        <v>P3</v>
      </c>
      <c r="C137" s="3"/>
      <c r="D137" s="3" t="str">
        <f>IFERROR(__xludf.DUMMYFUNCTION("""COMPUTED_VALUE"""),"Fajrianur wahid")</f>
        <v>Fajrianur wahid</v>
      </c>
      <c r="E137" s="3" t="str">
        <f>IFERROR(__xludf.DUMMYFUNCTION("""COMPUTED_VALUE"""),"TE")</f>
        <v>TE</v>
      </c>
      <c r="F137" s="3" t="str">
        <f>IFERROR(__xludf.DUMMYFUNCTION("""COMPUTED_VALUE"""),"Doni Damara")</f>
        <v>Doni Damara</v>
      </c>
      <c r="G137" s="3" t="str">
        <f>IFERROR(__xludf.DUMMYFUNCTION("""COMPUTED_VALUE"""),"Palangkaraya")</f>
        <v>Palangkaraya</v>
      </c>
      <c r="H137" s="3" t="str">
        <f>IFERROR(__xludf.DUMMYFUNCTION("""COMPUTED_VALUE"""),"Standby")</f>
        <v>Standby</v>
      </c>
      <c r="I137" s="3" t="str">
        <f>IFERROR(__xludf.DUMMYFUNCTION("""COMPUTED_VALUE"""),"Standby On Call")</f>
        <v>Standby On Call</v>
      </c>
      <c r="J137" s="3" t="str">
        <f>IFERROR(__xludf.DUMMYFUNCTION("""COMPUTED_VALUE"""),"Standby")</f>
        <v>Standby</v>
      </c>
      <c r="K137" s="27">
        <f>IFERROR(__xludf.DUMMYFUNCTION("""COMPUTED_VALUE"""),46007.0)</f>
        <v>46007</v>
      </c>
      <c r="L137" s="27">
        <f>IFERROR(__xludf.DUMMYFUNCTION("""COMPUTED_VALUE"""),46007.0)</f>
        <v>46007</v>
      </c>
      <c r="M137" s="3" t="str">
        <f>IFERROR(__xludf.DUMMYFUNCTION("""COMPUTED_VALUE"""),"Waiting Update")</f>
        <v>Waiting Update</v>
      </c>
      <c r="N137" s="3"/>
      <c r="O137" s="3" t="str">
        <f>IFERROR(VLOOKUP(C137,Sheet4!A137:F924,6,0),"")</f>
        <v/>
      </c>
      <c r="Q137" s="2" t="str">
        <f t="shared" si="1"/>
        <v>16</v>
      </c>
    </row>
    <row r="138">
      <c r="A138" s="3" t="str">
        <f>IFERROR(__xludf.DUMMYFUNCTION("""COMPUTED_VALUE"""),"Standby On Call")</f>
        <v>Standby On Call</v>
      </c>
      <c r="B138" s="3" t="str">
        <f>IFERROR(__xludf.DUMMYFUNCTION("""COMPUTED_VALUE"""),"P3")</f>
        <v>P3</v>
      </c>
      <c r="C138" s="3"/>
      <c r="D138" s="3" t="str">
        <f>IFERROR(__xludf.DUMMYFUNCTION("""COMPUTED_VALUE"""),"Sairaji")</f>
        <v>Sairaji</v>
      </c>
      <c r="E138" s="3" t="str">
        <f>IFERROR(__xludf.DUMMYFUNCTION("""COMPUTED_VALUE"""),"MBP")</f>
        <v>MBP</v>
      </c>
      <c r="F138" s="3" t="str">
        <f>IFERROR(__xludf.DUMMYFUNCTION("""COMPUTED_VALUE"""),"Doni Damara")</f>
        <v>Doni Damara</v>
      </c>
      <c r="G138" s="3" t="str">
        <f>IFERROR(__xludf.DUMMYFUNCTION("""COMPUTED_VALUE"""),"Palangkaraya")</f>
        <v>Palangkaraya</v>
      </c>
      <c r="H138" s="3" t="str">
        <f>IFERROR(__xludf.DUMMYFUNCTION("""COMPUTED_VALUE"""),"Standby")</f>
        <v>Standby</v>
      </c>
      <c r="I138" s="3" t="str">
        <f>IFERROR(__xludf.DUMMYFUNCTION("""COMPUTED_VALUE"""),"Standby On Call")</f>
        <v>Standby On Call</v>
      </c>
      <c r="J138" s="3" t="str">
        <f>IFERROR(__xludf.DUMMYFUNCTION("""COMPUTED_VALUE"""),"Standby")</f>
        <v>Standby</v>
      </c>
      <c r="K138" s="27">
        <f>IFERROR(__xludf.DUMMYFUNCTION("""COMPUTED_VALUE"""),46007.0)</f>
        <v>46007</v>
      </c>
      <c r="L138" s="27">
        <f>IFERROR(__xludf.DUMMYFUNCTION("""COMPUTED_VALUE"""),46007.0)</f>
        <v>46007</v>
      </c>
      <c r="M138" s="3" t="str">
        <f>IFERROR(__xludf.DUMMYFUNCTION("""COMPUTED_VALUE"""),"Waiting Update")</f>
        <v>Waiting Update</v>
      </c>
      <c r="N138" s="3"/>
      <c r="O138" s="3" t="str">
        <f>IFERROR(VLOOKUP(C138,Sheet4!A138:F925,6,0),"")</f>
        <v/>
      </c>
      <c r="Q138" s="2" t="str">
        <f t="shared" si="1"/>
        <v>16</v>
      </c>
    </row>
    <row r="139">
      <c r="A139" s="3" t="str">
        <f>IFERROR(__xludf.DUMMYFUNCTION("""COMPUTED_VALUE"""),"Standby On Call")</f>
        <v>Standby On Call</v>
      </c>
      <c r="B139" s="3" t="str">
        <f>IFERROR(__xludf.DUMMYFUNCTION("""COMPUTED_VALUE"""),"P3")</f>
        <v>P3</v>
      </c>
      <c r="C139" s="3"/>
      <c r="D139" s="3" t="str">
        <f>IFERROR(__xludf.DUMMYFUNCTION("""COMPUTED_VALUE"""),"Agus muliana pamungkas")</f>
        <v>Agus muliana pamungkas</v>
      </c>
      <c r="E139" s="3" t="str">
        <f>IFERROR(__xludf.DUMMYFUNCTION("""COMPUTED_VALUE"""),"MBP")</f>
        <v>MBP</v>
      </c>
      <c r="F139" s="3" t="str">
        <f>IFERROR(__xludf.DUMMYFUNCTION("""COMPUTED_VALUE"""),"Doni Damara")</f>
        <v>Doni Damara</v>
      </c>
      <c r="G139" s="3" t="str">
        <f>IFERROR(__xludf.DUMMYFUNCTION("""COMPUTED_VALUE"""),"Palangkaraya")</f>
        <v>Palangkaraya</v>
      </c>
      <c r="H139" s="3" t="str">
        <f>IFERROR(__xludf.DUMMYFUNCTION("""COMPUTED_VALUE"""),"Standby")</f>
        <v>Standby</v>
      </c>
      <c r="I139" s="3" t="str">
        <f>IFERROR(__xludf.DUMMYFUNCTION("""COMPUTED_VALUE"""),"Standby On Call")</f>
        <v>Standby On Call</v>
      </c>
      <c r="J139" s="3" t="str">
        <f>IFERROR(__xludf.DUMMYFUNCTION("""COMPUTED_VALUE"""),"Standby")</f>
        <v>Standby</v>
      </c>
      <c r="K139" s="27">
        <f>IFERROR(__xludf.DUMMYFUNCTION("""COMPUTED_VALUE"""),46007.0)</f>
        <v>46007</v>
      </c>
      <c r="L139" s="27">
        <f>IFERROR(__xludf.DUMMYFUNCTION("""COMPUTED_VALUE"""),46007.0)</f>
        <v>46007</v>
      </c>
      <c r="M139" s="3" t="str">
        <f>IFERROR(__xludf.DUMMYFUNCTION("""COMPUTED_VALUE"""),"Waiting Update")</f>
        <v>Waiting Update</v>
      </c>
      <c r="N139" s="3"/>
      <c r="O139" s="3" t="str">
        <f>IFERROR(VLOOKUP(C139,Sheet4!A139:F926,6,0),"")</f>
        <v/>
      </c>
      <c r="Q139" s="2" t="str">
        <f t="shared" si="1"/>
        <v>16</v>
      </c>
    </row>
    <row r="140">
      <c r="A140" s="3" t="str">
        <f>IFERROR(__xludf.DUMMYFUNCTION("""COMPUTED_VALUE"""),"Standby On Call")</f>
        <v>Standby On Call</v>
      </c>
      <c r="B140" s="3" t="str">
        <f>IFERROR(__xludf.DUMMYFUNCTION("""COMPUTED_VALUE"""),"P3")</f>
        <v>P3</v>
      </c>
      <c r="C140" s="3"/>
      <c r="D140" s="3" t="str">
        <f>IFERROR(__xludf.DUMMYFUNCTION("""COMPUTED_VALUE"""),"Elia Ronaldo")</f>
        <v>Elia Ronaldo</v>
      </c>
      <c r="E140" s="3" t="str">
        <f>IFERROR(__xludf.DUMMYFUNCTION("""COMPUTED_VALUE"""),"MBP")</f>
        <v>MBP</v>
      </c>
      <c r="F140" s="3" t="str">
        <f>IFERROR(__xludf.DUMMYFUNCTION("""COMPUTED_VALUE"""),"Doni Damara")</f>
        <v>Doni Damara</v>
      </c>
      <c r="G140" s="3" t="str">
        <f>IFERROR(__xludf.DUMMYFUNCTION("""COMPUTED_VALUE"""),"Palangkaraya")</f>
        <v>Palangkaraya</v>
      </c>
      <c r="H140" s="3" t="str">
        <f>IFERROR(__xludf.DUMMYFUNCTION("""COMPUTED_VALUE"""),"Standby")</f>
        <v>Standby</v>
      </c>
      <c r="I140" s="3" t="str">
        <f>IFERROR(__xludf.DUMMYFUNCTION("""COMPUTED_VALUE"""),"Standby On Call")</f>
        <v>Standby On Call</v>
      </c>
      <c r="J140" s="3" t="str">
        <f>IFERROR(__xludf.DUMMYFUNCTION("""COMPUTED_VALUE"""),"Standby")</f>
        <v>Standby</v>
      </c>
      <c r="K140" s="27">
        <f>IFERROR(__xludf.DUMMYFUNCTION("""COMPUTED_VALUE"""),46007.0)</f>
        <v>46007</v>
      </c>
      <c r="L140" s="27">
        <f>IFERROR(__xludf.DUMMYFUNCTION("""COMPUTED_VALUE"""),46007.0)</f>
        <v>46007</v>
      </c>
      <c r="M140" s="3" t="str">
        <f>IFERROR(__xludf.DUMMYFUNCTION("""COMPUTED_VALUE"""),"Waiting Update")</f>
        <v>Waiting Update</v>
      </c>
      <c r="N140" s="3"/>
      <c r="O140" s="3" t="str">
        <f>IFERROR(VLOOKUP(C140,Sheet4!A140:F927,6,0),"")</f>
        <v/>
      </c>
      <c r="Q140" s="2" t="str">
        <f t="shared" si="1"/>
        <v>16</v>
      </c>
    </row>
    <row r="141">
      <c r="A141" s="3" t="str">
        <f>IFERROR(__xludf.DUMMYFUNCTION("""COMPUTED_VALUE"""),"On Leave")</f>
        <v>On Leave</v>
      </c>
      <c r="B141" s="3" t="str">
        <f>IFERROR(__xludf.DUMMYFUNCTION("""COMPUTED_VALUE"""),"P3")</f>
        <v>P3</v>
      </c>
      <c r="C141" s="3"/>
      <c r="D141" s="3" t="str">
        <f>IFERROR(__xludf.DUMMYFUNCTION("""COMPUTED_VALUE"""),"melky.O.Tulangow")</f>
        <v>melky.O.Tulangow</v>
      </c>
      <c r="E141" s="3" t="str">
        <f>IFERROR(__xludf.DUMMYFUNCTION("""COMPUTED_VALUE"""),"TE")</f>
        <v>TE</v>
      </c>
      <c r="F141" s="3" t="str">
        <f>IFERROR(__xludf.DUMMYFUNCTION("""COMPUTED_VALUE"""),"Doni Damara")</f>
        <v>Doni Damara</v>
      </c>
      <c r="G141" s="3" t="str">
        <f>IFERROR(__xludf.DUMMYFUNCTION("""COMPUTED_VALUE"""),"Palangkaraya")</f>
        <v>Palangkaraya</v>
      </c>
      <c r="H141" s="3" t="str">
        <f>IFERROR(__xludf.DUMMYFUNCTION("""COMPUTED_VALUE"""),"On Leave")</f>
        <v>On Leave</v>
      </c>
      <c r="I141" s="3" t="str">
        <f>IFERROR(__xludf.DUMMYFUNCTION("""COMPUTED_VALUE"""),"On Leave")</f>
        <v>On Leave</v>
      </c>
      <c r="J141" s="3" t="str">
        <f>IFERROR(__xludf.DUMMYFUNCTION("""COMPUTED_VALUE"""),"Standby")</f>
        <v>Standby</v>
      </c>
      <c r="K141" s="27">
        <f>IFERROR(__xludf.DUMMYFUNCTION("""COMPUTED_VALUE"""),46007.0)</f>
        <v>46007</v>
      </c>
      <c r="L141" s="27">
        <f>IFERROR(__xludf.DUMMYFUNCTION("""COMPUTED_VALUE"""),46007.0)</f>
        <v>46007</v>
      </c>
      <c r="M141" s="3" t="str">
        <f>IFERROR(__xludf.DUMMYFUNCTION("""COMPUTED_VALUE"""),"Waiting Update")</f>
        <v>Waiting Update</v>
      </c>
      <c r="N141" s="3"/>
      <c r="O141" s="3" t="str">
        <f>IFERROR(VLOOKUP(C141,Sheet4!A141:F928,6,0),"")</f>
        <v/>
      </c>
      <c r="Q141" s="2" t="str">
        <f t="shared" si="1"/>
        <v>16</v>
      </c>
    </row>
    <row r="142">
      <c r="A142" s="3" t="str">
        <f>IFERROR(__xludf.DUMMYFUNCTION("""COMPUTED_VALUE"""),"Cell down")</f>
        <v>Cell down</v>
      </c>
      <c r="B142" s="3" t="str">
        <f>IFERROR(__xludf.DUMMYFUNCTION("""COMPUTED_VALUE"""),"P1")</f>
        <v>P1</v>
      </c>
      <c r="C142" s="3" t="str">
        <f>IFERROR(__xludf.DUMMYFUNCTION("""COMPUTED_VALUE"""),"PLK247")</f>
        <v>PLK247</v>
      </c>
      <c r="D142" s="3" t="str">
        <f>IFERROR(__xludf.DUMMYFUNCTION("""COMPUTED_VALUE"""),"Ahmad Setiawan")</f>
        <v>Ahmad Setiawan</v>
      </c>
      <c r="E142" s="3" t="str">
        <f>IFERROR(__xludf.DUMMYFUNCTION("""COMPUTED_VALUE"""),"TE")</f>
        <v>TE</v>
      </c>
      <c r="F142" s="3" t="str">
        <f>IFERROR(__xludf.DUMMYFUNCTION("""COMPUTED_VALUE"""),"Doni Damara")</f>
        <v>Doni Damara</v>
      </c>
      <c r="G142" s="3" t="str">
        <f>IFERROR(__xludf.DUMMYFUNCTION("""COMPUTED_VALUE"""),"Palangkaraya")</f>
        <v>Palangkaraya</v>
      </c>
      <c r="H142" s="3" t="str">
        <f>IFERROR(__xludf.DUMMYFUNCTION("""COMPUTED_VALUE"""),"Corrective")</f>
        <v>Corrective</v>
      </c>
      <c r="I142" s="3" t="str">
        <f>IFERROR(__xludf.DUMMYFUNCTION("""COMPUTED_VALUE"""),"Replace Optik,RRU/Soket Power/Replace GPS")</f>
        <v>Replace Optik,RRU/Soket Power/Replace GPS</v>
      </c>
      <c r="J142" s="3" t="str">
        <f>IFERROR(__xludf.DUMMYFUNCTION("""COMPUTED_VALUE"""),"On Progress")</f>
        <v>On Progress</v>
      </c>
      <c r="K142" s="27">
        <f>IFERROR(__xludf.DUMMYFUNCTION("""COMPUTED_VALUE"""),46008.0)</f>
        <v>46008</v>
      </c>
      <c r="L142" s="27">
        <f>IFERROR(__xludf.DUMMYFUNCTION("""COMPUTED_VALUE"""),46008.0)</f>
        <v>46008</v>
      </c>
      <c r="M142" s="3" t="str">
        <f>IFERROR(__xludf.DUMMYFUNCTION("""COMPUTED_VALUE"""),"Pending")</f>
        <v>Pending</v>
      </c>
      <c r="N142" s="3" t="str">
        <f>IFERROR(__xludf.DUMMYFUNCTION("""COMPUTED_VALUE"""),"cell down imacro PLK247 penarikan &amp; penyambungan optic")</f>
        <v>cell down imacro PLK247 penarikan &amp; penyambungan optic</v>
      </c>
      <c r="O142" s="3">
        <f>IFERROR(VLOOKUP(C142,Sheet4!A142:F929,6,0),"")</f>
        <v>11391569</v>
      </c>
      <c r="Q142" s="2" t="str">
        <f t="shared" si="1"/>
        <v>17</v>
      </c>
    </row>
    <row r="143">
      <c r="A143" s="3" t="str">
        <f>IFERROR(__xludf.DUMMYFUNCTION("""COMPUTED_VALUE"""),"Pengawalan akses Vendor")</f>
        <v>Pengawalan akses Vendor</v>
      </c>
      <c r="B143" s="3" t="str">
        <f>IFERROR(__xludf.DUMMYFUNCTION("""COMPUTED_VALUE"""),"P3")</f>
        <v>P3</v>
      </c>
      <c r="C143" s="3" t="str">
        <f>IFERROR(__xludf.DUMMYFUNCTION("""COMPUTED_VALUE"""),"PLK018")</f>
        <v>PLK018</v>
      </c>
      <c r="D143" s="3" t="str">
        <f>IFERROR(__xludf.DUMMYFUNCTION("""COMPUTED_VALUE"""),"Fahmi")</f>
        <v>Fahmi</v>
      </c>
      <c r="E143" s="3" t="str">
        <f>IFERROR(__xludf.DUMMYFUNCTION("""COMPUTED_VALUE"""),"TE")</f>
        <v>TE</v>
      </c>
      <c r="F143" s="3" t="str">
        <f>IFERROR(__xludf.DUMMYFUNCTION("""COMPUTED_VALUE"""),"Doni Damara")</f>
        <v>Doni Damara</v>
      </c>
      <c r="G143" s="3" t="str">
        <f>IFERROR(__xludf.DUMMYFUNCTION("""COMPUTED_VALUE"""),"Palangkaraya")</f>
        <v>Palangkaraya</v>
      </c>
      <c r="H143" s="3" t="str">
        <f>IFERROR(__xludf.DUMMYFUNCTION("""COMPUTED_VALUE"""),"Preventive")</f>
        <v>Preventive</v>
      </c>
      <c r="I143" s="3" t="str">
        <f>IFERROR(__xludf.DUMMYFUNCTION("""COMPUTED_VALUE"""),"Pengawalan akses Vendor")</f>
        <v>Pengawalan akses Vendor</v>
      </c>
      <c r="J143" s="3" t="str">
        <f>IFERROR(__xludf.DUMMYFUNCTION("""COMPUTED_VALUE"""),"On Progress")</f>
        <v>On Progress</v>
      </c>
      <c r="K143" s="27">
        <f>IFERROR(__xludf.DUMMYFUNCTION("""COMPUTED_VALUE"""),46008.0)</f>
        <v>46008</v>
      </c>
      <c r="L143" s="27">
        <f>IFERROR(__xludf.DUMMYFUNCTION("""COMPUTED_VALUE"""),46008.0)</f>
        <v>46008</v>
      </c>
      <c r="M143" s="3" t="str">
        <f>IFERROR(__xludf.DUMMYFUNCTION("""COMPUTED_VALUE"""),"Done")</f>
        <v>Done</v>
      </c>
      <c r="N143" s="3" t="str">
        <f>IFERROR(__xludf.DUMMYFUNCTION("""COMPUTED_VALUE"""),"Pengawalan Team balmon")</f>
        <v>Pengawalan Team balmon</v>
      </c>
      <c r="O143" s="3" t="str">
        <f>IFERROR(VLOOKUP(C143,Sheet4!A143:F930,6,0),"")</f>
        <v/>
      </c>
      <c r="Q143" s="2" t="str">
        <f t="shared" si="1"/>
        <v>17</v>
      </c>
    </row>
    <row r="144">
      <c r="A144" s="3" t="str">
        <f>IFERROR(__xludf.DUMMYFUNCTION("""COMPUTED_VALUE"""),"Vswr")</f>
        <v>Vswr</v>
      </c>
      <c r="B144" s="3" t="str">
        <f>IFERROR(__xludf.DUMMYFUNCTION("""COMPUTED_VALUE"""),"P1")</f>
        <v>P1</v>
      </c>
      <c r="C144" s="3" t="str">
        <f>IFERROR(__xludf.DUMMYFUNCTION("""COMPUTED_VALUE"""),"PLK002")</f>
        <v>PLK002</v>
      </c>
      <c r="D144" s="3" t="str">
        <f>IFERROR(__xludf.DUMMYFUNCTION("""COMPUTED_VALUE"""),"Ahmad")</f>
        <v>Ahmad</v>
      </c>
      <c r="E144" s="3" t="str">
        <f>IFERROR(__xludf.DUMMYFUNCTION("""COMPUTED_VALUE"""),"TE")</f>
        <v>TE</v>
      </c>
      <c r="F144" s="3" t="str">
        <f>IFERROR(__xludf.DUMMYFUNCTION("""COMPUTED_VALUE"""),"Doni Damara")</f>
        <v>Doni Damara</v>
      </c>
      <c r="G144" s="3" t="str">
        <f>IFERROR(__xludf.DUMMYFUNCTION("""COMPUTED_VALUE"""),"Palangkaraya")</f>
        <v>Palangkaraya</v>
      </c>
      <c r="H144" s="3" t="str">
        <f>IFERROR(__xludf.DUMMYFUNCTION("""COMPUTED_VALUE"""),"Corrective")</f>
        <v>Corrective</v>
      </c>
      <c r="I144" s="3" t="str">
        <f>IFERROR(__xludf.DUMMYFUNCTION("""COMPUTED_VALUE"""),"Replace Jumper,antena/RRU")</f>
        <v>Replace Jumper,antena/RRU</v>
      </c>
      <c r="J144" s="3" t="str">
        <f>IFERROR(__xludf.DUMMYFUNCTION("""COMPUTED_VALUE"""),"On Progress")</f>
        <v>On Progress</v>
      </c>
      <c r="K144" s="27">
        <f>IFERROR(__xludf.DUMMYFUNCTION("""COMPUTED_VALUE"""),46008.0)</f>
        <v>46008</v>
      </c>
      <c r="L144" s="27">
        <f>IFERROR(__xludf.DUMMYFUNCTION("""COMPUTED_VALUE"""),46008.0)</f>
        <v>46008</v>
      </c>
      <c r="M144" s="3" t="str">
        <f>IFERROR(__xludf.DUMMYFUNCTION("""COMPUTED_VALUE"""),"Pending")</f>
        <v>Pending</v>
      </c>
      <c r="N144" s="3" t="str">
        <f>IFERROR(__xludf.DUMMYFUNCTION("""COMPUTED_VALUE"""),"VSWR ")</f>
        <v>VSWR </v>
      </c>
      <c r="O144" s="3">
        <f>IFERROR(VLOOKUP(C144,Sheet4!A144:F931,6,0),"")</f>
        <v>11388602</v>
      </c>
      <c r="Q144" s="2" t="str">
        <f t="shared" si="1"/>
        <v>17</v>
      </c>
    </row>
    <row r="145">
      <c r="A145" s="3" t="str">
        <f>IFERROR(__xludf.DUMMYFUNCTION("""COMPUTED_VALUE"""),"Support Event")</f>
        <v>Support Event</v>
      </c>
      <c r="B145" s="3" t="str">
        <f>IFERROR(__xludf.DUMMYFUNCTION("""COMPUTED_VALUE"""),"P2")</f>
        <v>P2</v>
      </c>
      <c r="C145" s="3" t="str">
        <f>IFERROR(__xludf.DUMMYFUNCTION("""COMPUTED_VALUE"""),"PLK274")</f>
        <v>PLK274</v>
      </c>
      <c r="D145" s="3" t="str">
        <f>IFERROR(__xludf.DUMMYFUNCTION("""COMPUTED_VALUE"""),"Adi Bowo Santoso")</f>
        <v>Adi Bowo Santoso</v>
      </c>
      <c r="E145" s="3" t="str">
        <f>IFERROR(__xludf.DUMMYFUNCTION("""COMPUTED_VALUE"""),"TE")</f>
        <v>TE</v>
      </c>
      <c r="F145" s="3" t="str">
        <f>IFERROR(__xludf.DUMMYFUNCTION("""COMPUTED_VALUE"""),"Doni Damara")</f>
        <v>Doni Damara</v>
      </c>
      <c r="G145" s="3" t="str">
        <f>IFERROR(__xludf.DUMMYFUNCTION("""COMPUTED_VALUE"""),"Palangkaraya")</f>
        <v>Palangkaraya</v>
      </c>
      <c r="H145" s="3" t="str">
        <f>IFERROR(__xludf.DUMMYFUNCTION("""COMPUTED_VALUE"""),"Corrective")</f>
        <v>Corrective</v>
      </c>
      <c r="I145" s="3" t="str">
        <f>IFERROR(__xludf.DUMMYFUNCTION("""COMPUTED_VALUE"""),"Support Event")</f>
        <v>Support Event</v>
      </c>
      <c r="J145" s="3" t="str">
        <f>IFERROR(__xludf.DUMMYFUNCTION("""COMPUTED_VALUE"""),"On Progress")</f>
        <v>On Progress</v>
      </c>
      <c r="K145" s="27">
        <f>IFERROR(__xludf.DUMMYFUNCTION("""COMPUTED_VALUE"""),46008.0)</f>
        <v>46008</v>
      </c>
      <c r="L145" s="27">
        <f>IFERROR(__xludf.DUMMYFUNCTION("""COMPUTED_VALUE"""),46008.0)</f>
        <v>46008</v>
      </c>
      <c r="M145" s="3" t="str">
        <f>IFERROR(__xludf.DUMMYFUNCTION("""COMPUTED_VALUE"""),"Done")</f>
        <v>Done</v>
      </c>
      <c r="N145" s="3" t="str">
        <f>IFERROR(__xludf.DUMMYFUNCTION("""COMPUTED_VALUE"""),"Dismentle RRU")</f>
        <v>Dismentle RRU</v>
      </c>
      <c r="O145" s="3">
        <f>IFERROR(VLOOKUP(C145,Sheet4!A145:F932,6,0),"")</f>
        <v>11391151</v>
      </c>
      <c r="Q145" s="2" t="str">
        <f t="shared" si="1"/>
        <v>17</v>
      </c>
    </row>
    <row r="146">
      <c r="A146" s="3" t="str">
        <f>IFERROR(__xludf.DUMMYFUNCTION("""COMPUTED_VALUE"""),"Support Event")</f>
        <v>Support Event</v>
      </c>
      <c r="B146" s="3" t="str">
        <f>IFERROR(__xludf.DUMMYFUNCTION("""COMPUTED_VALUE"""),"P2")</f>
        <v>P2</v>
      </c>
      <c r="C146" s="3" t="str">
        <f>IFERROR(__xludf.DUMMYFUNCTION("""COMPUTED_VALUE"""),"PLK239")</f>
        <v>PLK239</v>
      </c>
      <c r="D146" s="3" t="str">
        <f>IFERROR(__xludf.DUMMYFUNCTION("""COMPUTED_VALUE"""),"james jimbris")</f>
        <v>james jimbris</v>
      </c>
      <c r="E146" s="3" t="str">
        <f>IFERROR(__xludf.DUMMYFUNCTION("""COMPUTED_VALUE"""),"TE")</f>
        <v>TE</v>
      </c>
      <c r="F146" s="3" t="str">
        <f>IFERROR(__xludf.DUMMYFUNCTION("""COMPUTED_VALUE"""),"Doni Damara")</f>
        <v>Doni Damara</v>
      </c>
      <c r="G146" s="3" t="str">
        <f>IFERROR(__xludf.DUMMYFUNCTION("""COMPUTED_VALUE"""),"Palangkaraya")</f>
        <v>Palangkaraya</v>
      </c>
      <c r="H146" s="3" t="str">
        <f>IFERROR(__xludf.DUMMYFUNCTION("""COMPUTED_VALUE"""),"Corrective")</f>
        <v>Corrective</v>
      </c>
      <c r="I146" s="3" t="str">
        <f>IFERROR(__xludf.DUMMYFUNCTION("""COMPUTED_VALUE"""),"Support Event")</f>
        <v>Support Event</v>
      </c>
      <c r="J146" s="3" t="str">
        <f>IFERROR(__xludf.DUMMYFUNCTION("""COMPUTED_VALUE"""),"On Progress")</f>
        <v>On Progress</v>
      </c>
      <c r="K146" s="27">
        <f>IFERROR(__xludf.DUMMYFUNCTION("""COMPUTED_VALUE"""),46008.0)</f>
        <v>46008</v>
      </c>
      <c r="L146" s="27">
        <f>IFERROR(__xludf.DUMMYFUNCTION("""COMPUTED_VALUE"""),46008.0)</f>
        <v>46008</v>
      </c>
      <c r="M146" s="3" t="str">
        <f>IFERROR(__xludf.DUMMYFUNCTION("""COMPUTED_VALUE"""),"Done")</f>
        <v>Done</v>
      </c>
      <c r="N146" s="3" t="str">
        <f>IFERROR(__xludf.DUMMYFUNCTION("""COMPUTED_VALUE"""),"Dismentle RRU")</f>
        <v>Dismentle RRU</v>
      </c>
      <c r="O146" s="3">
        <f>IFERROR(VLOOKUP(C146,Sheet4!A146:F933,6,0),"")</f>
        <v>11390364</v>
      </c>
      <c r="Q146" s="2" t="str">
        <f t="shared" si="1"/>
        <v>17</v>
      </c>
    </row>
    <row r="147">
      <c r="A147" s="3" t="str">
        <f>IFERROR(__xludf.DUMMYFUNCTION("""COMPUTED_VALUE"""),"Support Event")</f>
        <v>Support Event</v>
      </c>
      <c r="B147" s="3" t="str">
        <f>IFERROR(__xludf.DUMMYFUNCTION("""COMPUTED_VALUE"""),"P2")</f>
        <v>P2</v>
      </c>
      <c r="C147" s="3" t="str">
        <f>IFERROR(__xludf.DUMMYFUNCTION("""COMPUTED_VALUE"""),"PLK046")</f>
        <v>PLK046</v>
      </c>
      <c r="D147" s="3" t="str">
        <f>IFERROR(__xludf.DUMMYFUNCTION("""COMPUTED_VALUE"""),"Oky Bangkit Pamungkas")</f>
        <v>Oky Bangkit Pamungkas</v>
      </c>
      <c r="E147" s="3" t="str">
        <f>IFERROR(__xludf.DUMMYFUNCTION("""COMPUTED_VALUE"""),"TE")</f>
        <v>TE</v>
      </c>
      <c r="F147" s="3" t="str">
        <f>IFERROR(__xludf.DUMMYFUNCTION("""COMPUTED_VALUE"""),"Doni Damara")</f>
        <v>Doni Damara</v>
      </c>
      <c r="G147" s="3" t="str">
        <f>IFERROR(__xludf.DUMMYFUNCTION("""COMPUTED_VALUE"""),"Palangkaraya")</f>
        <v>Palangkaraya</v>
      </c>
      <c r="H147" s="3" t="str">
        <f>IFERROR(__xludf.DUMMYFUNCTION("""COMPUTED_VALUE"""),"Corrective")</f>
        <v>Corrective</v>
      </c>
      <c r="I147" s="3" t="str">
        <f>IFERROR(__xludf.DUMMYFUNCTION("""COMPUTED_VALUE"""),"Support Event")</f>
        <v>Support Event</v>
      </c>
      <c r="J147" s="3" t="str">
        <f>IFERROR(__xludf.DUMMYFUNCTION("""COMPUTED_VALUE"""),"On Progress")</f>
        <v>On Progress</v>
      </c>
      <c r="K147" s="27">
        <f>IFERROR(__xludf.DUMMYFUNCTION("""COMPUTED_VALUE"""),46008.0)</f>
        <v>46008</v>
      </c>
      <c r="L147" s="27">
        <f>IFERROR(__xludf.DUMMYFUNCTION("""COMPUTED_VALUE"""),46008.0)</f>
        <v>46008</v>
      </c>
      <c r="M147" s="3" t="str">
        <f>IFERROR(__xludf.DUMMYFUNCTION("""COMPUTED_VALUE"""),"Done")</f>
        <v>Done</v>
      </c>
      <c r="N147" s="3" t="str">
        <f>IFERROR(__xludf.DUMMYFUNCTION("""COMPUTED_VALUE"""),"Mengubah arah imacro ")</f>
        <v>Mengubah arah imacro </v>
      </c>
      <c r="O147" s="3">
        <f>IFERROR(VLOOKUP(C147,Sheet4!A147:F934,6,0),"")</f>
        <v>11391769</v>
      </c>
      <c r="Q147" s="2" t="str">
        <f t="shared" si="1"/>
        <v>17</v>
      </c>
    </row>
    <row r="148">
      <c r="A148" s="3" t="str">
        <f>IFERROR(__xludf.DUMMYFUNCTION("""COMPUTED_VALUE"""),"Cell down")</f>
        <v>Cell down</v>
      </c>
      <c r="B148" s="3" t="str">
        <f>IFERROR(__xludf.DUMMYFUNCTION("""COMPUTED_VALUE"""),"P1")</f>
        <v>P1</v>
      </c>
      <c r="C148" s="3" t="str">
        <f>IFERROR(__xludf.DUMMYFUNCTION("""COMPUTED_VALUE"""),"PLK240")</f>
        <v>PLK240</v>
      </c>
      <c r="D148" s="3" t="str">
        <f>IFERROR(__xludf.DUMMYFUNCTION("""COMPUTED_VALUE"""),"Jumadi")</f>
        <v>Jumadi</v>
      </c>
      <c r="E148" s="3" t="str">
        <f>IFERROR(__xludf.DUMMYFUNCTION("""COMPUTED_VALUE"""),"TE")</f>
        <v>TE</v>
      </c>
      <c r="F148" s="3" t="str">
        <f>IFERROR(__xludf.DUMMYFUNCTION("""COMPUTED_VALUE"""),"Doni Damara")</f>
        <v>Doni Damara</v>
      </c>
      <c r="G148" s="3" t="str">
        <f>IFERROR(__xludf.DUMMYFUNCTION("""COMPUTED_VALUE"""),"Palangkaraya")</f>
        <v>Palangkaraya</v>
      </c>
      <c r="H148" s="3" t="str">
        <f>IFERROR(__xludf.DUMMYFUNCTION("""COMPUTED_VALUE"""),"Corrective")</f>
        <v>Corrective</v>
      </c>
      <c r="I148" s="3" t="str">
        <f>IFERROR(__xludf.DUMMYFUNCTION("""COMPUTED_VALUE"""),"Replace Optik,RRU/Soket Power/Replace GPS")</f>
        <v>Replace Optik,RRU/Soket Power/Replace GPS</v>
      </c>
      <c r="J148" s="3" t="str">
        <f>IFERROR(__xludf.DUMMYFUNCTION("""COMPUTED_VALUE"""),"On Progress")</f>
        <v>On Progress</v>
      </c>
      <c r="K148" s="27">
        <f>IFERROR(__xludf.DUMMYFUNCTION("""COMPUTED_VALUE"""),46008.0)</f>
        <v>46008</v>
      </c>
      <c r="L148" s="27">
        <f>IFERROR(__xludf.DUMMYFUNCTION("""COMPUTED_VALUE"""),46008.0)</f>
        <v>46008</v>
      </c>
      <c r="M148" s="3" t="str">
        <f>IFERROR(__xludf.DUMMYFUNCTION("""COMPUTED_VALUE"""),"Done")</f>
        <v>Done</v>
      </c>
      <c r="N148" s="3" t="str">
        <f>IFERROR(__xludf.DUMMYFUNCTION("""COMPUTED_VALUE"""),"cek Cell Down")</f>
        <v>cek Cell Down</v>
      </c>
      <c r="O148" s="3">
        <f>IFERROR(VLOOKUP(C148,Sheet4!A148:F935,6,0),"")</f>
        <v>11390138</v>
      </c>
      <c r="Q148" s="2" t="str">
        <f t="shared" si="1"/>
        <v>17</v>
      </c>
    </row>
    <row r="149">
      <c r="A149" s="3" t="str">
        <f>IFERROR(__xludf.DUMMYFUNCTION("""COMPUTED_VALUE"""),"Pengecekan battrey")</f>
        <v>Pengecekan battrey</v>
      </c>
      <c r="B149" s="3" t="str">
        <f>IFERROR(__xludf.DUMMYFUNCTION("""COMPUTED_VALUE"""),"P2")</f>
        <v>P2</v>
      </c>
      <c r="C149" s="3" t="str">
        <f>IFERROR(__xludf.DUMMYFUNCTION("""COMPUTED_VALUE"""),"PPS054")</f>
        <v>PPS054</v>
      </c>
      <c r="D149" s="3" t="str">
        <f>IFERROR(__xludf.DUMMYFUNCTION("""COMPUTED_VALUE"""),"Yahya Muhamad")</f>
        <v>Yahya Muhamad</v>
      </c>
      <c r="E149" s="3" t="str">
        <f>IFERROR(__xludf.DUMMYFUNCTION("""COMPUTED_VALUE"""),"TE")</f>
        <v>TE</v>
      </c>
      <c r="F149" s="3" t="str">
        <f>IFERROR(__xludf.DUMMYFUNCTION("""COMPUTED_VALUE"""),"Doni Damara")</f>
        <v>Doni Damara</v>
      </c>
      <c r="G149" s="3" t="str">
        <f>IFERROR(__xludf.DUMMYFUNCTION("""COMPUTED_VALUE"""),"Palangkaraya")</f>
        <v>Palangkaraya</v>
      </c>
      <c r="H149" s="3" t="str">
        <f>IFERROR(__xludf.DUMMYFUNCTION("""COMPUTED_VALUE"""),"Preventive")</f>
        <v>Preventive</v>
      </c>
      <c r="I149" s="3" t="str">
        <f>IFERROR(__xludf.DUMMYFUNCTION("""COMPUTED_VALUE"""),"Pengukuran dan pengambilan data log serta input Gdoc BBT")</f>
        <v>Pengukuran dan pengambilan data log serta input Gdoc BBT</v>
      </c>
      <c r="J149" s="3" t="str">
        <f>IFERROR(__xludf.DUMMYFUNCTION("""COMPUTED_VALUE"""),"On Progress")</f>
        <v>On Progress</v>
      </c>
      <c r="K149" s="27">
        <f>IFERROR(__xludf.DUMMYFUNCTION("""COMPUTED_VALUE"""),46008.0)</f>
        <v>46008</v>
      </c>
      <c r="L149" s="27">
        <f>IFERROR(__xludf.DUMMYFUNCTION("""COMPUTED_VALUE"""),46008.0)</f>
        <v>46008</v>
      </c>
      <c r="M149" s="3" t="str">
        <f>IFERROR(__xludf.DUMMYFUNCTION("""COMPUTED_VALUE"""),"Pending")</f>
        <v>Pending</v>
      </c>
      <c r="N149" s="3" t="str">
        <f>IFERROR(__xludf.DUMMYFUNCTION("""COMPUTED_VALUE"""),"Cek battrey")</f>
        <v>Cek battrey</v>
      </c>
      <c r="O149" s="3">
        <f>IFERROR(VLOOKUP(C149,Sheet4!A149:F936,6,0),"")</f>
        <v>11420639</v>
      </c>
      <c r="Q149" s="2" t="str">
        <f t="shared" si="1"/>
        <v>17</v>
      </c>
    </row>
    <row r="150">
      <c r="A150" s="3" t="str">
        <f>IFERROR(__xludf.DUMMYFUNCTION("""COMPUTED_VALUE"""),"Pengecekan battrey")</f>
        <v>Pengecekan battrey</v>
      </c>
      <c r="B150" s="3" t="str">
        <f>IFERROR(__xludf.DUMMYFUNCTION("""COMPUTED_VALUE"""),"P2")</f>
        <v>P2</v>
      </c>
      <c r="C150" s="3" t="str">
        <f>IFERROR(__xludf.DUMMYFUNCTION("""COMPUTED_VALUE"""),"PPS026")</f>
        <v>PPS026</v>
      </c>
      <c r="D150" s="3" t="str">
        <f>IFERROR(__xludf.DUMMYFUNCTION("""COMPUTED_VALUE"""),"Muhamad Rayhan")</f>
        <v>Muhamad Rayhan</v>
      </c>
      <c r="E150" s="3" t="str">
        <f>IFERROR(__xludf.DUMMYFUNCTION("""COMPUTED_VALUE"""),"TE")</f>
        <v>TE</v>
      </c>
      <c r="F150" s="3" t="str">
        <f>IFERROR(__xludf.DUMMYFUNCTION("""COMPUTED_VALUE"""),"Doni Damara")</f>
        <v>Doni Damara</v>
      </c>
      <c r="G150" s="3" t="str">
        <f>IFERROR(__xludf.DUMMYFUNCTION("""COMPUTED_VALUE"""),"Palangkaraya")</f>
        <v>Palangkaraya</v>
      </c>
      <c r="H150" s="3" t="str">
        <f>IFERROR(__xludf.DUMMYFUNCTION("""COMPUTED_VALUE"""),"Preventive")</f>
        <v>Preventive</v>
      </c>
      <c r="I150" s="3" t="str">
        <f>IFERROR(__xludf.DUMMYFUNCTION("""COMPUTED_VALUE"""),"Pengukuran dan pengambilan data log serta input Gdoc BBT")</f>
        <v>Pengukuran dan pengambilan data log serta input Gdoc BBT</v>
      </c>
      <c r="J150" s="3" t="str">
        <f>IFERROR(__xludf.DUMMYFUNCTION("""COMPUTED_VALUE"""),"On Progress")</f>
        <v>On Progress</v>
      </c>
      <c r="K150" s="27">
        <f>IFERROR(__xludf.DUMMYFUNCTION("""COMPUTED_VALUE"""),46008.0)</f>
        <v>46008</v>
      </c>
      <c r="L150" s="27">
        <f>IFERROR(__xludf.DUMMYFUNCTION("""COMPUTED_VALUE"""),46008.0)</f>
        <v>46008</v>
      </c>
      <c r="M150" s="3" t="str">
        <f>IFERROR(__xludf.DUMMYFUNCTION("""COMPUTED_VALUE"""),"Pending")</f>
        <v>Pending</v>
      </c>
      <c r="N150" s="3" t="str">
        <f>IFERROR(__xludf.DUMMYFUNCTION("""COMPUTED_VALUE"""),"Cek battrey")</f>
        <v>Cek battrey</v>
      </c>
      <c r="O150" s="3">
        <f>IFERROR(VLOOKUP(C150,Sheet4!A150:F937,6,0),"")</f>
        <v>11415421</v>
      </c>
      <c r="Q150" s="2" t="str">
        <f t="shared" si="1"/>
        <v>17</v>
      </c>
    </row>
    <row r="151">
      <c r="A151" s="3" t="str">
        <f>IFERROR(__xludf.DUMMYFUNCTION("""COMPUTED_VALUE"""),"Cell down")</f>
        <v>Cell down</v>
      </c>
      <c r="B151" s="3" t="str">
        <f>IFERROR(__xludf.DUMMYFUNCTION("""COMPUTED_VALUE"""),"P1")</f>
        <v>P1</v>
      </c>
      <c r="C151" s="3" t="str">
        <f>IFERROR(__xludf.DUMMYFUNCTION("""COMPUTED_VALUE"""),"KSN015")</f>
        <v>KSN015</v>
      </c>
      <c r="D151" s="3" t="str">
        <f>IFERROR(__xludf.DUMMYFUNCTION("""COMPUTED_VALUE"""),"Muhammad Mukhlis")</f>
        <v>Muhammad Mukhlis</v>
      </c>
      <c r="E151" s="3" t="str">
        <f>IFERROR(__xludf.DUMMYFUNCTION("""COMPUTED_VALUE"""),"TE")</f>
        <v>TE</v>
      </c>
      <c r="F151" s="3" t="str">
        <f>IFERROR(__xludf.DUMMYFUNCTION("""COMPUTED_VALUE"""),"Doni Damara")</f>
        <v>Doni Damara</v>
      </c>
      <c r="G151" s="3" t="str">
        <f>IFERROR(__xludf.DUMMYFUNCTION("""COMPUTED_VALUE"""),"Palangkaraya")</f>
        <v>Palangkaraya</v>
      </c>
      <c r="H151" s="3" t="str">
        <f>IFERROR(__xludf.DUMMYFUNCTION("""COMPUTED_VALUE"""),"Corrective")</f>
        <v>Corrective</v>
      </c>
      <c r="I151" s="3" t="str">
        <f>IFERROR(__xludf.DUMMYFUNCTION("""COMPUTED_VALUE"""),"Replace Optik,RRU/Soket Power/Replace GPS")</f>
        <v>Replace Optik,RRU/Soket Power/Replace GPS</v>
      </c>
      <c r="J151" s="3" t="str">
        <f>IFERROR(__xludf.DUMMYFUNCTION("""COMPUTED_VALUE"""),"On Progress")</f>
        <v>On Progress</v>
      </c>
      <c r="K151" s="27">
        <f>IFERROR(__xludf.DUMMYFUNCTION("""COMPUTED_VALUE"""),46008.0)</f>
        <v>46008</v>
      </c>
      <c r="L151" s="27">
        <f>IFERROR(__xludf.DUMMYFUNCTION("""COMPUTED_VALUE"""),46008.0)</f>
        <v>46008</v>
      </c>
      <c r="M151" s="3" t="str">
        <f>IFERROR(__xludf.DUMMYFUNCTION("""COMPUTED_VALUE"""),"Pending")</f>
        <v>Pending</v>
      </c>
      <c r="N151" s="3" t="str">
        <f>IFERROR(__xludf.DUMMYFUNCTION("""COMPUTED_VALUE"""),"Pengecekan di sisi rru dan optic")</f>
        <v>Pengecekan di sisi rru dan optic</v>
      </c>
      <c r="O151" s="3">
        <f>IFERROR(VLOOKUP(C151,Sheet4!A151:F938,6,0),"")</f>
        <v>11321067</v>
      </c>
      <c r="Q151" s="2" t="str">
        <f t="shared" si="1"/>
        <v>17</v>
      </c>
    </row>
    <row r="152">
      <c r="A152" s="3" t="str">
        <f>IFERROR(__xludf.DUMMYFUNCTION("""COMPUTED_VALUE"""),"Pengecekan battrey")</f>
        <v>Pengecekan battrey</v>
      </c>
      <c r="B152" s="3" t="str">
        <f>IFERROR(__xludf.DUMMYFUNCTION("""COMPUTED_VALUE"""),"P2")</f>
        <v>P2</v>
      </c>
      <c r="C152" s="3" t="str">
        <f>IFERROR(__xludf.DUMMYFUNCTION("""COMPUTED_VALUE"""),"KSN028")</f>
        <v>KSN028</v>
      </c>
      <c r="D152" s="3" t="str">
        <f>IFERROR(__xludf.DUMMYFUNCTION("""COMPUTED_VALUE"""),"Muhammad Mukti")</f>
        <v>Muhammad Mukti</v>
      </c>
      <c r="E152" s="3" t="str">
        <f>IFERROR(__xludf.DUMMYFUNCTION("""COMPUTED_VALUE"""),"TE")</f>
        <v>TE</v>
      </c>
      <c r="F152" s="3" t="str">
        <f>IFERROR(__xludf.DUMMYFUNCTION("""COMPUTED_VALUE"""),"Doni Damara")</f>
        <v>Doni Damara</v>
      </c>
      <c r="G152" s="3" t="str">
        <f>IFERROR(__xludf.DUMMYFUNCTION("""COMPUTED_VALUE"""),"Palangkaraya")</f>
        <v>Palangkaraya</v>
      </c>
      <c r="H152" s="3" t="str">
        <f>IFERROR(__xludf.DUMMYFUNCTION("""COMPUTED_VALUE"""),"Preventive")</f>
        <v>Preventive</v>
      </c>
      <c r="I152" s="3" t="str">
        <f>IFERROR(__xludf.DUMMYFUNCTION("""COMPUTED_VALUE"""),"Pengukuran dan pengambilan data log serta input Gdoc BBT")</f>
        <v>Pengukuran dan pengambilan data log serta input Gdoc BBT</v>
      </c>
      <c r="J152" s="3" t="str">
        <f>IFERROR(__xludf.DUMMYFUNCTION("""COMPUTED_VALUE"""),"On Progress")</f>
        <v>On Progress</v>
      </c>
      <c r="K152" s="27">
        <f>IFERROR(__xludf.DUMMYFUNCTION("""COMPUTED_VALUE"""),46008.0)</f>
        <v>46008</v>
      </c>
      <c r="L152" s="27">
        <f>IFERROR(__xludf.DUMMYFUNCTION("""COMPUTED_VALUE"""),46008.0)</f>
        <v>46008</v>
      </c>
      <c r="M152" s="3" t="str">
        <f>IFERROR(__xludf.DUMMYFUNCTION("""COMPUTED_VALUE"""),"Done")</f>
        <v>Done</v>
      </c>
      <c r="N152" s="3" t="str">
        <f>IFERROR(__xludf.DUMMYFUNCTION("""COMPUTED_VALUE"""),"Cek battrey")</f>
        <v>Cek battrey</v>
      </c>
      <c r="O152" s="3">
        <f>IFERROR(VLOOKUP(C152,Sheet4!A152:F939,6,0),"")</f>
        <v>1129584</v>
      </c>
      <c r="Q152" s="2" t="str">
        <f t="shared" si="1"/>
        <v>17</v>
      </c>
    </row>
    <row r="153">
      <c r="A153" s="3" t="str">
        <f>IFERROR(__xludf.DUMMYFUNCTION("""COMPUTED_VALUE"""),"On Leave")</f>
        <v>On Leave</v>
      </c>
      <c r="B153" s="3" t="str">
        <f>IFERROR(__xludf.DUMMYFUNCTION("""COMPUTED_VALUE"""),"P3")</f>
        <v>P3</v>
      </c>
      <c r="C153" s="3"/>
      <c r="D153" s="3" t="str">
        <f>IFERROR(__xludf.DUMMYFUNCTION("""COMPUTED_VALUE"""),"melky.O.Tulangow")</f>
        <v>melky.O.Tulangow</v>
      </c>
      <c r="E153" s="3" t="str">
        <f>IFERROR(__xludf.DUMMYFUNCTION("""COMPUTED_VALUE"""),"TE")</f>
        <v>TE</v>
      </c>
      <c r="F153" s="3" t="str">
        <f>IFERROR(__xludf.DUMMYFUNCTION("""COMPUTED_VALUE"""),"Doni Damara")</f>
        <v>Doni Damara</v>
      </c>
      <c r="G153" s="3" t="str">
        <f>IFERROR(__xludf.DUMMYFUNCTION("""COMPUTED_VALUE"""),"Palangkaraya")</f>
        <v>Palangkaraya</v>
      </c>
      <c r="H153" s="3" t="str">
        <f>IFERROR(__xludf.DUMMYFUNCTION("""COMPUTED_VALUE"""),"On Leave")</f>
        <v>On Leave</v>
      </c>
      <c r="I153" s="3" t="str">
        <f>IFERROR(__xludf.DUMMYFUNCTION("""COMPUTED_VALUE"""),"On Leave")</f>
        <v>On Leave</v>
      </c>
      <c r="J153" s="3" t="str">
        <f>IFERROR(__xludf.DUMMYFUNCTION("""COMPUTED_VALUE"""),"Standby")</f>
        <v>Standby</v>
      </c>
      <c r="K153" s="27">
        <f>IFERROR(__xludf.DUMMYFUNCTION("""COMPUTED_VALUE"""),46008.0)</f>
        <v>46008</v>
      </c>
      <c r="L153" s="27">
        <f>IFERROR(__xludf.DUMMYFUNCTION("""COMPUTED_VALUE"""),46008.0)</f>
        <v>46008</v>
      </c>
      <c r="M153" s="3" t="str">
        <f>IFERROR(__xludf.DUMMYFUNCTION("""COMPUTED_VALUE"""),"Done")</f>
        <v>Done</v>
      </c>
      <c r="N153" s="3"/>
      <c r="O153" s="3" t="str">
        <f>IFERROR(VLOOKUP(C153,Sheet4!A153:F940,6,0),"")</f>
        <v/>
      </c>
      <c r="Q153" s="2" t="str">
        <f t="shared" si="1"/>
        <v>17</v>
      </c>
    </row>
    <row r="154">
      <c r="A154" s="3" t="str">
        <f>IFERROR(__xludf.DUMMYFUNCTION("""COMPUTED_VALUE"""),"PM")</f>
        <v>PM</v>
      </c>
      <c r="B154" s="3" t="str">
        <f>IFERROR(__xludf.DUMMYFUNCTION("""COMPUTED_VALUE"""),"P2")</f>
        <v>P2</v>
      </c>
      <c r="C154" s="3" t="str">
        <f>IFERROR(__xludf.DUMMYFUNCTION("""COMPUTED_VALUE"""),"KSN150")</f>
        <v>KSN150</v>
      </c>
      <c r="D154" s="3" t="str">
        <f>IFERROR(__xludf.DUMMYFUNCTION("""COMPUTED_VALUE"""),"Indra")</f>
        <v>Indra</v>
      </c>
      <c r="E154" s="3" t="str">
        <f>IFERROR(__xludf.DUMMYFUNCTION("""COMPUTED_VALUE"""),"PM")</f>
        <v>PM</v>
      </c>
      <c r="F154" s="3" t="str">
        <f>IFERROR(__xludf.DUMMYFUNCTION("""COMPUTED_VALUE"""),"Doni Damara")</f>
        <v>Doni Damara</v>
      </c>
      <c r="G154" s="3" t="str">
        <f>IFERROR(__xludf.DUMMYFUNCTION("""COMPUTED_VALUE"""),"Palangkaraya")</f>
        <v>Palangkaraya</v>
      </c>
      <c r="H154" s="3" t="str">
        <f>IFERROR(__xludf.DUMMYFUNCTION("""COMPUTED_VALUE"""),"Preventive")</f>
        <v>Preventive</v>
      </c>
      <c r="I154" s="3" t="str">
        <f>IFERROR(__xludf.DUMMYFUNCTION("""COMPUTED_VALUE"""),"Preventive Maintenance")</f>
        <v>Preventive Maintenance</v>
      </c>
      <c r="J154" s="3" t="str">
        <f>IFERROR(__xludf.DUMMYFUNCTION("""COMPUTED_VALUE"""),"On Progress")</f>
        <v>On Progress</v>
      </c>
      <c r="K154" s="27">
        <f>IFERROR(__xludf.DUMMYFUNCTION("""COMPUTED_VALUE"""),46008.0)</f>
        <v>46008</v>
      </c>
      <c r="L154" s="27">
        <f>IFERROR(__xludf.DUMMYFUNCTION("""COMPUTED_VALUE"""),46008.0)</f>
        <v>46008</v>
      </c>
      <c r="M154" s="3" t="str">
        <f>IFERROR(__xludf.DUMMYFUNCTION("""COMPUTED_VALUE"""),"Done")</f>
        <v>Done</v>
      </c>
      <c r="N154" s="3" t="str">
        <f>IFERROR(__xludf.DUMMYFUNCTION("""COMPUTED_VALUE"""),"PMG")</f>
        <v>PMG</v>
      </c>
      <c r="O154" s="3">
        <f>IFERROR(VLOOKUP(C154,Sheet4!A154:F941,6,0),"")</f>
        <v>112496</v>
      </c>
      <c r="Q154" s="2" t="str">
        <f t="shared" si="1"/>
        <v>17</v>
      </c>
    </row>
    <row r="155">
      <c r="A155" s="3" t="str">
        <f>IFERROR(__xludf.DUMMYFUNCTION("""COMPUTED_VALUE"""),"PM")</f>
        <v>PM</v>
      </c>
      <c r="B155" s="3" t="str">
        <f>IFERROR(__xludf.DUMMYFUNCTION("""COMPUTED_VALUE"""),"P2")</f>
        <v>P2</v>
      </c>
      <c r="C155" s="3" t="str">
        <f>IFERROR(__xludf.DUMMYFUNCTION("""COMPUTED_VALUE"""),"KSN005")</f>
        <v>KSN005</v>
      </c>
      <c r="D155" s="3" t="str">
        <f>IFERROR(__xludf.DUMMYFUNCTION("""COMPUTED_VALUE"""),"Darli")</f>
        <v>Darli</v>
      </c>
      <c r="E155" s="3" t="str">
        <f>IFERROR(__xludf.DUMMYFUNCTION("""COMPUTED_VALUE"""),"PM")</f>
        <v>PM</v>
      </c>
      <c r="F155" s="3" t="str">
        <f>IFERROR(__xludf.DUMMYFUNCTION("""COMPUTED_VALUE"""),"Doni Damara")</f>
        <v>Doni Damara</v>
      </c>
      <c r="G155" s="3" t="str">
        <f>IFERROR(__xludf.DUMMYFUNCTION("""COMPUTED_VALUE"""),"Palangkaraya")</f>
        <v>Palangkaraya</v>
      </c>
      <c r="H155" s="3" t="str">
        <f>IFERROR(__xludf.DUMMYFUNCTION("""COMPUTED_VALUE"""),"Preventive")</f>
        <v>Preventive</v>
      </c>
      <c r="I155" s="3" t="str">
        <f>IFERROR(__xludf.DUMMYFUNCTION("""COMPUTED_VALUE"""),"Preventive Maintenance")</f>
        <v>Preventive Maintenance</v>
      </c>
      <c r="J155" s="3" t="str">
        <f>IFERROR(__xludf.DUMMYFUNCTION("""COMPUTED_VALUE"""),"On Progress")</f>
        <v>On Progress</v>
      </c>
      <c r="K155" s="27">
        <f>IFERROR(__xludf.DUMMYFUNCTION("""COMPUTED_VALUE"""),46008.0)</f>
        <v>46008</v>
      </c>
      <c r="L155" s="27">
        <f>IFERROR(__xludf.DUMMYFUNCTION("""COMPUTED_VALUE"""),46008.0)</f>
        <v>46008</v>
      </c>
      <c r="M155" s="3" t="str">
        <f>IFERROR(__xludf.DUMMYFUNCTION("""COMPUTED_VALUE"""),"Done")</f>
        <v>Done</v>
      </c>
      <c r="N155" s="3" t="str">
        <f>IFERROR(__xludf.DUMMYFUNCTION("""COMPUTED_VALUE"""),"PMS")</f>
        <v>PMS</v>
      </c>
      <c r="O155" s="3">
        <f>IFERROR(VLOOKUP(C155,Sheet4!A155:F942,6,0),"")</f>
        <v>11345406</v>
      </c>
      <c r="Q155" s="2" t="str">
        <f t="shared" si="1"/>
        <v>17</v>
      </c>
    </row>
    <row r="156">
      <c r="A156" s="3" t="str">
        <f>IFERROR(__xludf.DUMMYFUNCTION("""COMPUTED_VALUE"""),"PM")</f>
        <v>PM</v>
      </c>
      <c r="B156" s="3" t="str">
        <f>IFERROR(__xludf.DUMMYFUNCTION("""COMPUTED_VALUE"""),"P2")</f>
        <v>P2</v>
      </c>
      <c r="C156" s="3" t="str">
        <f>IFERROR(__xludf.DUMMYFUNCTION("""COMPUTED_VALUE"""),"PLK261")</f>
        <v>PLK261</v>
      </c>
      <c r="D156" s="3" t="str">
        <f>IFERROR(__xludf.DUMMYFUNCTION("""COMPUTED_VALUE"""),"AHMAD ARDIANTO FIRMANSYAH")</f>
        <v>AHMAD ARDIANTO FIRMANSYAH</v>
      </c>
      <c r="E156" s="3" t="str">
        <f>IFERROR(__xludf.DUMMYFUNCTION("""COMPUTED_VALUE"""),"PM")</f>
        <v>PM</v>
      </c>
      <c r="F156" s="3" t="str">
        <f>IFERROR(__xludf.DUMMYFUNCTION("""COMPUTED_VALUE"""),"Doni Damara")</f>
        <v>Doni Damara</v>
      </c>
      <c r="G156" s="3" t="str">
        <f>IFERROR(__xludf.DUMMYFUNCTION("""COMPUTED_VALUE"""),"Palangkaraya")</f>
        <v>Palangkaraya</v>
      </c>
      <c r="H156" s="3" t="str">
        <f>IFERROR(__xludf.DUMMYFUNCTION("""COMPUTED_VALUE"""),"Preventive")</f>
        <v>Preventive</v>
      </c>
      <c r="I156" s="3" t="str">
        <f>IFERROR(__xludf.DUMMYFUNCTION("""COMPUTED_VALUE"""),"Preventive Maintenance")</f>
        <v>Preventive Maintenance</v>
      </c>
      <c r="J156" s="3" t="str">
        <f>IFERROR(__xludf.DUMMYFUNCTION("""COMPUTED_VALUE"""),"On Progress")</f>
        <v>On Progress</v>
      </c>
      <c r="K156" s="27">
        <f>IFERROR(__xludf.DUMMYFUNCTION("""COMPUTED_VALUE"""),46008.0)</f>
        <v>46008</v>
      </c>
      <c r="L156" s="27">
        <f>IFERROR(__xludf.DUMMYFUNCTION("""COMPUTED_VALUE"""),46008.0)</f>
        <v>46008</v>
      </c>
      <c r="M156" s="3" t="str">
        <f>IFERROR(__xludf.DUMMYFUNCTION("""COMPUTED_VALUE"""),"Done")</f>
        <v>Done</v>
      </c>
      <c r="N156" s="3" t="str">
        <f>IFERROR(__xludf.DUMMYFUNCTION("""COMPUTED_VALUE"""),"PMS")</f>
        <v>PMS</v>
      </c>
      <c r="O156" s="3">
        <f>IFERROR(VLOOKUP(C156,Sheet4!A156:F943,6,0),"")</f>
        <v>11393729</v>
      </c>
      <c r="Q156" s="2" t="str">
        <f t="shared" si="1"/>
        <v>17</v>
      </c>
    </row>
    <row r="157">
      <c r="A157" s="3" t="str">
        <f>IFERROR(__xludf.DUMMYFUNCTION("""COMPUTED_VALUE"""),"Cell down")</f>
        <v>Cell down</v>
      </c>
      <c r="B157" s="3" t="str">
        <f>IFERROR(__xludf.DUMMYFUNCTION("""COMPUTED_VALUE"""),"P1")</f>
        <v>P1</v>
      </c>
      <c r="C157" s="3" t="str">
        <f>IFERROR(__xludf.DUMMYFUNCTION("""COMPUTED_VALUE"""),"KKN074")</f>
        <v>KKN074</v>
      </c>
      <c r="D157" s="3" t="str">
        <f>IFERROR(__xludf.DUMMYFUNCTION("""COMPUTED_VALUE"""),"Leonard")</f>
        <v>Leonard</v>
      </c>
      <c r="E157" s="3" t="str">
        <f>IFERROR(__xludf.DUMMYFUNCTION("""COMPUTED_VALUE"""),"TE")</f>
        <v>TE</v>
      </c>
      <c r="F157" s="3" t="str">
        <f>IFERROR(__xludf.DUMMYFUNCTION("""COMPUTED_VALUE"""),"Doni Damara")</f>
        <v>Doni Damara</v>
      </c>
      <c r="G157" s="3" t="str">
        <f>IFERROR(__xludf.DUMMYFUNCTION("""COMPUTED_VALUE"""),"Palangkaraya")</f>
        <v>Palangkaraya</v>
      </c>
      <c r="H157" s="3" t="str">
        <f>IFERROR(__xludf.DUMMYFUNCTION("""COMPUTED_VALUE"""),"Corrective")</f>
        <v>Corrective</v>
      </c>
      <c r="I157" s="3" t="str">
        <f>IFERROR(__xludf.DUMMYFUNCTION("""COMPUTED_VALUE"""),"Replace Optik,RRU/Soket Power/Replace GPS")</f>
        <v>Replace Optik,RRU/Soket Power/Replace GPS</v>
      </c>
      <c r="J157" s="3" t="str">
        <f>IFERROR(__xludf.DUMMYFUNCTION("""COMPUTED_VALUE"""),"On Progress")</f>
        <v>On Progress</v>
      </c>
      <c r="K157" s="27">
        <f>IFERROR(__xludf.DUMMYFUNCTION("""COMPUTED_VALUE"""),46008.0)</f>
        <v>46008</v>
      </c>
      <c r="L157" s="27">
        <f>IFERROR(__xludf.DUMMYFUNCTION("""COMPUTED_VALUE"""),46008.0)</f>
        <v>46008</v>
      </c>
      <c r="M157" s="3" t="str">
        <f>IFERROR(__xludf.DUMMYFUNCTION("""COMPUTED_VALUE"""),"Pending")</f>
        <v>Pending</v>
      </c>
      <c r="N157" s="3" t="str">
        <f>IFERROR(__xludf.DUMMYFUNCTION("""COMPUTED_VALUE"""),"Cek cell down")</f>
        <v>Cek cell down</v>
      </c>
      <c r="O157" s="3">
        <f>IFERROR(VLOOKUP(C157,Sheet4!A157:F944,6,0),"")</f>
        <v>11392894</v>
      </c>
      <c r="Q157" s="2" t="str">
        <f t="shared" si="1"/>
        <v>17</v>
      </c>
    </row>
    <row r="158">
      <c r="A158" s="3" t="str">
        <f>IFERROR(__xludf.DUMMYFUNCTION("""COMPUTED_VALUE"""),"Cell down")</f>
        <v>Cell down</v>
      </c>
      <c r="B158" s="3" t="str">
        <f>IFERROR(__xludf.DUMMYFUNCTION("""COMPUTED_VALUE"""),"P1")</f>
        <v>P1</v>
      </c>
      <c r="C158" s="3" t="str">
        <f>IFERROR(__xludf.DUMMYFUNCTION("""COMPUTED_VALUE"""),"KKN074")</f>
        <v>KKN074</v>
      </c>
      <c r="D158" s="3" t="str">
        <f>IFERROR(__xludf.DUMMYFUNCTION("""COMPUTED_VALUE"""),"Aulia Rahman")</f>
        <v>Aulia Rahman</v>
      </c>
      <c r="E158" s="3" t="str">
        <f>IFERROR(__xludf.DUMMYFUNCTION("""COMPUTED_VALUE"""),"TE")</f>
        <v>TE</v>
      </c>
      <c r="F158" s="3" t="str">
        <f>IFERROR(__xludf.DUMMYFUNCTION("""COMPUTED_VALUE"""),"Doni Damara")</f>
        <v>Doni Damara</v>
      </c>
      <c r="G158" s="3" t="str">
        <f>IFERROR(__xludf.DUMMYFUNCTION("""COMPUTED_VALUE"""),"Palangkaraya")</f>
        <v>Palangkaraya</v>
      </c>
      <c r="H158" s="3" t="str">
        <f>IFERROR(__xludf.DUMMYFUNCTION("""COMPUTED_VALUE"""),"Corrective")</f>
        <v>Corrective</v>
      </c>
      <c r="I158" s="3" t="str">
        <f>IFERROR(__xludf.DUMMYFUNCTION("""COMPUTED_VALUE"""),"Replace Optik,RRU/Soket Power/Replace GPS")</f>
        <v>Replace Optik,RRU/Soket Power/Replace GPS</v>
      </c>
      <c r="J158" s="3" t="str">
        <f>IFERROR(__xludf.DUMMYFUNCTION("""COMPUTED_VALUE"""),"On Progress")</f>
        <v>On Progress</v>
      </c>
      <c r="K158" s="27">
        <f>IFERROR(__xludf.DUMMYFUNCTION("""COMPUTED_VALUE"""),46008.0)</f>
        <v>46008</v>
      </c>
      <c r="L158" s="27">
        <f>IFERROR(__xludf.DUMMYFUNCTION("""COMPUTED_VALUE"""),46008.0)</f>
        <v>46008</v>
      </c>
      <c r="M158" s="3" t="str">
        <f>IFERROR(__xludf.DUMMYFUNCTION("""COMPUTED_VALUE"""),"Pending")</f>
        <v>Pending</v>
      </c>
      <c r="N158" s="3" t="str">
        <f>IFERROR(__xludf.DUMMYFUNCTION("""COMPUTED_VALUE"""),"Cek cell down")</f>
        <v>Cek cell down</v>
      </c>
      <c r="O158" s="3">
        <f>IFERROR(VLOOKUP(C158,Sheet4!A158:F945,6,0),"")</f>
        <v>11392894</v>
      </c>
      <c r="Q158" s="2" t="str">
        <f t="shared" si="1"/>
        <v>17</v>
      </c>
    </row>
    <row r="159">
      <c r="A159" s="3" t="str">
        <f>IFERROR(__xludf.DUMMYFUNCTION("""COMPUTED_VALUE"""),"Standby On Call")</f>
        <v>Standby On Call</v>
      </c>
      <c r="B159" s="3" t="str">
        <f>IFERROR(__xludf.DUMMYFUNCTION("""COMPUTED_VALUE"""),"P3")</f>
        <v>P3</v>
      </c>
      <c r="C159" s="3"/>
      <c r="D159" s="3" t="str">
        <f>IFERROR(__xludf.DUMMYFUNCTION("""COMPUTED_VALUE"""),"Sarwono")</f>
        <v>Sarwono</v>
      </c>
      <c r="E159" s="3" t="str">
        <f>IFERROR(__xludf.DUMMYFUNCTION("""COMPUTED_VALUE"""),"CME")</f>
        <v>CME</v>
      </c>
      <c r="F159" s="3" t="str">
        <f>IFERROR(__xludf.DUMMYFUNCTION("""COMPUTED_VALUE"""),"Doni Damara")</f>
        <v>Doni Damara</v>
      </c>
      <c r="G159" s="3" t="str">
        <f>IFERROR(__xludf.DUMMYFUNCTION("""COMPUTED_VALUE"""),"Palangkaraya")</f>
        <v>Palangkaraya</v>
      </c>
      <c r="H159" s="3" t="str">
        <f>IFERROR(__xludf.DUMMYFUNCTION("""COMPUTED_VALUE"""),"Standby")</f>
        <v>Standby</v>
      </c>
      <c r="I159" s="3" t="str">
        <f>IFERROR(__xludf.DUMMYFUNCTION("""COMPUTED_VALUE"""),"Standby On Call")</f>
        <v>Standby On Call</v>
      </c>
      <c r="J159" s="3" t="str">
        <f>IFERROR(__xludf.DUMMYFUNCTION("""COMPUTED_VALUE"""),"Standby")</f>
        <v>Standby</v>
      </c>
      <c r="K159" s="27">
        <f>IFERROR(__xludf.DUMMYFUNCTION("""COMPUTED_VALUE"""),46008.0)</f>
        <v>46008</v>
      </c>
      <c r="L159" s="27">
        <f>IFERROR(__xludf.DUMMYFUNCTION("""COMPUTED_VALUE"""),46008.0)</f>
        <v>46008</v>
      </c>
      <c r="M159" s="3" t="str">
        <f>IFERROR(__xludf.DUMMYFUNCTION("""COMPUTED_VALUE"""),"Waiting Update")</f>
        <v>Waiting Update</v>
      </c>
      <c r="N159" s="3"/>
      <c r="O159" s="3" t="str">
        <f>IFERROR(VLOOKUP(C159,Sheet4!A159:F946,6,0),"")</f>
        <v/>
      </c>
      <c r="Q159" s="2" t="str">
        <f t="shared" si="1"/>
        <v>17</v>
      </c>
    </row>
    <row r="160">
      <c r="A160" s="3" t="str">
        <f>IFERROR(__xludf.DUMMYFUNCTION("""COMPUTED_VALUE"""),"Standby On Call")</f>
        <v>Standby On Call</v>
      </c>
      <c r="B160" s="3" t="str">
        <f>IFERROR(__xludf.DUMMYFUNCTION("""COMPUTED_VALUE"""),"P3")</f>
        <v>P3</v>
      </c>
      <c r="C160" s="3"/>
      <c r="D160" s="3" t="str">
        <f>IFERROR(__xludf.DUMMYFUNCTION("""COMPUTED_VALUE"""),"Purwanto")</f>
        <v>Purwanto</v>
      </c>
      <c r="E160" s="3" t="str">
        <f>IFERROR(__xludf.DUMMYFUNCTION("""COMPUTED_VALUE"""),"MBP")</f>
        <v>MBP</v>
      </c>
      <c r="F160" s="3" t="str">
        <f>IFERROR(__xludf.DUMMYFUNCTION("""COMPUTED_VALUE"""),"Doni Damara")</f>
        <v>Doni Damara</v>
      </c>
      <c r="G160" s="3" t="str">
        <f>IFERROR(__xludf.DUMMYFUNCTION("""COMPUTED_VALUE"""),"Palangkaraya")</f>
        <v>Palangkaraya</v>
      </c>
      <c r="H160" s="3" t="str">
        <f>IFERROR(__xludf.DUMMYFUNCTION("""COMPUTED_VALUE"""),"Standby")</f>
        <v>Standby</v>
      </c>
      <c r="I160" s="3" t="str">
        <f>IFERROR(__xludf.DUMMYFUNCTION("""COMPUTED_VALUE"""),"Standby On Call")</f>
        <v>Standby On Call</v>
      </c>
      <c r="J160" s="3" t="str">
        <f>IFERROR(__xludf.DUMMYFUNCTION("""COMPUTED_VALUE"""),"Standby")</f>
        <v>Standby</v>
      </c>
      <c r="K160" s="27">
        <f>IFERROR(__xludf.DUMMYFUNCTION("""COMPUTED_VALUE"""),46008.0)</f>
        <v>46008</v>
      </c>
      <c r="L160" s="27">
        <f>IFERROR(__xludf.DUMMYFUNCTION("""COMPUTED_VALUE"""),46008.0)</f>
        <v>46008</v>
      </c>
      <c r="M160" s="3" t="str">
        <f>IFERROR(__xludf.DUMMYFUNCTION("""COMPUTED_VALUE"""),"Waiting Update")</f>
        <v>Waiting Update</v>
      </c>
      <c r="N160" s="3"/>
      <c r="O160" s="3" t="str">
        <f>IFERROR(VLOOKUP(C160,Sheet4!A160:F947,6,0),"")</f>
        <v/>
      </c>
      <c r="Q160" s="2" t="str">
        <f t="shared" si="1"/>
        <v>17</v>
      </c>
    </row>
    <row r="161">
      <c r="A161" s="3" t="str">
        <f>IFERROR(__xludf.DUMMYFUNCTION("""COMPUTED_VALUE"""),"Standby On Call")</f>
        <v>Standby On Call</v>
      </c>
      <c r="B161" s="3" t="str">
        <f>IFERROR(__xludf.DUMMYFUNCTION("""COMPUTED_VALUE"""),"P3")</f>
        <v>P3</v>
      </c>
      <c r="C161" s="3"/>
      <c r="D161" s="3" t="str">
        <f>IFERROR(__xludf.DUMMYFUNCTION("""COMPUTED_VALUE"""),"Sairaji")</f>
        <v>Sairaji</v>
      </c>
      <c r="E161" s="3" t="str">
        <f>IFERROR(__xludf.DUMMYFUNCTION("""COMPUTED_VALUE"""),"MBP")</f>
        <v>MBP</v>
      </c>
      <c r="F161" s="3" t="str">
        <f>IFERROR(__xludf.DUMMYFUNCTION("""COMPUTED_VALUE"""),"Doni Damara")</f>
        <v>Doni Damara</v>
      </c>
      <c r="G161" s="3" t="str">
        <f>IFERROR(__xludf.DUMMYFUNCTION("""COMPUTED_VALUE"""),"Palangkaraya")</f>
        <v>Palangkaraya</v>
      </c>
      <c r="H161" s="3" t="str">
        <f>IFERROR(__xludf.DUMMYFUNCTION("""COMPUTED_VALUE"""),"Standby")</f>
        <v>Standby</v>
      </c>
      <c r="I161" s="3" t="str">
        <f>IFERROR(__xludf.DUMMYFUNCTION("""COMPUTED_VALUE"""),"Standby On Call")</f>
        <v>Standby On Call</v>
      </c>
      <c r="J161" s="3" t="str">
        <f>IFERROR(__xludf.DUMMYFUNCTION("""COMPUTED_VALUE"""),"Standby")</f>
        <v>Standby</v>
      </c>
      <c r="K161" s="27">
        <f>IFERROR(__xludf.DUMMYFUNCTION("""COMPUTED_VALUE"""),46008.0)</f>
        <v>46008</v>
      </c>
      <c r="L161" s="27">
        <f>IFERROR(__xludf.DUMMYFUNCTION("""COMPUTED_VALUE"""),46008.0)</f>
        <v>46008</v>
      </c>
      <c r="M161" s="3" t="str">
        <f>IFERROR(__xludf.DUMMYFUNCTION("""COMPUTED_VALUE"""),"Waiting Update")</f>
        <v>Waiting Update</v>
      </c>
      <c r="N161" s="3"/>
      <c r="O161" s="3" t="str">
        <f>IFERROR(VLOOKUP(C161,Sheet4!A161:F948,6,0),"")</f>
        <v/>
      </c>
      <c r="Q161" s="2" t="str">
        <f t="shared" si="1"/>
        <v>17</v>
      </c>
    </row>
    <row r="162">
      <c r="A162" s="3" t="str">
        <f>IFERROR(__xludf.DUMMYFUNCTION("""COMPUTED_VALUE"""),"Standby On Call")</f>
        <v>Standby On Call</v>
      </c>
      <c r="B162" s="3" t="str">
        <f>IFERROR(__xludf.DUMMYFUNCTION("""COMPUTED_VALUE"""),"P3")</f>
        <v>P3</v>
      </c>
      <c r="C162" s="3"/>
      <c r="D162" s="3" t="str">
        <f>IFERROR(__xludf.DUMMYFUNCTION("""COMPUTED_VALUE"""),"Agus muliana pamungkas")</f>
        <v>Agus muliana pamungkas</v>
      </c>
      <c r="E162" s="3" t="str">
        <f>IFERROR(__xludf.DUMMYFUNCTION("""COMPUTED_VALUE"""),"MBP")</f>
        <v>MBP</v>
      </c>
      <c r="F162" s="3" t="str">
        <f>IFERROR(__xludf.DUMMYFUNCTION("""COMPUTED_VALUE"""),"Doni Damara")</f>
        <v>Doni Damara</v>
      </c>
      <c r="G162" s="3" t="str">
        <f>IFERROR(__xludf.DUMMYFUNCTION("""COMPUTED_VALUE"""),"Palangkaraya")</f>
        <v>Palangkaraya</v>
      </c>
      <c r="H162" s="3" t="str">
        <f>IFERROR(__xludf.DUMMYFUNCTION("""COMPUTED_VALUE"""),"Standby")</f>
        <v>Standby</v>
      </c>
      <c r="I162" s="3" t="str">
        <f>IFERROR(__xludf.DUMMYFUNCTION("""COMPUTED_VALUE"""),"Standby On Call")</f>
        <v>Standby On Call</v>
      </c>
      <c r="J162" s="3" t="str">
        <f>IFERROR(__xludf.DUMMYFUNCTION("""COMPUTED_VALUE"""),"Standby")</f>
        <v>Standby</v>
      </c>
      <c r="K162" s="27">
        <f>IFERROR(__xludf.DUMMYFUNCTION("""COMPUTED_VALUE"""),46008.0)</f>
        <v>46008</v>
      </c>
      <c r="L162" s="27">
        <f>IFERROR(__xludf.DUMMYFUNCTION("""COMPUTED_VALUE"""),46008.0)</f>
        <v>46008</v>
      </c>
      <c r="M162" s="3" t="str">
        <f>IFERROR(__xludf.DUMMYFUNCTION("""COMPUTED_VALUE"""),"Waiting Update")</f>
        <v>Waiting Update</v>
      </c>
      <c r="N162" s="3"/>
      <c r="O162" s="3" t="str">
        <f>IFERROR(VLOOKUP(C162,Sheet4!A162:F949,6,0),"")</f>
        <v/>
      </c>
      <c r="Q162" s="2" t="str">
        <f t="shared" si="1"/>
        <v>17</v>
      </c>
    </row>
    <row r="163">
      <c r="A163" s="3" t="str">
        <f>IFERROR(__xludf.DUMMYFUNCTION("""COMPUTED_VALUE"""),"Standby On Call")</f>
        <v>Standby On Call</v>
      </c>
      <c r="B163" s="3" t="str">
        <f>IFERROR(__xludf.DUMMYFUNCTION("""COMPUTED_VALUE"""),"P3")</f>
        <v>P3</v>
      </c>
      <c r="C163" s="3"/>
      <c r="D163" s="3" t="str">
        <f>IFERROR(__xludf.DUMMYFUNCTION("""COMPUTED_VALUE"""),"Fajrianur wahid")</f>
        <v>Fajrianur wahid</v>
      </c>
      <c r="E163" s="3" t="str">
        <f>IFERROR(__xludf.DUMMYFUNCTION("""COMPUTED_VALUE"""),"MBP")</f>
        <v>MBP</v>
      </c>
      <c r="F163" s="3" t="str">
        <f>IFERROR(__xludf.DUMMYFUNCTION("""COMPUTED_VALUE"""),"Doni Damara")</f>
        <v>Doni Damara</v>
      </c>
      <c r="G163" s="3" t="str">
        <f>IFERROR(__xludf.DUMMYFUNCTION("""COMPUTED_VALUE"""),"Palangkaraya")</f>
        <v>Palangkaraya</v>
      </c>
      <c r="H163" s="3" t="str">
        <f>IFERROR(__xludf.DUMMYFUNCTION("""COMPUTED_VALUE"""),"Standby")</f>
        <v>Standby</v>
      </c>
      <c r="I163" s="3" t="str">
        <f>IFERROR(__xludf.DUMMYFUNCTION("""COMPUTED_VALUE"""),"Standby On Call")</f>
        <v>Standby On Call</v>
      </c>
      <c r="J163" s="3" t="str">
        <f>IFERROR(__xludf.DUMMYFUNCTION("""COMPUTED_VALUE"""),"Standby")</f>
        <v>Standby</v>
      </c>
      <c r="K163" s="27">
        <f>IFERROR(__xludf.DUMMYFUNCTION("""COMPUTED_VALUE"""),46008.0)</f>
        <v>46008</v>
      </c>
      <c r="L163" s="27">
        <f>IFERROR(__xludf.DUMMYFUNCTION("""COMPUTED_VALUE"""),46008.0)</f>
        <v>46008</v>
      </c>
      <c r="M163" s="3" t="str">
        <f>IFERROR(__xludf.DUMMYFUNCTION("""COMPUTED_VALUE"""),"Waiting Update")</f>
        <v>Waiting Update</v>
      </c>
      <c r="N163" s="3"/>
      <c r="O163" s="3" t="str">
        <f>IFERROR(VLOOKUP(C163,Sheet4!A163:F950,6,0),"")</f>
        <v/>
      </c>
      <c r="Q163" s="2" t="str">
        <f t="shared" si="1"/>
        <v>17</v>
      </c>
    </row>
    <row r="164">
      <c r="A164" s="3" t="str">
        <f>IFERROR(__xludf.DUMMYFUNCTION("""COMPUTED_VALUE"""),"Standby On Call")</f>
        <v>Standby On Call</v>
      </c>
      <c r="B164" s="3" t="str">
        <f>IFERROR(__xludf.DUMMYFUNCTION("""COMPUTED_VALUE"""),"P3")</f>
        <v>P3</v>
      </c>
      <c r="C164" s="3"/>
      <c r="D164" s="3" t="str">
        <f>IFERROR(__xludf.DUMMYFUNCTION("""COMPUTED_VALUE"""),"hory yusmanto")</f>
        <v>hory yusmanto</v>
      </c>
      <c r="E164" s="3" t="str">
        <f>IFERROR(__xludf.DUMMYFUNCTION("""COMPUTED_VALUE"""),"MBP")</f>
        <v>MBP</v>
      </c>
      <c r="F164" s="3" t="str">
        <f>IFERROR(__xludf.DUMMYFUNCTION("""COMPUTED_VALUE"""),"Doni Damara")</f>
        <v>Doni Damara</v>
      </c>
      <c r="G164" s="3" t="str">
        <f>IFERROR(__xludf.DUMMYFUNCTION("""COMPUTED_VALUE"""),"Palangkaraya")</f>
        <v>Palangkaraya</v>
      </c>
      <c r="H164" s="3" t="str">
        <f>IFERROR(__xludf.DUMMYFUNCTION("""COMPUTED_VALUE"""),"Standby")</f>
        <v>Standby</v>
      </c>
      <c r="I164" s="3" t="str">
        <f>IFERROR(__xludf.DUMMYFUNCTION("""COMPUTED_VALUE"""),"Standby On Call")</f>
        <v>Standby On Call</v>
      </c>
      <c r="J164" s="3" t="str">
        <f>IFERROR(__xludf.DUMMYFUNCTION("""COMPUTED_VALUE"""),"Standby")</f>
        <v>Standby</v>
      </c>
      <c r="K164" s="27">
        <f>IFERROR(__xludf.DUMMYFUNCTION("""COMPUTED_VALUE"""),46008.0)</f>
        <v>46008</v>
      </c>
      <c r="L164" s="27">
        <f>IFERROR(__xludf.DUMMYFUNCTION("""COMPUTED_VALUE"""),46008.0)</f>
        <v>46008</v>
      </c>
      <c r="M164" s="3" t="str">
        <f>IFERROR(__xludf.DUMMYFUNCTION("""COMPUTED_VALUE"""),"Waiting Update")</f>
        <v>Waiting Update</v>
      </c>
      <c r="N164" s="3"/>
      <c r="O164" s="3" t="str">
        <f>IFERROR(VLOOKUP(C164,Sheet4!A164:F951,6,0),"")</f>
        <v/>
      </c>
      <c r="Q164" s="2" t="str">
        <f t="shared" si="1"/>
        <v>17</v>
      </c>
    </row>
    <row r="165">
      <c r="A165" s="3" t="str">
        <f>IFERROR(__xludf.DUMMYFUNCTION("""COMPUTED_VALUE"""),"Pengecekan battrey")</f>
        <v>Pengecekan battrey</v>
      </c>
      <c r="B165" s="3" t="str">
        <f>IFERROR(__xludf.DUMMYFUNCTION("""COMPUTED_VALUE"""),"P2")</f>
        <v>P2</v>
      </c>
      <c r="C165" s="3" t="str">
        <f>IFERROR(__xludf.DUMMYFUNCTION("""COMPUTED_VALUE"""),"BNT001")</f>
        <v>BNT001</v>
      </c>
      <c r="D165" s="3" t="str">
        <f>IFERROR(__xludf.DUMMYFUNCTION("""COMPUTED_VALUE"""),"Putra wardana")</f>
        <v>Putra wardana</v>
      </c>
      <c r="E165" s="3" t="str">
        <f>IFERROR(__xludf.DUMMYFUNCTION("""COMPUTED_VALUE"""),"TE")</f>
        <v>TE</v>
      </c>
      <c r="F165" s="3" t="str">
        <f>IFERROR(__xludf.DUMMYFUNCTION("""COMPUTED_VALUE"""),"Winda Sokenda")</f>
        <v>Winda Sokenda</v>
      </c>
      <c r="G165" s="3" t="str">
        <f>IFERROR(__xludf.DUMMYFUNCTION("""COMPUTED_VALUE"""),"Barito Raya")</f>
        <v>Barito Raya</v>
      </c>
      <c r="H165" s="3" t="str">
        <f>IFERROR(__xludf.DUMMYFUNCTION("""COMPUTED_VALUE"""),"Preventive")</f>
        <v>Preventive</v>
      </c>
      <c r="I165" s="3" t="str">
        <f>IFERROR(__xludf.DUMMYFUNCTION("""COMPUTED_VALUE"""),"Pengukuran dan pengambilan data log serta input Gdoc BBT")</f>
        <v>Pengukuran dan pengambilan data log serta input Gdoc BBT</v>
      </c>
      <c r="J165" s="3" t="str">
        <f>IFERROR(__xludf.DUMMYFUNCTION("""COMPUTED_VALUE"""),"On Progress")</f>
        <v>On Progress</v>
      </c>
      <c r="K165" s="27">
        <f>IFERROR(__xludf.DUMMYFUNCTION("""COMPUTED_VALUE"""),46008.0)</f>
        <v>46008</v>
      </c>
      <c r="L165" s="27">
        <f>IFERROR(__xludf.DUMMYFUNCTION("""COMPUTED_VALUE"""),46008.0)</f>
        <v>46008</v>
      </c>
      <c r="M165" s="3" t="str">
        <f>IFERROR(__xludf.DUMMYFUNCTION("""COMPUTED_VALUE"""),"Done")</f>
        <v>Done</v>
      </c>
      <c r="N165" s="3"/>
      <c r="O165" s="3" t="str">
        <f>IFERROR(VLOOKUP(C165,Sheet4!A165:F952,6,0),"")</f>
        <v/>
      </c>
      <c r="Q165" s="2" t="str">
        <f t="shared" si="1"/>
        <v>17</v>
      </c>
    </row>
    <row r="166">
      <c r="A166" s="3" t="str">
        <f>IFERROR(__xludf.DUMMYFUNCTION("""COMPUTED_VALUE"""),"Pengecekan battrey")</f>
        <v>Pengecekan battrey</v>
      </c>
      <c r="B166" s="3" t="str">
        <f>IFERROR(__xludf.DUMMYFUNCTION("""COMPUTED_VALUE"""),"P2")</f>
        <v>P2</v>
      </c>
      <c r="C166" s="3" t="str">
        <f>IFERROR(__xludf.DUMMYFUNCTION("""COMPUTED_VALUE"""),"TML003")</f>
        <v>TML003</v>
      </c>
      <c r="D166" s="3" t="str">
        <f>IFERROR(__xludf.DUMMYFUNCTION("""COMPUTED_VALUE"""),"Sailillah")</f>
        <v>Sailillah</v>
      </c>
      <c r="E166" s="3" t="str">
        <f>IFERROR(__xludf.DUMMYFUNCTION("""COMPUTED_VALUE"""),"TE")</f>
        <v>TE</v>
      </c>
      <c r="F166" s="3" t="str">
        <f>IFERROR(__xludf.DUMMYFUNCTION("""COMPUTED_VALUE"""),"Winda Sokenda")</f>
        <v>Winda Sokenda</v>
      </c>
      <c r="G166" s="3" t="str">
        <f>IFERROR(__xludf.DUMMYFUNCTION("""COMPUTED_VALUE"""),"Barito Raya")</f>
        <v>Barito Raya</v>
      </c>
      <c r="H166" s="3" t="str">
        <f>IFERROR(__xludf.DUMMYFUNCTION("""COMPUTED_VALUE"""),"Preventive")</f>
        <v>Preventive</v>
      </c>
      <c r="I166" s="3" t="str">
        <f>IFERROR(__xludf.DUMMYFUNCTION("""COMPUTED_VALUE"""),"Pengukuran dan pengambilan data log serta input Gdoc BBT")</f>
        <v>Pengukuran dan pengambilan data log serta input Gdoc BBT</v>
      </c>
      <c r="J166" s="3" t="str">
        <f>IFERROR(__xludf.DUMMYFUNCTION("""COMPUTED_VALUE"""),"On Progress")</f>
        <v>On Progress</v>
      </c>
      <c r="K166" s="27">
        <f>IFERROR(__xludf.DUMMYFUNCTION("""COMPUTED_VALUE"""),46008.0)</f>
        <v>46008</v>
      </c>
      <c r="L166" s="27">
        <f>IFERROR(__xludf.DUMMYFUNCTION("""COMPUTED_VALUE"""),46008.0)</f>
        <v>46008</v>
      </c>
      <c r="M166" s="3" t="str">
        <f>IFERROR(__xludf.DUMMYFUNCTION("""COMPUTED_VALUE"""),"Done")</f>
        <v>Done</v>
      </c>
      <c r="N166" s="3"/>
      <c r="O166" s="3">
        <f>IFERROR(VLOOKUP(C166,Sheet4!A166:F953,6,0),"")</f>
        <v>11521413</v>
      </c>
      <c r="Q166" s="2" t="str">
        <f t="shared" si="1"/>
        <v>17</v>
      </c>
    </row>
    <row r="167">
      <c r="A167" s="3" t="str">
        <f>IFERROR(__xludf.DUMMYFUNCTION("""COMPUTED_VALUE"""),"Vswr")</f>
        <v>Vswr</v>
      </c>
      <c r="B167" s="3" t="str">
        <f>IFERROR(__xludf.DUMMYFUNCTION("""COMPUTED_VALUE"""),"P1")</f>
        <v>P1</v>
      </c>
      <c r="C167" s="3" t="str">
        <f>IFERROR(__xludf.DUMMYFUNCTION("""COMPUTED_VALUE"""),"COH670")</f>
        <v>COH670</v>
      </c>
      <c r="D167" s="3" t="str">
        <f>IFERROR(__xludf.DUMMYFUNCTION("""COMPUTED_VALUE"""),"Tiviansyah")</f>
        <v>Tiviansyah</v>
      </c>
      <c r="E167" s="3" t="str">
        <f>IFERROR(__xludf.DUMMYFUNCTION("""COMPUTED_VALUE"""),"TE")</f>
        <v>TE</v>
      </c>
      <c r="F167" s="3" t="str">
        <f>IFERROR(__xludf.DUMMYFUNCTION("""COMPUTED_VALUE"""),"Winda Sokenda")</f>
        <v>Winda Sokenda</v>
      </c>
      <c r="G167" s="3" t="str">
        <f>IFERROR(__xludf.DUMMYFUNCTION("""COMPUTED_VALUE"""),"Barito Raya")</f>
        <v>Barito Raya</v>
      </c>
      <c r="H167" s="3" t="str">
        <f>IFERROR(__xludf.DUMMYFUNCTION("""COMPUTED_VALUE"""),"Corrective")</f>
        <v>Corrective</v>
      </c>
      <c r="I167" s="3" t="str">
        <f>IFERROR(__xludf.DUMMYFUNCTION("""COMPUTED_VALUE"""),"Replace Jumper,antena/RRU")</f>
        <v>Replace Jumper,antena/RRU</v>
      </c>
      <c r="J167" s="3" t="str">
        <f>IFERROR(__xludf.DUMMYFUNCTION("""COMPUTED_VALUE"""),"On Progress")</f>
        <v>On Progress</v>
      </c>
      <c r="K167" s="27">
        <f>IFERROR(__xludf.DUMMYFUNCTION("""COMPUTED_VALUE"""),46008.0)</f>
        <v>46008</v>
      </c>
      <c r="L167" s="27">
        <f>IFERROR(__xludf.DUMMYFUNCTION("""COMPUTED_VALUE"""),46008.0)</f>
        <v>46008</v>
      </c>
      <c r="M167" s="3" t="str">
        <f>IFERROR(__xludf.DUMMYFUNCTION("""COMPUTED_VALUE"""),"Pending")</f>
        <v>Pending</v>
      </c>
      <c r="N167" s="3" t="str">
        <f>IFERROR(__xludf.DUMMYFUNCTION("""COMPUTED_VALUE"""),"team kendala kurang sehat")</f>
        <v>team kendala kurang sehat</v>
      </c>
      <c r="O167" s="3">
        <f>IFERROR(VLOOKUP(C167,Sheet4!A167:F954,6,0),"")</f>
        <v>11356588</v>
      </c>
      <c r="Q167" s="2" t="str">
        <f t="shared" si="1"/>
        <v>17</v>
      </c>
    </row>
    <row r="168">
      <c r="A168" s="3" t="str">
        <f>IFERROR(__xludf.DUMMYFUNCTION("""COMPUTED_VALUE"""),"Pengecekan battrey")</f>
        <v>Pengecekan battrey</v>
      </c>
      <c r="B168" s="3" t="str">
        <f>IFERROR(__xludf.DUMMYFUNCTION("""COMPUTED_VALUE"""),"P2")</f>
        <v>P2</v>
      </c>
      <c r="C168" s="3" t="str">
        <f>IFERROR(__xludf.DUMMYFUNCTION("""COMPUTED_VALUE"""),"MTW082")</f>
        <v>MTW082</v>
      </c>
      <c r="D168" s="3" t="str">
        <f>IFERROR(__xludf.DUMMYFUNCTION("""COMPUTED_VALUE"""),"munawir akhmad")</f>
        <v>munawir akhmad</v>
      </c>
      <c r="E168" s="3" t="str">
        <f>IFERROR(__xludf.DUMMYFUNCTION("""COMPUTED_VALUE"""),"TE")</f>
        <v>TE</v>
      </c>
      <c r="F168" s="3" t="str">
        <f>IFERROR(__xludf.DUMMYFUNCTION("""COMPUTED_VALUE"""),"Winda Sokenda")</f>
        <v>Winda Sokenda</v>
      </c>
      <c r="G168" s="3" t="str">
        <f>IFERROR(__xludf.DUMMYFUNCTION("""COMPUTED_VALUE"""),"Barito Raya")</f>
        <v>Barito Raya</v>
      </c>
      <c r="H168" s="3" t="str">
        <f>IFERROR(__xludf.DUMMYFUNCTION("""COMPUTED_VALUE"""),"Preventive")</f>
        <v>Preventive</v>
      </c>
      <c r="I168" s="3" t="str">
        <f>IFERROR(__xludf.DUMMYFUNCTION("""COMPUTED_VALUE"""),"Pengukuran dan pengambilan data log serta input Gdoc BBT")</f>
        <v>Pengukuran dan pengambilan data log serta input Gdoc BBT</v>
      </c>
      <c r="J168" s="3" t="str">
        <f>IFERROR(__xludf.DUMMYFUNCTION("""COMPUTED_VALUE"""),"On Progress")</f>
        <v>On Progress</v>
      </c>
      <c r="K168" s="27">
        <f>IFERROR(__xludf.DUMMYFUNCTION("""COMPUTED_VALUE"""),46008.0)</f>
        <v>46008</v>
      </c>
      <c r="L168" s="27">
        <f>IFERROR(__xludf.DUMMYFUNCTION("""COMPUTED_VALUE"""),46008.0)</f>
        <v>46008</v>
      </c>
      <c r="M168" s="3" t="str">
        <f>IFERROR(__xludf.DUMMYFUNCTION("""COMPUTED_VALUE"""),"Pending")</f>
        <v>Pending</v>
      </c>
      <c r="N168" s="3" t="str">
        <f>IFERROR(__xludf.DUMMYFUNCTION("""COMPUTED_VALUE"""),"Kunci belting missing")</f>
        <v>Kunci belting missing</v>
      </c>
      <c r="O168" s="3">
        <f>IFERROR(VLOOKUP(C168,Sheet4!A168:F955,6,0),"")</f>
        <v>11489651</v>
      </c>
      <c r="Q168" s="2" t="str">
        <f t="shared" si="1"/>
        <v>17</v>
      </c>
    </row>
    <row r="169">
      <c r="A169" s="3" t="str">
        <f>IFERROR(__xludf.DUMMYFUNCTION("""COMPUTED_VALUE"""),"Pengecekan battrey")</f>
        <v>Pengecekan battrey</v>
      </c>
      <c r="B169" s="3" t="str">
        <f>IFERROR(__xludf.DUMMYFUNCTION("""COMPUTED_VALUE"""),"P2")</f>
        <v>P2</v>
      </c>
      <c r="C169" s="3" t="str">
        <f>IFERROR(__xludf.DUMMYFUNCTION("""COMPUTED_VALUE"""),"MTW249")</f>
        <v>MTW249</v>
      </c>
      <c r="D169" s="3" t="str">
        <f>IFERROR(__xludf.DUMMYFUNCTION("""COMPUTED_VALUE"""),"Riki Hidayat")</f>
        <v>Riki Hidayat</v>
      </c>
      <c r="E169" s="3" t="str">
        <f>IFERROR(__xludf.DUMMYFUNCTION("""COMPUTED_VALUE"""),"TE")</f>
        <v>TE</v>
      </c>
      <c r="F169" s="3" t="str">
        <f>IFERROR(__xludf.DUMMYFUNCTION("""COMPUTED_VALUE"""),"Winda Sokenda")</f>
        <v>Winda Sokenda</v>
      </c>
      <c r="G169" s="3" t="str">
        <f>IFERROR(__xludf.DUMMYFUNCTION("""COMPUTED_VALUE"""),"Barito Raya")</f>
        <v>Barito Raya</v>
      </c>
      <c r="H169" s="3" t="str">
        <f>IFERROR(__xludf.DUMMYFUNCTION("""COMPUTED_VALUE"""),"Preventive")</f>
        <v>Preventive</v>
      </c>
      <c r="I169" s="3" t="str">
        <f>IFERROR(__xludf.DUMMYFUNCTION("""COMPUTED_VALUE"""),"Pengukuran dan pengambilan data log serta input Gdoc BBT")</f>
        <v>Pengukuran dan pengambilan data log serta input Gdoc BBT</v>
      </c>
      <c r="J169" s="3" t="str">
        <f>IFERROR(__xludf.DUMMYFUNCTION("""COMPUTED_VALUE"""),"On Progress")</f>
        <v>On Progress</v>
      </c>
      <c r="K169" s="27">
        <f>IFERROR(__xludf.DUMMYFUNCTION("""COMPUTED_VALUE"""),46008.0)</f>
        <v>46008</v>
      </c>
      <c r="L169" s="27">
        <f>IFERROR(__xludf.DUMMYFUNCTION("""COMPUTED_VALUE"""),46008.0)</f>
        <v>46008</v>
      </c>
      <c r="M169" s="3" t="str">
        <f>IFERROR(__xludf.DUMMYFUNCTION("""COMPUTED_VALUE"""),"Done")</f>
        <v>Done</v>
      </c>
      <c r="N169" s="3"/>
      <c r="O169" s="3" t="str">
        <f>IFERROR(VLOOKUP(C169,Sheet4!A169:F956,6,0),"")</f>
        <v/>
      </c>
      <c r="Q169" s="2" t="str">
        <f t="shared" si="1"/>
        <v>17</v>
      </c>
    </row>
    <row r="170">
      <c r="A170" s="3" t="str">
        <f>IFERROR(__xludf.DUMMYFUNCTION("""COMPUTED_VALUE"""),"Site Down")</f>
        <v>Site Down</v>
      </c>
      <c r="B170" s="3" t="str">
        <f>IFERROR(__xludf.DUMMYFUNCTION("""COMPUTED_VALUE"""),"P1")</f>
        <v>P1</v>
      </c>
      <c r="C170" s="3" t="str">
        <f>IFERROR(__xludf.DUMMYFUNCTION("""COMPUTED_VALUE"""),"PRC187")</f>
        <v>PRC187</v>
      </c>
      <c r="D170" s="3" t="str">
        <f>IFERROR(__xludf.DUMMYFUNCTION("""COMPUTED_VALUE"""),"Murjani")</f>
        <v>Murjani</v>
      </c>
      <c r="E170" s="3" t="str">
        <f>IFERROR(__xludf.DUMMYFUNCTION("""COMPUTED_VALUE"""),"TE")</f>
        <v>TE</v>
      </c>
      <c r="F170" s="3" t="str">
        <f>IFERROR(__xludf.DUMMYFUNCTION("""COMPUTED_VALUE"""),"Winda Sokenda")</f>
        <v>Winda Sokenda</v>
      </c>
      <c r="G170" s="3" t="str">
        <f>IFERROR(__xludf.DUMMYFUNCTION("""COMPUTED_VALUE"""),"Barito Raya")</f>
        <v>Barito Raya</v>
      </c>
      <c r="H170" s="3" t="str">
        <f>IFERROR(__xludf.DUMMYFUNCTION("""COMPUTED_VALUE"""),"Corrective")</f>
        <v>Corrective</v>
      </c>
      <c r="I170" s="3" t="str">
        <f>IFERROR(__xludf.DUMMYFUNCTION("""COMPUTED_VALUE"""),"Pemadaman,MCB Trip,Transmisi problem")</f>
        <v>Pemadaman,MCB Trip,Transmisi problem</v>
      </c>
      <c r="J170" s="3" t="str">
        <f>IFERROR(__xludf.DUMMYFUNCTION("""COMPUTED_VALUE"""),"On Progress")</f>
        <v>On Progress</v>
      </c>
      <c r="K170" s="27">
        <f>IFERROR(__xludf.DUMMYFUNCTION("""COMPUTED_VALUE"""),46008.0)</f>
        <v>46008</v>
      </c>
      <c r="L170" s="27">
        <f>IFERROR(__xludf.DUMMYFUNCTION("""COMPUTED_VALUE"""),46008.0)</f>
        <v>46008</v>
      </c>
      <c r="M170" s="3" t="str">
        <f>IFERROR(__xludf.DUMMYFUNCTION("""COMPUTED_VALUE"""),"Done")</f>
        <v>Done</v>
      </c>
      <c r="N170" s="3" t="str">
        <f>IFERROR(__xludf.DUMMYFUNCTION("""COMPUTED_VALUE"""),"MCB Multiguna hancur imbas petir")</f>
        <v>MCB Multiguna hancur imbas petir</v>
      </c>
      <c r="O170" s="3" t="str">
        <f>IFERROR(VLOOKUP(C170,Sheet4!A170:F957,6,0),"")</f>
        <v/>
      </c>
      <c r="Q170" s="2" t="str">
        <f t="shared" si="1"/>
        <v>17</v>
      </c>
    </row>
    <row r="171">
      <c r="A171" s="3" t="str">
        <f>IFERROR(__xludf.DUMMYFUNCTION("""COMPUTED_VALUE"""),"Pengecekan battrey")</f>
        <v>Pengecekan battrey</v>
      </c>
      <c r="B171" s="3" t="str">
        <f>IFERROR(__xludf.DUMMYFUNCTION("""COMPUTED_VALUE"""),"P2")</f>
        <v>P2</v>
      </c>
      <c r="C171" s="3" t="str">
        <f>IFERROR(__xludf.DUMMYFUNCTION("""COMPUTED_VALUE"""),"KKP003")</f>
        <v>KKP003</v>
      </c>
      <c r="D171" s="3" t="str">
        <f>IFERROR(__xludf.DUMMYFUNCTION("""COMPUTED_VALUE"""),"Reynaldy Ricardo Putra")</f>
        <v>Reynaldy Ricardo Putra</v>
      </c>
      <c r="E171" s="3" t="str">
        <f>IFERROR(__xludf.DUMMYFUNCTION("""COMPUTED_VALUE"""),"TE")</f>
        <v>TE</v>
      </c>
      <c r="F171" s="3" t="str">
        <f>IFERROR(__xludf.DUMMYFUNCTION("""COMPUTED_VALUE"""),"Winda Sokenda")</f>
        <v>Winda Sokenda</v>
      </c>
      <c r="G171" s="3" t="str">
        <f>IFERROR(__xludf.DUMMYFUNCTION("""COMPUTED_VALUE"""),"Barito Raya")</f>
        <v>Barito Raya</v>
      </c>
      <c r="H171" s="3" t="str">
        <f>IFERROR(__xludf.DUMMYFUNCTION("""COMPUTED_VALUE"""),"Preventive")</f>
        <v>Preventive</v>
      </c>
      <c r="I171" s="3" t="str">
        <f>IFERROR(__xludf.DUMMYFUNCTION("""COMPUTED_VALUE"""),"Pengukuran dan pengambilan data log serta input Gdoc BBT")</f>
        <v>Pengukuran dan pengambilan data log serta input Gdoc BBT</v>
      </c>
      <c r="J171" s="3" t="str">
        <f>IFERROR(__xludf.DUMMYFUNCTION("""COMPUTED_VALUE"""),"On Progress")</f>
        <v>On Progress</v>
      </c>
      <c r="K171" s="27">
        <f>IFERROR(__xludf.DUMMYFUNCTION("""COMPUTED_VALUE"""),46008.0)</f>
        <v>46008</v>
      </c>
      <c r="L171" s="27">
        <f>IFERROR(__xludf.DUMMYFUNCTION("""COMPUTED_VALUE"""),46008.0)</f>
        <v>46008</v>
      </c>
      <c r="M171" s="3" t="str">
        <f>IFERROR(__xludf.DUMMYFUNCTION("""COMPUTED_VALUE"""),"Done")</f>
        <v>Done</v>
      </c>
      <c r="N171" s="3"/>
      <c r="O171" s="3">
        <f>IFERROR(VLOOKUP(C171,Sheet4!A171:F958,6,0),"")</f>
        <v>11441666</v>
      </c>
      <c r="Q171" s="2" t="str">
        <f t="shared" si="1"/>
        <v>17</v>
      </c>
    </row>
    <row r="172">
      <c r="A172" s="3" t="str">
        <f>IFERROR(__xludf.DUMMYFUNCTION("""COMPUTED_VALUE"""),"Pengecekan battrey")</f>
        <v>Pengecekan battrey</v>
      </c>
      <c r="B172" s="3" t="str">
        <f>IFERROR(__xludf.DUMMYFUNCTION("""COMPUTED_VALUE"""),"P2")</f>
        <v>P2</v>
      </c>
      <c r="C172" s="3" t="str">
        <f>IFERROR(__xludf.DUMMYFUNCTION("""COMPUTED_VALUE"""),"KKP156")</f>
        <v>KKP156</v>
      </c>
      <c r="D172" s="3" t="str">
        <f>IFERROR(__xludf.DUMMYFUNCTION("""COMPUTED_VALUE"""),"Sahrul Saputra")</f>
        <v>Sahrul Saputra</v>
      </c>
      <c r="E172" s="3" t="str">
        <f>IFERROR(__xludf.DUMMYFUNCTION("""COMPUTED_VALUE"""),"TE")</f>
        <v>TE</v>
      </c>
      <c r="F172" s="3" t="str">
        <f>IFERROR(__xludf.DUMMYFUNCTION("""COMPUTED_VALUE"""),"Winda Sokenda")</f>
        <v>Winda Sokenda</v>
      </c>
      <c r="G172" s="3" t="str">
        <f>IFERROR(__xludf.DUMMYFUNCTION("""COMPUTED_VALUE"""),"Barito Raya")</f>
        <v>Barito Raya</v>
      </c>
      <c r="H172" s="3" t="str">
        <f>IFERROR(__xludf.DUMMYFUNCTION("""COMPUTED_VALUE"""),"Preventive")</f>
        <v>Preventive</v>
      </c>
      <c r="I172" s="3" t="str">
        <f>IFERROR(__xludf.DUMMYFUNCTION("""COMPUTED_VALUE"""),"Pengukuran dan pengambilan data log serta input Gdoc BBT")</f>
        <v>Pengukuran dan pengambilan data log serta input Gdoc BBT</v>
      </c>
      <c r="J172" s="3" t="str">
        <f>IFERROR(__xludf.DUMMYFUNCTION("""COMPUTED_VALUE"""),"On Progress")</f>
        <v>On Progress</v>
      </c>
      <c r="K172" s="27">
        <f>IFERROR(__xludf.DUMMYFUNCTION("""COMPUTED_VALUE"""),46008.0)</f>
        <v>46008</v>
      </c>
      <c r="L172" s="27">
        <f>IFERROR(__xludf.DUMMYFUNCTION("""COMPUTED_VALUE"""),46008.0)</f>
        <v>46008</v>
      </c>
      <c r="M172" s="3" t="str">
        <f>IFERROR(__xludf.DUMMYFUNCTION("""COMPUTED_VALUE"""),"Pending")</f>
        <v>Pending</v>
      </c>
      <c r="N172" s="3" t="str">
        <f>IFERROR(__xludf.DUMMYFUNCTION("""COMPUTED_VALUE"""),"Kunci belting missing")</f>
        <v>Kunci belting missing</v>
      </c>
      <c r="O172" s="3">
        <f>IFERROR(VLOOKUP(C172,Sheet4!A172:F959,6,0),"")</f>
        <v>11455174</v>
      </c>
      <c r="Q172" s="2" t="str">
        <f t="shared" si="1"/>
        <v>17</v>
      </c>
    </row>
    <row r="173">
      <c r="A173" s="3" t="str">
        <f>IFERROR(__xludf.DUMMYFUNCTION("""COMPUTED_VALUE"""),"Site Down")</f>
        <v>Site Down</v>
      </c>
      <c r="B173" s="3" t="str">
        <f>IFERROR(__xludf.DUMMYFUNCTION("""COMPUTED_VALUE"""),"P1")</f>
        <v>P1</v>
      </c>
      <c r="C173" s="3" t="str">
        <f>IFERROR(__xludf.DUMMYFUNCTION("""COMPUTED_VALUE"""),"KKP220")</f>
        <v>KKP220</v>
      </c>
      <c r="D173" s="3" t="str">
        <f>IFERROR(__xludf.DUMMYFUNCTION("""COMPUTED_VALUE"""),"Armadi")</f>
        <v>Armadi</v>
      </c>
      <c r="E173" s="3" t="str">
        <f>IFERROR(__xludf.DUMMYFUNCTION("""COMPUTED_VALUE"""),"TE")</f>
        <v>TE</v>
      </c>
      <c r="F173" s="3" t="str">
        <f>IFERROR(__xludf.DUMMYFUNCTION("""COMPUTED_VALUE"""),"Winda Sokenda")</f>
        <v>Winda Sokenda</v>
      </c>
      <c r="G173" s="3" t="str">
        <f>IFERROR(__xludf.DUMMYFUNCTION("""COMPUTED_VALUE"""),"Barito Raya")</f>
        <v>Barito Raya</v>
      </c>
      <c r="H173" s="3" t="str">
        <f>IFERROR(__xludf.DUMMYFUNCTION("""COMPUTED_VALUE"""),"Corrective")</f>
        <v>Corrective</v>
      </c>
      <c r="I173" s="3" t="str">
        <f>IFERROR(__xludf.DUMMYFUNCTION("""COMPUTED_VALUE"""),"Pemadaman,MCB Trip,Transmisi problem")</f>
        <v>Pemadaman,MCB Trip,Transmisi problem</v>
      </c>
      <c r="J173" s="3" t="str">
        <f>IFERROR(__xludf.DUMMYFUNCTION("""COMPUTED_VALUE"""),"On Progress")</f>
        <v>On Progress</v>
      </c>
      <c r="K173" s="27">
        <f>IFERROR(__xludf.DUMMYFUNCTION("""COMPUTED_VALUE"""),46008.0)</f>
        <v>46008</v>
      </c>
      <c r="L173" s="27">
        <f>IFERROR(__xludf.DUMMYFUNCTION("""COMPUTED_VALUE"""),46008.0)</f>
        <v>46008</v>
      </c>
      <c r="M173" s="3" t="str">
        <f>IFERROR(__xludf.DUMMYFUNCTION("""COMPUTED_VALUE"""),"Done")</f>
        <v>Done</v>
      </c>
      <c r="N173" s="3" t="str">
        <f>IFERROR(__xludf.DUMMYFUNCTION("""COMPUTED_VALUE"""),"Add B2B nms")</f>
        <v>Add B2B nms</v>
      </c>
      <c r="O173" s="3">
        <f>IFERROR(VLOOKUP(C173,Sheet4!A173:F960,6,0),"")</f>
        <v>1141726</v>
      </c>
      <c r="Q173" s="2" t="str">
        <f t="shared" si="1"/>
        <v>17</v>
      </c>
    </row>
    <row r="174">
      <c r="A174" s="3" t="str">
        <f>IFERROR(__xludf.DUMMYFUNCTION("""COMPUTED_VALUE"""),"PM")</f>
        <v>PM</v>
      </c>
      <c r="B174" s="3" t="str">
        <f>IFERROR(__xludf.DUMMYFUNCTION("""COMPUTED_VALUE"""),"P2")</f>
        <v>P2</v>
      </c>
      <c r="C174" s="3" t="str">
        <f>IFERROR(__xludf.DUMMYFUNCTION("""COMPUTED_VALUE"""),"NTH070")</f>
        <v>NTH070</v>
      </c>
      <c r="D174" s="3" t="str">
        <f>IFERROR(__xludf.DUMMYFUNCTION("""COMPUTED_VALUE"""),"Trisno Susanto")</f>
        <v>Trisno Susanto</v>
      </c>
      <c r="E174" s="3" t="str">
        <f>IFERROR(__xludf.DUMMYFUNCTION("""COMPUTED_VALUE"""),"PM")</f>
        <v>PM</v>
      </c>
      <c r="F174" s="3" t="str">
        <f>IFERROR(__xludf.DUMMYFUNCTION("""COMPUTED_VALUE"""),"Winda Sokenda")</f>
        <v>Winda Sokenda</v>
      </c>
      <c r="G174" s="3" t="str">
        <f>IFERROR(__xludf.DUMMYFUNCTION("""COMPUTED_VALUE"""),"Barito Raya")</f>
        <v>Barito Raya</v>
      </c>
      <c r="H174" s="3" t="str">
        <f>IFERROR(__xludf.DUMMYFUNCTION("""COMPUTED_VALUE"""),"Preventive")</f>
        <v>Preventive</v>
      </c>
      <c r="I174" s="3" t="str">
        <f>IFERROR(__xludf.DUMMYFUNCTION("""COMPUTED_VALUE"""),"Preventive Maintenance")</f>
        <v>Preventive Maintenance</v>
      </c>
      <c r="J174" s="3" t="str">
        <f>IFERROR(__xludf.DUMMYFUNCTION("""COMPUTED_VALUE"""),"On Progress")</f>
        <v>On Progress</v>
      </c>
      <c r="K174" s="27">
        <f>IFERROR(__xludf.DUMMYFUNCTION("""COMPUTED_VALUE"""),46008.0)</f>
        <v>46008</v>
      </c>
      <c r="L174" s="27">
        <f>IFERROR(__xludf.DUMMYFUNCTION("""COMPUTED_VALUE"""),46008.0)</f>
        <v>46008</v>
      </c>
      <c r="M174" s="3" t="str">
        <f>IFERROR(__xludf.DUMMYFUNCTION("""COMPUTED_VALUE"""),"Done")</f>
        <v>Done</v>
      </c>
      <c r="N174" s="3"/>
      <c r="O174" s="3">
        <f>IFERROR(VLOOKUP(C174,Sheet4!A174:F961,6,0),"")</f>
        <v>11424508</v>
      </c>
      <c r="Q174" s="2" t="str">
        <f t="shared" si="1"/>
        <v>17</v>
      </c>
    </row>
    <row r="175">
      <c r="A175" s="3" t="str">
        <f>IFERROR(__xludf.DUMMYFUNCTION("""COMPUTED_VALUE"""),"PM")</f>
        <v>PM</v>
      </c>
      <c r="B175" s="3" t="str">
        <f>IFERROR(__xludf.DUMMYFUNCTION("""COMPUTED_VALUE"""),"P2")</f>
        <v>P2</v>
      </c>
      <c r="C175" s="3" t="str">
        <f>IFERROR(__xludf.DUMMYFUNCTION("""COMPUTED_VALUE"""),"KKP225")</f>
        <v>KKP225</v>
      </c>
      <c r="D175" s="3" t="str">
        <f>IFERROR(__xludf.DUMMYFUNCTION("""COMPUTED_VALUE"""),"Khilal dawai katiri")</f>
        <v>Khilal dawai katiri</v>
      </c>
      <c r="E175" s="3" t="str">
        <f>IFERROR(__xludf.DUMMYFUNCTION("""COMPUTED_VALUE"""),"MBP")</f>
        <v>MBP</v>
      </c>
      <c r="F175" s="3" t="str">
        <f>IFERROR(__xludf.DUMMYFUNCTION("""COMPUTED_VALUE"""),"Winda Sokenda")</f>
        <v>Winda Sokenda</v>
      </c>
      <c r="G175" s="3" t="str">
        <f>IFERROR(__xludf.DUMMYFUNCTION("""COMPUTED_VALUE"""),"Barito Raya")</f>
        <v>Barito Raya</v>
      </c>
      <c r="H175" s="3" t="str">
        <f>IFERROR(__xludf.DUMMYFUNCTION("""COMPUTED_VALUE"""),"Preventive")</f>
        <v>Preventive</v>
      </c>
      <c r="I175" s="3" t="str">
        <f>IFERROR(__xludf.DUMMYFUNCTION("""COMPUTED_VALUE"""),"Preventive Maintenance")</f>
        <v>Preventive Maintenance</v>
      </c>
      <c r="J175" s="3" t="str">
        <f>IFERROR(__xludf.DUMMYFUNCTION("""COMPUTED_VALUE"""),"On Progress")</f>
        <v>On Progress</v>
      </c>
      <c r="K175" s="27">
        <f>IFERROR(__xludf.DUMMYFUNCTION("""COMPUTED_VALUE"""),46008.0)</f>
        <v>46008</v>
      </c>
      <c r="L175" s="3"/>
      <c r="M175" s="3" t="str">
        <f>IFERROR(__xludf.DUMMYFUNCTION("""COMPUTED_VALUE"""),"Done")</f>
        <v>Done</v>
      </c>
      <c r="N175" s="3"/>
      <c r="O175" s="3" t="str">
        <f>IFERROR(VLOOKUP(C175,Sheet4!A175:F962,6,0),"")</f>
        <v/>
      </c>
      <c r="Q175" s="2" t="str">
        <f t="shared" si="1"/>
        <v>17</v>
      </c>
    </row>
    <row r="176">
      <c r="A176" s="3" t="str">
        <f>IFERROR(__xludf.DUMMYFUNCTION("""COMPUTED_VALUE"""),"PM")</f>
        <v>PM</v>
      </c>
      <c r="B176" s="3" t="str">
        <f>IFERROR(__xludf.DUMMYFUNCTION("""COMPUTED_VALUE"""),"P2")</f>
        <v>P2</v>
      </c>
      <c r="C176" s="3" t="str">
        <f>IFERROR(__xludf.DUMMYFUNCTION("""COMPUTED_VALUE"""),"MTW")</f>
        <v>MTW</v>
      </c>
      <c r="D176" s="3" t="str">
        <f>IFERROR(__xludf.DUMMYFUNCTION("""COMPUTED_VALUE"""),"Riko setiadi")</f>
        <v>Riko setiadi</v>
      </c>
      <c r="E176" s="3" t="str">
        <f>IFERROR(__xludf.DUMMYFUNCTION("""COMPUTED_VALUE"""),"PM")</f>
        <v>PM</v>
      </c>
      <c r="F176" s="3" t="str">
        <f>IFERROR(__xludf.DUMMYFUNCTION("""COMPUTED_VALUE"""),"Winda Sokenda")</f>
        <v>Winda Sokenda</v>
      </c>
      <c r="G176" s="3" t="str">
        <f>IFERROR(__xludf.DUMMYFUNCTION("""COMPUTED_VALUE"""),"Barito Raya")</f>
        <v>Barito Raya</v>
      </c>
      <c r="H176" s="3" t="str">
        <f>IFERROR(__xludf.DUMMYFUNCTION("""COMPUTED_VALUE"""),"Preventive")</f>
        <v>Preventive</v>
      </c>
      <c r="I176" s="3" t="str">
        <f>IFERROR(__xludf.DUMMYFUNCTION("""COMPUTED_VALUE"""),"Preventive Maintenance")</f>
        <v>Preventive Maintenance</v>
      </c>
      <c r="J176" s="3" t="str">
        <f>IFERROR(__xludf.DUMMYFUNCTION("""COMPUTED_VALUE"""),"On Progress")</f>
        <v>On Progress</v>
      </c>
      <c r="K176" s="27">
        <f>IFERROR(__xludf.DUMMYFUNCTION("""COMPUTED_VALUE"""),46008.0)</f>
        <v>46008</v>
      </c>
      <c r="L176" s="3"/>
      <c r="M176" s="3" t="str">
        <f>IFERROR(__xludf.DUMMYFUNCTION("""COMPUTED_VALUE"""),"Done")</f>
        <v>Done</v>
      </c>
      <c r="N176" s="3"/>
      <c r="O176" s="3" t="str">
        <f>IFERROR(VLOOKUP(C176,Sheet4!A176:F963,6,0),"")</f>
        <v/>
      </c>
      <c r="Q176" s="2" t="str">
        <f t="shared" si="1"/>
        <v>17</v>
      </c>
    </row>
    <row r="177">
      <c r="A177" s="3" t="str">
        <f>IFERROR(__xludf.DUMMYFUNCTION("""COMPUTED_VALUE"""),"Cell down")</f>
        <v>Cell down</v>
      </c>
      <c r="B177" s="3" t="str">
        <f>IFERROR(__xludf.DUMMYFUNCTION("""COMPUTED_VALUE"""),"P1")</f>
        <v>P1</v>
      </c>
      <c r="C177" s="3" t="str">
        <f>IFERROR(__xludf.DUMMYFUNCTION("""COMPUTED_VALUE"""),"NTH065")</f>
        <v>NTH065</v>
      </c>
      <c r="D177" s="3" t="str">
        <f>IFERROR(__xludf.DUMMYFUNCTION("""COMPUTED_VALUE"""),"Leonard")</f>
        <v>Leonard</v>
      </c>
      <c r="E177" s="3" t="str">
        <f>IFERROR(__xludf.DUMMYFUNCTION("""COMPUTED_VALUE"""),"TE")</f>
        <v>TE</v>
      </c>
      <c r="F177" s="3" t="str">
        <f>IFERROR(__xludf.DUMMYFUNCTION("""COMPUTED_VALUE"""),"Winda Sokenda")</f>
        <v>Winda Sokenda</v>
      </c>
      <c r="G177" s="3" t="str">
        <f>IFERROR(__xludf.DUMMYFUNCTION("""COMPUTED_VALUE"""),"Barito Raya")</f>
        <v>Barito Raya</v>
      </c>
      <c r="H177" s="3" t="str">
        <f>IFERROR(__xludf.DUMMYFUNCTION("""COMPUTED_VALUE"""),"Corrective")</f>
        <v>Corrective</v>
      </c>
      <c r="I177" s="3" t="str">
        <f>IFERROR(__xludf.DUMMYFUNCTION("""COMPUTED_VALUE"""),"Replace Optik,RRU/Soket Power/Replace GPS")</f>
        <v>Replace Optik,RRU/Soket Power/Replace GPS</v>
      </c>
      <c r="J177" s="3" t="str">
        <f>IFERROR(__xludf.DUMMYFUNCTION("""COMPUTED_VALUE"""),"On Progress")</f>
        <v>On Progress</v>
      </c>
      <c r="K177" s="27">
        <f>IFERROR(__xludf.DUMMYFUNCTION("""COMPUTED_VALUE"""),46008.0)</f>
        <v>46008</v>
      </c>
      <c r="L177" s="27">
        <f>IFERROR(__xludf.DUMMYFUNCTION("""COMPUTED_VALUE"""),46008.0)</f>
        <v>46008</v>
      </c>
      <c r="M177" s="3" t="str">
        <f>IFERROR(__xludf.DUMMYFUNCTION("""COMPUTED_VALUE"""),"Done")</f>
        <v>Done</v>
      </c>
      <c r="N177" s="3" t="str">
        <f>IFERROR(__xludf.DUMMYFUNCTION("""COMPUTED_VALUE"""),"Slot dcpdb longgar")</f>
        <v>Slot dcpdb longgar</v>
      </c>
      <c r="O177" s="3">
        <f>IFERROR(VLOOKUP(C177,Sheet4!A177:F964,6,0),"")</f>
        <v>11405308</v>
      </c>
      <c r="Q177" s="2" t="str">
        <f t="shared" si="1"/>
        <v>17</v>
      </c>
    </row>
    <row r="178">
      <c r="A178" s="3" t="str">
        <f>IFERROR(__xludf.DUMMYFUNCTION("""COMPUTED_VALUE"""),"Standby On Call")</f>
        <v>Standby On Call</v>
      </c>
      <c r="B178" s="3" t="str">
        <f>IFERROR(__xludf.DUMMYFUNCTION("""COMPUTED_VALUE"""),"P3")</f>
        <v>P3</v>
      </c>
      <c r="C178" s="3"/>
      <c r="D178" s="3" t="str">
        <f>IFERROR(__xludf.DUMMYFUNCTION("""COMPUTED_VALUE"""),"Harun Nurasyid")</f>
        <v>Harun Nurasyid</v>
      </c>
      <c r="E178" s="3" t="str">
        <f>IFERROR(__xludf.DUMMYFUNCTION("""COMPUTED_VALUE"""),"CME")</f>
        <v>CME</v>
      </c>
      <c r="F178" s="3" t="str">
        <f>IFERROR(__xludf.DUMMYFUNCTION("""COMPUTED_VALUE"""),"Winda Sokenda")</f>
        <v>Winda Sokenda</v>
      </c>
      <c r="G178" s="3" t="str">
        <f>IFERROR(__xludf.DUMMYFUNCTION("""COMPUTED_VALUE"""),"Barito Raya")</f>
        <v>Barito Raya</v>
      </c>
      <c r="H178" s="3" t="str">
        <f>IFERROR(__xludf.DUMMYFUNCTION("""COMPUTED_VALUE"""),"Standby")</f>
        <v>Standby</v>
      </c>
      <c r="I178" s="3" t="str">
        <f>IFERROR(__xludf.DUMMYFUNCTION("""COMPUTED_VALUE"""),"Standby On Call")</f>
        <v>Standby On Call</v>
      </c>
      <c r="J178" s="3" t="str">
        <f>IFERROR(__xludf.DUMMYFUNCTION("""COMPUTED_VALUE"""),"Standby")</f>
        <v>Standby</v>
      </c>
      <c r="K178" s="27">
        <f>IFERROR(__xludf.DUMMYFUNCTION("""COMPUTED_VALUE"""),46008.0)</f>
        <v>46008</v>
      </c>
      <c r="L178" s="27">
        <f>IFERROR(__xludf.DUMMYFUNCTION("""COMPUTED_VALUE"""),46008.0)</f>
        <v>46008</v>
      </c>
      <c r="M178" s="3"/>
      <c r="N178" s="3"/>
      <c r="O178" s="3" t="str">
        <f>IFERROR(VLOOKUP(C178,Sheet4!A178:F965,6,0),"")</f>
        <v/>
      </c>
      <c r="Q178" s="2" t="str">
        <f t="shared" si="1"/>
        <v>17</v>
      </c>
    </row>
    <row r="179">
      <c r="A179" s="3" t="str">
        <f>IFERROR(__xludf.DUMMYFUNCTION("""COMPUTED_VALUE"""),"Standby On Call")</f>
        <v>Standby On Call</v>
      </c>
      <c r="B179" s="3" t="str">
        <f>IFERROR(__xludf.DUMMYFUNCTION("""COMPUTED_VALUE"""),"P3")</f>
        <v>P3</v>
      </c>
      <c r="C179" s="3"/>
      <c r="D179" s="3" t="str">
        <f>IFERROR(__xludf.DUMMYFUNCTION("""COMPUTED_VALUE"""),"Rio ardinata")</f>
        <v>Rio ardinata</v>
      </c>
      <c r="E179" s="3" t="str">
        <f>IFERROR(__xludf.DUMMYFUNCTION("""COMPUTED_VALUE"""),"MBP")</f>
        <v>MBP</v>
      </c>
      <c r="F179" s="3" t="str">
        <f>IFERROR(__xludf.DUMMYFUNCTION("""COMPUTED_VALUE"""),"Winda Sokenda")</f>
        <v>Winda Sokenda</v>
      </c>
      <c r="G179" s="3" t="str">
        <f>IFERROR(__xludf.DUMMYFUNCTION("""COMPUTED_VALUE"""),"Barito Raya")</f>
        <v>Barito Raya</v>
      </c>
      <c r="H179" s="3" t="str">
        <f>IFERROR(__xludf.DUMMYFUNCTION("""COMPUTED_VALUE"""),"Standby")</f>
        <v>Standby</v>
      </c>
      <c r="I179" s="3" t="str">
        <f>IFERROR(__xludf.DUMMYFUNCTION("""COMPUTED_VALUE"""),"Standby On Call")</f>
        <v>Standby On Call</v>
      </c>
      <c r="J179" s="3" t="str">
        <f>IFERROR(__xludf.DUMMYFUNCTION("""COMPUTED_VALUE"""),"Standby")</f>
        <v>Standby</v>
      </c>
      <c r="K179" s="27">
        <f>IFERROR(__xludf.DUMMYFUNCTION("""COMPUTED_VALUE"""),46008.0)</f>
        <v>46008</v>
      </c>
      <c r="L179" s="27">
        <f>IFERROR(__xludf.DUMMYFUNCTION("""COMPUTED_VALUE"""),46008.0)</f>
        <v>46008</v>
      </c>
      <c r="M179" s="3"/>
      <c r="N179" s="3"/>
      <c r="O179" s="3" t="str">
        <f>IFERROR(VLOOKUP(C179,Sheet4!A179:F966,6,0),"")</f>
        <v/>
      </c>
      <c r="Q179" s="2" t="str">
        <f t="shared" si="1"/>
        <v>17</v>
      </c>
    </row>
    <row r="180">
      <c r="A180" s="3" t="str">
        <f>IFERROR(__xludf.DUMMYFUNCTION("""COMPUTED_VALUE"""),"Standby On Call")</f>
        <v>Standby On Call</v>
      </c>
      <c r="B180" s="3" t="str">
        <f>IFERROR(__xludf.DUMMYFUNCTION("""COMPUTED_VALUE"""),"P3")</f>
        <v>P3</v>
      </c>
      <c r="C180" s="3"/>
      <c r="D180" s="3" t="str">
        <f>IFERROR(__xludf.DUMMYFUNCTION("""COMPUTED_VALUE"""),"Taklim")</f>
        <v>Taklim</v>
      </c>
      <c r="E180" s="3" t="str">
        <f>IFERROR(__xludf.DUMMYFUNCTION("""COMPUTED_VALUE"""),"MBP")</f>
        <v>MBP</v>
      </c>
      <c r="F180" s="3" t="str">
        <f>IFERROR(__xludf.DUMMYFUNCTION("""COMPUTED_VALUE"""),"Winda Sokenda")</f>
        <v>Winda Sokenda</v>
      </c>
      <c r="G180" s="3" t="str">
        <f>IFERROR(__xludf.DUMMYFUNCTION("""COMPUTED_VALUE"""),"Barito Raya")</f>
        <v>Barito Raya</v>
      </c>
      <c r="H180" s="3" t="str">
        <f>IFERROR(__xludf.DUMMYFUNCTION("""COMPUTED_VALUE"""),"Standby")</f>
        <v>Standby</v>
      </c>
      <c r="I180" s="3" t="str">
        <f>IFERROR(__xludf.DUMMYFUNCTION("""COMPUTED_VALUE"""),"Standby On Call")</f>
        <v>Standby On Call</v>
      </c>
      <c r="J180" s="3" t="str">
        <f>IFERROR(__xludf.DUMMYFUNCTION("""COMPUTED_VALUE"""),"Standby")</f>
        <v>Standby</v>
      </c>
      <c r="K180" s="27">
        <f>IFERROR(__xludf.DUMMYFUNCTION("""COMPUTED_VALUE"""),46008.0)</f>
        <v>46008</v>
      </c>
      <c r="L180" s="27">
        <f>IFERROR(__xludf.DUMMYFUNCTION("""COMPUTED_VALUE"""),46008.0)</f>
        <v>46008</v>
      </c>
      <c r="M180" s="3"/>
      <c r="N180" s="3"/>
      <c r="O180" s="3" t="str">
        <f>IFERROR(VLOOKUP(C180,Sheet4!A180:F967,6,0),"")</f>
        <v/>
      </c>
      <c r="Q180" s="2" t="str">
        <f t="shared" si="1"/>
        <v>17</v>
      </c>
    </row>
    <row r="181">
      <c r="A181" s="3" t="str">
        <f>IFERROR(__xludf.DUMMYFUNCTION("""COMPUTED_VALUE"""),"Standby On Call")</f>
        <v>Standby On Call</v>
      </c>
      <c r="B181" s="3" t="str">
        <f>IFERROR(__xludf.DUMMYFUNCTION("""COMPUTED_VALUE"""),"P3")</f>
        <v>P3</v>
      </c>
      <c r="C181" s="3"/>
      <c r="D181" s="3" t="str">
        <f>IFERROR(__xludf.DUMMYFUNCTION("""COMPUTED_VALUE"""),"Ahmad Muzakir")</f>
        <v>Ahmad Muzakir</v>
      </c>
      <c r="E181" s="3" t="str">
        <f>IFERROR(__xludf.DUMMYFUNCTION("""COMPUTED_VALUE"""),"MBP")</f>
        <v>MBP</v>
      </c>
      <c r="F181" s="3" t="str">
        <f>IFERROR(__xludf.DUMMYFUNCTION("""COMPUTED_VALUE"""),"Winda Sokenda")</f>
        <v>Winda Sokenda</v>
      </c>
      <c r="G181" s="3" t="str">
        <f>IFERROR(__xludf.DUMMYFUNCTION("""COMPUTED_VALUE"""),"Barito Raya")</f>
        <v>Barito Raya</v>
      </c>
      <c r="H181" s="3" t="str">
        <f>IFERROR(__xludf.DUMMYFUNCTION("""COMPUTED_VALUE"""),"Standby")</f>
        <v>Standby</v>
      </c>
      <c r="I181" s="3" t="str">
        <f>IFERROR(__xludf.DUMMYFUNCTION("""COMPUTED_VALUE"""),"Standby On Call")</f>
        <v>Standby On Call</v>
      </c>
      <c r="J181" s="3" t="str">
        <f>IFERROR(__xludf.DUMMYFUNCTION("""COMPUTED_VALUE"""),"Standby")</f>
        <v>Standby</v>
      </c>
      <c r="K181" s="27">
        <f>IFERROR(__xludf.DUMMYFUNCTION("""COMPUTED_VALUE"""),46008.0)</f>
        <v>46008</v>
      </c>
      <c r="L181" s="27">
        <f>IFERROR(__xludf.DUMMYFUNCTION("""COMPUTED_VALUE"""),46008.0)</f>
        <v>46008</v>
      </c>
      <c r="M181" s="3"/>
      <c r="N181" s="3"/>
      <c r="O181" s="3" t="str">
        <f>IFERROR(VLOOKUP(C181,Sheet4!A181:F968,6,0),"")</f>
        <v/>
      </c>
      <c r="Q181" s="2" t="str">
        <f t="shared" si="1"/>
        <v>17</v>
      </c>
    </row>
    <row r="182">
      <c r="A182" s="3" t="str">
        <f>IFERROR(__xludf.DUMMYFUNCTION("""COMPUTED_VALUE"""),"Tshoot Genset")</f>
        <v>Tshoot Genset</v>
      </c>
      <c r="B182" s="3" t="str">
        <f>IFERROR(__xludf.DUMMYFUNCTION("""COMPUTED_VALUE"""),"P1")</f>
        <v>P1</v>
      </c>
      <c r="C182" s="3" t="str">
        <f>IFERROR(__xludf.DUMMYFUNCTION("""COMPUTED_VALUE"""),"KKP008")</f>
        <v>KKP008</v>
      </c>
      <c r="D182" s="3" t="str">
        <f>IFERROR(__xludf.DUMMYFUNCTION("""COMPUTED_VALUE"""),"Alfi Syahri")</f>
        <v>Alfi Syahri</v>
      </c>
      <c r="E182" s="3" t="str">
        <f>IFERROR(__xludf.DUMMYFUNCTION("""COMPUTED_VALUE"""),"CME")</f>
        <v>CME</v>
      </c>
      <c r="F182" s="3" t="str">
        <f>IFERROR(__xludf.DUMMYFUNCTION("""COMPUTED_VALUE"""),"Winda Sokenda")</f>
        <v>Winda Sokenda</v>
      </c>
      <c r="G182" s="3" t="str">
        <f>IFERROR(__xludf.DUMMYFUNCTION("""COMPUTED_VALUE"""),"Barito Raya")</f>
        <v>Barito Raya</v>
      </c>
      <c r="H182" s="3" t="str">
        <f>IFERROR(__xludf.DUMMYFUNCTION("""COMPUTED_VALUE"""),"Corrective")</f>
        <v>Corrective</v>
      </c>
      <c r="I182" s="3" t="str">
        <f>IFERROR(__xludf.DUMMYFUNCTION("""COMPUTED_VALUE"""),"Perbaikan Auto,pergantian relay,timer, yang berhubungan genset")</f>
        <v>Perbaikan Auto,pergantian relay,timer, yang berhubungan genset</v>
      </c>
      <c r="J182" s="3" t="str">
        <f>IFERROR(__xludf.DUMMYFUNCTION("""COMPUTED_VALUE"""),"On Progress")</f>
        <v>On Progress</v>
      </c>
      <c r="K182" s="27">
        <f>IFERROR(__xludf.DUMMYFUNCTION("""COMPUTED_VALUE"""),46008.0)</f>
        <v>46008</v>
      </c>
      <c r="L182" s="27">
        <f>IFERROR(__xludf.DUMMYFUNCTION("""COMPUTED_VALUE"""),46008.0)</f>
        <v>46008</v>
      </c>
      <c r="M182" s="3" t="str">
        <f>IFERROR(__xludf.DUMMYFUNCTION("""COMPUTED_VALUE"""),"Done")</f>
        <v>Done</v>
      </c>
      <c r="N182" s="3" t="str">
        <f>IFERROR(__xludf.DUMMYFUNCTION("""COMPUTED_VALUE"""),"Genset masuk angin")</f>
        <v>Genset masuk angin</v>
      </c>
      <c r="O182" s="3" t="str">
        <f>IFERROR(VLOOKUP(C182,Sheet4!A182:F969,6,0),"")</f>
        <v/>
      </c>
      <c r="Q182" s="2" t="str">
        <f t="shared" si="1"/>
        <v>17</v>
      </c>
    </row>
    <row r="183">
      <c r="A183" s="3" t="str">
        <f>IFERROR(__xludf.DUMMYFUNCTION("""COMPUTED_VALUE"""),"Standby On Call")</f>
        <v>Standby On Call</v>
      </c>
      <c r="B183" s="3" t="str">
        <f>IFERROR(__xludf.DUMMYFUNCTION("""COMPUTED_VALUE"""),"P3")</f>
        <v>P3</v>
      </c>
      <c r="C183" s="3"/>
      <c r="D183" s="3" t="str">
        <f>IFERROR(__xludf.DUMMYFUNCTION("""COMPUTED_VALUE"""),"Pujianto")</f>
        <v>Pujianto</v>
      </c>
      <c r="E183" s="3" t="str">
        <f>IFERROR(__xludf.DUMMYFUNCTION("""COMPUTED_VALUE"""),"MBP")</f>
        <v>MBP</v>
      </c>
      <c r="F183" s="3" t="str">
        <f>IFERROR(__xludf.DUMMYFUNCTION("""COMPUTED_VALUE"""),"Winda Sokenda")</f>
        <v>Winda Sokenda</v>
      </c>
      <c r="G183" s="3" t="str">
        <f>IFERROR(__xludf.DUMMYFUNCTION("""COMPUTED_VALUE"""),"Barito Raya")</f>
        <v>Barito Raya</v>
      </c>
      <c r="H183" s="3" t="str">
        <f>IFERROR(__xludf.DUMMYFUNCTION("""COMPUTED_VALUE"""),"Standby")</f>
        <v>Standby</v>
      </c>
      <c r="I183" s="3" t="str">
        <f>IFERROR(__xludf.DUMMYFUNCTION("""COMPUTED_VALUE"""),"Standby On Call")</f>
        <v>Standby On Call</v>
      </c>
      <c r="J183" s="3" t="str">
        <f>IFERROR(__xludf.DUMMYFUNCTION("""COMPUTED_VALUE"""),"Standby")</f>
        <v>Standby</v>
      </c>
      <c r="K183" s="27">
        <f>IFERROR(__xludf.DUMMYFUNCTION("""COMPUTED_VALUE"""),46008.0)</f>
        <v>46008</v>
      </c>
      <c r="L183" s="27">
        <f>IFERROR(__xludf.DUMMYFUNCTION("""COMPUTED_VALUE"""),46008.0)</f>
        <v>46008</v>
      </c>
      <c r="M183" s="3"/>
      <c r="N183" s="3"/>
      <c r="O183" s="3" t="str">
        <f>IFERROR(VLOOKUP(C183,Sheet4!A183:F970,6,0),"")</f>
        <v/>
      </c>
      <c r="Q183" s="2" t="str">
        <f t="shared" si="1"/>
        <v>17</v>
      </c>
    </row>
    <row r="184">
      <c r="A184" s="3" t="str">
        <f>IFERROR(__xludf.DUMMYFUNCTION("""COMPUTED_VALUE"""),"Pengecekan battrey")</f>
        <v>Pengecekan battrey</v>
      </c>
      <c r="B184" s="3" t="str">
        <f>IFERROR(__xludf.DUMMYFUNCTION("""COMPUTED_VALUE"""),"P2")</f>
        <v>P2</v>
      </c>
      <c r="C184" s="3" t="str">
        <f>IFERROR(__xludf.DUMMYFUNCTION("""COMPUTED_VALUE"""),"BNT045")</f>
        <v>BNT045</v>
      </c>
      <c r="D184" s="3" t="str">
        <f>IFERROR(__xludf.DUMMYFUNCTION("""COMPUTED_VALUE"""),"Putra wardana")</f>
        <v>Putra wardana</v>
      </c>
      <c r="E184" s="3" t="str">
        <f>IFERROR(__xludf.DUMMYFUNCTION("""COMPUTED_VALUE"""),"TE")</f>
        <v>TE</v>
      </c>
      <c r="F184" s="3" t="str">
        <f>IFERROR(__xludf.DUMMYFUNCTION("""COMPUTED_VALUE"""),"Winda Sokenda")</f>
        <v>Winda Sokenda</v>
      </c>
      <c r="G184" s="3" t="str">
        <f>IFERROR(__xludf.DUMMYFUNCTION("""COMPUTED_VALUE"""),"Barito Raya")</f>
        <v>Barito Raya</v>
      </c>
      <c r="H184" s="3" t="str">
        <f>IFERROR(__xludf.DUMMYFUNCTION("""COMPUTED_VALUE"""),"Preventive")</f>
        <v>Preventive</v>
      </c>
      <c r="I184" s="3" t="str">
        <f>IFERROR(__xludf.DUMMYFUNCTION("""COMPUTED_VALUE"""),"Pengukuran dan pengambilan data log serta input Gdoc BBT")</f>
        <v>Pengukuran dan pengambilan data log serta input Gdoc BBT</v>
      </c>
      <c r="J184" s="3" t="str">
        <f>IFERROR(__xludf.DUMMYFUNCTION("""COMPUTED_VALUE"""),"On Progress")</f>
        <v>On Progress</v>
      </c>
      <c r="K184" s="27">
        <f>IFERROR(__xludf.DUMMYFUNCTION("""COMPUTED_VALUE"""),46009.0)</f>
        <v>46009</v>
      </c>
      <c r="L184" s="27">
        <f>IFERROR(__xludf.DUMMYFUNCTION("""COMPUTED_VALUE"""),46009.0)</f>
        <v>46009</v>
      </c>
      <c r="M184" s="3" t="str">
        <f>IFERROR(__xludf.DUMMYFUNCTION("""COMPUTED_VALUE"""),"Done")</f>
        <v>Done</v>
      </c>
      <c r="N184" s="3"/>
      <c r="O184" s="3" t="str">
        <f>IFERROR(VLOOKUP(C184,Sheet4!A184:F971,6,0),"")</f>
        <v/>
      </c>
      <c r="Q184" s="2" t="str">
        <f t="shared" si="1"/>
        <v>18</v>
      </c>
    </row>
    <row r="185">
      <c r="A185" s="3" t="str">
        <f>IFERROR(__xludf.DUMMYFUNCTION("""COMPUTED_VALUE"""),"Pengecekan battrey")</f>
        <v>Pengecekan battrey</v>
      </c>
      <c r="B185" s="3" t="str">
        <f>IFERROR(__xludf.DUMMYFUNCTION("""COMPUTED_VALUE"""),"P2")</f>
        <v>P2</v>
      </c>
      <c r="C185" s="3" t="str">
        <f>IFERROR(__xludf.DUMMYFUNCTION("""COMPUTED_VALUE"""),"NTH115")</f>
        <v>NTH115</v>
      </c>
      <c r="D185" s="3" t="str">
        <f>IFERROR(__xludf.DUMMYFUNCTION("""COMPUTED_VALUE"""),"Sailillah")</f>
        <v>Sailillah</v>
      </c>
      <c r="E185" s="3" t="str">
        <f>IFERROR(__xludf.DUMMYFUNCTION("""COMPUTED_VALUE"""),"TE")</f>
        <v>TE</v>
      </c>
      <c r="F185" s="3" t="str">
        <f>IFERROR(__xludf.DUMMYFUNCTION("""COMPUTED_VALUE"""),"Winda Sokenda")</f>
        <v>Winda Sokenda</v>
      </c>
      <c r="G185" s="3" t="str">
        <f>IFERROR(__xludf.DUMMYFUNCTION("""COMPUTED_VALUE"""),"Barito Raya")</f>
        <v>Barito Raya</v>
      </c>
      <c r="H185" s="3" t="str">
        <f>IFERROR(__xludf.DUMMYFUNCTION("""COMPUTED_VALUE"""),"Preventive")</f>
        <v>Preventive</v>
      </c>
      <c r="I185" s="3" t="str">
        <f>IFERROR(__xludf.DUMMYFUNCTION("""COMPUTED_VALUE"""),"Pengukuran dan pengambilan data log serta input Gdoc BBT")</f>
        <v>Pengukuran dan pengambilan data log serta input Gdoc BBT</v>
      </c>
      <c r="J185" s="3" t="str">
        <f>IFERROR(__xludf.DUMMYFUNCTION("""COMPUTED_VALUE"""),"On Progress")</f>
        <v>On Progress</v>
      </c>
      <c r="K185" s="27">
        <f>IFERROR(__xludf.DUMMYFUNCTION("""COMPUTED_VALUE"""),46009.0)</f>
        <v>46009</v>
      </c>
      <c r="L185" s="27">
        <f>IFERROR(__xludf.DUMMYFUNCTION("""COMPUTED_VALUE"""),46009.0)</f>
        <v>46009</v>
      </c>
      <c r="M185" s="3" t="str">
        <f>IFERROR(__xludf.DUMMYFUNCTION("""COMPUTED_VALUE"""),"Done")</f>
        <v>Done</v>
      </c>
      <c r="N185" s="3"/>
      <c r="O185" s="3">
        <f>IFERROR(VLOOKUP(C185,Sheet4!A185:F972,6,0),"")</f>
        <v>11525479</v>
      </c>
      <c r="Q185" s="2" t="str">
        <f t="shared" si="1"/>
        <v>18</v>
      </c>
    </row>
    <row r="186">
      <c r="A186" s="3" t="str">
        <f>IFERROR(__xludf.DUMMYFUNCTION("""COMPUTED_VALUE"""),"Pengawalan Team telkom")</f>
        <v>Pengawalan Team telkom</v>
      </c>
      <c r="B186" s="3" t="str">
        <f>IFERROR(__xludf.DUMMYFUNCTION("""COMPUTED_VALUE"""),"P2")</f>
        <v>P2</v>
      </c>
      <c r="C186" s="3" t="str">
        <f>IFERROR(__xludf.DUMMYFUNCTION("""COMPUTED_VALUE"""),"TML005")</f>
        <v>TML005</v>
      </c>
      <c r="D186" s="3" t="str">
        <f>IFERROR(__xludf.DUMMYFUNCTION("""COMPUTED_VALUE"""),"Tiviansyah")</f>
        <v>Tiviansyah</v>
      </c>
      <c r="E186" s="3" t="str">
        <f>IFERROR(__xludf.DUMMYFUNCTION("""COMPUTED_VALUE"""),"TE")</f>
        <v>TE</v>
      </c>
      <c r="F186" s="3" t="str">
        <f>IFERROR(__xludf.DUMMYFUNCTION("""COMPUTED_VALUE"""),"Winda Sokenda")</f>
        <v>Winda Sokenda</v>
      </c>
      <c r="G186" s="3" t="str">
        <f>IFERROR(__xludf.DUMMYFUNCTION("""COMPUTED_VALUE"""),"Barito Raya")</f>
        <v>Barito Raya</v>
      </c>
      <c r="H186" s="3" t="str">
        <f>IFERROR(__xludf.DUMMYFUNCTION("""COMPUTED_VALUE"""),"Preventive")</f>
        <v>Preventive</v>
      </c>
      <c r="I186" s="3" t="str">
        <f>IFERROR(__xludf.DUMMYFUNCTION("""COMPUTED_VALUE"""),"Akses/Hub Site problem metro")</f>
        <v>Akses/Hub Site problem metro</v>
      </c>
      <c r="J186" s="3" t="str">
        <f>IFERROR(__xludf.DUMMYFUNCTION("""COMPUTED_VALUE"""),"On Progress")</f>
        <v>On Progress</v>
      </c>
      <c r="K186" s="27">
        <f>IFERROR(__xludf.DUMMYFUNCTION("""COMPUTED_VALUE"""),46009.0)</f>
        <v>46009</v>
      </c>
      <c r="L186" s="27">
        <f>IFERROR(__xludf.DUMMYFUNCTION("""COMPUTED_VALUE"""),46009.0)</f>
        <v>46009</v>
      </c>
      <c r="M186" s="3" t="str">
        <f>IFERROR(__xludf.DUMMYFUNCTION("""COMPUTED_VALUE"""),"Done")</f>
        <v>Done</v>
      </c>
      <c r="N186" s="3" t="str">
        <f>IFERROR(__xludf.DUMMYFUNCTION("""COMPUTED_VALUE"""),"CO  RIP TO METRO")</f>
        <v>CO  RIP TO METRO</v>
      </c>
      <c r="O186" s="3" t="str">
        <f>IFERROR(VLOOKUP(C186,Sheet4!A186:F973,6,0),"")</f>
        <v/>
      </c>
      <c r="Q186" s="2" t="str">
        <f t="shared" si="1"/>
        <v>18</v>
      </c>
    </row>
    <row r="187">
      <c r="A187" s="3" t="str">
        <f>IFERROR(__xludf.DUMMYFUNCTION("""COMPUTED_VALUE"""),"Cell down")</f>
        <v>Cell down</v>
      </c>
      <c r="B187" s="3" t="str">
        <f>IFERROR(__xludf.DUMMYFUNCTION("""COMPUTED_VALUE"""),"P1")</f>
        <v>P1</v>
      </c>
      <c r="C187" s="3" t="str">
        <f>IFERROR(__xludf.DUMMYFUNCTION("""COMPUTED_VALUE"""),"MTW172")</f>
        <v>MTW172</v>
      </c>
      <c r="D187" s="3" t="str">
        <f>IFERROR(__xludf.DUMMYFUNCTION("""COMPUTED_VALUE"""),"munawir akhmad")</f>
        <v>munawir akhmad</v>
      </c>
      <c r="E187" s="3" t="str">
        <f>IFERROR(__xludf.DUMMYFUNCTION("""COMPUTED_VALUE"""),"TE")</f>
        <v>TE</v>
      </c>
      <c r="F187" s="3" t="str">
        <f>IFERROR(__xludf.DUMMYFUNCTION("""COMPUTED_VALUE"""),"Winda Sokenda")</f>
        <v>Winda Sokenda</v>
      </c>
      <c r="G187" s="3" t="str">
        <f>IFERROR(__xludf.DUMMYFUNCTION("""COMPUTED_VALUE"""),"Barito Raya")</f>
        <v>Barito Raya</v>
      </c>
      <c r="H187" s="3" t="str">
        <f>IFERROR(__xludf.DUMMYFUNCTION("""COMPUTED_VALUE"""),"Corrective")</f>
        <v>Corrective</v>
      </c>
      <c r="I187" s="3" t="str">
        <f>IFERROR(__xludf.DUMMYFUNCTION("""COMPUTED_VALUE"""),"Replace Optik,RRU/Soket Power/Replace GPS")</f>
        <v>Replace Optik,RRU/Soket Power/Replace GPS</v>
      </c>
      <c r="J187" s="3" t="str">
        <f>IFERROR(__xludf.DUMMYFUNCTION("""COMPUTED_VALUE"""),"On Progress")</f>
        <v>On Progress</v>
      </c>
      <c r="K187" s="27">
        <f>IFERROR(__xludf.DUMMYFUNCTION("""COMPUTED_VALUE"""),46009.0)</f>
        <v>46009</v>
      </c>
      <c r="L187" s="27">
        <f>IFERROR(__xludf.DUMMYFUNCTION("""COMPUTED_VALUE"""),46009.0)</f>
        <v>46009</v>
      </c>
      <c r="M187" s="3" t="str">
        <f>IFERROR(__xludf.DUMMYFUNCTION("""COMPUTED_VALUE"""),"Done")</f>
        <v>Done</v>
      </c>
      <c r="N187" s="3"/>
      <c r="O187" s="3">
        <f>IFERROR(VLOOKUP(C187,Sheet4!A187:F974,6,0),"")</f>
        <v>11474127</v>
      </c>
      <c r="Q187" s="2" t="str">
        <f t="shared" si="1"/>
        <v>18</v>
      </c>
    </row>
    <row r="188">
      <c r="A188" s="3" t="str">
        <f>IFERROR(__xludf.DUMMYFUNCTION("""COMPUTED_VALUE"""),"Cell down")</f>
        <v>Cell down</v>
      </c>
      <c r="B188" s="3" t="str">
        <f>IFERROR(__xludf.DUMMYFUNCTION("""COMPUTED_VALUE"""),"P1")</f>
        <v>P1</v>
      </c>
      <c r="C188" s="3" t="str">
        <f>IFERROR(__xludf.DUMMYFUNCTION("""COMPUTED_VALUE"""),"MTW172")</f>
        <v>MTW172</v>
      </c>
      <c r="D188" s="3" t="str">
        <f>IFERROR(__xludf.DUMMYFUNCTION("""COMPUTED_VALUE"""),"Riki Hidayat")</f>
        <v>Riki Hidayat</v>
      </c>
      <c r="E188" s="3" t="str">
        <f>IFERROR(__xludf.DUMMYFUNCTION("""COMPUTED_VALUE"""),"TE")</f>
        <v>TE</v>
      </c>
      <c r="F188" s="3" t="str">
        <f>IFERROR(__xludf.DUMMYFUNCTION("""COMPUTED_VALUE"""),"Winda Sokenda")</f>
        <v>Winda Sokenda</v>
      </c>
      <c r="G188" s="3" t="str">
        <f>IFERROR(__xludf.DUMMYFUNCTION("""COMPUTED_VALUE"""),"Barito Raya")</f>
        <v>Barito Raya</v>
      </c>
      <c r="H188" s="3" t="str">
        <f>IFERROR(__xludf.DUMMYFUNCTION("""COMPUTED_VALUE"""),"Corrective")</f>
        <v>Corrective</v>
      </c>
      <c r="I188" s="3" t="str">
        <f>IFERROR(__xludf.DUMMYFUNCTION("""COMPUTED_VALUE"""),"Replace Optik,RRU/Soket Power/Replace GPS")</f>
        <v>Replace Optik,RRU/Soket Power/Replace GPS</v>
      </c>
      <c r="J188" s="3" t="str">
        <f>IFERROR(__xludf.DUMMYFUNCTION("""COMPUTED_VALUE"""),"On Progress")</f>
        <v>On Progress</v>
      </c>
      <c r="K188" s="27">
        <f>IFERROR(__xludf.DUMMYFUNCTION("""COMPUTED_VALUE"""),46009.0)</f>
        <v>46009</v>
      </c>
      <c r="L188" s="27">
        <f>IFERROR(__xludf.DUMMYFUNCTION("""COMPUTED_VALUE"""),46009.0)</f>
        <v>46009</v>
      </c>
      <c r="M188" s="3" t="str">
        <f>IFERROR(__xludf.DUMMYFUNCTION("""COMPUTED_VALUE"""),"Done")</f>
        <v>Done</v>
      </c>
      <c r="N188" s="3"/>
      <c r="O188" s="3">
        <f>IFERROR(VLOOKUP(C188,Sheet4!A188:F975,6,0),"")</f>
        <v>11474127</v>
      </c>
      <c r="Q188" s="2" t="str">
        <f t="shared" si="1"/>
        <v>18</v>
      </c>
    </row>
    <row r="189">
      <c r="A189" s="3" t="str">
        <f>IFERROR(__xludf.DUMMYFUNCTION("""COMPUTED_VALUE"""),"cell down")</f>
        <v>cell down</v>
      </c>
      <c r="B189" s="3" t="str">
        <f>IFERROR(__xludf.DUMMYFUNCTION("""COMPUTED_VALUE"""),"P1")</f>
        <v>P1</v>
      </c>
      <c r="C189" s="3" t="str">
        <f>IFERROR(__xludf.DUMMYFUNCTION("""COMPUTED_VALUE"""),"PRC024")</f>
        <v>PRC024</v>
      </c>
      <c r="D189" s="3" t="str">
        <f>IFERROR(__xludf.DUMMYFUNCTION("""COMPUTED_VALUE"""),"Murjani")</f>
        <v>Murjani</v>
      </c>
      <c r="E189" s="3" t="str">
        <f>IFERROR(__xludf.DUMMYFUNCTION("""COMPUTED_VALUE"""),"TE")</f>
        <v>TE</v>
      </c>
      <c r="F189" s="3" t="str">
        <f>IFERROR(__xludf.DUMMYFUNCTION("""COMPUTED_VALUE"""),"Winda Sokenda")</f>
        <v>Winda Sokenda</v>
      </c>
      <c r="G189" s="3" t="str">
        <f>IFERROR(__xludf.DUMMYFUNCTION("""COMPUTED_VALUE"""),"Barito Raya")</f>
        <v>Barito Raya</v>
      </c>
      <c r="H189" s="3" t="str">
        <f>IFERROR(__xludf.DUMMYFUNCTION("""COMPUTED_VALUE"""),"Corrective")</f>
        <v>Corrective</v>
      </c>
      <c r="I189" s="3" t="str">
        <f>IFERROR(__xludf.DUMMYFUNCTION("""COMPUTED_VALUE"""),"Replace Optik,RRU/Soket Power/Replace GPS")</f>
        <v>Replace Optik,RRU/Soket Power/Replace GPS</v>
      </c>
      <c r="J189" s="3" t="str">
        <f>IFERROR(__xludf.DUMMYFUNCTION("""COMPUTED_VALUE"""),"On Progress")</f>
        <v>On Progress</v>
      </c>
      <c r="K189" s="27">
        <f>IFERROR(__xludf.DUMMYFUNCTION("""COMPUTED_VALUE"""),46009.0)</f>
        <v>46009</v>
      </c>
      <c r="L189" s="27">
        <f>IFERROR(__xludf.DUMMYFUNCTION("""COMPUTED_VALUE"""),46009.0)</f>
        <v>46009</v>
      </c>
      <c r="M189" s="3" t="str">
        <f>IFERROR(__xludf.DUMMYFUNCTION("""COMPUTED_VALUE"""),"Pending")</f>
        <v>Pending</v>
      </c>
      <c r="N189" s="3" t="str">
        <f>IFERROR(__xludf.DUMMYFUNCTION("""COMPUTED_VALUE"""),"Team ts site down PRC200")</f>
        <v>Team ts site down PRC200</v>
      </c>
      <c r="O189" s="3">
        <f>IFERROR(VLOOKUP(C189,Sheet4!A189:F976,6,0),"")</f>
        <v>11453975</v>
      </c>
      <c r="Q189" s="2" t="str">
        <f t="shared" si="1"/>
        <v>18</v>
      </c>
    </row>
    <row r="190">
      <c r="A190" s="3" t="str">
        <f>IFERROR(__xludf.DUMMYFUNCTION("""COMPUTED_VALUE"""),"pm")</f>
        <v>pm</v>
      </c>
      <c r="B190" s="3" t="str">
        <f>IFERROR(__xludf.DUMMYFUNCTION("""COMPUTED_VALUE"""),"P2")</f>
        <v>P2</v>
      </c>
      <c r="C190" s="3" t="str">
        <f>IFERROR(__xludf.DUMMYFUNCTION("""COMPUTED_VALUE"""),"KKP034")</f>
        <v>KKP034</v>
      </c>
      <c r="D190" s="3" t="str">
        <f>IFERROR(__xludf.DUMMYFUNCTION("""COMPUTED_VALUE"""),"Reynaldy Ricardo Putra")</f>
        <v>Reynaldy Ricardo Putra</v>
      </c>
      <c r="E190" s="3" t="str">
        <f>IFERROR(__xludf.DUMMYFUNCTION("""COMPUTED_VALUE"""),"TE")</f>
        <v>TE</v>
      </c>
      <c r="F190" s="3" t="str">
        <f>IFERROR(__xludf.DUMMYFUNCTION("""COMPUTED_VALUE"""),"Winda Sokenda")</f>
        <v>Winda Sokenda</v>
      </c>
      <c r="G190" s="3" t="str">
        <f>IFERROR(__xludf.DUMMYFUNCTION("""COMPUTED_VALUE"""),"Barito Raya")</f>
        <v>Barito Raya</v>
      </c>
      <c r="H190" s="3" t="str">
        <f>IFERROR(__xludf.DUMMYFUNCTION("""COMPUTED_VALUE"""),"Preventive")</f>
        <v>Preventive</v>
      </c>
      <c r="I190" s="3" t="str">
        <f>IFERROR(__xludf.DUMMYFUNCTION("""COMPUTED_VALUE"""),"Preventive Maintenance")</f>
        <v>Preventive Maintenance</v>
      </c>
      <c r="J190" s="3" t="str">
        <f>IFERROR(__xludf.DUMMYFUNCTION("""COMPUTED_VALUE"""),"On Progress")</f>
        <v>On Progress</v>
      </c>
      <c r="K190" s="27">
        <f>IFERROR(__xludf.DUMMYFUNCTION("""COMPUTED_VALUE"""),46009.0)</f>
        <v>46009</v>
      </c>
      <c r="L190" s="27">
        <f>IFERROR(__xludf.DUMMYFUNCTION("""COMPUTED_VALUE"""),46009.0)</f>
        <v>46009</v>
      </c>
      <c r="M190" s="3" t="str">
        <f>IFERROR(__xludf.DUMMYFUNCTION("""COMPUTED_VALUE"""),"Done")</f>
        <v>Done</v>
      </c>
      <c r="N190" s="3"/>
      <c r="O190" s="3">
        <f>IFERROR(VLOOKUP(C190,Sheet4!A190:F977,6,0),"")</f>
        <v>11441518</v>
      </c>
      <c r="Q190" s="2" t="str">
        <f t="shared" si="1"/>
        <v>18</v>
      </c>
    </row>
    <row r="191">
      <c r="A191" s="3" t="str">
        <f>IFERROR(__xludf.DUMMYFUNCTION("""COMPUTED_VALUE"""),"Pengecekan battrey")</f>
        <v>Pengecekan battrey</v>
      </c>
      <c r="B191" s="3" t="str">
        <f>IFERROR(__xludf.DUMMYFUNCTION("""COMPUTED_VALUE"""),"P2")</f>
        <v>P2</v>
      </c>
      <c r="C191" s="3" t="str">
        <f>IFERROR(__xludf.DUMMYFUNCTION("""COMPUTED_VALUE"""),"KKP156")</f>
        <v>KKP156</v>
      </c>
      <c r="D191" s="3" t="str">
        <f>IFERROR(__xludf.DUMMYFUNCTION("""COMPUTED_VALUE"""),"Sahrul Saputra")</f>
        <v>Sahrul Saputra</v>
      </c>
      <c r="E191" s="3" t="str">
        <f>IFERROR(__xludf.DUMMYFUNCTION("""COMPUTED_VALUE"""),"TE")</f>
        <v>TE</v>
      </c>
      <c r="F191" s="3" t="str">
        <f>IFERROR(__xludf.DUMMYFUNCTION("""COMPUTED_VALUE"""),"Winda Sokenda")</f>
        <v>Winda Sokenda</v>
      </c>
      <c r="G191" s="3" t="str">
        <f>IFERROR(__xludf.DUMMYFUNCTION("""COMPUTED_VALUE"""),"Barito Raya")</f>
        <v>Barito Raya</v>
      </c>
      <c r="H191" s="3" t="str">
        <f>IFERROR(__xludf.DUMMYFUNCTION("""COMPUTED_VALUE"""),"Preventive")</f>
        <v>Preventive</v>
      </c>
      <c r="I191" s="3" t="str">
        <f>IFERROR(__xludf.DUMMYFUNCTION("""COMPUTED_VALUE"""),"Pengukuran dan pengambilan data log serta input Gdoc BBT")</f>
        <v>Pengukuran dan pengambilan data log serta input Gdoc BBT</v>
      </c>
      <c r="J191" s="3" t="str">
        <f>IFERROR(__xludf.DUMMYFUNCTION("""COMPUTED_VALUE"""),"On Progress")</f>
        <v>On Progress</v>
      </c>
      <c r="K191" s="27">
        <f>IFERROR(__xludf.DUMMYFUNCTION("""COMPUTED_VALUE"""),46009.0)</f>
        <v>46009</v>
      </c>
      <c r="L191" s="27">
        <f>IFERROR(__xludf.DUMMYFUNCTION("""COMPUTED_VALUE"""),46009.0)</f>
        <v>46009</v>
      </c>
      <c r="M191" s="3" t="str">
        <f>IFERROR(__xludf.DUMMYFUNCTION("""COMPUTED_VALUE"""),"Done")</f>
        <v>Done</v>
      </c>
      <c r="N191" s="3"/>
      <c r="O191" s="3">
        <f>IFERROR(VLOOKUP(C191,Sheet4!A191:F978,6,0),"")</f>
        <v>11455174</v>
      </c>
      <c r="Q191" s="2" t="str">
        <f t="shared" si="1"/>
        <v>18</v>
      </c>
    </row>
    <row r="192">
      <c r="A192" s="3" t="str">
        <f>IFERROR(__xludf.DUMMYFUNCTION("""COMPUTED_VALUE"""),"Pengawalan Team telkom")</f>
        <v>Pengawalan Team telkom</v>
      </c>
      <c r="B192" s="3" t="str">
        <f>IFERROR(__xludf.DUMMYFUNCTION("""COMPUTED_VALUE"""),"P2")</f>
        <v>P2</v>
      </c>
      <c r="C192" s="3" t="str">
        <f>IFERROR(__xludf.DUMMYFUNCTION("""COMPUTED_VALUE"""),"KKP072")</f>
        <v>KKP072</v>
      </c>
      <c r="D192" s="3" t="str">
        <f>IFERROR(__xludf.DUMMYFUNCTION("""COMPUTED_VALUE"""),"Armadi")</f>
        <v>Armadi</v>
      </c>
      <c r="E192" s="3" t="str">
        <f>IFERROR(__xludf.DUMMYFUNCTION("""COMPUTED_VALUE"""),"TE")</f>
        <v>TE</v>
      </c>
      <c r="F192" s="3" t="str">
        <f>IFERROR(__xludf.DUMMYFUNCTION("""COMPUTED_VALUE"""),"Winda Sokenda")</f>
        <v>Winda Sokenda</v>
      </c>
      <c r="G192" s="3" t="str">
        <f>IFERROR(__xludf.DUMMYFUNCTION("""COMPUTED_VALUE"""),"Barito Raya")</f>
        <v>Barito Raya</v>
      </c>
      <c r="H192" s="3" t="str">
        <f>IFERROR(__xludf.DUMMYFUNCTION("""COMPUTED_VALUE"""),"Preventive")</f>
        <v>Preventive</v>
      </c>
      <c r="I192" s="3" t="str">
        <f>IFERROR(__xludf.DUMMYFUNCTION("""COMPUTED_VALUE"""),"Akses/Hub Site problem metro")</f>
        <v>Akses/Hub Site problem metro</v>
      </c>
      <c r="J192" s="3" t="str">
        <f>IFERROR(__xludf.DUMMYFUNCTION("""COMPUTED_VALUE"""),"On Progress")</f>
        <v>On Progress</v>
      </c>
      <c r="K192" s="27">
        <f>IFERROR(__xludf.DUMMYFUNCTION("""COMPUTED_VALUE"""),46009.0)</f>
        <v>46009</v>
      </c>
      <c r="L192" s="27">
        <f>IFERROR(__xludf.DUMMYFUNCTION("""COMPUTED_VALUE"""),46009.0)</f>
        <v>46009</v>
      </c>
      <c r="M192" s="3" t="str">
        <f>IFERROR(__xludf.DUMMYFUNCTION("""COMPUTED_VALUE"""),"Done")</f>
        <v>Done</v>
      </c>
      <c r="N192" s="3"/>
      <c r="O192" s="3" t="str">
        <f>IFERROR(VLOOKUP(C192,Sheet4!A192:F979,6,0),"")</f>
        <v/>
      </c>
      <c r="Q192" s="2" t="str">
        <f t="shared" si="1"/>
        <v>18</v>
      </c>
    </row>
    <row r="193">
      <c r="A193" s="3" t="str">
        <f>IFERROR(__xludf.DUMMYFUNCTION("""COMPUTED_VALUE"""),"Standby On Call")</f>
        <v>Standby On Call</v>
      </c>
      <c r="B193" s="3" t="str">
        <f>IFERROR(__xludf.DUMMYFUNCTION("""COMPUTED_VALUE"""),"P3")</f>
        <v>P3</v>
      </c>
      <c r="C193" s="3"/>
      <c r="D193" s="3" t="str">
        <f>IFERROR(__xludf.DUMMYFUNCTION("""COMPUTED_VALUE"""),"Nurhayat")</f>
        <v>Nurhayat</v>
      </c>
      <c r="E193" s="3" t="str">
        <f>IFERROR(__xludf.DUMMYFUNCTION("""COMPUTED_VALUE"""),"MBP")</f>
        <v>MBP</v>
      </c>
      <c r="F193" s="3" t="str">
        <f>IFERROR(__xludf.DUMMYFUNCTION("""COMPUTED_VALUE"""),"Winda Sokenda")</f>
        <v>Winda Sokenda</v>
      </c>
      <c r="G193" s="3" t="str">
        <f>IFERROR(__xludf.DUMMYFUNCTION("""COMPUTED_VALUE"""),"Barito Raya")</f>
        <v>Barito Raya</v>
      </c>
      <c r="H193" s="3" t="str">
        <f>IFERROR(__xludf.DUMMYFUNCTION("""COMPUTED_VALUE"""),"Standby")</f>
        <v>Standby</v>
      </c>
      <c r="I193" s="3" t="str">
        <f>IFERROR(__xludf.DUMMYFUNCTION("""COMPUTED_VALUE"""),"Standby On Call")</f>
        <v>Standby On Call</v>
      </c>
      <c r="J193" s="3"/>
      <c r="K193" s="27">
        <f>IFERROR(__xludf.DUMMYFUNCTION("""COMPUTED_VALUE"""),46009.0)</f>
        <v>46009</v>
      </c>
      <c r="L193" s="27">
        <f>IFERROR(__xludf.DUMMYFUNCTION("""COMPUTED_VALUE"""),46009.0)</f>
        <v>46009</v>
      </c>
      <c r="M193" s="3"/>
      <c r="N193" s="3"/>
      <c r="O193" s="3" t="str">
        <f>IFERROR(VLOOKUP(C193,Sheet4!A193:F980,6,0),"")</f>
        <v/>
      </c>
      <c r="Q193" s="2" t="str">
        <f t="shared" si="1"/>
        <v>18</v>
      </c>
    </row>
    <row r="194">
      <c r="A194" s="3" t="str">
        <f>IFERROR(__xludf.DUMMYFUNCTION("""COMPUTED_VALUE"""),"Pengecekan Power")</f>
        <v>Pengecekan Power</v>
      </c>
      <c r="B194" s="3" t="str">
        <f>IFERROR(__xludf.DUMMYFUNCTION("""COMPUTED_VALUE"""),"P1")</f>
        <v>P1</v>
      </c>
      <c r="C194" s="3" t="str">
        <f>IFERROR(__xludf.DUMMYFUNCTION("""COMPUTED_VALUE"""),"TML005")</f>
        <v>TML005</v>
      </c>
      <c r="D194" s="3" t="str">
        <f>IFERROR(__xludf.DUMMYFUNCTION("""COMPUTED_VALUE"""),"Harun Nurasyid")</f>
        <v>Harun Nurasyid</v>
      </c>
      <c r="E194" s="3" t="str">
        <f>IFERROR(__xludf.DUMMYFUNCTION("""COMPUTED_VALUE"""),"CME")</f>
        <v>CME</v>
      </c>
      <c r="F194" s="3" t="str">
        <f>IFERROR(__xludf.DUMMYFUNCTION("""COMPUTED_VALUE"""),"Winda Sokenda")</f>
        <v>Winda Sokenda</v>
      </c>
      <c r="G194" s="3" t="str">
        <f>IFERROR(__xludf.DUMMYFUNCTION("""COMPUTED_VALUE"""),"Barito Raya")</f>
        <v>Barito Raya</v>
      </c>
      <c r="H194" s="3" t="str">
        <f>IFERROR(__xludf.DUMMYFUNCTION("""COMPUTED_VALUE"""),"Preventive")</f>
        <v>Preventive</v>
      </c>
      <c r="I194" s="3" t="str">
        <f>IFERROR(__xludf.DUMMYFUNCTION("""COMPUTED_VALUE"""),"MCB trip/Power upnormal")</f>
        <v>MCB trip/Power upnormal</v>
      </c>
      <c r="J194" s="3" t="str">
        <f>IFERROR(__xludf.DUMMYFUNCTION("""COMPUTED_VALUE"""),"On Progress")</f>
        <v>On Progress</v>
      </c>
      <c r="K194" s="27">
        <f>IFERROR(__xludf.DUMMYFUNCTION("""COMPUTED_VALUE"""),46009.0)</f>
        <v>46009</v>
      </c>
      <c r="L194" s="27">
        <f>IFERROR(__xludf.DUMMYFUNCTION("""COMPUTED_VALUE"""),46009.0)</f>
        <v>46009</v>
      </c>
      <c r="M194" s="3" t="str">
        <f>IFERROR(__xludf.DUMMYFUNCTION("""COMPUTED_VALUE"""),"Done")</f>
        <v>Done</v>
      </c>
      <c r="N194" s="3" t="str">
        <f>IFERROR(__xludf.DUMMYFUNCTION("""COMPUTED_VALUE"""),"Backup Pemadaman")</f>
        <v>Backup Pemadaman</v>
      </c>
      <c r="O194" s="3" t="str">
        <f>IFERROR(VLOOKUP(C194,Sheet4!A194:F981,6,0),"")</f>
        <v/>
      </c>
      <c r="Q194" s="2" t="str">
        <f t="shared" si="1"/>
        <v>18</v>
      </c>
    </row>
    <row r="195">
      <c r="A195" s="3" t="str">
        <f>IFERROR(__xludf.DUMMYFUNCTION("""COMPUTED_VALUE"""),"Standby On Call")</f>
        <v>Standby On Call</v>
      </c>
      <c r="B195" s="3" t="str">
        <f>IFERROR(__xludf.DUMMYFUNCTION("""COMPUTED_VALUE"""),"P3")</f>
        <v>P3</v>
      </c>
      <c r="C195" s="3"/>
      <c r="D195" s="3" t="str">
        <f>IFERROR(__xludf.DUMMYFUNCTION("""COMPUTED_VALUE"""),"Taklim")</f>
        <v>Taklim</v>
      </c>
      <c r="E195" s="3" t="str">
        <f>IFERROR(__xludf.DUMMYFUNCTION("""COMPUTED_VALUE"""),"MBP")</f>
        <v>MBP</v>
      </c>
      <c r="F195" s="3" t="str">
        <f>IFERROR(__xludf.DUMMYFUNCTION("""COMPUTED_VALUE"""),"Winda Sokenda")</f>
        <v>Winda Sokenda</v>
      </c>
      <c r="G195" s="3" t="str">
        <f>IFERROR(__xludf.DUMMYFUNCTION("""COMPUTED_VALUE"""),"Barito Raya")</f>
        <v>Barito Raya</v>
      </c>
      <c r="H195" s="3" t="str">
        <f>IFERROR(__xludf.DUMMYFUNCTION("""COMPUTED_VALUE"""),"Standby")</f>
        <v>Standby</v>
      </c>
      <c r="I195" s="3" t="str">
        <f>IFERROR(__xludf.DUMMYFUNCTION("""COMPUTED_VALUE"""),"Standby On Call")</f>
        <v>Standby On Call</v>
      </c>
      <c r="J195" s="3"/>
      <c r="K195" s="27">
        <f>IFERROR(__xludf.DUMMYFUNCTION("""COMPUTED_VALUE"""),46009.0)</f>
        <v>46009</v>
      </c>
      <c r="L195" s="27">
        <f>IFERROR(__xludf.DUMMYFUNCTION("""COMPUTED_VALUE"""),46009.0)</f>
        <v>46009</v>
      </c>
      <c r="M195" s="3"/>
      <c r="N195" s="3"/>
      <c r="O195" s="3" t="str">
        <f>IFERROR(VLOOKUP(C195,Sheet4!A195:F982,6,0),"")</f>
        <v/>
      </c>
      <c r="Q195" s="2" t="str">
        <f t="shared" si="1"/>
        <v>18</v>
      </c>
    </row>
    <row r="196">
      <c r="A196" s="3" t="str">
        <f>IFERROR(__xludf.DUMMYFUNCTION("""COMPUTED_VALUE"""),"Standby On Call")</f>
        <v>Standby On Call</v>
      </c>
      <c r="B196" s="3" t="str">
        <f>IFERROR(__xludf.DUMMYFUNCTION("""COMPUTED_VALUE"""),"P3")</f>
        <v>P3</v>
      </c>
      <c r="C196" s="3"/>
      <c r="D196" s="3" t="str">
        <f>IFERROR(__xludf.DUMMYFUNCTION("""COMPUTED_VALUE"""),"Rio ardinata")</f>
        <v>Rio ardinata</v>
      </c>
      <c r="E196" s="3" t="str">
        <f>IFERROR(__xludf.DUMMYFUNCTION("""COMPUTED_VALUE"""),"MBP")</f>
        <v>MBP</v>
      </c>
      <c r="F196" s="3" t="str">
        <f>IFERROR(__xludf.DUMMYFUNCTION("""COMPUTED_VALUE"""),"Winda Sokenda")</f>
        <v>Winda Sokenda</v>
      </c>
      <c r="G196" s="3" t="str">
        <f>IFERROR(__xludf.DUMMYFUNCTION("""COMPUTED_VALUE"""),"Barito Raya")</f>
        <v>Barito Raya</v>
      </c>
      <c r="H196" s="3" t="str">
        <f>IFERROR(__xludf.DUMMYFUNCTION("""COMPUTED_VALUE"""),"Standby")</f>
        <v>Standby</v>
      </c>
      <c r="I196" s="3" t="str">
        <f>IFERROR(__xludf.DUMMYFUNCTION("""COMPUTED_VALUE"""),"Standby On Call")</f>
        <v>Standby On Call</v>
      </c>
      <c r="J196" s="3"/>
      <c r="K196" s="27">
        <f>IFERROR(__xludf.DUMMYFUNCTION("""COMPUTED_VALUE"""),46009.0)</f>
        <v>46009</v>
      </c>
      <c r="L196" s="27">
        <f>IFERROR(__xludf.DUMMYFUNCTION("""COMPUTED_VALUE"""),46009.0)</f>
        <v>46009</v>
      </c>
      <c r="M196" s="3"/>
      <c r="N196" s="3"/>
      <c r="O196" s="3" t="str">
        <f>IFERROR(VLOOKUP(C196,Sheet4!A196:F983,6,0),"")</f>
        <v/>
      </c>
      <c r="Q196" s="2" t="str">
        <f t="shared" si="1"/>
        <v>18</v>
      </c>
    </row>
    <row r="197">
      <c r="A197" s="3" t="str">
        <f>IFERROR(__xludf.DUMMYFUNCTION("""COMPUTED_VALUE"""),"Pengecekan Power")</f>
        <v>Pengecekan Power</v>
      </c>
      <c r="B197" s="3" t="str">
        <f>IFERROR(__xludf.DUMMYFUNCTION("""COMPUTED_VALUE"""),"P1")</f>
        <v>P1</v>
      </c>
      <c r="C197" s="3" t="str">
        <f>IFERROR(__xludf.DUMMYFUNCTION("""COMPUTED_VALUE"""),"PRC225")</f>
        <v>PRC225</v>
      </c>
      <c r="D197" s="3" t="str">
        <f>IFERROR(__xludf.DUMMYFUNCTION("""COMPUTED_VALUE"""),"Ahmad Muzakir")</f>
        <v>Ahmad Muzakir</v>
      </c>
      <c r="E197" s="3" t="str">
        <f>IFERROR(__xludf.DUMMYFUNCTION("""COMPUTED_VALUE"""),"MBP")</f>
        <v>MBP</v>
      </c>
      <c r="F197" s="3" t="str">
        <f>IFERROR(__xludf.DUMMYFUNCTION("""COMPUTED_VALUE"""),"Winda Sokenda")</f>
        <v>Winda Sokenda</v>
      </c>
      <c r="G197" s="3" t="str">
        <f>IFERROR(__xludf.DUMMYFUNCTION("""COMPUTED_VALUE"""),"Barito Raya")</f>
        <v>Barito Raya</v>
      </c>
      <c r="H197" s="3" t="str">
        <f>IFERROR(__xludf.DUMMYFUNCTION("""COMPUTED_VALUE"""),"Preventive")</f>
        <v>Preventive</v>
      </c>
      <c r="I197" s="3" t="str">
        <f>IFERROR(__xludf.DUMMYFUNCTION("""COMPUTED_VALUE"""),"MCB trip/Power upnormal")</f>
        <v>MCB trip/Power upnormal</v>
      </c>
      <c r="J197" s="3" t="str">
        <f>IFERROR(__xludf.DUMMYFUNCTION("""COMPUTED_VALUE"""),"On Progress")</f>
        <v>On Progress</v>
      </c>
      <c r="K197" s="27">
        <f>IFERROR(__xludf.DUMMYFUNCTION("""COMPUTED_VALUE"""),46009.0)</f>
        <v>46009</v>
      </c>
      <c r="L197" s="27">
        <f>IFERROR(__xludf.DUMMYFUNCTION("""COMPUTED_VALUE"""),46009.0)</f>
        <v>46009</v>
      </c>
      <c r="M197" s="3" t="str">
        <f>IFERROR(__xludf.DUMMYFUNCTION("""COMPUTED_VALUE"""),"Done")</f>
        <v>Done</v>
      </c>
      <c r="N197" s="3"/>
      <c r="O197" s="3">
        <f>IFERROR(VLOOKUP(C197,Sheet4!A197:F984,6,0),"")</f>
        <v>11457831</v>
      </c>
      <c r="Q197" s="2" t="str">
        <f t="shared" si="1"/>
        <v>18</v>
      </c>
    </row>
    <row r="198">
      <c r="A198" s="3" t="str">
        <f>IFERROR(__xludf.DUMMYFUNCTION("""COMPUTED_VALUE"""),"Standby On Call")</f>
        <v>Standby On Call</v>
      </c>
      <c r="B198" s="3" t="str">
        <f>IFERROR(__xludf.DUMMYFUNCTION("""COMPUTED_VALUE"""),"P3")</f>
        <v>P3</v>
      </c>
      <c r="C198" s="3"/>
      <c r="D198" s="3" t="str">
        <f>IFERROR(__xludf.DUMMYFUNCTION("""COMPUTED_VALUE"""),"Pujianto")</f>
        <v>Pujianto</v>
      </c>
      <c r="E198" s="3" t="str">
        <f>IFERROR(__xludf.DUMMYFUNCTION("""COMPUTED_VALUE"""),"MBP")</f>
        <v>MBP</v>
      </c>
      <c r="F198" s="3" t="str">
        <f>IFERROR(__xludf.DUMMYFUNCTION("""COMPUTED_VALUE"""),"Winda Sokenda")</f>
        <v>Winda Sokenda</v>
      </c>
      <c r="G198" s="3" t="str">
        <f>IFERROR(__xludf.DUMMYFUNCTION("""COMPUTED_VALUE"""),"Barito Raya")</f>
        <v>Barito Raya</v>
      </c>
      <c r="H198" s="3" t="str">
        <f>IFERROR(__xludf.DUMMYFUNCTION("""COMPUTED_VALUE"""),"Standby")</f>
        <v>Standby</v>
      </c>
      <c r="I198" s="3" t="str">
        <f>IFERROR(__xludf.DUMMYFUNCTION("""COMPUTED_VALUE"""),"Standby On Call")</f>
        <v>Standby On Call</v>
      </c>
      <c r="J198" s="3"/>
      <c r="K198" s="27">
        <f>IFERROR(__xludf.DUMMYFUNCTION("""COMPUTED_VALUE"""),46009.0)</f>
        <v>46009</v>
      </c>
      <c r="L198" s="27">
        <f>IFERROR(__xludf.DUMMYFUNCTION("""COMPUTED_VALUE"""),46009.0)</f>
        <v>46009</v>
      </c>
      <c r="M198" s="3"/>
      <c r="N198" s="3"/>
      <c r="O198" s="3" t="str">
        <f>IFERROR(VLOOKUP(C198,Sheet4!A198:F985,6,0),"")</f>
        <v/>
      </c>
      <c r="Q198" s="2" t="str">
        <f t="shared" si="1"/>
        <v>18</v>
      </c>
    </row>
    <row r="199">
      <c r="A199" s="3" t="str">
        <f>IFERROR(__xludf.DUMMYFUNCTION("""COMPUTED_VALUE"""),"Standby On Call")</f>
        <v>Standby On Call</v>
      </c>
      <c r="B199" s="3" t="str">
        <f>IFERROR(__xludf.DUMMYFUNCTION("""COMPUTED_VALUE"""),"P3")</f>
        <v>P3</v>
      </c>
      <c r="C199" s="3"/>
      <c r="D199" s="3" t="str">
        <f>IFERROR(__xludf.DUMMYFUNCTION("""COMPUTED_VALUE"""),"Alfi Syahri")</f>
        <v>Alfi Syahri</v>
      </c>
      <c r="E199" s="3" t="str">
        <f>IFERROR(__xludf.DUMMYFUNCTION("""COMPUTED_VALUE"""),"CME")</f>
        <v>CME</v>
      </c>
      <c r="F199" s="3" t="str">
        <f>IFERROR(__xludf.DUMMYFUNCTION("""COMPUTED_VALUE"""),"Winda Sokenda")</f>
        <v>Winda Sokenda</v>
      </c>
      <c r="G199" s="3" t="str">
        <f>IFERROR(__xludf.DUMMYFUNCTION("""COMPUTED_VALUE"""),"Barito Raya")</f>
        <v>Barito Raya</v>
      </c>
      <c r="H199" s="3" t="str">
        <f>IFERROR(__xludf.DUMMYFUNCTION("""COMPUTED_VALUE"""),"Standby")</f>
        <v>Standby</v>
      </c>
      <c r="I199" s="3" t="str">
        <f>IFERROR(__xludf.DUMMYFUNCTION("""COMPUTED_VALUE"""),"Standby On Call")</f>
        <v>Standby On Call</v>
      </c>
      <c r="J199" s="3"/>
      <c r="K199" s="27">
        <f>IFERROR(__xludf.DUMMYFUNCTION("""COMPUTED_VALUE"""),46009.0)</f>
        <v>46009</v>
      </c>
      <c r="L199" s="27">
        <f>IFERROR(__xludf.DUMMYFUNCTION("""COMPUTED_VALUE"""),46009.0)</f>
        <v>46009</v>
      </c>
      <c r="M199" s="3"/>
      <c r="N199" s="3"/>
      <c r="O199" s="3" t="str">
        <f>IFERROR(VLOOKUP(C199,Sheet4!A199:F986,6,0),"")</f>
        <v/>
      </c>
      <c r="Q199" s="2" t="str">
        <f t="shared" si="1"/>
        <v>18</v>
      </c>
    </row>
    <row r="200">
      <c r="A200" s="3" t="str">
        <f>IFERROR(__xludf.DUMMYFUNCTION("""COMPUTED_VALUE"""),"Cell down")</f>
        <v>Cell down</v>
      </c>
      <c r="B200" s="3" t="str">
        <f>IFERROR(__xludf.DUMMYFUNCTION("""COMPUTED_VALUE"""),"P1")</f>
        <v>P1</v>
      </c>
      <c r="C200" s="3" t="str">
        <f>IFERROR(__xludf.DUMMYFUNCTION("""COMPUTED_VALUE"""),"PLK247")</f>
        <v>PLK247</v>
      </c>
      <c r="D200" s="3" t="str">
        <f>IFERROR(__xludf.DUMMYFUNCTION("""COMPUTED_VALUE"""),"Adi Bowo Santoso")</f>
        <v>Adi Bowo Santoso</v>
      </c>
      <c r="E200" s="3" t="str">
        <f>IFERROR(__xludf.DUMMYFUNCTION("""COMPUTED_VALUE"""),"TE")</f>
        <v>TE</v>
      </c>
      <c r="F200" s="3" t="str">
        <f>IFERROR(__xludf.DUMMYFUNCTION("""COMPUTED_VALUE"""),"Doni Damara")</f>
        <v>Doni Damara</v>
      </c>
      <c r="G200" s="3" t="str">
        <f>IFERROR(__xludf.DUMMYFUNCTION("""COMPUTED_VALUE"""),"Palangkaraya")</f>
        <v>Palangkaraya</v>
      </c>
      <c r="H200" s="3" t="str">
        <f>IFERROR(__xludf.DUMMYFUNCTION("""COMPUTED_VALUE"""),"Corrective")</f>
        <v>Corrective</v>
      </c>
      <c r="I200" s="3" t="str">
        <f>IFERROR(__xludf.DUMMYFUNCTION("""COMPUTED_VALUE"""),"Replace Optik,RRU/Soket Power/Replace GPS")</f>
        <v>Replace Optik,RRU/Soket Power/Replace GPS</v>
      </c>
      <c r="J200" s="3" t="str">
        <f>IFERROR(__xludf.DUMMYFUNCTION("""COMPUTED_VALUE"""),"On Progress")</f>
        <v>On Progress</v>
      </c>
      <c r="K200" s="27">
        <f>IFERROR(__xludf.DUMMYFUNCTION("""COMPUTED_VALUE"""),46009.0)</f>
        <v>46009</v>
      </c>
      <c r="L200" s="3"/>
      <c r="M200" s="3" t="str">
        <f>IFERROR(__xludf.DUMMYFUNCTION("""COMPUTED_VALUE"""),"Waiting Update")</f>
        <v>Waiting Update</v>
      </c>
      <c r="N200" s="3"/>
      <c r="O200" s="3">
        <f>IFERROR(VLOOKUP(C200,Sheet4!A200:F987,6,0),"")</f>
        <v>11391569</v>
      </c>
      <c r="Q200" s="2" t="str">
        <f t="shared" si="1"/>
        <v>18</v>
      </c>
    </row>
    <row r="201">
      <c r="A201" s="3" t="str">
        <f>IFERROR(__xludf.DUMMYFUNCTION("""COMPUTED_VALUE"""),"Cell down")</f>
        <v>Cell down</v>
      </c>
      <c r="B201" s="3" t="str">
        <f>IFERROR(__xludf.DUMMYFUNCTION("""COMPUTED_VALUE"""),"P1")</f>
        <v>P1</v>
      </c>
      <c r="C201" s="3" t="str">
        <f>IFERROR(__xludf.DUMMYFUNCTION("""COMPUTED_VALUE"""),"PLK247")</f>
        <v>PLK247</v>
      </c>
      <c r="D201" s="3" t="str">
        <f>IFERROR(__xludf.DUMMYFUNCTION("""COMPUTED_VALUE"""),"Oky Bangkit Pamungkas")</f>
        <v>Oky Bangkit Pamungkas</v>
      </c>
      <c r="E201" s="3" t="str">
        <f>IFERROR(__xludf.DUMMYFUNCTION("""COMPUTED_VALUE"""),"TE")</f>
        <v>TE</v>
      </c>
      <c r="F201" s="3" t="str">
        <f>IFERROR(__xludf.DUMMYFUNCTION("""COMPUTED_VALUE"""),"Doni Damara")</f>
        <v>Doni Damara</v>
      </c>
      <c r="G201" s="3" t="str">
        <f>IFERROR(__xludf.DUMMYFUNCTION("""COMPUTED_VALUE"""),"Palangkaraya")</f>
        <v>Palangkaraya</v>
      </c>
      <c r="H201" s="3" t="str">
        <f>IFERROR(__xludf.DUMMYFUNCTION("""COMPUTED_VALUE"""),"Corrective")</f>
        <v>Corrective</v>
      </c>
      <c r="I201" s="3" t="str">
        <f>IFERROR(__xludf.DUMMYFUNCTION("""COMPUTED_VALUE"""),"Replace Optik,RRU/Soket Power/Replace GPS")</f>
        <v>Replace Optik,RRU/Soket Power/Replace GPS</v>
      </c>
      <c r="J201" s="3" t="str">
        <f>IFERROR(__xludf.DUMMYFUNCTION("""COMPUTED_VALUE"""),"On Progress")</f>
        <v>On Progress</v>
      </c>
      <c r="K201" s="27">
        <f>IFERROR(__xludf.DUMMYFUNCTION("""COMPUTED_VALUE"""),46009.0)</f>
        <v>46009</v>
      </c>
      <c r="L201" s="3"/>
      <c r="M201" s="3" t="str">
        <f>IFERROR(__xludf.DUMMYFUNCTION("""COMPUTED_VALUE"""),"Waiting Update")</f>
        <v>Waiting Update</v>
      </c>
      <c r="N201" s="3"/>
      <c r="O201" s="3">
        <f>IFERROR(VLOOKUP(C201,Sheet4!A201:F988,6,0),"")</f>
        <v>11391569</v>
      </c>
      <c r="Q201" s="2" t="str">
        <f t="shared" si="1"/>
        <v>18</v>
      </c>
    </row>
    <row r="202">
      <c r="A202" s="3" t="str">
        <f>IFERROR(__xludf.DUMMYFUNCTION("""COMPUTED_VALUE"""),"Vswr")</f>
        <v>Vswr</v>
      </c>
      <c r="B202" s="3" t="str">
        <f>IFERROR(__xludf.DUMMYFUNCTION("""COMPUTED_VALUE"""),"P1")</f>
        <v>P1</v>
      </c>
      <c r="C202" s="3" t="str">
        <f>IFERROR(__xludf.DUMMYFUNCTION("""COMPUTED_VALUE"""),"PLK002")</f>
        <v>PLK002</v>
      </c>
      <c r="D202" s="3" t="str">
        <f>IFERROR(__xludf.DUMMYFUNCTION("""COMPUTED_VALUE"""),"Ahmad")</f>
        <v>Ahmad</v>
      </c>
      <c r="E202" s="3" t="str">
        <f>IFERROR(__xludf.DUMMYFUNCTION("""COMPUTED_VALUE"""),"TE")</f>
        <v>TE</v>
      </c>
      <c r="F202" s="3" t="str">
        <f>IFERROR(__xludf.DUMMYFUNCTION("""COMPUTED_VALUE"""),"Doni Damara")</f>
        <v>Doni Damara</v>
      </c>
      <c r="G202" s="3" t="str">
        <f>IFERROR(__xludf.DUMMYFUNCTION("""COMPUTED_VALUE"""),"Palangkaraya")</f>
        <v>Palangkaraya</v>
      </c>
      <c r="H202" s="3" t="str">
        <f>IFERROR(__xludf.DUMMYFUNCTION("""COMPUTED_VALUE"""),"Corrective")</f>
        <v>Corrective</v>
      </c>
      <c r="I202" s="3" t="str">
        <f>IFERROR(__xludf.DUMMYFUNCTION("""COMPUTED_VALUE"""),"Replace Jumper,antena/RRU")</f>
        <v>Replace Jumper,antena/RRU</v>
      </c>
      <c r="J202" s="3" t="str">
        <f>IFERROR(__xludf.DUMMYFUNCTION("""COMPUTED_VALUE"""),"On Progress")</f>
        <v>On Progress</v>
      </c>
      <c r="K202" s="27">
        <f>IFERROR(__xludf.DUMMYFUNCTION("""COMPUTED_VALUE"""),46009.0)</f>
        <v>46009</v>
      </c>
      <c r="L202" s="3"/>
      <c r="M202" s="3" t="str">
        <f>IFERROR(__xludf.DUMMYFUNCTION("""COMPUTED_VALUE"""),"Waiting Update")</f>
        <v>Waiting Update</v>
      </c>
      <c r="N202" s="3"/>
      <c r="O202" s="3">
        <f>IFERROR(VLOOKUP(C202,Sheet4!A202:F989,6,0),"")</f>
        <v>11388602</v>
      </c>
      <c r="Q202" s="2" t="str">
        <f t="shared" si="1"/>
        <v>18</v>
      </c>
    </row>
    <row r="203">
      <c r="A203" s="3" t="str">
        <f>IFERROR(__xludf.DUMMYFUNCTION("""COMPUTED_VALUE"""),"Cell down")</f>
        <v>Cell down</v>
      </c>
      <c r="B203" s="3" t="str">
        <f>IFERROR(__xludf.DUMMYFUNCTION("""COMPUTED_VALUE"""),"P1")</f>
        <v>P1</v>
      </c>
      <c r="C203" s="3" t="str">
        <f>IFERROR(__xludf.DUMMYFUNCTION("""COMPUTED_VALUE"""),"PLK240")</f>
        <v>PLK240</v>
      </c>
      <c r="D203" s="3" t="str">
        <f>IFERROR(__xludf.DUMMYFUNCTION("""COMPUTED_VALUE"""),"Jumadi")</f>
        <v>Jumadi</v>
      </c>
      <c r="E203" s="3" t="str">
        <f>IFERROR(__xludf.DUMMYFUNCTION("""COMPUTED_VALUE"""),"TE")</f>
        <v>TE</v>
      </c>
      <c r="F203" s="3" t="str">
        <f>IFERROR(__xludf.DUMMYFUNCTION("""COMPUTED_VALUE"""),"Doni Damara")</f>
        <v>Doni Damara</v>
      </c>
      <c r="G203" s="3" t="str">
        <f>IFERROR(__xludf.DUMMYFUNCTION("""COMPUTED_VALUE"""),"Palangkaraya")</f>
        <v>Palangkaraya</v>
      </c>
      <c r="H203" s="3" t="str">
        <f>IFERROR(__xludf.DUMMYFUNCTION("""COMPUTED_VALUE"""),"Corrective")</f>
        <v>Corrective</v>
      </c>
      <c r="I203" s="3" t="str">
        <f>IFERROR(__xludf.DUMMYFUNCTION("""COMPUTED_VALUE"""),"Replace Optik,RRU/Soket Power/Replace GPS")</f>
        <v>Replace Optik,RRU/Soket Power/Replace GPS</v>
      </c>
      <c r="J203" s="3" t="str">
        <f>IFERROR(__xludf.DUMMYFUNCTION("""COMPUTED_VALUE"""),"On Progress")</f>
        <v>On Progress</v>
      </c>
      <c r="K203" s="27">
        <f>IFERROR(__xludf.DUMMYFUNCTION("""COMPUTED_VALUE"""),46009.0)</f>
        <v>46009</v>
      </c>
      <c r="L203" s="3"/>
      <c r="M203" s="3" t="str">
        <f>IFERROR(__xludf.DUMMYFUNCTION("""COMPUTED_VALUE"""),"Waiting Update")</f>
        <v>Waiting Update</v>
      </c>
      <c r="N203" s="3"/>
      <c r="O203" s="3">
        <f>IFERROR(VLOOKUP(C203,Sheet4!A203:F990,6,0),"")</f>
        <v>11390138</v>
      </c>
      <c r="Q203" s="2" t="str">
        <f t="shared" si="1"/>
        <v>18</v>
      </c>
    </row>
    <row r="204">
      <c r="A204" s="3" t="str">
        <f>IFERROR(__xludf.DUMMYFUNCTION("""COMPUTED_VALUE"""),"Vswr")</f>
        <v>Vswr</v>
      </c>
      <c r="B204" s="3" t="str">
        <f>IFERROR(__xludf.DUMMYFUNCTION("""COMPUTED_VALUE"""),"P1")</f>
        <v>P1</v>
      </c>
      <c r="C204" s="3" t="str">
        <f>IFERROR(__xludf.DUMMYFUNCTION("""COMPUTED_VALUE"""),"PLK002")</f>
        <v>PLK002</v>
      </c>
      <c r="D204" s="3" t="str">
        <f>IFERROR(__xludf.DUMMYFUNCTION("""COMPUTED_VALUE"""),"james jimbris")</f>
        <v>james jimbris</v>
      </c>
      <c r="E204" s="3" t="str">
        <f>IFERROR(__xludf.DUMMYFUNCTION("""COMPUTED_VALUE"""),"TE")</f>
        <v>TE</v>
      </c>
      <c r="F204" s="3" t="str">
        <f>IFERROR(__xludf.DUMMYFUNCTION("""COMPUTED_VALUE"""),"Doni Damara")</f>
        <v>Doni Damara</v>
      </c>
      <c r="G204" s="3" t="str">
        <f>IFERROR(__xludf.DUMMYFUNCTION("""COMPUTED_VALUE"""),"Palangkaraya")</f>
        <v>Palangkaraya</v>
      </c>
      <c r="H204" s="3" t="str">
        <f>IFERROR(__xludf.DUMMYFUNCTION("""COMPUTED_VALUE"""),"Corrective")</f>
        <v>Corrective</v>
      </c>
      <c r="I204" s="3" t="str">
        <f>IFERROR(__xludf.DUMMYFUNCTION("""COMPUTED_VALUE"""),"Replace Jumper,antena/RRU")</f>
        <v>Replace Jumper,antena/RRU</v>
      </c>
      <c r="J204" s="3" t="str">
        <f>IFERROR(__xludf.DUMMYFUNCTION("""COMPUTED_VALUE"""),"On Progress")</f>
        <v>On Progress</v>
      </c>
      <c r="K204" s="27">
        <f>IFERROR(__xludf.DUMMYFUNCTION("""COMPUTED_VALUE"""),46009.0)</f>
        <v>46009</v>
      </c>
      <c r="L204" s="3"/>
      <c r="M204" s="3" t="str">
        <f>IFERROR(__xludf.DUMMYFUNCTION("""COMPUTED_VALUE"""),"Waiting Update")</f>
        <v>Waiting Update</v>
      </c>
      <c r="N204" s="3"/>
      <c r="O204" s="3">
        <f>IFERROR(VLOOKUP(C204,Sheet4!A204:F991,6,0),"")</f>
        <v>11388602</v>
      </c>
      <c r="Q204" s="2" t="str">
        <f t="shared" si="1"/>
        <v>18</v>
      </c>
    </row>
    <row r="205">
      <c r="A205" s="3" t="str">
        <f>IFERROR(__xludf.DUMMYFUNCTION("""COMPUTED_VALUE"""),"Add Sector RRU")</f>
        <v>Add Sector RRU</v>
      </c>
      <c r="B205" s="3" t="str">
        <f>IFERROR(__xludf.DUMMYFUNCTION("""COMPUTED_VALUE"""),"P2")</f>
        <v>P2</v>
      </c>
      <c r="C205" s="3" t="str">
        <f>IFERROR(__xludf.DUMMYFUNCTION("""COMPUTED_VALUE"""),"COH959")</f>
        <v>COH959</v>
      </c>
      <c r="D205" s="3" t="str">
        <f>IFERROR(__xludf.DUMMYFUNCTION("""COMPUTED_VALUE"""),"Ahmad Setiawan")</f>
        <v>Ahmad Setiawan</v>
      </c>
      <c r="E205" s="3" t="str">
        <f>IFERROR(__xludf.DUMMYFUNCTION("""COMPUTED_VALUE"""),"TE")</f>
        <v>TE</v>
      </c>
      <c r="F205" s="3" t="str">
        <f>IFERROR(__xludf.DUMMYFUNCTION("""COMPUTED_VALUE"""),"Doni Damara")</f>
        <v>Doni Damara</v>
      </c>
      <c r="G205" s="3" t="str">
        <f>IFERROR(__xludf.DUMMYFUNCTION("""COMPUTED_VALUE"""),"Palangkaraya")</f>
        <v>Palangkaraya</v>
      </c>
      <c r="H205" s="3" t="str">
        <f>IFERROR(__xludf.DUMMYFUNCTION("""COMPUTED_VALUE"""),"Corrective")</f>
        <v>Corrective</v>
      </c>
      <c r="I205" s="3" t="str">
        <f>IFERROR(__xludf.DUMMYFUNCTION("""COMPUTED_VALUE"""),"Add New Sector antena/rru")</f>
        <v>Add New Sector antena/rru</v>
      </c>
      <c r="J205" s="3" t="str">
        <f>IFERROR(__xludf.DUMMYFUNCTION("""COMPUTED_VALUE"""),"On Progress")</f>
        <v>On Progress</v>
      </c>
      <c r="K205" s="27">
        <f>IFERROR(__xludf.DUMMYFUNCTION("""COMPUTED_VALUE"""),46009.0)</f>
        <v>46009</v>
      </c>
      <c r="L205" s="3"/>
      <c r="M205" s="3" t="str">
        <f>IFERROR(__xludf.DUMMYFUNCTION("""COMPUTED_VALUE"""),"Waiting Update")</f>
        <v>Waiting Update</v>
      </c>
      <c r="N205" s="3"/>
      <c r="O205" s="3" t="str">
        <f>IFERROR(VLOOKUP(C205,Sheet4!A205:F992,6,0),"")</f>
        <v/>
      </c>
      <c r="Q205" s="2" t="str">
        <f t="shared" si="1"/>
        <v>18</v>
      </c>
    </row>
    <row r="206">
      <c r="A206" s="3" t="str">
        <f>IFERROR(__xludf.DUMMYFUNCTION("""COMPUTED_VALUE"""),"Add Sector RRU")</f>
        <v>Add Sector RRU</v>
      </c>
      <c r="B206" s="3" t="str">
        <f>IFERROR(__xludf.DUMMYFUNCTION("""COMPUTED_VALUE"""),"P2")</f>
        <v>P2</v>
      </c>
      <c r="C206" s="3" t="str">
        <f>IFERROR(__xludf.DUMMYFUNCTION("""COMPUTED_VALUE"""),"COH959")</f>
        <v>COH959</v>
      </c>
      <c r="D206" s="3" t="str">
        <f>IFERROR(__xludf.DUMMYFUNCTION("""COMPUTED_VALUE"""),"Fahmi")</f>
        <v>Fahmi</v>
      </c>
      <c r="E206" s="3" t="str">
        <f>IFERROR(__xludf.DUMMYFUNCTION("""COMPUTED_VALUE"""),"TE")</f>
        <v>TE</v>
      </c>
      <c r="F206" s="3" t="str">
        <f>IFERROR(__xludf.DUMMYFUNCTION("""COMPUTED_VALUE"""),"Doni Damara")</f>
        <v>Doni Damara</v>
      </c>
      <c r="G206" s="3" t="str">
        <f>IFERROR(__xludf.DUMMYFUNCTION("""COMPUTED_VALUE"""),"Palangkaraya")</f>
        <v>Palangkaraya</v>
      </c>
      <c r="H206" s="3" t="str">
        <f>IFERROR(__xludf.DUMMYFUNCTION("""COMPUTED_VALUE"""),"Corrective")</f>
        <v>Corrective</v>
      </c>
      <c r="I206" s="3" t="str">
        <f>IFERROR(__xludf.DUMMYFUNCTION("""COMPUTED_VALUE"""),"Add New Sector antena/rru")</f>
        <v>Add New Sector antena/rru</v>
      </c>
      <c r="J206" s="3" t="str">
        <f>IFERROR(__xludf.DUMMYFUNCTION("""COMPUTED_VALUE"""),"On Progress")</f>
        <v>On Progress</v>
      </c>
      <c r="K206" s="27">
        <f>IFERROR(__xludf.DUMMYFUNCTION("""COMPUTED_VALUE"""),46009.0)</f>
        <v>46009</v>
      </c>
      <c r="L206" s="3"/>
      <c r="M206" s="3" t="str">
        <f>IFERROR(__xludf.DUMMYFUNCTION("""COMPUTED_VALUE"""),"Waiting Update")</f>
        <v>Waiting Update</v>
      </c>
      <c r="N206" s="3"/>
      <c r="O206" s="3" t="str">
        <f>IFERROR(VLOOKUP(C206,Sheet4!A206:F993,6,0),"")</f>
        <v/>
      </c>
      <c r="Q206" s="2" t="str">
        <f t="shared" si="1"/>
        <v>18</v>
      </c>
    </row>
    <row r="207">
      <c r="A207" s="3" t="str">
        <f>IFERROR(__xludf.DUMMYFUNCTION("""COMPUTED_VALUE"""),"Vswr")</f>
        <v>Vswr</v>
      </c>
      <c r="B207" s="3" t="str">
        <f>IFERROR(__xludf.DUMMYFUNCTION("""COMPUTED_VALUE"""),"P1")</f>
        <v>P1</v>
      </c>
      <c r="C207" s="3" t="str">
        <f>IFERROR(__xludf.DUMMYFUNCTION("""COMPUTED_VALUE"""),"KKN011")</f>
        <v>KKN011</v>
      </c>
      <c r="D207" s="3" t="str">
        <f>IFERROR(__xludf.DUMMYFUNCTION("""COMPUTED_VALUE"""),"Leonard")</f>
        <v>Leonard</v>
      </c>
      <c r="E207" s="3" t="str">
        <f>IFERROR(__xludf.DUMMYFUNCTION("""COMPUTED_VALUE"""),"TE")</f>
        <v>TE</v>
      </c>
      <c r="F207" s="3" t="str">
        <f>IFERROR(__xludf.DUMMYFUNCTION("""COMPUTED_VALUE"""),"Doni Damara")</f>
        <v>Doni Damara</v>
      </c>
      <c r="G207" s="3" t="str">
        <f>IFERROR(__xludf.DUMMYFUNCTION("""COMPUTED_VALUE"""),"Palangkaraya")</f>
        <v>Palangkaraya</v>
      </c>
      <c r="H207" s="3" t="str">
        <f>IFERROR(__xludf.DUMMYFUNCTION("""COMPUTED_VALUE"""),"Corrective")</f>
        <v>Corrective</v>
      </c>
      <c r="I207" s="3" t="str">
        <f>IFERROR(__xludf.DUMMYFUNCTION("""COMPUTED_VALUE"""),"Replace Jumper,antena/RRU")</f>
        <v>Replace Jumper,antena/RRU</v>
      </c>
      <c r="J207" s="3" t="str">
        <f>IFERROR(__xludf.DUMMYFUNCTION("""COMPUTED_VALUE"""),"On Progress")</f>
        <v>On Progress</v>
      </c>
      <c r="K207" s="27">
        <f>IFERROR(__xludf.DUMMYFUNCTION("""COMPUTED_VALUE"""),46009.0)</f>
        <v>46009</v>
      </c>
      <c r="L207" s="3"/>
      <c r="M207" s="3" t="str">
        <f>IFERROR(__xludf.DUMMYFUNCTION("""COMPUTED_VALUE"""),"Waiting Update")</f>
        <v>Waiting Update</v>
      </c>
      <c r="N207" s="3"/>
      <c r="O207" s="3" t="str">
        <f>IFERROR(VLOOKUP(C207,Sheet4!A207:F994,6,0),"")</f>
        <v/>
      </c>
      <c r="Q207" s="2" t="str">
        <f t="shared" si="1"/>
        <v>18</v>
      </c>
    </row>
    <row r="208">
      <c r="A208" s="3" t="str">
        <f>IFERROR(__xludf.DUMMYFUNCTION("""COMPUTED_VALUE"""),"Vswr")</f>
        <v>Vswr</v>
      </c>
      <c r="B208" s="3" t="str">
        <f>IFERROR(__xludf.DUMMYFUNCTION("""COMPUTED_VALUE"""),"P1")</f>
        <v>P1</v>
      </c>
      <c r="C208" s="3" t="str">
        <f>IFERROR(__xludf.DUMMYFUNCTION("""COMPUTED_VALUE"""),"KKN011")</f>
        <v>KKN011</v>
      </c>
      <c r="D208" s="3" t="str">
        <f>IFERROR(__xludf.DUMMYFUNCTION("""COMPUTED_VALUE"""),"Aulia Rahman")</f>
        <v>Aulia Rahman</v>
      </c>
      <c r="E208" s="3" t="str">
        <f>IFERROR(__xludf.DUMMYFUNCTION("""COMPUTED_VALUE"""),"TE")</f>
        <v>TE</v>
      </c>
      <c r="F208" s="3" t="str">
        <f>IFERROR(__xludf.DUMMYFUNCTION("""COMPUTED_VALUE"""),"Doni Damara")</f>
        <v>Doni Damara</v>
      </c>
      <c r="G208" s="3" t="str">
        <f>IFERROR(__xludf.DUMMYFUNCTION("""COMPUTED_VALUE"""),"Palangkaraya")</f>
        <v>Palangkaraya</v>
      </c>
      <c r="H208" s="3" t="str">
        <f>IFERROR(__xludf.DUMMYFUNCTION("""COMPUTED_VALUE"""),"Corrective")</f>
        <v>Corrective</v>
      </c>
      <c r="I208" s="3" t="str">
        <f>IFERROR(__xludf.DUMMYFUNCTION("""COMPUTED_VALUE"""),"Replace Jumper,antena/RRU")</f>
        <v>Replace Jumper,antena/RRU</v>
      </c>
      <c r="J208" s="3" t="str">
        <f>IFERROR(__xludf.DUMMYFUNCTION("""COMPUTED_VALUE"""),"On Progress")</f>
        <v>On Progress</v>
      </c>
      <c r="K208" s="27">
        <f>IFERROR(__xludf.DUMMYFUNCTION("""COMPUTED_VALUE"""),46009.0)</f>
        <v>46009</v>
      </c>
      <c r="L208" s="3"/>
      <c r="M208" s="3" t="str">
        <f>IFERROR(__xludf.DUMMYFUNCTION("""COMPUTED_VALUE"""),"Waiting Update")</f>
        <v>Waiting Update</v>
      </c>
      <c r="N208" s="3"/>
      <c r="O208" s="3" t="str">
        <f>IFERROR(VLOOKUP(C208,Sheet4!A208:F995,6,0),"")</f>
        <v/>
      </c>
      <c r="Q208" s="2" t="str">
        <f t="shared" si="1"/>
        <v>18</v>
      </c>
    </row>
    <row r="209">
      <c r="A209" s="3" t="str">
        <f>IFERROR(__xludf.DUMMYFUNCTION("""COMPUTED_VALUE"""),"Pengecekan battrey")</f>
        <v>Pengecekan battrey</v>
      </c>
      <c r="B209" s="3" t="str">
        <f>IFERROR(__xludf.DUMMYFUNCTION("""COMPUTED_VALUE"""),"P2")</f>
        <v>P2</v>
      </c>
      <c r="C209" s="3" t="str">
        <f>IFERROR(__xludf.DUMMYFUNCTION("""COMPUTED_VALUE"""),"PPS026")</f>
        <v>PPS026</v>
      </c>
      <c r="D209" s="3" t="str">
        <f>IFERROR(__xludf.DUMMYFUNCTION("""COMPUTED_VALUE"""),"Muhamad Rayhan")</f>
        <v>Muhamad Rayhan</v>
      </c>
      <c r="E209" s="3" t="str">
        <f>IFERROR(__xludf.DUMMYFUNCTION("""COMPUTED_VALUE"""),"TE")</f>
        <v>TE</v>
      </c>
      <c r="F209" s="3" t="str">
        <f>IFERROR(__xludf.DUMMYFUNCTION("""COMPUTED_VALUE"""),"Doni Damara")</f>
        <v>Doni Damara</v>
      </c>
      <c r="G209" s="3" t="str">
        <f>IFERROR(__xludf.DUMMYFUNCTION("""COMPUTED_VALUE"""),"Palangkaraya")</f>
        <v>Palangkaraya</v>
      </c>
      <c r="H209" s="3" t="str">
        <f>IFERROR(__xludf.DUMMYFUNCTION("""COMPUTED_VALUE"""),"Preventive")</f>
        <v>Preventive</v>
      </c>
      <c r="I209" s="3" t="str">
        <f>IFERROR(__xludf.DUMMYFUNCTION("""COMPUTED_VALUE"""),"Pengukuran dan pengambilan data log serta input Gdoc BBT")</f>
        <v>Pengukuran dan pengambilan data log serta input Gdoc BBT</v>
      </c>
      <c r="J209" s="3" t="str">
        <f>IFERROR(__xludf.DUMMYFUNCTION("""COMPUTED_VALUE"""),"On Progress")</f>
        <v>On Progress</v>
      </c>
      <c r="K209" s="27">
        <f>IFERROR(__xludf.DUMMYFUNCTION("""COMPUTED_VALUE"""),46009.0)</f>
        <v>46009</v>
      </c>
      <c r="L209" s="3"/>
      <c r="M209" s="3" t="str">
        <f>IFERROR(__xludf.DUMMYFUNCTION("""COMPUTED_VALUE"""),"Waiting Update")</f>
        <v>Waiting Update</v>
      </c>
      <c r="N209" s="3"/>
      <c r="O209" s="3">
        <f>IFERROR(VLOOKUP(C209,Sheet4!A209:F996,6,0),"")</f>
        <v>11415421</v>
      </c>
      <c r="Q209" s="2" t="str">
        <f t="shared" si="1"/>
        <v>18</v>
      </c>
    </row>
    <row r="210">
      <c r="A210" s="3" t="str">
        <f>IFERROR(__xludf.DUMMYFUNCTION("""COMPUTED_VALUE"""),"Pengecekan battrey")</f>
        <v>Pengecekan battrey</v>
      </c>
      <c r="B210" s="3" t="str">
        <f>IFERROR(__xludf.DUMMYFUNCTION("""COMPUTED_VALUE"""),"P2")</f>
        <v>P2</v>
      </c>
      <c r="C210" s="3" t="str">
        <f>IFERROR(__xludf.DUMMYFUNCTION("""COMPUTED_VALUE"""),"PPS054")</f>
        <v>PPS054</v>
      </c>
      <c r="D210" s="3" t="str">
        <f>IFERROR(__xludf.DUMMYFUNCTION("""COMPUTED_VALUE"""),"Yahya Muhamad")</f>
        <v>Yahya Muhamad</v>
      </c>
      <c r="E210" s="3" t="str">
        <f>IFERROR(__xludf.DUMMYFUNCTION("""COMPUTED_VALUE"""),"TE")</f>
        <v>TE</v>
      </c>
      <c r="F210" s="3" t="str">
        <f>IFERROR(__xludf.DUMMYFUNCTION("""COMPUTED_VALUE"""),"Doni Damara")</f>
        <v>Doni Damara</v>
      </c>
      <c r="G210" s="3" t="str">
        <f>IFERROR(__xludf.DUMMYFUNCTION("""COMPUTED_VALUE"""),"Palangkaraya")</f>
        <v>Palangkaraya</v>
      </c>
      <c r="H210" s="3" t="str">
        <f>IFERROR(__xludf.DUMMYFUNCTION("""COMPUTED_VALUE"""),"Preventive")</f>
        <v>Preventive</v>
      </c>
      <c r="I210" s="3" t="str">
        <f>IFERROR(__xludf.DUMMYFUNCTION("""COMPUTED_VALUE"""),"Pengukuran dan pengambilan data log serta input Gdoc BBT")</f>
        <v>Pengukuran dan pengambilan data log serta input Gdoc BBT</v>
      </c>
      <c r="J210" s="3" t="str">
        <f>IFERROR(__xludf.DUMMYFUNCTION("""COMPUTED_VALUE"""),"On Progress")</f>
        <v>On Progress</v>
      </c>
      <c r="K210" s="27">
        <f>IFERROR(__xludf.DUMMYFUNCTION("""COMPUTED_VALUE"""),46009.0)</f>
        <v>46009</v>
      </c>
      <c r="L210" s="3"/>
      <c r="M210" s="3" t="str">
        <f>IFERROR(__xludf.DUMMYFUNCTION("""COMPUTED_VALUE"""),"Waiting Update")</f>
        <v>Waiting Update</v>
      </c>
      <c r="N210" s="3"/>
      <c r="O210" s="3">
        <f>IFERROR(VLOOKUP(C210,Sheet4!A210:F997,6,0),"")</f>
        <v>11420639</v>
      </c>
      <c r="Q210" s="2" t="str">
        <f t="shared" si="1"/>
        <v>18</v>
      </c>
    </row>
    <row r="211">
      <c r="A211" s="3" t="str">
        <f>IFERROR(__xludf.DUMMYFUNCTION("""COMPUTED_VALUE"""),"Cell down")</f>
        <v>Cell down</v>
      </c>
      <c r="B211" s="3" t="str">
        <f>IFERROR(__xludf.DUMMYFUNCTION("""COMPUTED_VALUE"""),"P1")</f>
        <v>P1</v>
      </c>
      <c r="C211" s="3" t="str">
        <f>IFERROR(__xludf.DUMMYFUNCTION("""COMPUTED_VALUE"""),"KSN015")</f>
        <v>KSN015</v>
      </c>
      <c r="D211" s="3" t="str">
        <f>IFERROR(__xludf.DUMMYFUNCTION("""COMPUTED_VALUE"""),"Muhammad Mukhlis")</f>
        <v>Muhammad Mukhlis</v>
      </c>
      <c r="E211" s="3" t="str">
        <f>IFERROR(__xludf.DUMMYFUNCTION("""COMPUTED_VALUE"""),"TE")</f>
        <v>TE</v>
      </c>
      <c r="F211" s="3" t="str">
        <f>IFERROR(__xludf.DUMMYFUNCTION("""COMPUTED_VALUE"""),"Doni Damara")</f>
        <v>Doni Damara</v>
      </c>
      <c r="G211" s="3" t="str">
        <f>IFERROR(__xludf.DUMMYFUNCTION("""COMPUTED_VALUE"""),"Palangkaraya")</f>
        <v>Palangkaraya</v>
      </c>
      <c r="H211" s="3" t="str">
        <f>IFERROR(__xludf.DUMMYFUNCTION("""COMPUTED_VALUE"""),"Corrective")</f>
        <v>Corrective</v>
      </c>
      <c r="I211" s="3" t="str">
        <f>IFERROR(__xludf.DUMMYFUNCTION("""COMPUTED_VALUE"""),"Replace Optik,RRU/Soket Power/Replace GPS")</f>
        <v>Replace Optik,RRU/Soket Power/Replace GPS</v>
      </c>
      <c r="J211" s="3" t="str">
        <f>IFERROR(__xludf.DUMMYFUNCTION("""COMPUTED_VALUE"""),"On Progress")</f>
        <v>On Progress</v>
      </c>
      <c r="K211" s="27">
        <f>IFERROR(__xludf.DUMMYFUNCTION("""COMPUTED_VALUE"""),46009.0)</f>
        <v>46009</v>
      </c>
      <c r="L211" s="3"/>
      <c r="M211" s="3" t="str">
        <f>IFERROR(__xludf.DUMMYFUNCTION("""COMPUTED_VALUE"""),"Waiting Update")</f>
        <v>Waiting Update</v>
      </c>
      <c r="N211" s="3"/>
      <c r="O211" s="3">
        <f>IFERROR(VLOOKUP(C211,Sheet4!A211:F998,6,0),"")</f>
        <v>11321067</v>
      </c>
      <c r="Q211" s="2" t="str">
        <f t="shared" si="1"/>
        <v>18</v>
      </c>
    </row>
    <row r="212">
      <c r="A212" s="3" t="str">
        <f>IFERROR(__xludf.DUMMYFUNCTION("""COMPUTED_VALUE"""),"Cell down")</f>
        <v>Cell down</v>
      </c>
      <c r="B212" s="3" t="str">
        <f>IFERROR(__xludf.DUMMYFUNCTION("""COMPUTED_VALUE"""),"P1")</f>
        <v>P1</v>
      </c>
      <c r="C212" s="3" t="str">
        <f>IFERROR(__xludf.DUMMYFUNCTION("""COMPUTED_VALUE"""),"KSN021")</f>
        <v>KSN021</v>
      </c>
      <c r="D212" s="3" t="str">
        <f>IFERROR(__xludf.DUMMYFUNCTION("""COMPUTED_VALUE"""),"Muhammad Mukti")</f>
        <v>Muhammad Mukti</v>
      </c>
      <c r="E212" s="3" t="str">
        <f>IFERROR(__xludf.DUMMYFUNCTION("""COMPUTED_VALUE"""),"TE")</f>
        <v>TE</v>
      </c>
      <c r="F212" s="3" t="str">
        <f>IFERROR(__xludf.DUMMYFUNCTION("""COMPUTED_VALUE"""),"Doni Damara")</f>
        <v>Doni Damara</v>
      </c>
      <c r="G212" s="3" t="str">
        <f>IFERROR(__xludf.DUMMYFUNCTION("""COMPUTED_VALUE"""),"Palangkaraya")</f>
        <v>Palangkaraya</v>
      </c>
      <c r="H212" s="3" t="str">
        <f>IFERROR(__xludf.DUMMYFUNCTION("""COMPUTED_VALUE"""),"Corrective")</f>
        <v>Corrective</v>
      </c>
      <c r="I212" s="3" t="str">
        <f>IFERROR(__xludf.DUMMYFUNCTION("""COMPUTED_VALUE"""),"Replace Optik,RRU/Soket Power/Replace GPS")</f>
        <v>Replace Optik,RRU/Soket Power/Replace GPS</v>
      </c>
      <c r="J212" s="3" t="str">
        <f>IFERROR(__xludf.DUMMYFUNCTION("""COMPUTED_VALUE"""),"On Progress")</f>
        <v>On Progress</v>
      </c>
      <c r="K212" s="27">
        <f>IFERROR(__xludf.DUMMYFUNCTION("""COMPUTED_VALUE"""),46009.0)</f>
        <v>46009</v>
      </c>
      <c r="L212" s="3"/>
      <c r="M212" s="3" t="str">
        <f>IFERROR(__xludf.DUMMYFUNCTION("""COMPUTED_VALUE"""),"Waiting Update")</f>
        <v>Waiting Update</v>
      </c>
      <c r="N212" s="3"/>
      <c r="O212" s="3">
        <f>IFERROR(VLOOKUP(C212,Sheet4!A212:F999,6,0),"")</f>
        <v>11343026</v>
      </c>
      <c r="Q212" s="2" t="str">
        <f t="shared" si="1"/>
        <v>18</v>
      </c>
    </row>
    <row r="213">
      <c r="A213" s="3" t="str">
        <f>IFERROR(__xludf.DUMMYFUNCTION("""COMPUTED_VALUE"""),"On Leave")</f>
        <v>On Leave</v>
      </c>
      <c r="B213" s="3" t="str">
        <f>IFERROR(__xludf.DUMMYFUNCTION("""COMPUTED_VALUE"""),"P3")</f>
        <v>P3</v>
      </c>
      <c r="C213" s="3"/>
      <c r="D213" s="3" t="str">
        <f>IFERROR(__xludf.DUMMYFUNCTION("""COMPUTED_VALUE"""),"melky.O.Tulangow")</f>
        <v>melky.O.Tulangow</v>
      </c>
      <c r="E213" s="3" t="str">
        <f>IFERROR(__xludf.DUMMYFUNCTION("""COMPUTED_VALUE"""),"TE")</f>
        <v>TE</v>
      </c>
      <c r="F213" s="3" t="str">
        <f>IFERROR(__xludf.DUMMYFUNCTION("""COMPUTED_VALUE"""),"Doni Damara")</f>
        <v>Doni Damara</v>
      </c>
      <c r="G213" s="3" t="str">
        <f>IFERROR(__xludf.DUMMYFUNCTION("""COMPUTED_VALUE"""),"Palangkaraya")</f>
        <v>Palangkaraya</v>
      </c>
      <c r="H213" s="3" t="str">
        <f>IFERROR(__xludf.DUMMYFUNCTION("""COMPUTED_VALUE"""),"On Leave")</f>
        <v>On Leave</v>
      </c>
      <c r="I213" s="3" t="str">
        <f>IFERROR(__xludf.DUMMYFUNCTION("""COMPUTED_VALUE"""),"On Leave")</f>
        <v>On Leave</v>
      </c>
      <c r="J213" s="3" t="str">
        <f>IFERROR(__xludf.DUMMYFUNCTION("""COMPUTED_VALUE"""),"Standby")</f>
        <v>Standby</v>
      </c>
      <c r="K213" s="27">
        <f>IFERROR(__xludf.DUMMYFUNCTION("""COMPUTED_VALUE"""),46009.0)</f>
        <v>46009</v>
      </c>
      <c r="L213" s="3"/>
      <c r="M213" s="3" t="str">
        <f>IFERROR(__xludf.DUMMYFUNCTION("""COMPUTED_VALUE"""),"Waiting Update")</f>
        <v>Waiting Update</v>
      </c>
      <c r="N213" s="3"/>
      <c r="O213" s="3" t="str">
        <f>IFERROR(VLOOKUP(C213,Sheet4!A213:F1000,6,0),"")</f>
        <v/>
      </c>
      <c r="Q213" s="2" t="str">
        <f t="shared" si="1"/>
        <v>18</v>
      </c>
    </row>
    <row r="214">
      <c r="A214" s="3" t="str">
        <f>IFERROR(__xludf.DUMMYFUNCTION("""COMPUTED_VALUE"""),"PM")</f>
        <v>PM</v>
      </c>
      <c r="B214" s="3" t="str">
        <f>IFERROR(__xludf.DUMMYFUNCTION("""COMPUTED_VALUE"""),"P2")</f>
        <v>P2</v>
      </c>
      <c r="C214" s="3" t="str">
        <f>IFERROR(__xludf.DUMMYFUNCTION("""COMPUTED_VALUE"""),"KSN153")</f>
        <v>KSN153</v>
      </c>
      <c r="D214" s="3" t="str">
        <f>IFERROR(__xludf.DUMMYFUNCTION("""COMPUTED_VALUE"""),"Indra")</f>
        <v>Indra</v>
      </c>
      <c r="E214" s="3" t="str">
        <f>IFERROR(__xludf.DUMMYFUNCTION("""COMPUTED_VALUE"""),"PM")</f>
        <v>PM</v>
      </c>
      <c r="F214" s="3" t="str">
        <f>IFERROR(__xludf.DUMMYFUNCTION("""COMPUTED_VALUE"""),"Doni Damara")</f>
        <v>Doni Damara</v>
      </c>
      <c r="G214" s="3" t="str">
        <f>IFERROR(__xludf.DUMMYFUNCTION("""COMPUTED_VALUE"""),"Palangkaraya")</f>
        <v>Palangkaraya</v>
      </c>
      <c r="H214" s="3" t="str">
        <f>IFERROR(__xludf.DUMMYFUNCTION("""COMPUTED_VALUE"""),"Preventive")</f>
        <v>Preventive</v>
      </c>
      <c r="I214" s="3" t="str">
        <f>IFERROR(__xludf.DUMMYFUNCTION("""COMPUTED_VALUE"""),"Preventive Maintenance")</f>
        <v>Preventive Maintenance</v>
      </c>
      <c r="J214" s="3" t="str">
        <f>IFERROR(__xludf.DUMMYFUNCTION("""COMPUTED_VALUE"""),"On Progress")</f>
        <v>On Progress</v>
      </c>
      <c r="K214" s="27">
        <f>IFERROR(__xludf.DUMMYFUNCTION("""COMPUTED_VALUE"""),46009.0)</f>
        <v>46009</v>
      </c>
      <c r="L214" s="3"/>
      <c r="M214" s="3" t="str">
        <f>IFERROR(__xludf.DUMMYFUNCTION("""COMPUTED_VALUE"""),"Waiting Update")</f>
        <v>Waiting Update</v>
      </c>
      <c r="N214" s="3"/>
      <c r="O214" s="3">
        <f>IFERROR(VLOOKUP(C214,Sheet4!A214:F1001,6,0),"")</f>
        <v>112622896</v>
      </c>
      <c r="Q214" s="2" t="str">
        <f t="shared" si="1"/>
        <v>18</v>
      </c>
    </row>
    <row r="215">
      <c r="A215" s="3" t="str">
        <f>IFERROR(__xludf.DUMMYFUNCTION("""COMPUTED_VALUE"""),"PM")</f>
        <v>PM</v>
      </c>
      <c r="B215" s="3" t="str">
        <f>IFERROR(__xludf.DUMMYFUNCTION("""COMPUTED_VALUE"""),"P2")</f>
        <v>P2</v>
      </c>
      <c r="C215" s="3" t="str">
        <f>IFERROR(__xludf.DUMMYFUNCTION("""COMPUTED_VALUE"""),"PLK819")</f>
        <v>PLK819</v>
      </c>
      <c r="D215" s="3" t="str">
        <f>IFERROR(__xludf.DUMMYFUNCTION("""COMPUTED_VALUE"""),"Darli")</f>
        <v>Darli</v>
      </c>
      <c r="E215" s="3" t="str">
        <f>IFERROR(__xludf.DUMMYFUNCTION("""COMPUTED_VALUE"""),"PM")</f>
        <v>PM</v>
      </c>
      <c r="F215" s="3" t="str">
        <f>IFERROR(__xludf.DUMMYFUNCTION("""COMPUTED_VALUE"""),"Doni Damara")</f>
        <v>Doni Damara</v>
      </c>
      <c r="G215" s="3" t="str">
        <f>IFERROR(__xludf.DUMMYFUNCTION("""COMPUTED_VALUE"""),"Palangkaraya")</f>
        <v>Palangkaraya</v>
      </c>
      <c r="H215" s="3" t="str">
        <f>IFERROR(__xludf.DUMMYFUNCTION("""COMPUTED_VALUE"""),"Preventive")</f>
        <v>Preventive</v>
      </c>
      <c r="I215" s="3" t="str">
        <f>IFERROR(__xludf.DUMMYFUNCTION("""COMPUTED_VALUE"""),"Preventive Maintenance")</f>
        <v>Preventive Maintenance</v>
      </c>
      <c r="J215" s="3" t="str">
        <f>IFERROR(__xludf.DUMMYFUNCTION("""COMPUTED_VALUE"""),"On Progress")</f>
        <v>On Progress</v>
      </c>
      <c r="K215" s="27">
        <f>IFERROR(__xludf.DUMMYFUNCTION("""COMPUTED_VALUE"""),46009.0)</f>
        <v>46009</v>
      </c>
      <c r="L215" s="3"/>
      <c r="M215" s="3" t="str">
        <f>IFERROR(__xludf.DUMMYFUNCTION("""COMPUTED_VALUE"""),"Waiting Update")</f>
        <v>Waiting Update</v>
      </c>
      <c r="N215" s="3"/>
      <c r="O215" s="3">
        <f>IFERROR(VLOOKUP(C215,Sheet4!A215:F1002,6,0),"")</f>
        <v>11386294</v>
      </c>
      <c r="Q215" s="2" t="str">
        <f t="shared" si="1"/>
        <v>18</v>
      </c>
    </row>
    <row r="216">
      <c r="A216" s="3" t="str">
        <f>IFERROR(__xludf.DUMMYFUNCTION("""COMPUTED_VALUE"""),"PM")</f>
        <v>PM</v>
      </c>
      <c r="B216" s="3" t="str">
        <f>IFERROR(__xludf.DUMMYFUNCTION("""COMPUTED_VALUE"""),"P2")</f>
        <v>P2</v>
      </c>
      <c r="C216" s="3" t="str">
        <f>IFERROR(__xludf.DUMMYFUNCTION("""COMPUTED_VALUE"""),"PLK269")</f>
        <v>PLK269</v>
      </c>
      <c r="D216" s="3" t="str">
        <f>IFERROR(__xludf.DUMMYFUNCTION("""COMPUTED_VALUE"""),"AHMAD ARDIANTO FIRMANSYAH")</f>
        <v>AHMAD ARDIANTO FIRMANSYAH</v>
      </c>
      <c r="E216" s="3" t="str">
        <f>IFERROR(__xludf.DUMMYFUNCTION("""COMPUTED_VALUE"""),"PM")</f>
        <v>PM</v>
      </c>
      <c r="F216" s="3" t="str">
        <f>IFERROR(__xludf.DUMMYFUNCTION("""COMPUTED_VALUE"""),"Doni Damara")</f>
        <v>Doni Damara</v>
      </c>
      <c r="G216" s="3" t="str">
        <f>IFERROR(__xludf.DUMMYFUNCTION("""COMPUTED_VALUE"""),"Palangkaraya")</f>
        <v>Palangkaraya</v>
      </c>
      <c r="H216" s="3" t="str">
        <f>IFERROR(__xludf.DUMMYFUNCTION("""COMPUTED_VALUE"""),"Preventive")</f>
        <v>Preventive</v>
      </c>
      <c r="I216" s="3" t="str">
        <f>IFERROR(__xludf.DUMMYFUNCTION("""COMPUTED_VALUE"""),"Preventive Maintenance")</f>
        <v>Preventive Maintenance</v>
      </c>
      <c r="J216" s="3" t="str">
        <f>IFERROR(__xludf.DUMMYFUNCTION("""COMPUTED_VALUE"""),"On Progress")</f>
        <v>On Progress</v>
      </c>
      <c r="K216" s="27">
        <f>IFERROR(__xludf.DUMMYFUNCTION("""COMPUTED_VALUE"""),46009.0)</f>
        <v>46009</v>
      </c>
      <c r="L216" s="3"/>
      <c r="M216" s="3" t="str">
        <f>IFERROR(__xludf.DUMMYFUNCTION("""COMPUTED_VALUE"""),"Waiting Update")</f>
        <v>Waiting Update</v>
      </c>
      <c r="N216" s="3"/>
      <c r="O216" s="3">
        <f>IFERROR(VLOOKUP(C216,Sheet4!A216:F1003,6,0),"")</f>
        <v>11375989</v>
      </c>
      <c r="Q216" s="2" t="str">
        <f t="shared" si="1"/>
        <v>18</v>
      </c>
    </row>
    <row r="217">
      <c r="A217" s="3" t="str">
        <f>IFERROR(__xludf.DUMMYFUNCTION("""COMPUTED_VALUE"""),"PM")</f>
        <v>PM</v>
      </c>
      <c r="B217" s="3" t="str">
        <f>IFERROR(__xludf.DUMMYFUNCTION("""COMPUTED_VALUE"""),"P2")</f>
        <v>P2</v>
      </c>
      <c r="C217" s="3" t="str">
        <f>IFERROR(__xludf.DUMMYFUNCTION("""COMPUTED_VALUE"""),"PLK202")</f>
        <v>PLK202</v>
      </c>
      <c r="D217" s="3" t="str">
        <f>IFERROR(__xludf.DUMMYFUNCTION("""COMPUTED_VALUE"""),"Purwanto")</f>
        <v>Purwanto</v>
      </c>
      <c r="E217" s="3" t="str">
        <f>IFERROR(__xludf.DUMMYFUNCTION("""COMPUTED_VALUE"""),"MBP")</f>
        <v>MBP</v>
      </c>
      <c r="F217" s="3" t="str">
        <f>IFERROR(__xludf.DUMMYFUNCTION("""COMPUTED_VALUE"""),"Doni Damara")</f>
        <v>Doni Damara</v>
      </c>
      <c r="G217" s="3" t="str">
        <f>IFERROR(__xludf.DUMMYFUNCTION("""COMPUTED_VALUE"""),"Palangkaraya")</f>
        <v>Palangkaraya</v>
      </c>
      <c r="H217" s="3" t="str">
        <f>IFERROR(__xludf.DUMMYFUNCTION("""COMPUTED_VALUE"""),"Preventive")</f>
        <v>Preventive</v>
      </c>
      <c r="I217" s="3" t="str">
        <f>IFERROR(__xludf.DUMMYFUNCTION("""COMPUTED_VALUE"""),"Preventive Maintenance")</f>
        <v>Preventive Maintenance</v>
      </c>
      <c r="J217" s="3" t="str">
        <f>IFERROR(__xludf.DUMMYFUNCTION("""COMPUTED_VALUE"""),"On Progress")</f>
        <v>On Progress</v>
      </c>
      <c r="K217" s="27">
        <f>IFERROR(__xludf.DUMMYFUNCTION("""COMPUTED_VALUE"""),46009.0)</f>
        <v>46009</v>
      </c>
      <c r="L217" s="3"/>
      <c r="M217" s="3" t="str">
        <f>IFERROR(__xludf.DUMMYFUNCTION("""COMPUTED_VALUE"""),"Waiting Update")</f>
        <v>Waiting Update</v>
      </c>
      <c r="N217" s="3"/>
      <c r="O217" s="3">
        <f>IFERROR(VLOOKUP(C217,Sheet4!A217:F1004,6,0),"")</f>
        <v>11393233</v>
      </c>
      <c r="Q217" s="2" t="str">
        <f t="shared" si="1"/>
        <v>18</v>
      </c>
    </row>
    <row r="218">
      <c r="A218" s="3" t="str">
        <f>IFERROR(__xludf.DUMMYFUNCTION("""COMPUTED_VALUE"""),"Standby On Call")</f>
        <v>Standby On Call</v>
      </c>
      <c r="B218" s="3" t="str">
        <f>IFERROR(__xludf.DUMMYFUNCTION("""COMPUTED_VALUE"""),"P3")</f>
        <v>P3</v>
      </c>
      <c r="C218" s="3"/>
      <c r="D218" s="3" t="str">
        <f>IFERROR(__xludf.DUMMYFUNCTION("""COMPUTED_VALUE"""),"Agus muliana pamungkas")</f>
        <v>Agus muliana pamungkas</v>
      </c>
      <c r="E218" s="3" t="str">
        <f>IFERROR(__xludf.DUMMYFUNCTION("""COMPUTED_VALUE"""),"MBP")</f>
        <v>MBP</v>
      </c>
      <c r="F218" s="3" t="str">
        <f>IFERROR(__xludf.DUMMYFUNCTION("""COMPUTED_VALUE"""),"Doni Damara")</f>
        <v>Doni Damara</v>
      </c>
      <c r="G218" s="3" t="str">
        <f>IFERROR(__xludf.DUMMYFUNCTION("""COMPUTED_VALUE"""),"Palangkaraya")</f>
        <v>Palangkaraya</v>
      </c>
      <c r="H218" s="3" t="str">
        <f>IFERROR(__xludf.DUMMYFUNCTION("""COMPUTED_VALUE"""),"Standby")</f>
        <v>Standby</v>
      </c>
      <c r="I218" s="3" t="str">
        <f>IFERROR(__xludf.DUMMYFUNCTION("""COMPUTED_VALUE"""),"Standby On Call")</f>
        <v>Standby On Call</v>
      </c>
      <c r="J218" s="3" t="str">
        <f>IFERROR(__xludf.DUMMYFUNCTION("""COMPUTED_VALUE"""),"Standby")</f>
        <v>Standby</v>
      </c>
      <c r="K218" s="27">
        <f>IFERROR(__xludf.DUMMYFUNCTION("""COMPUTED_VALUE"""),46009.0)</f>
        <v>46009</v>
      </c>
      <c r="L218" s="3"/>
      <c r="M218" s="3" t="str">
        <f>IFERROR(__xludf.DUMMYFUNCTION("""COMPUTED_VALUE"""),"Waiting Update")</f>
        <v>Waiting Update</v>
      </c>
      <c r="N218" s="3"/>
      <c r="O218" s="3" t="str">
        <f>IFERROR(VLOOKUP(C218,Sheet4!A218:F1005,6,0),"")</f>
        <v/>
      </c>
      <c r="Q218" s="2" t="str">
        <f t="shared" si="1"/>
        <v>18</v>
      </c>
    </row>
    <row r="219">
      <c r="A219" s="3" t="str">
        <f>IFERROR(__xludf.DUMMYFUNCTION("""COMPUTED_VALUE"""),"Standby On Call")</f>
        <v>Standby On Call</v>
      </c>
      <c r="B219" s="3" t="str">
        <f>IFERROR(__xludf.DUMMYFUNCTION("""COMPUTED_VALUE"""),"P3")</f>
        <v>P3</v>
      </c>
      <c r="C219" s="3"/>
      <c r="D219" s="3" t="str">
        <f>IFERROR(__xludf.DUMMYFUNCTION("""COMPUTED_VALUE"""),"Sairaji")</f>
        <v>Sairaji</v>
      </c>
      <c r="E219" s="3" t="str">
        <f>IFERROR(__xludf.DUMMYFUNCTION("""COMPUTED_VALUE"""),"MBP")</f>
        <v>MBP</v>
      </c>
      <c r="F219" s="3" t="str">
        <f>IFERROR(__xludf.DUMMYFUNCTION("""COMPUTED_VALUE"""),"Doni Damara")</f>
        <v>Doni Damara</v>
      </c>
      <c r="G219" s="3" t="str">
        <f>IFERROR(__xludf.DUMMYFUNCTION("""COMPUTED_VALUE"""),"Palangkaraya")</f>
        <v>Palangkaraya</v>
      </c>
      <c r="H219" s="3" t="str">
        <f>IFERROR(__xludf.DUMMYFUNCTION("""COMPUTED_VALUE"""),"Standby")</f>
        <v>Standby</v>
      </c>
      <c r="I219" s="3" t="str">
        <f>IFERROR(__xludf.DUMMYFUNCTION("""COMPUTED_VALUE"""),"Standby On Call")</f>
        <v>Standby On Call</v>
      </c>
      <c r="J219" s="3" t="str">
        <f>IFERROR(__xludf.DUMMYFUNCTION("""COMPUTED_VALUE"""),"Standby")</f>
        <v>Standby</v>
      </c>
      <c r="K219" s="27">
        <f>IFERROR(__xludf.DUMMYFUNCTION("""COMPUTED_VALUE"""),46009.0)</f>
        <v>46009</v>
      </c>
      <c r="L219" s="3"/>
      <c r="M219" s="3" t="str">
        <f>IFERROR(__xludf.DUMMYFUNCTION("""COMPUTED_VALUE"""),"Waiting Update")</f>
        <v>Waiting Update</v>
      </c>
      <c r="N219" s="3"/>
      <c r="O219" s="3" t="str">
        <f>IFERROR(VLOOKUP(C219,Sheet4!A219:F1006,6,0),"")</f>
        <v/>
      </c>
      <c r="Q219" s="2" t="str">
        <f t="shared" si="1"/>
        <v>18</v>
      </c>
    </row>
    <row r="220">
      <c r="A220" s="3" t="str">
        <f>IFERROR(__xludf.DUMMYFUNCTION("""COMPUTED_VALUE"""),"Standby On Call")</f>
        <v>Standby On Call</v>
      </c>
      <c r="B220" s="3" t="str">
        <f>IFERROR(__xludf.DUMMYFUNCTION("""COMPUTED_VALUE"""),"P3")</f>
        <v>P3</v>
      </c>
      <c r="C220" s="3"/>
      <c r="D220" s="3" t="str">
        <f>IFERROR(__xludf.DUMMYFUNCTION("""COMPUTED_VALUE"""),"Fajrianur wahid")</f>
        <v>Fajrianur wahid</v>
      </c>
      <c r="E220" s="3" t="str">
        <f>IFERROR(__xludf.DUMMYFUNCTION("""COMPUTED_VALUE"""),"TE")</f>
        <v>TE</v>
      </c>
      <c r="F220" s="3" t="str">
        <f>IFERROR(__xludf.DUMMYFUNCTION("""COMPUTED_VALUE"""),"Doni Damara")</f>
        <v>Doni Damara</v>
      </c>
      <c r="G220" s="3" t="str">
        <f>IFERROR(__xludf.DUMMYFUNCTION("""COMPUTED_VALUE"""),"Palangkaraya")</f>
        <v>Palangkaraya</v>
      </c>
      <c r="H220" s="3" t="str">
        <f>IFERROR(__xludf.DUMMYFUNCTION("""COMPUTED_VALUE"""),"Standby")</f>
        <v>Standby</v>
      </c>
      <c r="I220" s="3" t="str">
        <f>IFERROR(__xludf.DUMMYFUNCTION("""COMPUTED_VALUE"""),"Standby On Call")</f>
        <v>Standby On Call</v>
      </c>
      <c r="J220" s="3" t="str">
        <f>IFERROR(__xludf.DUMMYFUNCTION("""COMPUTED_VALUE"""),"Standby")</f>
        <v>Standby</v>
      </c>
      <c r="K220" s="27">
        <f>IFERROR(__xludf.DUMMYFUNCTION("""COMPUTED_VALUE"""),46009.0)</f>
        <v>46009</v>
      </c>
      <c r="L220" s="3"/>
      <c r="M220" s="3" t="str">
        <f>IFERROR(__xludf.DUMMYFUNCTION("""COMPUTED_VALUE"""),"Waiting Update")</f>
        <v>Waiting Update</v>
      </c>
      <c r="N220" s="3"/>
      <c r="O220" s="3" t="str">
        <f>IFERROR(VLOOKUP(C220,Sheet4!A220:F1007,6,0),"")</f>
        <v/>
      </c>
      <c r="Q220" s="2" t="str">
        <f t="shared" si="1"/>
        <v>18</v>
      </c>
    </row>
    <row r="221">
      <c r="A221" s="3" t="str">
        <f>IFERROR(__xludf.DUMMYFUNCTION("""COMPUTED_VALUE"""),"Standby On Call")</f>
        <v>Standby On Call</v>
      </c>
      <c r="B221" s="3" t="str">
        <f>IFERROR(__xludf.DUMMYFUNCTION("""COMPUTED_VALUE"""),"P3")</f>
        <v>P3</v>
      </c>
      <c r="C221" s="3"/>
      <c r="D221" s="3" t="str">
        <f>IFERROR(__xludf.DUMMYFUNCTION("""COMPUTED_VALUE"""),"Sarwono")</f>
        <v>Sarwono</v>
      </c>
      <c r="E221" s="3" t="str">
        <f>IFERROR(__xludf.DUMMYFUNCTION("""COMPUTED_VALUE"""),"CME")</f>
        <v>CME</v>
      </c>
      <c r="F221" s="3" t="str">
        <f>IFERROR(__xludf.DUMMYFUNCTION("""COMPUTED_VALUE"""),"Doni Damara")</f>
        <v>Doni Damara</v>
      </c>
      <c r="G221" s="3" t="str">
        <f>IFERROR(__xludf.DUMMYFUNCTION("""COMPUTED_VALUE"""),"Palangkaraya")</f>
        <v>Palangkaraya</v>
      </c>
      <c r="H221" s="3" t="str">
        <f>IFERROR(__xludf.DUMMYFUNCTION("""COMPUTED_VALUE"""),"Standby")</f>
        <v>Standby</v>
      </c>
      <c r="I221" s="3" t="str">
        <f>IFERROR(__xludf.DUMMYFUNCTION("""COMPUTED_VALUE"""),"Standby On Call")</f>
        <v>Standby On Call</v>
      </c>
      <c r="J221" s="3" t="str">
        <f>IFERROR(__xludf.DUMMYFUNCTION("""COMPUTED_VALUE"""),"Standby")</f>
        <v>Standby</v>
      </c>
      <c r="K221" s="27">
        <f>IFERROR(__xludf.DUMMYFUNCTION("""COMPUTED_VALUE"""),46009.0)</f>
        <v>46009</v>
      </c>
      <c r="L221" s="3"/>
      <c r="M221" s="3" t="str">
        <f>IFERROR(__xludf.DUMMYFUNCTION("""COMPUTED_VALUE"""),"Waiting Update")</f>
        <v>Waiting Update</v>
      </c>
      <c r="N221" s="3"/>
      <c r="O221" s="3" t="str">
        <f>IFERROR(VLOOKUP(C221,Sheet4!A221:F1008,6,0),"")</f>
        <v/>
      </c>
      <c r="Q221" s="2" t="str">
        <f t="shared" si="1"/>
        <v>18</v>
      </c>
    </row>
    <row r="222">
      <c r="A222" s="3" t="str">
        <f>IFERROR(__xludf.DUMMYFUNCTION("""COMPUTED_VALUE"""),"Standby On Call")</f>
        <v>Standby On Call</v>
      </c>
      <c r="B222" s="3" t="str">
        <f>IFERROR(__xludf.DUMMYFUNCTION("""COMPUTED_VALUE"""),"P3")</f>
        <v>P3</v>
      </c>
      <c r="C222" s="3"/>
      <c r="D222" s="3" t="str">
        <f>IFERROR(__xludf.DUMMYFUNCTION("""COMPUTED_VALUE"""),"Elia Ronaldo")</f>
        <v>Elia Ronaldo</v>
      </c>
      <c r="E222" s="3" t="str">
        <f>IFERROR(__xludf.DUMMYFUNCTION("""COMPUTED_VALUE"""),"MBP")</f>
        <v>MBP</v>
      </c>
      <c r="F222" s="3" t="str">
        <f>IFERROR(__xludf.DUMMYFUNCTION("""COMPUTED_VALUE"""),"Doni Damara")</f>
        <v>Doni Damara</v>
      </c>
      <c r="G222" s="3" t="str">
        <f>IFERROR(__xludf.DUMMYFUNCTION("""COMPUTED_VALUE"""),"Palangkaraya")</f>
        <v>Palangkaraya</v>
      </c>
      <c r="H222" s="3" t="str">
        <f>IFERROR(__xludf.DUMMYFUNCTION("""COMPUTED_VALUE"""),"Standby")</f>
        <v>Standby</v>
      </c>
      <c r="I222" s="3" t="str">
        <f>IFERROR(__xludf.DUMMYFUNCTION("""COMPUTED_VALUE"""),"Standby On Call")</f>
        <v>Standby On Call</v>
      </c>
      <c r="J222" s="3" t="str">
        <f>IFERROR(__xludf.DUMMYFUNCTION("""COMPUTED_VALUE"""),"Standby")</f>
        <v>Standby</v>
      </c>
      <c r="K222" s="27">
        <f>IFERROR(__xludf.DUMMYFUNCTION("""COMPUTED_VALUE"""),46009.0)</f>
        <v>46009</v>
      </c>
      <c r="L222" s="3"/>
      <c r="M222" s="3" t="str">
        <f>IFERROR(__xludf.DUMMYFUNCTION("""COMPUTED_VALUE"""),"Waiting Update")</f>
        <v>Waiting Update</v>
      </c>
      <c r="N222" s="3"/>
      <c r="O222" s="3" t="str">
        <f>IFERROR(VLOOKUP(C222,Sheet4!A222:F1009,6,0),"")</f>
        <v/>
      </c>
      <c r="Q222" s="2" t="str">
        <f t="shared" si="1"/>
        <v>18</v>
      </c>
    </row>
    <row r="223">
      <c r="A223" s="3" t="str">
        <f>IFERROR(__xludf.DUMMYFUNCTION("""COMPUTED_VALUE"""),"Standby On Call")</f>
        <v>Standby On Call</v>
      </c>
      <c r="B223" s="3" t="str">
        <f>IFERROR(__xludf.DUMMYFUNCTION("""COMPUTED_VALUE"""),"P3")</f>
        <v>P3</v>
      </c>
      <c r="C223" s="3"/>
      <c r="D223" s="3" t="str">
        <f>IFERROR(__xludf.DUMMYFUNCTION("""COMPUTED_VALUE"""),"hory yusmanto")</f>
        <v>hory yusmanto</v>
      </c>
      <c r="E223" s="3" t="str">
        <f>IFERROR(__xludf.DUMMYFUNCTION("""COMPUTED_VALUE"""),"MBP")</f>
        <v>MBP</v>
      </c>
      <c r="F223" s="3" t="str">
        <f>IFERROR(__xludf.DUMMYFUNCTION("""COMPUTED_VALUE"""),"Doni Damara")</f>
        <v>Doni Damara</v>
      </c>
      <c r="G223" s="3" t="str">
        <f>IFERROR(__xludf.DUMMYFUNCTION("""COMPUTED_VALUE"""),"Palangkaraya")</f>
        <v>Palangkaraya</v>
      </c>
      <c r="H223" s="3" t="str">
        <f>IFERROR(__xludf.DUMMYFUNCTION("""COMPUTED_VALUE"""),"Standby")</f>
        <v>Standby</v>
      </c>
      <c r="I223" s="3" t="str">
        <f>IFERROR(__xludf.DUMMYFUNCTION("""COMPUTED_VALUE"""),"Standby On Call")</f>
        <v>Standby On Call</v>
      </c>
      <c r="J223" s="3" t="str">
        <f>IFERROR(__xludf.DUMMYFUNCTION("""COMPUTED_VALUE"""),"Standby")</f>
        <v>Standby</v>
      </c>
      <c r="K223" s="27">
        <f>IFERROR(__xludf.DUMMYFUNCTION("""COMPUTED_VALUE"""),46009.0)</f>
        <v>46009</v>
      </c>
      <c r="L223" s="3"/>
      <c r="M223" s="3" t="str">
        <f>IFERROR(__xludf.DUMMYFUNCTION("""COMPUTED_VALUE"""),"Waiting Update")</f>
        <v>Waiting Update</v>
      </c>
      <c r="N223" s="3"/>
      <c r="O223" s="3" t="str">
        <f>IFERROR(VLOOKUP(C223,Sheet4!A223:F1010,6,0),"")</f>
        <v/>
      </c>
      <c r="Q223" s="2" t="str">
        <f t="shared" si="1"/>
        <v>18</v>
      </c>
    </row>
    <row r="224">
      <c r="A224" s="3" t="str">
        <f>IFERROR(__xludf.DUMMYFUNCTION("""COMPUTED_VALUE"""),"PM")</f>
        <v>PM</v>
      </c>
      <c r="B224" s="3" t="str">
        <f>IFERROR(__xludf.DUMMYFUNCTION("""COMPUTED_VALUE"""),"P2")</f>
        <v>P2</v>
      </c>
      <c r="C224" s="3" t="str">
        <f>IFERROR(__xludf.DUMMYFUNCTION("""COMPUTED_VALUE"""),"BNT008")</f>
        <v>BNT008</v>
      </c>
      <c r="D224" s="3" t="str">
        <f>IFERROR(__xludf.DUMMYFUNCTION("""COMPUTED_VALUE"""),"Trisno Susanto")</f>
        <v>Trisno Susanto</v>
      </c>
      <c r="E224" s="3" t="str">
        <f>IFERROR(__xludf.DUMMYFUNCTION("""COMPUTED_VALUE"""),"PM")</f>
        <v>PM</v>
      </c>
      <c r="F224" s="3" t="str">
        <f>IFERROR(__xludf.DUMMYFUNCTION("""COMPUTED_VALUE"""),"Winda Sokenda")</f>
        <v>Winda Sokenda</v>
      </c>
      <c r="G224" s="3" t="str">
        <f>IFERROR(__xludf.DUMMYFUNCTION("""COMPUTED_VALUE"""),"Barito Raya")</f>
        <v>Barito Raya</v>
      </c>
      <c r="H224" s="3" t="str">
        <f>IFERROR(__xludf.DUMMYFUNCTION("""COMPUTED_VALUE"""),"Preventive")</f>
        <v>Preventive</v>
      </c>
      <c r="I224" s="3" t="str">
        <f>IFERROR(__xludf.DUMMYFUNCTION("""COMPUTED_VALUE"""),"Preventive Maintenance")</f>
        <v>Preventive Maintenance</v>
      </c>
      <c r="J224" s="3" t="str">
        <f>IFERROR(__xludf.DUMMYFUNCTION("""COMPUTED_VALUE"""),"On Progress")</f>
        <v>On Progress</v>
      </c>
      <c r="K224" s="27">
        <f>IFERROR(__xludf.DUMMYFUNCTION("""COMPUTED_VALUE"""),46009.0)</f>
        <v>46009</v>
      </c>
      <c r="L224" s="27">
        <f>IFERROR(__xludf.DUMMYFUNCTION("""COMPUTED_VALUE"""),46009.0)</f>
        <v>46009</v>
      </c>
      <c r="M224" s="3" t="str">
        <f>IFERROR(__xludf.DUMMYFUNCTION("""COMPUTED_VALUE"""),"Done")</f>
        <v>Done</v>
      </c>
      <c r="N224" s="3"/>
      <c r="O224" s="3" t="str">
        <f>IFERROR(VLOOKUP(C224,Sheet4!A224:F1011,6,0),"")</f>
        <v/>
      </c>
      <c r="Q224" s="2" t="str">
        <f t="shared" si="1"/>
        <v>18</v>
      </c>
    </row>
    <row r="225">
      <c r="A225" s="3" t="str">
        <f>IFERROR(__xludf.DUMMYFUNCTION("""COMPUTED_VALUE"""),"PM")</f>
        <v>PM</v>
      </c>
      <c r="B225" s="3" t="str">
        <f>IFERROR(__xludf.DUMMYFUNCTION("""COMPUTED_VALUE"""),"P2")</f>
        <v>P2</v>
      </c>
      <c r="C225" s="3" t="str">
        <f>IFERROR(__xludf.DUMMYFUNCTION("""COMPUTED_VALUE"""),"BNT015")</f>
        <v>BNT015</v>
      </c>
      <c r="D225" s="3" t="str">
        <f>IFERROR(__xludf.DUMMYFUNCTION("""COMPUTED_VALUE"""),"Khilal dawai katiri")</f>
        <v>Khilal dawai katiri</v>
      </c>
      <c r="E225" s="3" t="str">
        <f>IFERROR(__xludf.DUMMYFUNCTION("""COMPUTED_VALUE"""),"MBP")</f>
        <v>MBP</v>
      </c>
      <c r="F225" s="3" t="str">
        <f>IFERROR(__xludf.DUMMYFUNCTION("""COMPUTED_VALUE"""),"Winda Sokenda")</f>
        <v>Winda Sokenda</v>
      </c>
      <c r="G225" s="3" t="str">
        <f>IFERROR(__xludf.DUMMYFUNCTION("""COMPUTED_VALUE"""),"Barito Raya")</f>
        <v>Barito Raya</v>
      </c>
      <c r="H225" s="3" t="str">
        <f>IFERROR(__xludf.DUMMYFUNCTION("""COMPUTED_VALUE"""),"Preventive")</f>
        <v>Preventive</v>
      </c>
      <c r="I225" s="3" t="str">
        <f>IFERROR(__xludf.DUMMYFUNCTION("""COMPUTED_VALUE"""),"Preventive Maintenance")</f>
        <v>Preventive Maintenance</v>
      </c>
      <c r="J225" s="3" t="str">
        <f>IFERROR(__xludf.DUMMYFUNCTION("""COMPUTED_VALUE"""),"On Progress")</f>
        <v>On Progress</v>
      </c>
      <c r="K225" s="27">
        <f>IFERROR(__xludf.DUMMYFUNCTION("""COMPUTED_VALUE"""),46009.0)</f>
        <v>46009</v>
      </c>
      <c r="L225" s="27">
        <f>IFERROR(__xludf.DUMMYFUNCTION("""COMPUTED_VALUE"""),46009.0)</f>
        <v>46009</v>
      </c>
      <c r="M225" s="3" t="str">
        <f>IFERROR(__xludf.DUMMYFUNCTION("""COMPUTED_VALUE"""),"Done")</f>
        <v>Done</v>
      </c>
      <c r="N225" s="3"/>
      <c r="O225" s="3" t="str">
        <f>IFERROR(VLOOKUP(C225,Sheet4!A225:F1012,6,0),"")</f>
        <v/>
      </c>
      <c r="Q225" s="2" t="str">
        <f t="shared" si="1"/>
        <v>18</v>
      </c>
    </row>
    <row r="226">
      <c r="A226" s="3" t="str">
        <f>IFERROR(__xludf.DUMMYFUNCTION("""COMPUTED_VALUE"""),"PM")</f>
        <v>PM</v>
      </c>
      <c r="B226" s="3" t="str">
        <f>IFERROR(__xludf.DUMMYFUNCTION("""COMPUTED_VALUE"""),"P2")</f>
        <v>P2</v>
      </c>
      <c r="C226" s="3" t="str">
        <f>IFERROR(__xludf.DUMMYFUNCTION("""COMPUTED_VALUE"""),"MTW009")</f>
        <v>MTW009</v>
      </c>
      <c r="D226" s="3" t="str">
        <f>IFERROR(__xludf.DUMMYFUNCTION("""COMPUTED_VALUE"""),"Riko setiadi")</f>
        <v>Riko setiadi</v>
      </c>
      <c r="E226" s="3" t="str">
        <f>IFERROR(__xludf.DUMMYFUNCTION("""COMPUTED_VALUE"""),"PM")</f>
        <v>PM</v>
      </c>
      <c r="F226" s="3" t="str">
        <f>IFERROR(__xludf.DUMMYFUNCTION("""COMPUTED_VALUE"""),"Winda Sokenda")</f>
        <v>Winda Sokenda</v>
      </c>
      <c r="G226" s="3" t="str">
        <f>IFERROR(__xludf.DUMMYFUNCTION("""COMPUTED_VALUE"""),"Barito Raya")</f>
        <v>Barito Raya</v>
      </c>
      <c r="H226" s="3" t="str">
        <f>IFERROR(__xludf.DUMMYFUNCTION("""COMPUTED_VALUE"""),"Preventive")</f>
        <v>Preventive</v>
      </c>
      <c r="I226" s="3" t="str">
        <f>IFERROR(__xludf.DUMMYFUNCTION("""COMPUTED_VALUE"""),"Preventive Maintenance")</f>
        <v>Preventive Maintenance</v>
      </c>
      <c r="J226" s="3" t="str">
        <f>IFERROR(__xludf.DUMMYFUNCTION("""COMPUTED_VALUE"""),"On Progress")</f>
        <v>On Progress</v>
      </c>
      <c r="K226" s="27">
        <f>IFERROR(__xludf.DUMMYFUNCTION("""COMPUTED_VALUE"""),46009.0)</f>
        <v>46009</v>
      </c>
      <c r="L226" s="27">
        <f>IFERROR(__xludf.DUMMYFUNCTION("""COMPUTED_VALUE"""),46009.0)</f>
        <v>46009</v>
      </c>
      <c r="M226" s="3" t="str">
        <f>IFERROR(__xludf.DUMMYFUNCTION("""COMPUTED_VALUE"""),"Done")</f>
        <v>Done</v>
      </c>
      <c r="N226" s="3"/>
      <c r="O226" s="3">
        <f>IFERROR(VLOOKUP(C226,Sheet4!A226:F1013,6,0),"")</f>
        <v>11490238</v>
      </c>
      <c r="Q226" s="2" t="str">
        <f t="shared" si="1"/>
        <v>18</v>
      </c>
    </row>
    <row r="227">
      <c r="A227" s="3" t="str">
        <f>IFERROR(__xludf.DUMMYFUNCTION("""COMPUTED_VALUE"""),"Pengecekan battrey")</f>
        <v>Pengecekan battrey</v>
      </c>
      <c r="B227" s="3" t="str">
        <f>IFERROR(__xludf.DUMMYFUNCTION("""COMPUTED_VALUE"""),"P2")</f>
        <v>P2</v>
      </c>
      <c r="C227" s="3" t="str">
        <f>IFERROR(__xludf.DUMMYFUNCTION("""COMPUTED_VALUE"""),"BNT015")</f>
        <v>BNT015</v>
      </c>
      <c r="D227" s="3" t="str">
        <f>IFERROR(__xludf.DUMMYFUNCTION("""COMPUTED_VALUE"""),"Putra wardana")</f>
        <v>Putra wardana</v>
      </c>
      <c r="E227" s="3" t="str">
        <f>IFERROR(__xludf.DUMMYFUNCTION("""COMPUTED_VALUE"""),"TE")</f>
        <v>TE</v>
      </c>
      <c r="F227" s="3" t="str">
        <f>IFERROR(__xludf.DUMMYFUNCTION("""COMPUTED_VALUE"""),"Winda Sokenda")</f>
        <v>Winda Sokenda</v>
      </c>
      <c r="G227" s="3" t="str">
        <f>IFERROR(__xludf.DUMMYFUNCTION("""COMPUTED_VALUE"""),"Barito Raya")</f>
        <v>Barito Raya</v>
      </c>
      <c r="H227" s="3" t="str">
        <f>IFERROR(__xludf.DUMMYFUNCTION("""COMPUTED_VALUE"""),"Preventive")</f>
        <v>Preventive</v>
      </c>
      <c r="I227" s="3" t="str">
        <f>IFERROR(__xludf.DUMMYFUNCTION("""COMPUTED_VALUE"""),"Pengukuran dan pengambilan data log serta input Gdoc BBT")</f>
        <v>Pengukuran dan pengambilan data log serta input Gdoc BBT</v>
      </c>
      <c r="J227" s="3" t="str">
        <f>IFERROR(__xludf.DUMMYFUNCTION("""COMPUTED_VALUE"""),"On Progress")</f>
        <v>On Progress</v>
      </c>
      <c r="K227" s="27">
        <f>IFERROR(__xludf.DUMMYFUNCTION("""COMPUTED_VALUE"""),46010.0)</f>
        <v>46010</v>
      </c>
      <c r="L227" s="27">
        <f>IFERROR(__xludf.DUMMYFUNCTION("""COMPUTED_VALUE"""),46010.0)</f>
        <v>46010</v>
      </c>
      <c r="M227" s="3" t="str">
        <f>IFERROR(__xludf.DUMMYFUNCTION("""COMPUTED_VALUE"""),"Done")</f>
        <v>Done</v>
      </c>
      <c r="N227" s="3"/>
      <c r="O227" s="3" t="str">
        <f>IFERROR(VLOOKUP(C227,Sheet4!A227:F1014,6,0),"")</f>
        <v/>
      </c>
      <c r="Q227" s="2" t="str">
        <f t="shared" si="1"/>
        <v>19</v>
      </c>
    </row>
    <row r="228">
      <c r="A228" s="3" t="str">
        <f>IFERROR(__xludf.DUMMYFUNCTION("""COMPUTED_VALUE"""),"Pengecekan battrey")</f>
        <v>Pengecekan battrey</v>
      </c>
      <c r="B228" s="3" t="str">
        <f>IFERROR(__xludf.DUMMYFUNCTION("""COMPUTED_VALUE"""),"P2")</f>
        <v>P2</v>
      </c>
      <c r="C228" s="3" t="str">
        <f>IFERROR(__xludf.DUMMYFUNCTION("""COMPUTED_VALUE"""),"TML055")</f>
        <v>TML055</v>
      </c>
      <c r="D228" s="3" t="str">
        <f>IFERROR(__xludf.DUMMYFUNCTION("""COMPUTED_VALUE"""),"Sailillah")</f>
        <v>Sailillah</v>
      </c>
      <c r="E228" s="3" t="str">
        <f>IFERROR(__xludf.DUMMYFUNCTION("""COMPUTED_VALUE"""),"TE")</f>
        <v>TE</v>
      </c>
      <c r="F228" s="3" t="str">
        <f>IFERROR(__xludf.DUMMYFUNCTION("""COMPUTED_VALUE"""),"Winda Sokenda")</f>
        <v>Winda Sokenda</v>
      </c>
      <c r="G228" s="3" t="str">
        <f>IFERROR(__xludf.DUMMYFUNCTION("""COMPUTED_VALUE"""),"Barito Raya")</f>
        <v>Barito Raya</v>
      </c>
      <c r="H228" s="3" t="str">
        <f>IFERROR(__xludf.DUMMYFUNCTION("""COMPUTED_VALUE"""),"Preventive")</f>
        <v>Preventive</v>
      </c>
      <c r="I228" s="3" t="str">
        <f>IFERROR(__xludf.DUMMYFUNCTION("""COMPUTED_VALUE"""),"Pengukuran dan pengambilan data log serta input Gdoc BBT")</f>
        <v>Pengukuran dan pengambilan data log serta input Gdoc BBT</v>
      </c>
      <c r="J228" s="3" t="str">
        <f>IFERROR(__xludf.DUMMYFUNCTION("""COMPUTED_VALUE"""),"On Progress")</f>
        <v>On Progress</v>
      </c>
      <c r="K228" s="27">
        <f>IFERROR(__xludf.DUMMYFUNCTION("""COMPUTED_VALUE"""),46010.0)</f>
        <v>46010</v>
      </c>
      <c r="L228" s="27">
        <f>IFERROR(__xludf.DUMMYFUNCTION("""COMPUTED_VALUE"""),46010.0)</f>
        <v>46010</v>
      </c>
      <c r="M228" s="3" t="str">
        <f>IFERROR(__xludf.DUMMYFUNCTION("""COMPUTED_VALUE"""),"Done")</f>
        <v>Done</v>
      </c>
      <c r="N228" s="3"/>
      <c r="O228" s="3">
        <f>IFERROR(VLOOKUP(C228,Sheet4!A228:F1015,6,0),"")</f>
        <v>1152699</v>
      </c>
      <c r="Q228" s="2" t="str">
        <f t="shared" si="1"/>
        <v>19</v>
      </c>
    </row>
    <row r="229">
      <c r="A229" s="3" t="str">
        <f>IFERROR(__xludf.DUMMYFUNCTION("""COMPUTED_VALUE"""),"Pengecekan battrey")</f>
        <v>Pengecekan battrey</v>
      </c>
      <c r="B229" s="3" t="str">
        <f>IFERROR(__xludf.DUMMYFUNCTION("""COMPUTED_VALUE"""),"P2")</f>
        <v>P2</v>
      </c>
      <c r="C229" s="3" t="str">
        <f>IFERROR(__xludf.DUMMYFUNCTION("""COMPUTED_VALUE"""),"TML035")</f>
        <v>TML035</v>
      </c>
      <c r="D229" s="3" t="str">
        <f>IFERROR(__xludf.DUMMYFUNCTION("""COMPUTED_VALUE"""),"Tiviansyah")</f>
        <v>Tiviansyah</v>
      </c>
      <c r="E229" s="3" t="str">
        <f>IFERROR(__xludf.DUMMYFUNCTION("""COMPUTED_VALUE"""),"TE")</f>
        <v>TE</v>
      </c>
      <c r="F229" s="3" t="str">
        <f>IFERROR(__xludf.DUMMYFUNCTION("""COMPUTED_VALUE"""),"Winda Sokenda")</f>
        <v>Winda Sokenda</v>
      </c>
      <c r="G229" s="3" t="str">
        <f>IFERROR(__xludf.DUMMYFUNCTION("""COMPUTED_VALUE"""),"Barito Raya")</f>
        <v>Barito Raya</v>
      </c>
      <c r="H229" s="3" t="str">
        <f>IFERROR(__xludf.DUMMYFUNCTION("""COMPUTED_VALUE"""),"Preventive")</f>
        <v>Preventive</v>
      </c>
      <c r="I229" s="3" t="str">
        <f>IFERROR(__xludf.DUMMYFUNCTION("""COMPUTED_VALUE"""),"Pengukuran dan pengambilan data log serta input Gdoc BBT")</f>
        <v>Pengukuran dan pengambilan data log serta input Gdoc BBT</v>
      </c>
      <c r="J229" s="3" t="str">
        <f>IFERROR(__xludf.DUMMYFUNCTION("""COMPUTED_VALUE"""),"On Progress")</f>
        <v>On Progress</v>
      </c>
      <c r="K229" s="27">
        <f>IFERROR(__xludf.DUMMYFUNCTION("""COMPUTED_VALUE"""),46010.0)</f>
        <v>46010</v>
      </c>
      <c r="L229" s="27">
        <f>IFERROR(__xludf.DUMMYFUNCTION("""COMPUTED_VALUE"""),46010.0)</f>
        <v>46010</v>
      </c>
      <c r="M229" s="3" t="str">
        <f>IFERROR(__xludf.DUMMYFUNCTION("""COMPUTED_VALUE"""),"Done")</f>
        <v>Done</v>
      </c>
      <c r="N229" s="3"/>
      <c r="O229" s="3">
        <f>IFERROR(VLOOKUP(C229,Sheet4!A229:F1016,6,0),"")</f>
        <v>11514895</v>
      </c>
      <c r="Q229" s="2" t="str">
        <f t="shared" si="1"/>
        <v>19</v>
      </c>
    </row>
    <row r="230">
      <c r="A230" s="3" t="str">
        <f>IFERROR(__xludf.DUMMYFUNCTION("""COMPUTED_VALUE"""),"Pengecekan Power")</f>
        <v>Pengecekan Power</v>
      </c>
      <c r="B230" s="3" t="str">
        <f>IFERROR(__xludf.DUMMYFUNCTION("""COMPUTED_VALUE"""),"P1")</f>
        <v>P1</v>
      </c>
      <c r="C230" s="3" t="str">
        <f>IFERROR(__xludf.DUMMYFUNCTION("""COMPUTED_VALUE"""),"MTW085")</f>
        <v>MTW085</v>
      </c>
      <c r="D230" s="3" t="str">
        <f>IFERROR(__xludf.DUMMYFUNCTION("""COMPUTED_VALUE"""),"munawir akhmad")</f>
        <v>munawir akhmad</v>
      </c>
      <c r="E230" s="3" t="str">
        <f>IFERROR(__xludf.DUMMYFUNCTION("""COMPUTED_VALUE"""),"TE")</f>
        <v>TE</v>
      </c>
      <c r="F230" s="3" t="str">
        <f>IFERROR(__xludf.DUMMYFUNCTION("""COMPUTED_VALUE"""),"Winda Sokenda")</f>
        <v>Winda Sokenda</v>
      </c>
      <c r="G230" s="3" t="str">
        <f>IFERROR(__xludf.DUMMYFUNCTION("""COMPUTED_VALUE"""),"Barito Raya")</f>
        <v>Barito Raya</v>
      </c>
      <c r="H230" s="3" t="str">
        <f>IFERROR(__xludf.DUMMYFUNCTION("""COMPUTED_VALUE"""),"Preventive")</f>
        <v>Preventive</v>
      </c>
      <c r="I230" s="3" t="str">
        <f>IFERROR(__xludf.DUMMYFUNCTION("""COMPUTED_VALUE"""),"MCB trip/Power upnormal")</f>
        <v>MCB trip/Power upnormal</v>
      </c>
      <c r="J230" s="3" t="str">
        <f>IFERROR(__xludf.DUMMYFUNCTION("""COMPUTED_VALUE"""),"On Progress")</f>
        <v>On Progress</v>
      </c>
      <c r="K230" s="27">
        <f>IFERROR(__xludf.DUMMYFUNCTION("""COMPUTED_VALUE"""),46010.0)</f>
        <v>46010</v>
      </c>
      <c r="L230" s="27">
        <f>IFERROR(__xludf.DUMMYFUNCTION("""COMPUTED_VALUE"""),46010.0)</f>
        <v>46010</v>
      </c>
      <c r="M230" s="3" t="str">
        <f>IFERROR(__xludf.DUMMYFUNCTION("""COMPUTED_VALUE"""),"Done")</f>
        <v>Done</v>
      </c>
      <c r="N230" s="3"/>
      <c r="O230" s="3">
        <f>IFERROR(VLOOKUP(C230,Sheet4!A230:F1017,6,0),"")</f>
        <v>11489353</v>
      </c>
      <c r="Q230" s="2" t="str">
        <f t="shared" si="1"/>
        <v>19</v>
      </c>
    </row>
    <row r="231">
      <c r="A231" s="3" t="str">
        <f>IFERROR(__xludf.DUMMYFUNCTION("""COMPUTED_VALUE"""),"Pengecekan Power")</f>
        <v>Pengecekan Power</v>
      </c>
      <c r="B231" s="3" t="str">
        <f>IFERROR(__xludf.DUMMYFUNCTION("""COMPUTED_VALUE"""),"P1")</f>
        <v>P1</v>
      </c>
      <c r="C231" s="3" t="str">
        <f>IFERROR(__xludf.DUMMYFUNCTION("""COMPUTED_VALUE"""),"COH937")</f>
        <v>COH937</v>
      </c>
      <c r="D231" s="3" t="str">
        <f>IFERROR(__xludf.DUMMYFUNCTION("""COMPUTED_VALUE"""),"Riki Hidayat")</f>
        <v>Riki Hidayat</v>
      </c>
      <c r="E231" s="3" t="str">
        <f>IFERROR(__xludf.DUMMYFUNCTION("""COMPUTED_VALUE"""),"TE")</f>
        <v>TE</v>
      </c>
      <c r="F231" s="3" t="str">
        <f>IFERROR(__xludf.DUMMYFUNCTION("""COMPUTED_VALUE"""),"Winda Sokenda")</f>
        <v>Winda Sokenda</v>
      </c>
      <c r="G231" s="3" t="str">
        <f>IFERROR(__xludf.DUMMYFUNCTION("""COMPUTED_VALUE"""),"Barito Raya")</f>
        <v>Barito Raya</v>
      </c>
      <c r="H231" s="3" t="str">
        <f>IFERROR(__xludf.DUMMYFUNCTION("""COMPUTED_VALUE"""),"Preventive")</f>
        <v>Preventive</v>
      </c>
      <c r="I231" s="3" t="str">
        <f>IFERROR(__xludf.DUMMYFUNCTION("""COMPUTED_VALUE"""),"MCB trip/Power upnormal")</f>
        <v>MCB trip/Power upnormal</v>
      </c>
      <c r="J231" s="3" t="str">
        <f>IFERROR(__xludf.DUMMYFUNCTION("""COMPUTED_VALUE"""),"On Progress")</f>
        <v>On Progress</v>
      </c>
      <c r="K231" s="27">
        <f>IFERROR(__xludf.DUMMYFUNCTION("""COMPUTED_VALUE"""),46010.0)</f>
        <v>46010</v>
      </c>
      <c r="L231" s="27">
        <f>IFERROR(__xludf.DUMMYFUNCTION("""COMPUTED_VALUE"""),46010.0)</f>
        <v>46010</v>
      </c>
      <c r="M231" s="3" t="str">
        <f>IFERROR(__xludf.DUMMYFUNCTION("""COMPUTED_VALUE"""),"Done")</f>
        <v>Done</v>
      </c>
      <c r="N231" s="3"/>
      <c r="O231" s="3" t="str">
        <f>IFERROR(VLOOKUP(C231,Sheet4!A231:F1018,6,0),"")</f>
        <v/>
      </c>
      <c r="Q231" s="2" t="str">
        <f t="shared" si="1"/>
        <v>19</v>
      </c>
    </row>
    <row r="232">
      <c r="A232" s="3" t="str">
        <f>IFERROR(__xludf.DUMMYFUNCTION("""COMPUTED_VALUE"""),"Cell down")</f>
        <v>Cell down</v>
      </c>
      <c r="B232" s="3" t="str">
        <f>IFERROR(__xludf.DUMMYFUNCTION("""COMPUTED_VALUE"""),"P1")</f>
        <v>P1</v>
      </c>
      <c r="C232" s="3" t="str">
        <f>IFERROR(__xludf.DUMMYFUNCTION("""COMPUTED_VALUE"""),"PRC025")</f>
        <v>PRC025</v>
      </c>
      <c r="D232" s="3" t="str">
        <f>IFERROR(__xludf.DUMMYFUNCTION("""COMPUTED_VALUE"""),"Murjani")</f>
        <v>Murjani</v>
      </c>
      <c r="E232" s="3" t="str">
        <f>IFERROR(__xludf.DUMMYFUNCTION("""COMPUTED_VALUE"""),"TE")</f>
        <v>TE</v>
      </c>
      <c r="F232" s="3" t="str">
        <f>IFERROR(__xludf.DUMMYFUNCTION("""COMPUTED_VALUE"""),"Winda Sokenda")</f>
        <v>Winda Sokenda</v>
      </c>
      <c r="G232" s="3" t="str">
        <f>IFERROR(__xludf.DUMMYFUNCTION("""COMPUTED_VALUE"""),"Barito Raya")</f>
        <v>Barito Raya</v>
      </c>
      <c r="H232" s="3" t="str">
        <f>IFERROR(__xludf.DUMMYFUNCTION("""COMPUTED_VALUE"""),"Corrective")</f>
        <v>Corrective</v>
      </c>
      <c r="I232" s="3" t="str">
        <f>IFERROR(__xludf.DUMMYFUNCTION("""COMPUTED_VALUE"""),"Replace Optik,RRU/Soket Power/Replace GPS")</f>
        <v>Replace Optik,RRU/Soket Power/Replace GPS</v>
      </c>
      <c r="J232" s="3" t="str">
        <f>IFERROR(__xludf.DUMMYFUNCTION("""COMPUTED_VALUE"""),"On Progress")</f>
        <v>On Progress</v>
      </c>
      <c r="K232" s="27">
        <f>IFERROR(__xludf.DUMMYFUNCTION("""COMPUTED_VALUE"""),46010.0)</f>
        <v>46010</v>
      </c>
      <c r="L232" s="27">
        <f>IFERROR(__xludf.DUMMYFUNCTION("""COMPUTED_VALUE"""),46010.0)</f>
        <v>46010</v>
      </c>
      <c r="M232" s="3" t="str">
        <f>IFERROR(__xludf.DUMMYFUNCTION("""COMPUTED_VALUE"""),"Done")</f>
        <v>Done</v>
      </c>
      <c r="N232" s="3"/>
      <c r="O232" s="3">
        <f>IFERROR(VLOOKUP(C232,Sheet4!A232:F1019,6,0),"")</f>
        <v>11415439</v>
      </c>
      <c r="Q232" s="2" t="str">
        <f t="shared" si="1"/>
        <v>19</v>
      </c>
    </row>
    <row r="233">
      <c r="A233" s="3" t="str">
        <f>IFERROR(__xludf.DUMMYFUNCTION("""COMPUTED_VALUE"""),"Pengecekan Power")</f>
        <v>Pengecekan Power</v>
      </c>
      <c r="B233" s="3" t="str">
        <f>IFERROR(__xludf.DUMMYFUNCTION("""COMPUTED_VALUE"""),"P1")</f>
        <v>P1</v>
      </c>
      <c r="C233" s="3" t="str">
        <f>IFERROR(__xludf.DUMMYFUNCTION("""COMPUTED_VALUE"""),"KKP310")</f>
        <v>KKP310</v>
      </c>
      <c r="D233" s="3" t="str">
        <f>IFERROR(__xludf.DUMMYFUNCTION("""COMPUTED_VALUE"""),"Armadi")</f>
        <v>Armadi</v>
      </c>
      <c r="E233" s="3" t="str">
        <f>IFERROR(__xludf.DUMMYFUNCTION("""COMPUTED_VALUE"""),"TE")</f>
        <v>TE</v>
      </c>
      <c r="F233" s="3" t="str">
        <f>IFERROR(__xludf.DUMMYFUNCTION("""COMPUTED_VALUE"""),"Winda Sokenda")</f>
        <v>Winda Sokenda</v>
      </c>
      <c r="G233" s="3" t="str">
        <f>IFERROR(__xludf.DUMMYFUNCTION("""COMPUTED_VALUE"""),"Barito Raya")</f>
        <v>Barito Raya</v>
      </c>
      <c r="H233" s="3" t="str">
        <f>IFERROR(__xludf.DUMMYFUNCTION("""COMPUTED_VALUE"""),"Preventive")</f>
        <v>Preventive</v>
      </c>
      <c r="I233" s="3" t="str">
        <f>IFERROR(__xludf.DUMMYFUNCTION("""COMPUTED_VALUE"""),"MCB trip/Power upnormal")</f>
        <v>MCB trip/Power upnormal</v>
      </c>
      <c r="J233" s="3" t="str">
        <f>IFERROR(__xludf.DUMMYFUNCTION("""COMPUTED_VALUE"""),"On Progress")</f>
        <v>On Progress</v>
      </c>
      <c r="K233" s="27">
        <f>IFERROR(__xludf.DUMMYFUNCTION("""COMPUTED_VALUE"""),46010.0)</f>
        <v>46010</v>
      </c>
      <c r="L233" s="27">
        <f>IFERROR(__xludf.DUMMYFUNCTION("""COMPUTED_VALUE"""),46010.0)</f>
        <v>46010</v>
      </c>
      <c r="M233" s="3" t="str">
        <f>IFERROR(__xludf.DUMMYFUNCTION("""COMPUTED_VALUE"""),"Done")</f>
        <v>Done</v>
      </c>
      <c r="N233" s="3"/>
      <c r="O233" s="3">
        <f>IFERROR(VLOOKUP(C233,Sheet4!A233:F1020,6,0),"")</f>
        <v>11421141</v>
      </c>
      <c r="Q233" s="2" t="str">
        <f t="shared" si="1"/>
        <v>19</v>
      </c>
    </row>
    <row r="234">
      <c r="A234" s="3" t="str">
        <f>IFERROR(__xludf.DUMMYFUNCTION("""COMPUTED_VALUE"""),"PM")</f>
        <v>PM</v>
      </c>
      <c r="B234" s="3" t="str">
        <f>IFERROR(__xludf.DUMMYFUNCTION("""COMPUTED_VALUE"""),"P2")</f>
        <v>P2</v>
      </c>
      <c r="C234" s="3" t="str">
        <f>IFERROR(__xludf.DUMMYFUNCTION("""COMPUTED_VALUE"""),"KKP023")</f>
        <v>KKP023</v>
      </c>
      <c r="D234" s="3" t="str">
        <f>IFERROR(__xludf.DUMMYFUNCTION("""COMPUTED_VALUE"""),"Reynaldy Ricardo Putra")</f>
        <v>Reynaldy Ricardo Putra</v>
      </c>
      <c r="E234" s="3" t="str">
        <f>IFERROR(__xludf.DUMMYFUNCTION("""COMPUTED_VALUE"""),"TE")</f>
        <v>TE</v>
      </c>
      <c r="F234" s="3" t="str">
        <f>IFERROR(__xludf.DUMMYFUNCTION("""COMPUTED_VALUE"""),"Winda Sokenda")</f>
        <v>Winda Sokenda</v>
      </c>
      <c r="G234" s="3" t="str">
        <f>IFERROR(__xludf.DUMMYFUNCTION("""COMPUTED_VALUE"""),"Barito Raya")</f>
        <v>Barito Raya</v>
      </c>
      <c r="H234" s="3" t="str">
        <f>IFERROR(__xludf.DUMMYFUNCTION("""COMPUTED_VALUE"""),"Preventive")</f>
        <v>Preventive</v>
      </c>
      <c r="I234" s="3" t="str">
        <f>IFERROR(__xludf.DUMMYFUNCTION("""COMPUTED_VALUE"""),"Preventive Maintenance")</f>
        <v>Preventive Maintenance</v>
      </c>
      <c r="J234" s="3" t="str">
        <f>IFERROR(__xludf.DUMMYFUNCTION("""COMPUTED_VALUE"""),"On Progress")</f>
        <v>On Progress</v>
      </c>
      <c r="K234" s="27">
        <f>IFERROR(__xludf.DUMMYFUNCTION("""COMPUTED_VALUE"""),46010.0)</f>
        <v>46010</v>
      </c>
      <c r="L234" s="27">
        <f>IFERROR(__xludf.DUMMYFUNCTION("""COMPUTED_VALUE"""),46010.0)</f>
        <v>46010</v>
      </c>
      <c r="M234" s="3" t="str">
        <f>IFERROR(__xludf.DUMMYFUNCTION("""COMPUTED_VALUE"""),"Done")</f>
        <v>Done</v>
      </c>
      <c r="N234" s="3"/>
      <c r="O234" s="3">
        <f>IFERROR(VLOOKUP(C234,Sheet4!A234:F1021,6,0),"")</f>
        <v>11451949</v>
      </c>
      <c r="Q234" s="2" t="str">
        <f t="shared" si="1"/>
        <v>19</v>
      </c>
    </row>
    <row r="235">
      <c r="A235" s="3" t="str">
        <f>IFERROR(__xludf.DUMMYFUNCTION("""COMPUTED_VALUE"""),"Cell down")</f>
        <v>Cell down</v>
      </c>
      <c r="B235" s="3" t="str">
        <f>IFERROR(__xludf.DUMMYFUNCTION("""COMPUTED_VALUE"""),"P1")</f>
        <v>P1</v>
      </c>
      <c r="C235" s="3" t="str">
        <f>IFERROR(__xludf.DUMMYFUNCTION("""COMPUTED_VALUE"""),"KKP022")</f>
        <v>KKP022</v>
      </c>
      <c r="D235" s="3" t="str">
        <f>IFERROR(__xludf.DUMMYFUNCTION("""COMPUTED_VALUE"""),"Sahrul Saputra")</f>
        <v>Sahrul Saputra</v>
      </c>
      <c r="E235" s="3" t="str">
        <f>IFERROR(__xludf.DUMMYFUNCTION("""COMPUTED_VALUE"""),"TE")</f>
        <v>TE</v>
      </c>
      <c r="F235" s="3" t="str">
        <f>IFERROR(__xludf.DUMMYFUNCTION("""COMPUTED_VALUE"""),"Winda Sokenda")</f>
        <v>Winda Sokenda</v>
      </c>
      <c r="G235" s="3" t="str">
        <f>IFERROR(__xludf.DUMMYFUNCTION("""COMPUTED_VALUE"""),"Barito Raya")</f>
        <v>Barito Raya</v>
      </c>
      <c r="H235" s="3" t="str">
        <f>IFERROR(__xludf.DUMMYFUNCTION("""COMPUTED_VALUE"""),"Corrective")</f>
        <v>Corrective</v>
      </c>
      <c r="I235" s="3" t="str">
        <f>IFERROR(__xludf.DUMMYFUNCTION("""COMPUTED_VALUE"""),"Replace Optik,RRU/Soket Power/Replace GPS")</f>
        <v>Replace Optik,RRU/Soket Power/Replace GPS</v>
      </c>
      <c r="J235" s="3" t="str">
        <f>IFERROR(__xludf.DUMMYFUNCTION("""COMPUTED_VALUE"""),"On Progress")</f>
        <v>On Progress</v>
      </c>
      <c r="K235" s="27">
        <f>IFERROR(__xludf.DUMMYFUNCTION("""COMPUTED_VALUE"""),46010.0)</f>
        <v>46010</v>
      </c>
      <c r="L235" s="27">
        <f>IFERROR(__xludf.DUMMYFUNCTION("""COMPUTED_VALUE"""),46010.0)</f>
        <v>46010</v>
      </c>
      <c r="M235" s="3" t="str">
        <f>IFERROR(__xludf.DUMMYFUNCTION("""COMPUTED_VALUE"""),"Done")</f>
        <v>Done</v>
      </c>
      <c r="N235" s="3"/>
      <c r="O235" s="3">
        <f>IFERROR(VLOOKUP(C235,Sheet4!A235:F1022,6,0),"")</f>
        <v>11430901</v>
      </c>
      <c r="Q235" s="2" t="str">
        <f t="shared" si="1"/>
        <v>19</v>
      </c>
    </row>
    <row r="236">
      <c r="A236" s="3" t="str">
        <f>IFERROR(__xludf.DUMMYFUNCTION("""COMPUTED_VALUE"""),"Standby On Call")</f>
        <v>Standby On Call</v>
      </c>
      <c r="B236" s="3" t="str">
        <f>IFERROR(__xludf.DUMMYFUNCTION("""COMPUTED_VALUE"""),"P3")</f>
        <v>P3</v>
      </c>
      <c r="C236" s="3"/>
      <c r="D236" s="3" t="str">
        <f>IFERROR(__xludf.DUMMYFUNCTION("""COMPUTED_VALUE"""),"Pujianto")</f>
        <v>Pujianto</v>
      </c>
      <c r="E236" s="3" t="str">
        <f>IFERROR(__xludf.DUMMYFUNCTION("""COMPUTED_VALUE"""),"MBP")</f>
        <v>MBP</v>
      </c>
      <c r="F236" s="3" t="str">
        <f>IFERROR(__xludf.DUMMYFUNCTION("""COMPUTED_VALUE"""),"Winda Sokenda")</f>
        <v>Winda Sokenda</v>
      </c>
      <c r="G236" s="3" t="str">
        <f>IFERROR(__xludf.DUMMYFUNCTION("""COMPUTED_VALUE"""),"Barito Raya")</f>
        <v>Barito Raya</v>
      </c>
      <c r="H236" s="3" t="str">
        <f>IFERROR(__xludf.DUMMYFUNCTION("""COMPUTED_VALUE"""),"Standby")</f>
        <v>Standby</v>
      </c>
      <c r="I236" s="3" t="str">
        <f>IFERROR(__xludf.DUMMYFUNCTION("""COMPUTED_VALUE"""),"Standby On Call")</f>
        <v>Standby On Call</v>
      </c>
      <c r="J236" s="3"/>
      <c r="K236" s="27">
        <f>IFERROR(__xludf.DUMMYFUNCTION("""COMPUTED_VALUE"""),46010.0)</f>
        <v>46010</v>
      </c>
      <c r="L236" s="27">
        <f>IFERROR(__xludf.DUMMYFUNCTION("""COMPUTED_VALUE"""),46010.0)</f>
        <v>46010</v>
      </c>
      <c r="M236" s="3"/>
      <c r="N236" s="3"/>
      <c r="O236" s="3" t="str">
        <f>IFERROR(VLOOKUP(C236,Sheet4!A236:F1023,6,0),"")</f>
        <v/>
      </c>
      <c r="Q236" s="2" t="str">
        <f t="shared" si="1"/>
        <v>19</v>
      </c>
    </row>
    <row r="237">
      <c r="A237" s="3" t="str">
        <f>IFERROR(__xludf.DUMMYFUNCTION("""COMPUTED_VALUE"""),"Standby On Call")</f>
        <v>Standby On Call</v>
      </c>
      <c r="B237" s="3" t="str">
        <f>IFERROR(__xludf.DUMMYFUNCTION("""COMPUTED_VALUE"""),"P3")</f>
        <v>P3</v>
      </c>
      <c r="C237" s="3"/>
      <c r="D237" s="3" t="str">
        <f>IFERROR(__xludf.DUMMYFUNCTION("""COMPUTED_VALUE"""),"Alfi Syahri")</f>
        <v>Alfi Syahri</v>
      </c>
      <c r="E237" s="3" t="str">
        <f>IFERROR(__xludf.DUMMYFUNCTION("""COMPUTED_VALUE"""),"CME")</f>
        <v>CME</v>
      </c>
      <c r="F237" s="3" t="str">
        <f>IFERROR(__xludf.DUMMYFUNCTION("""COMPUTED_VALUE"""),"Winda Sokenda")</f>
        <v>Winda Sokenda</v>
      </c>
      <c r="G237" s="3" t="str">
        <f>IFERROR(__xludf.DUMMYFUNCTION("""COMPUTED_VALUE"""),"Barito Raya")</f>
        <v>Barito Raya</v>
      </c>
      <c r="H237" s="3" t="str">
        <f>IFERROR(__xludf.DUMMYFUNCTION("""COMPUTED_VALUE"""),"Standby")</f>
        <v>Standby</v>
      </c>
      <c r="I237" s="3" t="str">
        <f>IFERROR(__xludf.DUMMYFUNCTION("""COMPUTED_VALUE"""),"Standby On Call")</f>
        <v>Standby On Call</v>
      </c>
      <c r="J237" s="3"/>
      <c r="K237" s="27">
        <f>IFERROR(__xludf.DUMMYFUNCTION("""COMPUTED_VALUE"""),46010.0)</f>
        <v>46010</v>
      </c>
      <c r="L237" s="27">
        <f>IFERROR(__xludf.DUMMYFUNCTION("""COMPUTED_VALUE"""),46010.0)</f>
        <v>46010</v>
      </c>
      <c r="M237" s="3"/>
      <c r="N237" s="3"/>
      <c r="O237" s="3" t="str">
        <f>IFERROR(VLOOKUP(C237,Sheet4!A237:F1024,6,0),"")</f>
        <v/>
      </c>
      <c r="Q237" s="2" t="str">
        <f t="shared" si="1"/>
        <v>19</v>
      </c>
    </row>
    <row r="238">
      <c r="A238" s="3" t="str">
        <f>IFERROR(__xludf.DUMMYFUNCTION("""COMPUTED_VALUE"""),"Pengecekan Power")</f>
        <v>Pengecekan Power</v>
      </c>
      <c r="B238" s="3" t="str">
        <f>IFERROR(__xludf.DUMMYFUNCTION("""COMPUTED_VALUE"""),"P1")</f>
        <v>P1</v>
      </c>
      <c r="C238" s="3" t="str">
        <f>IFERROR(__xludf.DUMMYFUNCTION("""COMPUTED_VALUE"""),"MTW062")</f>
        <v>MTW062</v>
      </c>
      <c r="D238" s="3" t="str">
        <f>IFERROR(__xludf.DUMMYFUNCTION("""COMPUTED_VALUE"""),"Harun Nurasyid")</f>
        <v>Harun Nurasyid</v>
      </c>
      <c r="E238" s="3" t="str">
        <f>IFERROR(__xludf.DUMMYFUNCTION("""COMPUTED_VALUE"""),"CME")</f>
        <v>CME</v>
      </c>
      <c r="F238" s="3" t="str">
        <f>IFERROR(__xludf.DUMMYFUNCTION("""COMPUTED_VALUE"""),"Winda Sokenda")</f>
        <v>Winda Sokenda</v>
      </c>
      <c r="G238" s="3" t="str">
        <f>IFERROR(__xludf.DUMMYFUNCTION("""COMPUTED_VALUE"""),"Barito Raya")</f>
        <v>Barito Raya</v>
      </c>
      <c r="H238" s="3" t="str">
        <f>IFERROR(__xludf.DUMMYFUNCTION("""COMPUTED_VALUE"""),"Preventive")</f>
        <v>Preventive</v>
      </c>
      <c r="I238" s="3" t="str">
        <f>IFERROR(__xludf.DUMMYFUNCTION("""COMPUTED_VALUE"""),"MCB trip/Power upnormal")</f>
        <v>MCB trip/Power upnormal</v>
      </c>
      <c r="J238" s="3" t="str">
        <f>IFERROR(__xludf.DUMMYFUNCTION("""COMPUTED_VALUE"""),"On Progress")</f>
        <v>On Progress</v>
      </c>
      <c r="K238" s="27">
        <f>IFERROR(__xludf.DUMMYFUNCTION("""COMPUTED_VALUE"""),46010.0)</f>
        <v>46010</v>
      </c>
      <c r="L238" s="27">
        <f>IFERROR(__xludf.DUMMYFUNCTION("""COMPUTED_VALUE"""),46010.0)</f>
        <v>46010</v>
      </c>
      <c r="M238" s="3" t="str">
        <f>IFERROR(__xludf.DUMMYFUNCTION("""COMPUTED_VALUE"""),"Done")</f>
        <v>Done</v>
      </c>
      <c r="N238" s="3"/>
      <c r="O238" s="3" t="str">
        <f>IFERROR(VLOOKUP(C238,Sheet4!A238:F1025,6,0),"")</f>
        <v/>
      </c>
      <c r="Q238" s="2" t="str">
        <f t="shared" si="1"/>
        <v>19</v>
      </c>
    </row>
    <row r="239">
      <c r="A239" s="3" t="str">
        <f>IFERROR(__xludf.DUMMYFUNCTION("""COMPUTED_VALUE"""),"Standby On Call")</f>
        <v>Standby On Call</v>
      </c>
      <c r="B239" s="3" t="str">
        <f>IFERROR(__xludf.DUMMYFUNCTION("""COMPUTED_VALUE"""),"P3")</f>
        <v>P3</v>
      </c>
      <c r="C239" s="3"/>
      <c r="D239" s="3" t="str">
        <f>IFERROR(__xludf.DUMMYFUNCTION("""COMPUTED_VALUE"""),"Nurhayat")</f>
        <v>Nurhayat</v>
      </c>
      <c r="E239" s="3" t="str">
        <f>IFERROR(__xludf.DUMMYFUNCTION("""COMPUTED_VALUE"""),"MBP")</f>
        <v>MBP</v>
      </c>
      <c r="F239" s="3" t="str">
        <f>IFERROR(__xludf.DUMMYFUNCTION("""COMPUTED_VALUE"""),"Winda Sokenda")</f>
        <v>Winda Sokenda</v>
      </c>
      <c r="G239" s="3" t="str">
        <f>IFERROR(__xludf.DUMMYFUNCTION("""COMPUTED_VALUE"""),"Barito Raya")</f>
        <v>Barito Raya</v>
      </c>
      <c r="H239" s="3" t="str">
        <f>IFERROR(__xludf.DUMMYFUNCTION("""COMPUTED_VALUE"""),"Standby")</f>
        <v>Standby</v>
      </c>
      <c r="I239" s="3" t="str">
        <f>IFERROR(__xludf.DUMMYFUNCTION("""COMPUTED_VALUE"""),"Standby On Call")</f>
        <v>Standby On Call</v>
      </c>
      <c r="J239" s="3"/>
      <c r="K239" s="27">
        <f>IFERROR(__xludf.DUMMYFUNCTION("""COMPUTED_VALUE"""),46010.0)</f>
        <v>46010</v>
      </c>
      <c r="L239" s="27">
        <f>IFERROR(__xludf.DUMMYFUNCTION("""COMPUTED_VALUE"""),46010.0)</f>
        <v>46010</v>
      </c>
      <c r="M239" s="3"/>
      <c r="N239" s="3"/>
      <c r="O239" s="3" t="str">
        <f>IFERROR(VLOOKUP(C239,Sheet4!A239:F1026,6,0),"")</f>
        <v/>
      </c>
      <c r="Q239" s="2" t="str">
        <f t="shared" si="1"/>
        <v>19</v>
      </c>
    </row>
    <row r="240">
      <c r="A240" s="3" t="str">
        <f>IFERROR(__xludf.DUMMYFUNCTION("""COMPUTED_VALUE"""),"Standby On Call")</f>
        <v>Standby On Call</v>
      </c>
      <c r="B240" s="3" t="str">
        <f>IFERROR(__xludf.DUMMYFUNCTION("""COMPUTED_VALUE"""),"P3")</f>
        <v>P3</v>
      </c>
      <c r="C240" s="3"/>
      <c r="D240" s="3" t="str">
        <f>IFERROR(__xludf.DUMMYFUNCTION("""COMPUTED_VALUE"""),"Rio ardinata")</f>
        <v>Rio ardinata</v>
      </c>
      <c r="E240" s="3" t="str">
        <f>IFERROR(__xludf.DUMMYFUNCTION("""COMPUTED_VALUE"""),"MBP")</f>
        <v>MBP</v>
      </c>
      <c r="F240" s="3" t="str">
        <f>IFERROR(__xludf.DUMMYFUNCTION("""COMPUTED_VALUE"""),"Winda Sokenda")</f>
        <v>Winda Sokenda</v>
      </c>
      <c r="G240" s="3" t="str">
        <f>IFERROR(__xludf.DUMMYFUNCTION("""COMPUTED_VALUE"""),"Barito Raya")</f>
        <v>Barito Raya</v>
      </c>
      <c r="H240" s="3" t="str">
        <f>IFERROR(__xludf.DUMMYFUNCTION("""COMPUTED_VALUE"""),"Standby")</f>
        <v>Standby</v>
      </c>
      <c r="I240" s="3" t="str">
        <f>IFERROR(__xludf.DUMMYFUNCTION("""COMPUTED_VALUE"""),"Standby On Call")</f>
        <v>Standby On Call</v>
      </c>
      <c r="J240" s="3"/>
      <c r="K240" s="27">
        <f>IFERROR(__xludf.DUMMYFUNCTION("""COMPUTED_VALUE"""),46010.0)</f>
        <v>46010</v>
      </c>
      <c r="L240" s="27">
        <f>IFERROR(__xludf.DUMMYFUNCTION("""COMPUTED_VALUE"""),46010.0)</f>
        <v>46010</v>
      </c>
      <c r="M240" s="3"/>
      <c r="N240" s="3"/>
      <c r="O240" s="3" t="str">
        <f>IFERROR(VLOOKUP(C240,Sheet4!A240:F1027,6,0),"")</f>
        <v/>
      </c>
      <c r="Q240" s="2" t="str">
        <f t="shared" si="1"/>
        <v>19</v>
      </c>
    </row>
    <row r="241">
      <c r="A241" s="3" t="str">
        <f>IFERROR(__xludf.DUMMYFUNCTION("""COMPUTED_VALUE"""),"Standby On Call")</f>
        <v>Standby On Call</v>
      </c>
      <c r="B241" s="3" t="str">
        <f>IFERROR(__xludf.DUMMYFUNCTION("""COMPUTED_VALUE"""),"P3")</f>
        <v>P3</v>
      </c>
      <c r="C241" s="3"/>
      <c r="D241" s="3" t="str">
        <f>IFERROR(__xludf.DUMMYFUNCTION("""COMPUTED_VALUE"""),"Taklim")</f>
        <v>Taklim</v>
      </c>
      <c r="E241" s="3" t="str">
        <f>IFERROR(__xludf.DUMMYFUNCTION("""COMPUTED_VALUE"""),"MBP")</f>
        <v>MBP</v>
      </c>
      <c r="F241" s="3" t="str">
        <f>IFERROR(__xludf.DUMMYFUNCTION("""COMPUTED_VALUE"""),"Winda Sokenda")</f>
        <v>Winda Sokenda</v>
      </c>
      <c r="G241" s="3" t="str">
        <f>IFERROR(__xludf.DUMMYFUNCTION("""COMPUTED_VALUE"""),"Barito Raya")</f>
        <v>Barito Raya</v>
      </c>
      <c r="H241" s="3" t="str">
        <f>IFERROR(__xludf.DUMMYFUNCTION("""COMPUTED_VALUE"""),"Standby")</f>
        <v>Standby</v>
      </c>
      <c r="I241" s="3" t="str">
        <f>IFERROR(__xludf.DUMMYFUNCTION("""COMPUTED_VALUE"""),"Standby On Call")</f>
        <v>Standby On Call</v>
      </c>
      <c r="J241" s="3"/>
      <c r="K241" s="27">
        <f>IFERROR(__xludf.DUMMYFUNCTION("""COMPUTED_VALUE"""),46010.0)</f>
        <v>46010</v>
      </c>
      <c r="L241" s="27">
        <f>IFERROR(__xludf.DUMMYFUNCTION("""COMPUTED_VALUE"""),46010.0)</f>
        <v>46010</v>
      </c>
      <c r="M241" s="3"/>
      <c r="N241" s="3"/>
      <c r="O241" s="3" t="str">
        <f>IFERROR(VLOOKUP(C241,Sheet4!A241:F1028,6,0),"")</f>
        <v/>
      </c>
      <c r="Q241" s="2" t="str">
        <f t="shared" si="1"/>
        <v>19</v>
      </c>
    </row>
    <row r="242">
      <c r="A242" s="3" t="str">
        <f>IFERROR(__xludf.DUMMYFUNCTION("""COMPUTED_VALUE"""),"Standby On Call")</f>
        <v>Standby On Call</v>
      </c>
      <c r="B242" s="3" t="str">
        <f>IFERROR(__xludf.DUMMYFUNCTION("""COMPUTED_VALUE"""),"P3")</f>
        <v>P3</v>
      </c>
      <c r="C242" s="3"/>
      <c r="D242" s="3" t="str">
        <f>IFERROR(__xludf.DUMMYFUNCTION("""COMPUTED_VALUE"""),"Ahmad Muzakir")</f>
        <v>Ahmad Muzakir</v>
      </c>
      <c r="E242" s="3" t="str">
        <f>IFERROR(__xludf.DUMMYFUNCTION("""COMPUTED_VALUE"""),"MBP")</f>
        <v>MBP</v>
      </c>
      <c r="F242" s="3" t="str">
        <f>IFERROR(__xludf.DUMMYFUNCTION("""COMPUTED_VALUE"""),"Winda Sokenda")</f>
        <v>Winda Sokenda</v>
      </c>
      <c r="G242" s="3" t="str">
        <f>IFERROR(__xludf.DUMMYFUNCTION("""COMPUTED_VALUE"""),"Barito Raya")</f>
        <v>Barito Raya</v>
      </c>
      <c r="H242" s="3" t="str">
        <f>IFERROR(__xludf.DUMMYFUNCTION("""COMPUTED_VALUE"""),"Standby")</f>
        <v>Standby</v>
      </c>
      <c r="I242" s="3" t="str">
        <f>IFERROR(__xludf.DUMMYFUNCTION("""COMPUTED_VALUE"""),"Standby On Call")</f>
        <v>Standby On Call</v>
      </c>
      <c r="J242" s="3"/>
      <c r="K242" s="27">
        <f>IFERROR(__xludf.DUMMYFUNCTION("""COMPUTED_VALUE"""),46010.0)</f>
        <v>46010</v>
      </c>
      <c r="L242" s="27">
        <f>IFERROR(__xludf.DUMMYFUNCTION("""COMPUTED_VALUE"""),46010.0)</f>
        <v>46010</v>
      </c>
      <c r="M242" s="3"/>
      <c r="N242" s="3"/>
      <c r="O242" s="3" t="str">
        <f>IFERROR(VLOOKUP(C242,Sheet4!A242:F1029,6,0),"")</f>
        <v/>
      </c>
      <c r="Q242" s="2" t="str">
        <f t="shared" si="1"/>
        <v>19</v>
      </c>
    </row>
    <row r="243">
      <c r="A243" s="3" t="str">
        <f>IFERROR(__xludf.DUMMYFUNCTION("""COMPUTED_VALUE"""),"PM")</f>
        <v>PM</v>
      </c>
      <c r="B243" s="3" t="str">
        <f>IFERROR(__xludf.DUMMYFUNCTION("""COMPUTED_VALUE"""),"P2")</f>
        <v>P2</v>
      </c>
      <c r="C243" s="3" t="str">
        <f>IFERROR(__xludf.DUMMYFUNCTION("""COMPUTED_VALUE"""),"BNT017")</f>
        <v>BNT017</v>
      </c>
      <c r="D243" s="3" t="str">
        <f>IFERROR(__xludf.DUMMYFUNCTION("""COMPUTED_VALUE"""),"Trisno Susanto")</f>
        <v>Trisno Susanto</v>
      </c>
      <c r="E243" s="3" t="str">
        <f>IFERROR(__xludf.DUMMYFUNCTION("""COMPUTED_VALUE"""),"PM")</f>
        <v>PM</v>
      </c>
      <c r="F243" s="3" t="str">
        <f>IFERROR(__xludf.DUMMYFUNCTION("""COMPUTED_VALUE"""),"Winda Sokenda")</f>
        <v>Winda Sokenda</v>
      </c>
      <c r="G243" s="3" t="str">
        <f>IFERROR(__xludf.DUMMYFUNCTION("""COMPUTED_VALUE"""),"Barito Raya")</f>
        <v>Barito Raya</v>
      </c>
      <c r="H243" s="3" t="str">
        <f>IFERROR(__xludf.DUMMYFUNCTION("""COMPUTED_VALUE"""),"Preventive")</f>
        <v>Preventive</v>
      </c>
      <c r="I243" s="3" t="str">
        <f>IFERROR(__xludf.DUMMYFUNCTION("""COMPUTED_VALUE"""),"Preventive Maintenance")</f>
        <v>Preventive Maintenance</v>
      </c>
      <c r="J243" s="3" t="str">
        <f>IFERROR(__xludf.DUMMYFUNCTION("""COMPUTED_VALUE"""),"On Progress")</f>
        <v>On Progress</v>
      </c>
      <c r="K243" s="27">
        <f>IFERROR(__xludf.DUMMYFUNCTION("""COMPUTED_VALUE"""),46010.0)</f>
        <v>46010</v>
      </c>
      <c r="L243" s="27">
        <f>IFERROR(__xludf.DUMMYFUNCTION("""COMPUTED_VALUE"""),46010.0)</f>
        <v>46010</v>
      </c>
      <c r="M243" s="3" t="str">
        <f>IFERROR(__xludf.DUMMYFUNCTION("""COMPUTED_VALUE"""),"Done")</f>
        <v>Done</v>
      </c>
      <c r="N243" s="3"/>
      <c r="O243" s="3" t="str">
        <f>IFERROR(VLOOKUP(C243,Sheet4!A243:F1030,6,0),"")</f>
        <v/>
      </c>
      <c r="Q243" s="2" t="str">
        <f t="shared" si="1"/>
        <v>19</v>
      </c>
    </row>
    <row r="244">
      <c r="A244" s="3" t="str">
        <f>IFERROR(__xludf.DUMMYFUNCTION("""COMPUTED_VALUE"""),"PM")</f>
        <v>PM</v>
      </c>
      <c r="B244" s="3" t="str">
        <f>IFERROR(__xludf.DUMMYFUNCTION("""COMPUTED_VALUE"""),"P2")</f>
        <v>P2</v>
      </c>
      <c r="C244" s="3" t="str">
        <f>IFERROR(__xludf.DUMMYFUNCTION("""COMPUTED_VALUE"""),"BNT523")</f>
        <v>BNT523</v>
      </c>
      <c r="D244" s="3" t="str">
        <f>IFERROR(__xludf.DUMMYFUNCTION("""COMPUTED_VALUE"""),"Khilal dawai katiri")</f>
        <v>Khilal dawai katiri</v>
      </c>
      <c r="E244" s="3" t="str">
        <f>IFERROR(__xludf.DUMMYFUNCTION("""COMPUTED_VALUE"""),"MBP")</f>
        <v>MBP</v>
      </c>
      <c r="F244" s="3" t="str">
        <f>IFERROR(__xludf.DUMMYFUNCTION("""COMPUTED_VALUE"""),"Winda Sokenda")</f>
        <v>Winda Sokenda</v>
      </c>
      <c r="G244" s="3" t="str">
        <f>IFERROR(__xludf.DUMMYFUNCTION("""COMPUTED_VALUE"""),"Barito Raya")</f>
        <v>Barito Raya</v>
      </c>
      <c r="H244" s="3" t="str">
        <f>IFERROR(__xludf.DUMMYFUNCTION("""COMPUTED_VALUE"""),"Preventive")</f>
        <v>Preventive</v>
      </c>
      <c r="I244" s="3" t="str">
        <f>IFERROR(__xludf.DUMMYFUNCTION("""COMPUTED_VALUE"""),"Preventive Maintenance")</f>
        <v>Preventive Maintenance</v>
      </c>
      <c r="J244" s="3" t="str">
        <f>IFERROR(__xludf.DUMMYFUNCTION("""COMPUTED_VALUE"""),"On Progress")</f>
        <v>On Progress</v>
      </c>
      <c r="K244" s="27">
        <f>IFERROR(__xludf.DUMMYFUNCTION("""COMPUTED_VALUE"""),46010.0)</f>
        <v>46010</v>
      </c>
      <c r="L244" s="27">
        <f>IFERROR(__xludf.DUMMYFUNCTION("""COMPUTED_VALUE"""),46010.0)</f>
        <v>46010</v>
      </c>
      <c r="M244" s="3" t="str">
        <f>IFERROR(__xludf.DUMMYFUNCTION("""COMPUTED_VALUE"""),"Done")</f>
        <v>Done</v>
      </c>
      <c r="N244" s="3"/>
      <c r="O244" s="3" t="str">
        <f>IFERROR(VLOOKUP(C244,Sheet4!A244:F1031,6,0),"")</f>
        <v/>
      </c>
      <c r="Q244" s="2" t="str">
        <f t="shared" si="1"/>
        <v>19</v>
      </c>
    </row>
    <row r="245">
      <c r="A245" s="3" t="str">
        <f>IFERROR(__xludf.DUMMYFUNCTION("""COMPUTED_VALUE"""),"PM")</f>
        <v>PM</v>
      </c>
      <c r="B245" s="3" t="str">
        <f>IFERROR(__xludf.DUMMYFUNCTION("""COMPUTED_VALUE"""),"P2")</f>
        <v>P2</v>
      </c>
      <c r="C245" s="3" t="str">
        <f>IFERROR(__xludf.DUMMYFUNCTION("""COMPUTED_VALUE"""),"PRC")</f>
        <v>PRC</v>
      </c>
      <c r="D245" s="3" t="str">
        <f>IFERROR(__xludf.DUMMYFUNCTION("""COMPUTED_VALUE"""),"Riko setiadi")</f>
        <v>Riko setiadi</v>
      </c>
      <c r="E245" s="3" t="str">
        <f>IFERROR(__xludf.DUMMYFUNCTION("""COMPUTED_VALUE"""),"PM")</f>
        <v>PM</v>
      </c>
      <c r="F245" s="3" t="str">
        <f>IFERROR(__xludf.DUMMYFUNCTION("""COMPUTED_VALUE"""),"Winda Sokenda")</f>
        <v>Winda Sokenda</v>
      </c>
      <c r="G245" s="3" t="str">
        <f>IFERROR(__xludf.DUMMYFUNCTION("""COMPUTED_VALUE"""),"Barito Raya")</f>
        <v>Barito Raya</v>
      </c>
      <c r="H245" s="3" t="str">
        <f>IFERROR(__xludf.DUMMYFUNCTION("""COMPUTED_VALUE"""),"Preventive")</f>
        <v>Preventive</v>
      </c>
      <c r="I245" s="3" t="str">
        <f>IFERROR(__xludf.DUMMYFUNCTION("""COMPUTED_VALUE"""),"Preventive Maintenance")</f>
        <v>Preventive Maintenance</v>
      </c>
      <c r="J245" s="3" t="str">
        <f>IFERROR(__xludf.DUMMYFUNCTION("""COMPUTED_VALUE"""),"On Progress")</f>
        <v>On Progress</v>
      </c>
      <c r="K245" s="27">
        <f>IFERROR(__xludf.DUMMYFUNCTION("""COMPUTED_VALUE"""),46010.0)</f>
        <v>46010</v>
      </c>
      <c r="L245" s="27">
        <f>IFERROR(__xludf.DUMMYFUNCTION("""COMPUTED_VALUE"""),46010.0)</f>
        <v>46010</v>
      </c>
      <c r="M245" s="3" t="str">
        <f>IFERROR(__xludf.DUMMYFUNCTION("""COMPUTED_VALUE"""),"Done")</f>
        <v>Done</v>
      </c>
      <c r="N245" s="3"/>
      <c r="O245" s="3" t="str">
        <f>IFERROR(VLOOKUP(C245,Sheet4!A245:F1032,6,0),"")</f>
        <v/>
      </c>
      <c r="Q245" s="2" t="str">
        <f t="shared" si="1"/>
        <v>19</v>
      </c>
    </row>
    <row r="246">
      <c r="A246" s="3" t="str">
        <f>IFERROR(__xludf.DUMMYFUNCTION("""COMPUTED_VALUE"""),"Pengecekan battrey")</f>
        <v>Pengecekan battrey</v>
      </c>
      <c r="B246" s="3" t="str">
        <f>IFERROR(__xludf.DUMMYFUNCTION("""COMPUTED_VALUE"""),"P2")</f>
        <v>P2</v>
      </c>
      <c r="C246" s="3" t="str">
        <f>IFERROR(__xludf.DUMMYFUNCTION("""COMPUTED_VALUE"""),"BNT027")</f>
        <v>BNT027</v>
      </c>
      <c r="D246" s="3" t="str">
        <f>IFERROR(__xludf.DUMMYFUNCTION("""COMPUTED_VALUE"""),"Putra wardana")</f>
        <v>Putra wardana</v>
      </c>
      <c r="E246" s="3" t="str">
        <f>IFERROR(__xludf.DUMMYFUNCTION("""COMPUTED_VALUE"""),"TE")</f>
        <v>TE</v>
      </c>
      <c r="F246" s="3" t="str">
        <f>IFERROR(__xludf.DUMMYFUNCTION("""COMPUTED_VALUE"""),"Winda Sokenda")</f>
        <v>Winda Sokenda</v>
      </c>
      <c r="G246" s="3" t="str">
        <f>IFERROR(__xludf.DUMMYFUNCTION("""COMPUTED_VALUE"""),"Barito Raya")</f>
        <v>Barito Raya</v>
      </c>
      <c r="H246" s="3" t="str">
        <f>IFERROR(__xludf.DUMMYFUNCTION("""COMPUTED_VALUE"""),"Preventive")</f>
        <v>Preventive</v>
      </c>
      <c r="I246" s="3" t="str">
        <f>IFERROR(__xludf.DUMMYFUNCTION("""COMPUTED_VALUE"""),"Pengukuran dan pengambilan data log serta input Gdoc BBT")</f>
        <v>Pengukuran dan pengambilan data log serta input Gdoc BBT</v>
      </c>
      <c r="J246" s="3" t="str">
        <f>IFERROR(__xludf.DUMMYFUNCTION("""COMPUTED_VALUE"""),"On Progress")</f>
        <v>On Progress</v>
      </c>
      <c r="K246" s="27">
        <f>IFERROR(__xludf.DUMMYFUNCTION("""COMPUTED_VALUE"""),46013.0)</f>
        <v>46013</v>
      </c>
      <c r="L246" s="27">
        <f>IFERROR(__xludf.DUMMYFUNCTION("""COMPUTED_VALUE"""),46013.0)</f>
        <v>46013</v>
      </c>
      <c r="M246" s="3" t="str">
        <f>IFERROR(__xludf.DUMMYFUNCTION("""COMPUTED_VALUE"""),"Done")</f>
        <v>Done</v>
      </c>
      <c r="N246" s="3"/>
      <c r="O246" s="3" t="str">
        <f>IFERROR(VLOOKUP(C246,Sheet4!A246:F1033,6,0),"")</f>
        <v/>
      </c>
      <c r="Q246" s="2" t="str">
        <f t="shared" si="1"/>
        <v>22</v>
      </c>
    </row>
    <row r="247">
      <c r="A247" s="3" t="str">
        <f>IFERROR(__xludf.DUMMYFUNCTION("""COMPUTED_VALUE"""),"Tshoot Genset")</f>
        <v>Tshoot Genset</v>
      </c>
      <c r="B247" s="3" t="str">
        <f>IFERROR(__xludf.DUMMYFUNCTION("""COMPUTED_VALUE"""),"P1")</f>
        <v>P1</v>
      </c>
      <c r="C247" s="3" t="str">
        <f>IFERROR(__xludf.DUMMYFUNCTION("""COMPUTED_VALUE"""),"TML030")</f>
        <v>TML030</v>
      </c>
      <c r="D247" s="3" t="str">
        <f>IFERROR(__xludf.DUMMYFUNCTION("""COMPUTED_VALUE"""),"Sailillah")</f>
        <v>Sailillah</v>
      </c>
      <c r="E247" s="3" t="str">
        <f>IFERROR(__xludf.DUMMYFUNCTION("""COMPUTED_VALUE"""),"TE")</f>
        <v>TE</v>
      </c>
      <c r="F247" s="3" t="str">
        <f>IFERROR(__xludf.DUMMYFUNCTION("""COMPUTED_VALUE"""),"Winda Sokenda")</f>
        <v>Winda Sokenda</v>
      </c>
      <c r="G247" s="3" t="str">
        <f>IFERROR(__xludf.DUMMYFUNCTION("""COMPUTED_VALUE"""),"Barito Raya")</f>
        <v>Barito Raya</v>
      </c>
      <c r="H247" s="3" t="str">
        <f>IFERROR(__xludf.DUMMYFUNCTION("""COMPUTED_VALUE"""),"Corrective")</f>
        <v>Corrective</v>
      </c>
      <c r="I247" s="3" t="str">
        <f>IFERROR(__xludf.DUMMYFUNCTION("""COMPUTED_VALUE"""),"Perbaikan Auto,pergantian relay,timer, yang berhubungan genset")</f>
        <v>Perbaikan Auto,pergantian relay,timer, yang berhubungan genset</v>
      </c>
      <c r="J247" s="3" t="str">
        <f>IFERROR(__xludf.DUMMYFUNCTION("""COMPUTED_VALUE"""),"On Progress")</f>
        <v>On Progress</v>
      </c>
      <c r="K247" s="27">
        <f>IFERROR(__xludf.DUMMYFUNCTION("""COMPUTED_VALUE"""),46013.0)</f>
        <v>46013</v>
      </c>
      <c r="L247" s="27">
        <f>IFERROR(__xludf.DUMMYFUNCTION("""COMPUTED_VALUE"""),46013.0)</f>
        <v>46013</v>
      </c>
      <c r="M247" s="3" t="str">
        <f>IFERROR(__xludf.DUMMYFUNCTION("""COMPUTED_VALUE"""),"Done")</f>
        <v>Done</v>
      </c>
      <c r="N247" s="3"/>
      <c r="O247" s="3">
        <f>IFERROR(VLOOKUP(C247,Sheet4!A247:F1034,6,0),"")</f>
        <v>11513525</v>
      </c>
      <c r="Q247" s="2" t="str">
        <f t="shared" si="1"/>
        <v>22</v>
      </c>
    </row>
    <row r="248">
      <c r="A248" s="3" t="str">
        <f>IFERROR(__xludf.DUMMYFUNCTION("""COMPUTED_VALUE"""),"Pengecekan Power")</f>
        <v>Pengecekan Power</v>
      </c>
      <c r="B248" s="3" t="str">
        <f>IFERROR(__xludf.DUMMYFUNCTION("""COMPUTED_VALUE"""),"P1")</f>
        <v>P1</v>
      </c>
      <c r="C248" s="3" t="str">
        <f>IFERROR(__xludf.DUMMYFUNCTION("""COMPUTED_VALUE"""),"NTH123")</f>
        <v>NTH123</v>
      </c>
      <c r="D248" s="3" t="str">
        <f>IFERROR(__xludf.DUMMYFUNCTION("""COMPUTED_VALUE"""),"Tiviansyah")</f>
        <v>Tiviansyah</v>
      </c>
      <c r="E248" s="3" t="str">
        <f>IFERROR(__xludf.DUMMYFUNCTION("""COMPUTED_VALUE"""),"TE")</f>
        <v>TE</v>
      </c>
      <c r="F248" s="3" t="str">
        <f>IFERROR(__xludf.DUMMYFUNCTION("""COMPUTED_VALUE"""),"Winda Sokenda")</f>
        <v>Winda Sokenda</v>
      </c>
      <c r="G248" s="3" t="str">
        <f>IFERROR(__xludf.DUMMYFUNCTION("""COMPUTED_VALUE"""),"Barito Raya")</f>
        <v>Barito Raya</v>
      </c>
      <c r="H248" s="3" t="str">
        <f>IFERROR(__xludf.DUMMYFUNCTION("""COMPUTED_VALUE"""),"Preventive")</f>
        <v>Preventive</v>
      </c>
      <c r="I248" s="3" t="str">
        <f>IFERROR(__xludf.DUMMYFUNCTION("""COMPUTED_VALUE"""),"MCB trip/Power upnormal")</f>
        <v>MCB trip/Power upnormal</v>
      </c>
      <c r="J248" s="3" t="str">
        <f>IFERROR(__xludf.DUMMYFUNCTION("""COMPUTED_VALUE"""),"On Progress")</f>
        <v>On Progress</v>
      </c>
      <c r="K248" s="27">
        <f>IFERROR(__xludf.DUMMYFUNCTION("""COMPUTED_VALUE"""),46013.0)</f>
        <v>46013</v>
      </c>
      <c r="L248" s="27">
        <f>IFERROR(__xludf.DUMMYFUNCTION("""COMPUTED_VALUE"""),46013.0)</f>
        <v>46013</v>
      </c>
      <c r="M248" s="3" t="str">
        <f>IFERROR(__xludf.DUMMYFUNCTION("""COMPUTED_VALUE"""),"Done")</f>
        <v>Done</v>
      </c>
      <c r="N248" s="3"/>
      <c r="O248" s="3">
        <f>IFERROR(VLOOKUP(C248,Sheet4!A248:F1035,6,0),"")</f>
        <v>11524776</v>
      </c>
      <c r="Q248" s="2" t="str">
        <f t="shared" si="1"/>
        <v>22</v>
      </c>
    </row>
    <row r="249">
      <c r="A249" s="3" t="str">
        <f>IFERROR(__xludf.DUMMYFUNCTION("""COMPUTED_VALUE"""),"Pengecekan battrey")</f>
        <v>Pengecekan battrey</v>
      </c>
      <c r="B249" s="3" t="str">
        <f>IFERROR(__xludf.DUMMYFUNCTION("""COMPUTED_VALUE"""),"P2")</f>
        <v>P2</v>
      </c>
      <c r="C249" s="3" t="str">
        <f>IFERROR(__xludf.DUMMYFUNCTION("""COMPUTED_VALUE"""),"MTW002")</f>
        <v>MTW002</v>
      </c>
      <c r="D249" s="3" t="str">
        <f>IFERROR(__xludf.DUMMYFUNCTION("""COMPUTED_VALUE"""),"munawir akhmad")</f>
        <v>munawir akhmad</v>
      </c>
      <c r="E249" s="3" t="str">
        <f>IFERROR(__xludf.DUMMYFUNCTION("""COMPUTED_VALUE"""),"TE")</f>
        <v>TE</v>
      </c>
      <c r="F249" s="3" t="str">
        <f>IFERROR(__xludf.DUMMYFUNCTION("""COMPUTED_VALUE"""),"Winda Sokenda")</f>
        <v>Winda Sokenda</v>
      </c>
      <c r="G249" s="3" t="str">
        <f>IFERROR(__xludf.DUMMYFUNCTION("""COMPUTED_VALUE"""),"Barito Raya")</f>
        <v>Barito Raya</v>
      </c>
      <c r="H249" s="3" t="str">
        <f>IFERROR(__xludf.DUMMYFUNCTION("""COMPUTED_VALUE"""),"Preventive")</f>
        <v>Preventive</v>
      </c>
      <c r="I249" s="3" t="str">
        <f>IFERROR(__xludf.DUMMYFUNCTION("""COMPUTED_VALUE"""),"Pengukuran dan pengambilan data log serta input Gdoc BBT")</f>
        <v>Pengukuran dan pengambilan data log serta input Gdoc BBT</v>
      </c>
      <c r="J249" s="3" t="str">
        <f>IFERROR(__xludf.DUMMYFUNCTION("""COMPUTED_VALUE"""),"On Progress")</f>
        <v>On Progress</v>
      </c>
      <c r="K249" s="27">
        <f>IFERROR(__xludf.DUMMYFUNCTION("""COMPUTED_VALUE"""),46013.0)</f>
        <v>46013</v>
      </c>
      <c r="L249" s="27">
        <f>IFERROR(__xludf.DUMMYFUNCTION("""COMPUTED_VALUE"""),46013.0)</f>
        <v>46013</v>
      </c>
      <c r="M249" s="3" t="str">
        <f>IFERROR(__xludf.DUMMYFUNCTION("""COMPUTED_VALUE"""),"Done")</f>
        <v>Done</v>
      </c>
      <c r="N249" s="3"/>
      <c r="O249" s="3">
        <f>IFERROR(VLOOKUP(C249,Sheet4!A249:F1036,6,0),"")</f>
        <v>1149024</v>
      </c>
      <c r="Q249" s="2" t="str">
        <f t="shared" si="1"/>
        <v>22</v>
      </c>
    </row>
    <row r="250">
      <c r="A250" s="3" t="str">
        <f>IFERROR(__xludf.DUMMYFUNCTION("""COMPUTED_VALUE"""),"Standby On Call")</f>
        <v>Standby On Call</v>
      </c>
      <c r="B250" s="3" t="str">
        <f>IFERROR(__xludf.DUMMYFUNCTION("""COMPUTED_VALUE"""),"P3")</f>
        <v>P3</v>
      </c>
      <c r="C250" s="3"/>
      <c r="D250" s="3" t="str">
        <f>IFERROR(__xludf.DUMMYFUNCTION("""COMPUTED_VALUE"""),"Riki Hidayat")</f>
        <v>Riki Hidayat</v>
      </c>
      <c r="E250" s="3" t="str">
        <f>IFERROR(__xludf.DUMMYFUNCTION("""COMPUTED_VALUE"""),"TE")</f>
        <v>TE</v>
      </c>
      <c r="F250" s="3" t="str">
        <f>IFERROR(__xludf.DUMMYFUNCTION("""COMPUTED_VALUE"""),"Winda Sokenda")</f>
        <v>Winda Sokenda</v>
      </c>
      <c r="G250" s="3" t="str">
        <f>IFERROR(__xludf.DUMMYFUNCTION("""COMPUTED_VALUE"""),"Barito Raya")</f>
        <v>Barito Raya</v>
      </c>
      <c r="H250" s="3" t="str">
        <f>IFERROR(__xludf.DUMMYFUNCTION("""COMPUTED_VALUE"""),"Standby")</f>
        <v>Standby</v>
      </c>
      <c r="I250" s="3" t="str">
        <f>IFERROR(__xludf.DUMMYFUNCTION("""COMPUTED_VALUE"""),"Standby On Call")</f>
        <v>Standby On Call</v>
      </c>
      <c r="J250" s="3"/>
      <c r="K250" s="27">
        <f>IFERROR(__xludf.DUMMYFUNCTION("""COMPUTED_VALUE"""),46013.0)</f>
        <v>46013</v>
      </c>
      <c r="L250" s="27">
        <f>IFERROR(__xludf.DUMMYFUNCTION("""COMPUTED_VALUE"""),46013.0)</f>
        <v>46013</v>
      </c>
      <c r="M250" s="3"/>
      <c r="N250" s="3"/>
      <c r="O250" s="3" t="str">
        <f>IFERROR(VLOOKUP(C250,Sheet4!A250:F1037,6,0),"")</f>
        <v/>
      </c>
      <c r="Q250" s="2" t="str">
        <f t="shared" si="1"/>
        <v>22</v>
      </c>
    </row>
    <row r="251">
      <c r="A251" s="3" t="str">
        <f>IFERROR(__xludf.DUMMYFUNCTION("""COMPUTED_VALUE"""),"Pengecekan battrey")</f>
        <v>Pengecekan battrey</v>
      </c>
      <c r="B251" s="3" t="str">
        <f>IFERROR(__xludf.DUMMYFUNCTION("""COMPUTED_VALUE"""),"P2")</f>
        <v>P2</v>
      </c>
      <c r="C251" s="3" t="str">
        <f>IFERROR(__xludf.DUMMYFUNCTION("""COMPUTED_VALUE"""),"PRC009")</f>
        <v>PRC009</v>
      </c>
      <c r="D251" s="3" t="str">
        <f>IFERROR(__xludf.DUMMYFUNCTION("""COMPUTED_VALUE"""),"Murjani")</f>
        <v>Murjani</v>
      </c>
      <c r="E251" s="3" t="str">
        <f>IFERROR(__xludf.DUMMYFUNCTION("""COMPUTED_VALUE"""),"TE")</f>
        <v>TE</v>
      </c>
      <c r="F251" s="3" t="str">
        <f>IFERROR(__xludf.DUMMYFUNCTION("""COMPUTED_VALUE"""),"Winda Sokenda")</f>
        <v>Winda Sokenda</v>
      </c>
      <c r="G251" s="3" t="str">
        <f>IFERROR(__xludf.DUMMYFUNCTION("""COMPUTED_VALUE"""),"Barito Raya")</f>
        <v>Barito Raya</v>
      </c>
      <c r="H251" s="3" t="str">
        <f>IFERROR(__xludf.DUMMYFUNCTION("""COMPUTED_VALUE"""),"Preventive")</f>
        <v>Preventive</v>
      </c>
      <c r="I251" s="3" t="str">
        <f>IFERROR(__xludf.DUMMYFUNCTION("""COMPUTED_VALUE"""),"Pengukuran dan pengambilan data log serta input Gdoc BBT")</f>
        <v>Pengukuran dan pengambilan data log serta input Gdoc BBT</v>
      </c>
      <c r="J251" s="3" t="str">
        <f>IFERROR(__xludf.DUMMYFUNCTION("""COMPUTED_VALUE"""),"On Progress")</f>
        <v>On Progress</v>
      </c>
      <c r="K251" s="27">
        <f>IFERROR(__xludf.DUMMYFUNCTION("""COMPUTED_VALUE"""),46013.0)</f>
        <v>46013</v>
      </c>
      <c r="L251" s="27">
        <f>IFERROR(__xludf.DUMMYFUNCTION("""COMPUTED_VALUE"""),46013.0)</f>
        <v>46013</v>
      </c>
      <c r="M251" s="3" t="str">
        <f>IFERROR(__xludf.DUMMYFUNCTION("""COMPUTED_VALUE"""),"Done")</f>
        <v>Done</v>
      </c>
      <c r="N251" s="3"/>
      <c r="O251" s="3">
        <f>IFERROR(VLOOKUP(C251,Sheet4!A251:F1038,6,0),"")</f>
        <v>11450418</v>
      </c>
      <c r="Q251" s="2" t="str">
        <f t="shared" si="1"/>
        <v>22</v>
      </c>
    </row>
    <row r="252">
      <c r="A252" s="3" t="str">
        <f>IFERROR(__xludf.DUMMYFUNCTION("""COMPUTED_VALUE"""),"PM")</f>
        <v>PM</v>
      </c>
      <c r="B252" s="3" t="str">
        <f>IFERROR(__xludf.DUMMYFUNCTION("""COMPUTED_VALUE"""),"P2")</f>
        <v>P2</v>
      </c>
      <c r="C252" s="3" t="str">
        <f>IFERROR(__xludf.DUMMYFUNCTION("""COMPUTED_VALUE"""),"kkp023")</f>
        <v>kkp023</v>
      </c>
      <c r="D252" s="3" t="str">
        <f>IFERROR(__xludf.DUMMYFUNCTION("""COMPUTED_VALUE"""),"Reynaldy Ricardo Putra")</f>
        <v>Reynaldy Ricardo Putra</v>
      </c>
      <c r="E252" s="3" t="str">
        <f>IFERROR(__xludf.DUMMYFUNCTION("""COMPUTED_VALUE"""),"TE")</f>
        <v>TE</v>
      </c>
      <c r="F252" s="3" t="str">
        <f>IFERROR(__xludf.DUMMYFUNCTION("""COMPUTED_VALUE"""),"Winda Sokenda")</f>
        <v>Winda Sokenda</v>
      </c>
      <c r="G252" s="3" t="str">
        <f>IFERROR(__xludf.DUMMYFUNCTION("""COMPUTED_VALUE"""),"Barito Raya")</f>
        <v>Barito Raya</v>
      </c>
      <c r="H252" s="3" t="str">
        <f>IFERROR(__xludf.DUMMYFUNCTION("""COMPUTED_VALUE"""),"Preventive")</f>
        <v>Preventive</v>
      </c>
      <c r="I252" s="3" t="str">
        <f>IFERROR(__xludf.DUMMYFUNCTION("""COMPUTED_VALUE"""),"Preventive Maintenance")</f>
        <v>Preventive Maintenance</v>
      </c>
      <c r="J252" s="3" t="str">
        <f>IFERROR(__xludf.DUMMYFUNCTION("""COMPUTED_VALUE"""),"On Progress")</f>
        <v>On Progress</v>
      </c>
      <c r="K252" s="27">
        <f>IFERROR(__xludf.DUMMYFUNCTION("""COMPUTED_VALUE"""),46013.0)</f>
        <v>46013</v>
      </c>
      <c r="L252" s="27">
        <f>IFERROR(__xludf.DUMMYFUNCTION("""COMPUTED_VALUE"""),46013.0)</f>
        <v>46013</v>
      </c>
      <c r="M252" s="3" t="str">
        <f>IFERROR(__xludf.DUMMYFUNCTION("""COMPUTED_VALUE"""),"Done")</f>
        <v>Done</v>
      </c>
      <c r="N252" s="3"/>
      <c r="O252" s="3">
        <f>IFERROR(VLOOKUP(C252,Sheet4!A252:F1039,6,0),"")</f>
        <v>11451949</v>
      </c>
      <c r="Q252" s="2" t="str">
        <f t="shared" si="1"/>
        <v>22</v>
      </c>
    </row>
    <row r="253">
      <c r="A253" s="3" t="str">
        <f>IFERROR(__xludf.DUMMYFUNCTION("""COMPUTED_VALUE"""),"Cell down")</f>
        <v>Cell down</v>
      </c>
      <c r="B253" s="3" t="str">
        <f>IFERROR(__xludf.DUMMYFUNCTION("""COMPUTED_VALUE"""),"P1")</f>
        <v>P1</v>
      </c>
      <c r="C253" s="3" t="str">
        <f>IFERROR(__xludf.DUMMYFUNCTION("""COMPUTED_VALUE"""),"KKP157")</f>
        <v>KKP157</v>
      </c>
      <c r="D253" s="3" t="str">
        <f>IFERROR(__xludf.DUMMYFUNCTION("""COMPUTED_VALUE"""),"Sahrul Saputra")</f>
        <v>Sahrul Saputra</v>
      </c>
      <c r="E253" s="3" t="str">
        <f>IFERROR(__xludf.DUMMYFUNCTION("""COMPUTED_VALUE"""),"TE")</f>
        <v>TE</v>
      </c>
      <c r="F253" s="3" t="str">
        <f>IFERROR(__xludf.DUMMYFUNCTION("""COMPUTED_VALUE"""),"Winda Sokenda")</f>
        <v>Winda Sokenda</v>
      </c>
      <c r="G253" s="3" t="str">
        <f>IFERROR(__xludf.DUMMYFUNCTION("""COMPUTED_VALUE"""),"Barito Raya")</f>
        <v>Barito Raya</v>
      </c>
      <c r="H253" s="3" t="str">
        <f>IFERROR(__xludf.DUMMYFUNCTION("""COMPUTED_VALUE"""),"Corrective")</f>
        <v>Corrective</v>
      </c>
      <c r="I253" s="3" t="str">
        <f>IFERROR(__xludf.DUMMYFUNCTION("""COMPUTED_VALUE"""),"Replace Optik,RRU/Soket Power/Replace GPS")</f>
        <v>Replace Optik,RRU/Soket Power/Replace GPS</v>
      </c>
      <c r="J253" s="3" t="str">
        <f>IFERROR(__xludf.DUMMYFUNCTION("""COMPUTED_VALUE"""),"On Progress")</f>
        <v>On Progress</v>
      </c>
      <c r="K253" s="27">
        <f>IFERROR(__xludf.DUMMYFUNCTION("""COMPUTED_VALUE"""),46013.0)</f>
        <v>46013</v>
      </c>
      <c r="L253" s="27">
        <f>IFERROR(__xludf.DUMMYFUNCTION("""COMPUTED_VALUE"""),46013.0)</f>
        <v>46013</v>
      </c>
      <c r="M253" s="3" t="str">
        <f>IFERROR(__xludf.DUMMYFUNCTION("""COMPUTED_VALUE"""),"Done")</f>
        <v>Done</v>
      </c>
      <c r="N253" s="3"/>
      <c r="O253" s="3" t="str">
        <f>IFERROR(VLOOKUP(C253,Sheet4!A253:F1040,6,0),"")</f>
        <v/>
      </c>
      <c r="Q253" s="2" t="str">
        <f t="shared" si="1"/>
        <v>22</v>
      </c>
    </row>
    <row r="254">
      <c r="A254" s="3" t="str">
        <f>IFERROR(__xludf.DUMMYFUNCTION("""COMPUTED_VALUE"""),"Standby On Call")</f>
        <v>Standby On Call</v>
      </c>
      <c r="B254" s="3" t="str">
        <f>IFERROR(__xludf.DUMMYFUNCTION("""COMPUTED_VALUE"""),"P3")</f>
        <v>P3</v>
      </c>
      <c r="C254" s="3"/>
      <c r="D254" s="3" t="str">
        <f>IFERROR(__xludf.DUMMYFUNCTION("""COMPUTED_VALUE"""),"Armadi")</f>
        <v>Armadi</v>
      </c>
      <c r="E254" s="3" t="str">
        <f>IFERROR(__xludf.DUMMYFUNCTION("""COMPUTED_VALUE"""),"TE")</f>
        <v>TE</v>
      </c>
      <c r="F254" s="3" t="str">
        <f>IFERROR(__xludf.DUMMYFUNCTION("""COMPUTED_VALUE"""),"Winda Sokenda")</f>
        <v>Winda Sokenda</v>
      </c>
      <c r="G254" s="3" t="str">
        <f>IFERROR(__xludf.DUMMYFUNCTION("""COMPUTED_VALUE"""),"Barito Raya")</f>
        <v>Barito Raya</v>
      </c>
      <c r="H254" s="3" t="str">
        <f>IFERROR(__xludf.DUMMYFUNCTION("""COMPUTED_VALUE"""),"Standby")</f>
        <v>Standby</v>
      </c>
      <c r="I254" s="3" t="str">
        <f>IFERROR(__xludf.DUMMYFUNCTION("""COMPUTED_VALUE"""),"Standby On Call")</f>
        <v>Standby On Call</v>
      </c>
      <c r="J254" s="3" t="str">
        <f>IFERROR(__xludf.DUMMYFUNCTION("""COMPUTED_VALUE"""),"On Progress")</f>
        <v>On Progress</v>
      </c>
      <c r="K254" s="27">
        <f>IFERROR(__xludf.DUMMYFUNCTION("""COMPUTED_VALUE"""),46013.0)</f>
        <v>46013</v>
      </c>
      <c r="L254" s="27">
        <f>IFERROR(__xludf.DUMMYFUNCTION("""COMPUTED_VALUE"""),46013.0)</f>
        <v>46013</v>
      </c>
      <c r="M254" s="3"/>
      <c r="N254" s="3"/>
      <c r="O254" s="3" t="str">
        <f>IFERROR(VLOOKUP(C254,Sheet4!A254:F1041,6,0),"")</f>
        <v/>
      </c>
      <c r="Q254" s="2" t="str">
        <f t="shared" si="1"/>
        <v>22</v>
      </c>
    </row>
    <row r="255">
      <c r="A255" s="3" t="str">
        <f>IFERROR(__xludf.DUMMYFUNCTION("""COMPUTED_VALUE"""),"Tshoot Genset")</f>
        <v>Tshoot Genset</v>
      </c>
      <c r="B255" s="3" t="str">
        <f>IFERROR(__xludf.DUMMYFUNCTION("""COMPUTED_VALUE"""),"P1")</f>
        <v>P1</v>
      </c>
      <c r="C255" s="3" t="str">
        <f>IFERROR(__xludf.DUMMYFUNCTION("""COMPUTED_VALUE"""),"TML030")</f>
        <v>TML030</v>
      </c>
      <c r="D255" s="3" t="str">
        <f>IFERROR(__xludf.DUMMYFUNCTION("""COMPUTED_VALUE"""),"Nurhayat")</f>
        <v>Nurhayat</v>
      </c>
      <c r="E255" s="3" t="str">
        <f>IFERROR(__xludf.DUMMYFUNCTION("""COMPUTED_VALUE"""),"MBP")</f>
        <v>MBP</v>
      </c>
      <c r="F255" s="3" t="str">
        <f>IFERROR(__xludf.DUMMYFUNCTION("""COMPUTED_VALUE"""),"Winda Sokenda")</f>
        <v>Winda Sokenda</v>
      </c>
      <c r="G255" s="3" t="str">
        <f>IFERROR(__xludf.DUMMYFUNCTION("""COMPUTED_VALUE"""),"Barito Raya")</f>
        <v>Barito Raya</v>
      </c>
      <c r="H255" s="3" t="str">
        <f>IFERROR(__xludf.DUMMYFUNCTION("""COMPUTED_VALUE"""),"Corrective")</f>
        <v>Corrective</v>
      </c>
      <c r="I255" s="3" t="str">
        <f>IFERROR(__xludf.DUMMYFUNCTION("""COMPUTED_VALUE"""),"Perbaikan Auto,pergantian relay,timer, yang berhubungan genset")</f>
        <v>Perbaikan Auto,pergantian relay,timer, yang berhubungan genset</v>
      </c>
      <c r="J255" s="3" t="str">
        <f>IFERROR(__xludf.DUMMYFUNCTION("""COMPUTED_VALUE"""),"On Progress")</f>
        <v>On Progress</v>
      </c>
      <c r="K255" s="27">
        <f>IFERROR(__xludf.DUMMYFUNCTION("""COMPUTED_VALUE"""),46013.0)</f>
        <v>46013</v>
      </c>
      <c r="L255" s="27">
        <f>IFERROR(__xludf.DUMMYFUNCTION("""COMPUTED_VALUE"""),46013.0)</f>
        <v>46013</v>
      </c>
      <c r="M255" s="3" t="str">
        <f>IFERROR(__xludf.DUMMYFUNCTION("""COMPUTED_VALUE"""),"Done")</f>
        <v>Done</v>
      </c>
      <c r="N255" s="3"/>
      <c r="O255" s="3">
        <f>IFERROR(VLOOKUP(C255,Sheet4!A255:F1042,6,0),"")</f>
        <v>11513525</v>
      </c>
      <c r="Q255" s="2" t="str">
        <f t="shared" si="1"/>
        <v>22</v>
      </c>
    </row>
    <row r="256">
      <c r="A256" s="3" t="str">
        <f>IFERROR(__xludf.DUMMYFUNCTION("""COMPUTED_VALUE"""),"Pengecekan Power")</f>
        <v>Pengecekan Power</v>
      </c>
      <c r="B256" s="3" t="str">
        <f>IFERROR(__xludf.DUMMYFUNCTION("""COMPUTED_VALUE"""),"P1")</f>
        <v>P1</v>
      </c>
      <c r="C256" s="3" t="str">
        <f>IFERROR(__xludf.DUMMYFUNCTION("""COMPUTED_VALUE"""),"NTH123")</f>
        <v>NTH123</v>
      </c>
      <c r="D256" s="3" t="str">
        <f>IFERROR(__xludf.DUMMYFUNCTION("""COMPUTED_VALUE"""),"Harun Nurasyid")</f>
        <v>Harun Nurasyid</v>
      </c>
      <c r="E256" s="3" t="str">
        <f>IFERROR(__xludf.DUMMYFUNCTION("""COMPUTED_VALUE"""),"CME")</f>
        <v>CME</v>
      </c>
      <c r="F256" s="3" t="str">
        <f>IFERROR(__xludf.DUMMYFUNCTION("""COMPUTED_VALUE"""),"Winda Sokenda")</f>
        <v>Winda Sokenda</v>
      </c>
      <c r="G256" s="3" t="str">
        <f>IFERROR(__xludf.DUMMYFUNCTION("""COMPUTED_VALUE"""),"Barito Raya")</f>
        <v>Barito Raya</v>
      </c>
      <c r="H256" s="3" t="str">
        <f>IFERROR(__xludf.DUMMYFUNCTION("""COMPUTED_VALUE"""),"Preventive")</f>
        <v>Preventive</v>
      </c>
      <c r="I256" s="3" t="str">
        <f>IFERROR(__xludf.DUMMYFUNCTION("""COMPUTED_VALUE"""),"MCB trip/Power upnormal")</f>
        <v>MCB trip/Power upnormal</v>
      </c>
      <c r="J256" s="3" t="str">
        <f>IFERROR(__xludf.DUMMYFUNCTION("""COMPUTED_VALUE"""),"On Progress")</f>
        <v>On Progress</v>
      </c>
      <c r="K256" s="27">
        <f>IFERROR(__xludf.DUMMYFUNCTION("""COMPUTED_VALUE"""),46013.0)</f>
        <v>46013</v>
      </c>
      <c r="L256" s="27">
        <f>IFERROR(__xludf.DUMMYFUNCTION("""COMPUTED_VALUE"""),46013.0)</f>
        <v>46013</v>
      </c>
      <c r="M256" s="3" t="str">
        <f>IFERROR(__xludf.DUMMYFUNCTION("""COMPUTED_VALUE"""),"Done")</f>
        <v>Done</v>
      </c>
      <c r="N256" s="3"/>
      <c r="O256" s="3">
        <f>IFERROR(VLOOKUP(C256,Sheet4!A256:F1043,6,0),"")</f>
        <v>11524776</v>
      </c>
      <c r="Q256" s="2" t="str">
        <f t="shared" si="1"/>
        <v>22</v>
      </c>
    </row>
    <row r="257">
      <c r="A257" s="3" t="str">
        <f>IFERROR(__xludf.DUMMYFUNCTION("""COMPUTED_VALUE"""),"Standby On Call")</f>
        <v>Standby On Call</v>
      </c>
      <c r="B257" s="3" t="str">
        <f>IFERROR(__xludf.DUMMYFUNCTION("""COMPUTED_VALUE"""),"P3")</f>
        <v>P3</v>
      </c>
      <c r="C257" s="3"/>
      <c r="D257" s="3" t="str">
        <f>IFERROR(__xludf.DUMMYFUNCTION("""COMPUTED_VALUE"""),"Taklim")</f>
        <v>Taklim</v>
      </c>
      <c r="E257" s="3" t="str">
        <f>IFERROR(__xludf.DUMMYFUNCTION("""COMPUTED_VALUE"""),"MBP")</f>
        <v>MBP</v>
      </c>
      <c r="F257" s="3" t="str">
        <f>IFERROR(__xludf.DUMMYFUNCTION("""COMPUTED_VALUE"""),"Winda Sokenda")</f>
        <v>Winda Sokenda</v>
      </c>
      <c r="G257" s="3" t="str">
        <f>IFERROR(__xludf.DUMMYFUNCTION("""COMPUTED_VALUE"""),"Barito Raya")</f>
        <v>Barito Raya</v>
      </c>
      <c r="H257" s="3" t="str">
        <f>IFERROR(__xludf.DUMMYFUNCTION("""COMPUTED_VALUE"""),"Standby")</f>
        <v>Standby</v>
      </c>
      <c r="I257" s="3" t="str">
        <f>IFERROR(__xludf.DUMMYFUNCTION("""COMPUTED_VALUE"""),"Standby On Call")</f>
        <v>Standby On Call</v>
      </c>
      <c r="J257" s="3"/>
      <c r="K257" s="27">
        <f>IFERROR(__xludf.DUMMYFUNCTION("""COMPUTED_VALUE"""),46013.0)</f>
        <v>46013</v>
      </c>
      <c r="L257" s="27">
        <f>IFERROR(__xludf.DUMMYFUNCTION("""COMPUTED_VALUE"""),46013.0)</f>
        <v>46013</v>
      </c>
      <c r="M257" s="3"/>
      <c r="N257" s="3"/>
      <c r="O257" s="3" t="str">
        <f>IFERROR(VLOOKUP(C257,Sheet4!A257:F1044,6,0),"")</f>
        <v/>
      </c>
      <c r="Q257" s="2" t="str">
        <f t="shared" si="1"/>
        <v>22</v>
      </c>
    </row>
    <row r="258">
      <c r="A258" s="3" t="str">
        <f>IFERROR(__xludf.DUMMYFUNCTION("""COMPUTED_VALUE"""),"Standby On Call")</f>
        <v>Standby On Call</v>
      </c>
      <c r="B258" s="3" t="str">
        <f>IFERROR(__xludf.DUMMYFUNCTION("""COMPUTED_VALUE"""),"P3")</f>
        <v>P3</v>
      </c>
      <c r="C258" s="3"/>
      <c r="D258" s="3" t="str">
        <f>IFERROR(__xludf.DUMMYFUNCTION("""COMPUTED_VALUE"""),"Rio ardinata")</f>
        <v>Rio ardinata</v>
      </c>
      <c r="E258" s="3" t="str">
        <f>IFERROR(__xludf.DUMMYFUNCTION("""COMPUTED_VALUE"""),"MBP")</f>
        <v>MBP</v>
      </c>
      <c r="F258" s="3" t="str">
        <f>IFERROR(__xludf.DUMMYFUNCTION("""COMPUTED_VALUE"""),"Winda Sokenda")</f>
        <v>Winda Sokenda</v>
      </c>
      <c r="G258" s="3" t="str">
        <f>IFERROR(__xludf.DUMMYFUNCTION("""COMPUTED_VALUE"""),"Barito Raya")</f>
        <v>Barito Raya</v>
      </c>
      <c r="H258" s="3" t="str">
        <f>IFERROR(__xludf.DUMMYFUNCTION("""COMPUTED_VALUE"""),"Standby")</f>
        <v>Standby</v>
      </c>
      <c r="I258" s="3" t="str">
        <f>IFERROR(__xludf.DUMMYFUNCTION("""COMPUTED_VALUE"""),"Standby On Call")</f>
        <v>Standby On Call</v>
      </c>
      <c r="J258" s="3"/>
      <c r="K258" s="27">
        <f>IFERROR(__xludf.DUMMYFUNCTION("""COMPUTED_VALUE"""),46013.0)</f>
        <v>46013</v>
      </c>
      <c r="L258" s="27">
        <f>IFERROR(__xludf.DUMMYFUNCTION("""COMPUTED_VALUE"""),46013.0)</f>
        <v>46013</v>
      </c>
      <c r="M258" s="3"/>
      <c r="N258" s="3"/>
      <c r="O258" s="3" t="str">
        <f>IFERROR(VLOOKUP(C258,Sheet4!A258:F1045,6,0),"")</f>
        <v/>
      </c>
      <c r="Q258" s="2" t="str">
        <f t="shared" si="1"/>
        <v>22</v>
      </c>
    </row>
    <row r="259">
      <c r="A259" s="3" t="str">
        <f>IFERROR(__xludf.DUMMYFUNCTION("""COMPUTED_VALUE"""),"Standby On Call")</f>
        <v>Standby On Call</v>
      </c>
      <c r="B259" s="3" t="str">
        <f>IFERROR(__xludf.DUMMYFUNCTION("""COMPUTED_VALUE"""),"P3")</f>
        <v>P3</v>
      </c>
      <c r="C259" s="3"/>
      <c r="D259" s="3" t="str">
        <f>IFERROR(__xludf.DUMMYFUNCTION("""COMPUTED_VALUE"""),"Ahmad Muzakir")</f>
        <v>Ahmad Muzakir</v>
      </c>
      <c r="E259" s="3" t="str">
        <f>IFERROR(__xludf.DUMMYFUNCTION("""COMPUTED_VALUE"""),"MBP")</f>
        <v>MBP</v>
      </c>
      <c r="F259" s="3" t="str">
        <f>IFERROR(__xludf.DUMMYFUNCTION("""COMPUTED_VALUE"""),"Winda Sokenda")</f>
        <v>Winda Sokenda</v>
      </c>
      <c r="G259" s="3" t="str">
        <f>IFERROR(__xludf.DUMMYFUNCTION("""COMPUTED_VALUE"""),"Barito Raya")</f>
        <v>Barito Raya</v>
      </c>
      <c r="H259" s="3" t="str">
        <f>IFERROR(__xludf.DUMMYFUNCTION("""COMPUTED_VALUE"""),"Standby")</f>
        <v>Standby</v>
      </c>
      <c r="I259" s="3" t="str">
        <f>IFERROR(__xludf.DUMMYFUNCTION("""COMPUTED_VALUE"""),"Standby On Call")</f>
        <v>Standby On Call</v>
      </c>
      <c r="J259" s="3"/>
      <c r="K259" s="27">
        <f>IFERROR(__xludf.DUMMYFUNCTION("""COMPUTED_VALUE"""),46013.0)</f>
        <v>46013</v>
      </c>
      <c r="L259" s="27">
        <f>IFERROR(__xludf.DUMMYFUNCTION("""COMPUTED_VALUE"""),46013.0)</f>
        <v>46013</v>
      </c>
      <c r="M259" s="3"/>
      <c r="N259" s="3"/>
      <c r="O259" s="3" t="str">
        <f>IFERROR(VLOOKUP(C259,Sheet4!A259:F1046,6,0),"")</f>
        <v/>
      </c>
      <c r="Q259" s="2" t="str">
        <f t="shared" si="1"/>
        <v>22</v>
      </c>
    </row>
    <row r="260">
      <c r="A260" s="3" t="str">
        <f>IFERROR(__xludf.DUMMYFUNCTION("""COMPUTED_VALUE"""),"Standby On Call")</f>
        <v>Standby On Call</v>
      </c>
      <c r="B260" s="3" t="str">
        <f>IFERROR(__xludf.DUMMYFUNCTION("""COMPUTED_VALUE"""),"P3")</f>
        <v>P3</v>
      </c>
      <c r="C260" s="3"/>
      <c r="D260" s="3" t="str">
        <f>IFERROR(__xludf.DUMMYFUNCTION("""COMPUTED_VALUE"""),"Alfi Syahri")</f>
        <v>Alfi Syahri</v>
      </c>
      <c r="E260" s="3" t="str">
        <f>IFERROR(__xludf.DUMMYFUNCTION("""COMPUTED_VALUE"""),"CME")</f>
        <v>CME</v>
      </c>
      <c r="F260" s="3" t="str">
        <f>IFERROR(__xludf.DUMMYFUNCTION("""COMPUTED_VALUE"""),"Winda Sokenda")</f>
        <v>Winda Sokenda</v>
      </c>
      <c r="G260" s="3" t="str">
        <f>IFERROR(__xludf.DUMMYFUNCTION("""COMPUTED_VALUE"""),"Barito Raya")</f>
        <v>Barito Raya</v>
      </c>
      <c r="H260" s="3" t="str">
        <f>IFERROR(__xludf.DUMMYFUNCTION("""COMPUTED_VALUE"""),"Standby")</f>
        <v>Standby</v>
      </c>
      <c r="I260" s="3" t="str">
        <f>IFERROR(__xludf.DUMMYFUNCTION("""COMPUTED_VALUE"""),"Standby On Call")</f>
        <v>Standby On Call</v>
      </c>
      <c r="J260" s="3"/>
      <c r="K260" s="27">
        <f>IFERROR(__xludf.DUMMYFUNCTION("""COMPUTED_VALUE"""),46013.0)</f>
        <v>46013</v>
      </c>
      <c r="L260" s="27">
        <f>IFERROR(__xludf.DUMMYFUNCTION("""COMPUTED_VALUE"""),46013.0)</f>
        <v>46013</v>
      </c>
      <c r="M260" s="3"/>
      <c r="N260" s="3"/>
      <c r="O260" s="3" t="str">
        <f>IFERROR(VLOOKUP(C260,Sheet4!A260:F1047,6,0),"")</f>
        <v/>
      </c>
      <c r="Q260" s="2" t="str">
        <f t="shared" si="1"/>
        <v>22</v>
      </c>
    </row>
    <row r="261">
      <c r="A261" s="3" t="str">
        <f>IFERROR(__xludf.DUMMYFUNCTION("""COMPUTED_VALUE"""),"Standby On Call")</f>
        <v>Standby On Call</v>
      </c>
      <c r="B261" s="3" t="str">
        <f>IFERROR(__xludf.DUMMYFUNCTION("""COMPUTED_VALUE"""),"P3")</f>
        <v>P3</v>
      </c>
      <c r="C261" s="3"/>
      <c r="D261" s="3" t="str">
        <f>IFERROR(__xludf.DUMMYFUNCTION("""COMPUTED_VALUE"""),"Pujianto")</f>
        <v>Pujianto</v>
      </c>
      <c r="E261" s="3" t="str">
        <f>IFERROR(__xludf.DUMMYFUNCTION("""COMPUTED_VALUE"""),"MBP")</f>
        <v>MBP</v>
      </c>
      <c r="F261" s="3" t="str">
        <f>IFERROR(__xludf.DUMMYFUNCTION("""COMPUTED_VALUE"""),"Winda Sokenda")</f>
        <v>Winda Sokenda</v>
      </c>
      <c r="G261" s="3" t="str">
        <f>IFERROR(__xludf.DUMMYFUNCTION("""COMPUTED_VALUE"""),"Barito Raya")</f>
        <v>Barito Raya</v>
      </c>
      <c r="H261" s="3" t="str">
        <f>IFERROR(__xludf.DUMMYFUNCTION("""COMPUTED_VALUE"""),"Standby")</f>
        <v>Standby</v>
      </c>
      <c r="I261" s="3" t="str">
        <f>IFERROR(__xludf.DUMMYFUNCTION("""COMPUTED_VALUE"""),"Standby On Call")</f>
        <v>Standby On Call</v>
      </c>
      <c r="J261" s="3"/>
      <c r="K261" s="27">
        <f>IFERROR(__xludf.DUMMYFUNCTION("""COMPUTED_VALUE"""),46013.0)</f>
        <v>46013</v>
      </c>
      <c r="L261" s="27">
        <f>IFERROR(__xludf.DUMMYFUNCTION("""COMPUTED_VALUE"""),46013.0)</f>
        <v>46013</v>
      </c>
      <c r="M261" s="3"/>
      <c r="N261" s="3"/>
      <c r="O261" s="3" t="str">
        <f>IFERROR(VLOOKUP(C261,Sheet4!A261:F1048,6,0),"")</f>
        <v/>
      </c>
      <c r="Q261" s="2" t="str">
        <f t="shared" si="1"/>
        <v>22</v>
      </c>
    </row>
    <row r="262">
      <c r="A262" s="3" t="str">
        <f>IFERROR(__xludf.DUMMYFUNCTION("""COMPUTED_VALUE"""),"PM")</f>
        <v>PM</v>
      </c>
      <c r="B262" s="3" t="str">
        <f>IFERROR(__xludf.DUMMYFUNCTION("""COMPUTED_VALUE"""),"P2")</f>
        <v>P2</v>
      </c>
      <c r="C262" s="3" t="str">
        <f>IFERROR(__xludf.DUMMYFUNCTION("""COMPUTED_VALUE"""),"BNT017")</f>
        <v>BNT017</v>
      </c>
      <c r="D262" s="3" t="str">
        <f>IFERROR(__xludf.DUMMYFUNCTION("""COMPUTED_VALUE"""),"Trisno Susanto")</f>
        <v>Trisno Susanto</v>
      </c>
      <c r="E262" s="3" t="str">
        <f>IFERROR(__xludf.DUMMYFUNCTION("""COMPUTED_VALUE"""),"PM")</f>
        <v>PM</v>
      </c>
      <c r="F262" s="3" t="str">
        <f>IFERROR(__xludf.DUMMYFUNCTION("""COMPUTED_VALUE"""),"Winda Sokenda")</f>
        <v>Winda Sokenda</v>
      </c>
      <c r="G262" s="3" t="str">
        <f>IFERROR(__xludf.DUMMYFUNCTION("""COMPUTED_VALUE"""),"Barito Raya")</f>
        <v>Barito Raya</v>
      </c>
      <c r="H262" s="3" t="str">
        <f>IFERROR(__xludf.DUMMYFUNCTION("""COMPUTED_VALUE"""),"Preventive")</f>
        <v>Preventive</v>
      </c>
      <c r="I262" s="3" t="str">
        <f>IFERROR(__xludf.DUMMYFUNCTION("""COMPUTED_VALUE"""),"Preventive Maintenance")</f>
        <v>Preventive Maintenance</v>
      </c>
      <c r="J262" s="3" t="str">
        <f>IFERROR(__xludf.DUMMYFUNCTION("""COMPUTED_VALUE"""),"On Progress")</f>
        <v>On Progress</v>
      </c>
      <c r="K262" s="27">
        <f>IFERROR(__xludf.DUMMYFUNCTION("""COMPUTED_VALUE"""),46013.0)</f>
        <v>46013</v>
      </c>
      <c r="L262" s="27">
        <f>IFERROR(__xludf.DUMMYFUNCTION("""COMPUTED_VALUE"""),46013.0)</f>
        <v>46013</v>
      </c>
      <c r="M262" s="3" t="str">
        <f>IFERROR(__xludf.DUMMYFUNCTION("""COMPUTED_VALUE"""),"Pending")</f>
        <v>Pending</v>
      </c>
      <c r="N262" s="3" t="str">
        <f>IFERROR(__xludf.DUMMYFUNCTION("""COMPUTED_VALUE"""),"Site down, PLN Problem")</f>
        <v>Site down, PLN Problem</v>
      </c>
      <c r="O262" s="3" t="str">
        <f>IFERROR(VLOOKUP(C262,Sheet4!A262:F1049,6,0),"")</f>
        <v/>
      </c>
      <c r="Q262" s="2" t="str">
        <f t="shared" si="1"/>
        <v>22</v>
      </c>
    </row>
    <row r="263">
      <c r="A263" s="3" t="str">
        <f>IFERROR(__xludf.DUMMYFUNCTION("""COMPUTED_VALUE"""),"PM")</f>
        <v>PM</v>
      </c>
      <c r="B263" s="3" t="str">
        <f>IFERROR(__xludf.DUMMYFUNCTION("""COMPUTED_VALUE"""),"P2")</f>
        <v>P2</v>
      </c>
      <c r="C263" s="3" t="str">
        <f>IFERROR(__xludf.DUMMYFUNCTION("""COMPUTED_VALUE"""),"BNT023")</f>
        <v>BNT023</v>
      </c>
      <c r="D263" s="3" t="str">
        <f>IFERROR(__xludf.DUMMYFUNCTION("""COMPUTED_VALUE"""),"Khilal dawai katiri")</f>
        <v>Khilal dawai katiri</v>
      </c>
      <c r="E263" s="3" t="str">
        <f>IFERROR(__xludf.DUMMYFUNCTION("""COMPUTED_VALUE"""),"MBP")</f>
        <v>MBP</v>
      </c>
      <c r="F263" s="3" t="str">
        <f>IFERROR(__xludf.DUMMYFUNCTION("""COMPUTED_VALUE"""),"Winda Sokenda")</f>
        <v>Winda Sokenda</v>
      </c>
      <c r="G263" s="3" t="str">
        <f>IFERROR(__xludf.DUMMYFUNCTION("""COMPUTED_VALUE"""),"Barito Raya")</f>
        <v>Barito Raya</v>
      </c>
      <c r="H263" s="3" t="str">
        <f>IFERROR(__xludf.DUMMYFUNCTION("""COMPUTED_VALUE"""),"Preventive")</f>
        <v>Preventive</v>
      </c>
      <c r="I263" s="3" t="str">
        <f>IFERROR(__xludf.DUMMYFUNCTION("""COMPUTED_VALUE"""),"Preventive Maintenance")</f>
        <v>Preventive Maintenance</v>
      </c>
      <c r="J263" s="3" t="str">
        <f>IFERROR(__xludf.DUMMYFUNCTION("""COMPUTED_VALUE"""),"On Progress")</f>
        <v>On Progress</v>
      </c>
      <c r="K263" s="27">
        <f>IFERROR(__xludf.DUMMYFUNCTION("""COMPUTED_VALUE"""),46013.0)</f>
        <v>46013</v>
      </c>
      <c r="L263" s="27">
        <f>IFERROR(__xludf.DUMMYFUNCTION("""COMPUTED_VALUE"""),46013.0)</f>
        <v>46013</v>
      </c>
      <c r="M263" s="3" t="str">
        <f>IFERROR(__xludf.DUMMYFUNCTION("""COMPUTED_VALUE"""),"Pending")</f>
        <v>Pending</v>
      </c>
      <c r="N263" s="3" t="str">
        <f>IFERROR(__xludf.DUMMYFUNCTION("""COMPUTED_VALUE"""),"Site down, PLN Problem")</f>
        <v>Site down, PLN Problem</v>
      </c>
      <c r="O263" s="3" t="str">
        <f>IFERROR(VLOOKUP(C263,Sheet4!A263:F1050,6,0),"")</f>
        <v/>
      </c>
      <c r="Q263" s="2" t="str">
        <f t="shared" si="1"/>
        <v>22</v>
      </c>
    </row>
    <row r="264">
      <c r="A264" s="3" t="str">
        <f>IFERROR(__xludf.DUMMYFUNCTION("""COMPUTED_VALUE"""),"PM")</f>
        <v>PM</v>
      </c>
      <c r="B264" s="3" t="str">
        <f>IFERROR(__xludf.DUMMYFUNCTION("""COMPUTED_VALUE"""),"P2")</f>
        <v>P2</v>
      </c>
      <c r="C264" s="3" t="str">
        <f>IFERROR(__xludf.DUMMYFUNCTION("""COMPUTED_VALUE"""),"PRC012 &amp; PRC009")</f>
        <v>PRC012 &amp; PRC009</v>
      </c>
      <c r="D264" s="3" t="str">
        <f>IFERROR(__xludf.DUMMYFUNCTION("""COMPUTED_VALUE"""),"Riko setiadi")</f>
        <v>Riko setiadi</v>
      </c>
      <c r="E264" s="3" t="str">
        <f>IFERROR(__xludf.DUMMYFUNCTION("""COMPUTED_VALUE"""),"PM")</f>
        <v>PM</v>
      </c>
      <c r="F264" s="3" t="str">
        <f>IFERROR(__xludf.DUMMYFUNCTION("""COMPUTED_VALUE"""),"Winda Sokenda")</f>
        <v>Winda Sokenda</v>
      </c>
      <c r="G264" s="3" t="str">
        <f>IFERROR(__xludf.DUMMYFUNCTION("""COMPUTED_VALUE"""),"Barito Raya")</f>
        <v>Barito Raya</v>
      </c>
      <c r="H264" s="3" t="str">
        <f>IFERROR(__xludf.DUMMYFUNCTION("""COMPUTED_VALUE"""),"Preventive")</f>
        <v>Preventive</v>
      </c>
      <c r="I264" s="3" t="str">
        <f>IFERROR(__xludf.DUMMYFUNCTION("""COMPUTED_VALUE"""),"Preventive Maintenance")</f>
        <v>Preventive Maintenance</v>
      </c>
      <c r="J264" s="3" t="str">
        <f>IFERROR(__xludf.DUMMYFUNCTION("""COMPUTED_VALUE"""),"On Progress")</f>
        <v>On Progress</v>
      </c>
      <c r="K264" s="27">
        <f>IFERROR(__xludf.DUMMYFUNCTION("""COMPUTED_VALUE"""),46013.0)</f>
        <v>46013</v>
      </c>
      <c r="L264" s="27">
        <f>IFERROR(__xludf.DUMMYFUNCTION("""COMPUTED_VALUE"""),46013.0)</f>
        <v>46013</v>
      </c>
      <c r="M264" s="3" t="str">
        <f>IFERROR(__xludf.DUMMYFUNCTION("""COMPUTED_VALUE"""),"Done")</f>
        <v>Done</v>
      </c>
      <c r="N264" s="3"/>
      <c r="O264" s="3" t="str">
        <f>IFERROR(VLOOKUP(C264,Sheet4!A264:F1051,6,0),"")</f>
        <v/>
      </c>
      <c r="Q264" s="2" t="str">
        <f t="shared" si="1"/>
        <v>22</v>
      </c>
    </row>
    <row r="265">
      <c r="A265" s="3" t="str">
        <f>IFERROR(__xludf.DUMMYFUNCTION("""COMPUTED_VALUE"""),"Site Down")</f>
        <v>Site Down</v>
      </c>
      <c r="B265" s="3" t="str">
        <f>IFERROR(__xludf.DUMMYFUNCTION("""COMPUTED_VALUE"""),"P1")</f>
        <v>P1</v>
      </c>
      <c r="C265" s="3" t="str">
        <f>IFERROR(__xludf.DUMMYFUNCTION("""COMPUTED_VALUE"""),"PLK102")</f>
        <v>PLK102</v>
      </c>
      <c r="D265" s="3" t="str">
        <f>IFERROR(__xludf.DUMMYFUNCTION("""COMPUTED_VALUE"""),"Ahmad")</f>
        <v>Ahmad</v>
      </c>
      <c r="E265" s="3" t="str">
        <f>IFERROR(__xludf.DUMMYFUNCTION("""COMPUTED_VALUE"""),"TE")</f>
        <v>TE</v>
      </c>
      <c r="F265" s="3" t="str">
        <f>IFERROR(__xludf.DUMMYFUNCTION("""COMPUTED_VALUE"""),"Doni Damara")</f>
        <v>Doni Damara</v>
      </c>
      <c r="G265" s="3" t="str">
        <f>IFERROR(__xludf.DUMMYFUNCTION("""COMPUTED_VALUE"""),"Palangkaraya")</f>
        <v>Palangkaraya</v>
      </c>
      <c r="H265" s="3" t="str">
        <f>IFERROR(__xludf.DUMMYFUNCTION("""COMPUTED_VALUE"""),"Corrective")</f>
        <v>Corrective</v>
      </c>
      <c r="I265" s="3" t="str">
        <f>IFERROR(__xludf.DUMMYFUNCTION("""COMPUTED_VALUE"""),"Pemadaman,MCB Trip,Transmisi problem")</f>
        <v>Pemadaman,MCB Trip,Transmisi problem</v>
      </c>
      <c r="J265" s="3" t="str">
        <f>IFERROR(__xludf.DUMMYFUNCTION("""COMPUTED_VALUE"""),"On Progress")</f>
        <v>On Progress</v>
      </c>
      <c r="K265" s="27">
        <f>IFERROR(__xludf.DUMMYFUNCTION("""COMPUTED_VALUE"""),46013.0)</f>
        <v>46013</v>
      </c>
      <c r="L265" s="27">
        <f>IFERROR(__xludf.DUMMYFUNCTION("""COMPUTED_VALUE"""),46013.0)</f>
        <v>46013</v>
      </c>
      <c r="M265" s="3" t="str">
        <f>IFERROR(__xludf.DUMMYFUNCTION("""COMPUTED_VALUE"""),"Done")</f>
        <v>Done</v>
      </c>
      <c r="N265" s="3"/>
      <c r="O265" s="3">
        <f>IFERROR(VLOOKUP(C265,Sheet4!A265:F1052,6,0),"")</f>
        <v>11390551</v>
      </c>
      <c r="Q265" s="2" t="str">
        <f t="shared" si="1"/>
        <v>22</v>
      </c>
    </row>
    <row r="266">
      <c r="A266" s="3" t="str">
        <f>IFERROR(__xludf.DUMMYFUNCTION("""COMPUTED_VALUE"""),"Site Down")</f>
        <v>Site Down</v>
      </c>
      <c r="B266" s="3" t="str">
        <f>IFERROR(__xludf.DUMMYFUNCTION("""COMPUTED_VALUE"""),"P1")</f>
        <v>P1</v>
      </c>
      <c r="C266" s="3" t="str">
        <f>IFERROR(__xludf.DUMMYFUNCTION("""COMPUTED_VALUE"""),"PLK255")</f>
        <v>PLK255</v>
      </c>
      <c r="D266" s="3" t="str">
        <f>IFERROR(__xludf.DUMMYFUNCTION("""COMPUTED_VALUE"""),"Fahmi")</f>
        <v>Fahmi</v>
      </c>
      <c r="E266" s="3" t="str">
        <f>IFERROR(__xludf.DUMMYFUNCTION("""COMPUTED_VALUE"""),"TE")</f>
        <v>TE</v>
      </c>
      <c r="F266" s="3" t="str">
        <f>IFERROR(__xludf.DUMMYFUNCTION("""COMPUTED_VALUE"""),"Doni Damara")</f>
        <v>Doni Damara</v>
      </c>
      <c r="G266" s="3" t="str">
        <f>IFERROR(__xludf.DUMMYFUNCTION("""COMPUTED_VALUE"""),"Palangkaraya")</f>
        <v>Palangkaraya</v>
      </c>
      <c r="H266" s="3" t="str">
        <f>IFERROR(__xludf.DUMMYFUNCTION("""COMPUTED_VALUE"""),"Corrective")</f>
        <v>Corrective</v>
      </c>
      <c r="I266" s="3" t="str">
        <f>IFERROR(__xludf.DUMMYFUNCTION("""COMPUTED_VALUE"""),"Pemadaman,MCB Trip,Transmisi problem")</f>
        <v>Pemadaman,MCB Trip,Transmisi problem</v>
      </c>
      <c r="J266" s="3" t="str">
        <f>IFERROR(__xludf.DUMMYFUNCTION("""COMPUTED_VALUE"""),"On Progress")</f>
        <v>On Progress</v>
      </c>
      <c r="K266" s="27">
        <f>IFERROR(__xludf.DUMMYFUNCTION("""COMPUTED_VALUE"""),46013.0)</f>
        <v>46013</v>
      </c>
      <c r="L266" s="27">
        <f>IFERROR(__xludf.DUMMYFUNCTION("""COMPUTED_VALUE"""),46013.0)</f>
        <v>46013</v>
      </c>
      <c r="M266" s="3" t="str">
        <f>IFERROR(__xludf.DUMMYFUNCTION("""COMPUTED_VALUE"""),"Done")</f>
        <v>Done</v>
      </c>
      <c r="N266" s="3"/>
      <c r="O266" s="3">
        <f>IFERROR(VLOOKUP(C266,Sheet4!A266:F1053,6,0),"")</f>
        <v>11392467</v>
      </c>
      <c r="Q266" s="2" t="str">
        <f t="shared" si="1"/>
        <v>22</v>
      </c>
    </row>
    <row r="267">
      <c r="A267" s="3" t="str">
        <f>IFERROR(__xludf.DUMMYFUNCTION("""COMPUTED_VALUE"""),"Site Down")</f>
        <v>Site Down</v>
      </c>
      <c r="B267" s="3" t="str">
        <f>IFERROR(__xludf.DUMMYFUNCTION("""COMPUTED_VALUE"""),"P1")</f>
        <v>P1</v>
      </c>
      <c r="C267" s="3" t="str">
        <f>IFERROR(__xludf.DUMMYFUNCTION("""COMPUTED_VALUE"""),"PLK111")</f>
        <v>PLK111</v>
      </c>
      <c r="D267" s="3" t="str">
        <f>IFERROR(__xludf.DUMMYFUNCTION("""COMPUTED_VALUE"""),"Ahmad")</f>
        <v>Ahmad</v>
      </c>
      <c r="E267" s="3" t="str">
        <f>IFERROR(__xludf.DUMMYFUNCTION("""COMPUTED_VALUE"""),"TE")</f>
        <v>TE</v>
      </c>
      <c r="F267" s="3" t="str">
        <f>IFERROR(__xludf.DUMMYFUNCTION("""COMPUTED_VALUE"""),"Doni Damara")</f>
        <v>Doni Damara</v>
      </c>
      <c r="G267" s="3" t="str">
        <f>IFERROR(__xludf.DUMMYFUNCTION("""COMPUTED_VALUE"""),"Palangkaraya")</f>
        <v>Palangkaraya</v>
      </c>
      <c r="H267" s="3" t="str">
        <f>IFERROR(__xludf.DUMMYFUNCTION("""COMPUTED_VALUE"""),"Corrective")</f>
        <v>Corrective</v>
      </c>
      <c r="I267" s="3" t="str">
        <f>IFERROR(__xludf.DUMMYFUNCTION("""COMPUTED_VALUE"""),"Pemadaman,MCB Trip,Transmisi problem")</f>
        <v>Pemadaman,MCB Trip,Transmisi problem</v>
      </c>
      <c r="J267" s="3" t="str">
        <f>IFERROR(__xludf.DUMMYFUNCTION("""COMPUTED_VALUE"""),"On Progress")</f>
        <v>On Progress</v>
      </c>
      <c r="K267" s="27">
        <f>IFERROR(__xludf.DUMMYFUNCTION("""COMPUTED_VALUE"""),46013.0)</f>
        <v>46013</v>
      </c>
      <c r="L267" s="27">
        <f>IFERROR(__xludf.DUMMYFUNCTION("""COMPUTED_VALUE"""),46013.0)</f>
        <v>46013</v>
      </c>
      <c r="M267" s="3" t="str">
        <f>IFERROR(__xludf.DUMMYFUNCTION("""COMPUTED_VALUE"""),"Done")</f>
        <v>Done</v>
      </c>
      <c r="N267" s="3"/>
      <c r="O267" s="3">
        <f>IFERROR(VLOOKUP(C267,Sheet4!A267:F1054,6,0),"")</f>
        <v>1138911</v>
      </c>
      <c r="Q267" s="2" t="str">
        <f t="shared" si="1"/>
        <v>22</v>
      </c>
    </row>
    <row r="268">
      <c r="A268" s="3" t="str">
        <f>IFERROR(__xludf.DUMMYFUNCTION("""COMPUTED_VALUE"""),"Tshoot Genset")</f>
        <v>Tshoot Genset</v>
      </c>
      <c r="B268" s="3" t="str">
        <f>IFERROR(__xludf.DUMMYFUNCTION("""COMPUTED_VALUE"""),"P1")</f>
        <v>P1</v>
      </c>
      <c r="C268" s="3" t="str">
        <f>IFERROR(__xludf.DUMMYFUNCTION("""COMPUTED_VALUE"""),"KKP044")</f>
        <v>KKP044</v>
      </c>
      <c r="D268" s="3" t="str">
        <f>IFERROR(__xludf.DUMMYFUNCTION("""COMPUTED_VALUE"""),"Oky Bangkit Pamungkas")</f>
        <v>Oky Bangkit Pamungkas</v>
      </c>
      <c r="E268" s="3" t="str">
        <f>IFERROR(__xludf.DUMMYFUNCTION("""COMPUTED_VALUE"""),"TE")</f>
        <v>TE</v>
      </c>
      <c r="F268" s="3" t="str">
        <f>IFERROR(__xludf.DUMMYFUNCTION("""COMPUTED_VALUE"""),"Winda Sokenda")</f>
        <v>Winda Sokenda</v>
      </c>
      <c r="G268" s="3" t="str">
        <f>IFERROR(__xludf.DUMMYFUNCTION("""COMPUTED_VALUE"""),"Barito Raya")</f>
        <v>Barito Raya</v>
      </c>
      <c r="H268" s="3" t="str">
        <f>IFERROR(__xludf.DUMMYFUNCTION("""COMPUTED_VALUE"""),"Corrective")</f>
        <v>Corrective</v>
      </c>
      <c r="I268" s="3" t="str">
        <f>IFERROR(__xludf.DUMMYFUNCTION("""COMPUTED_VALUE"""),"Perbaikan Auto,pergantian relay,timer, yang berhubungan genset")</f>
        <v>Perbaikan Auto,pergantian relay,timer, yang berhubungan genset</v>
      </c>
      <c r="J268" s="3" t="str">
        <f>IFERROR(__xludf.DUMMYFUNCTION("""COMPUTED_VALUE"""),"On Progress")</f>
        <v>On Progress</v>
      </c>
      <c r="K268" s="27">
        <f>IFERROR(__xludf.DUMMYFUNCTION("""COMPUTED_VALUE"""),46013.0)</f>
        <v>46013</v>
      </c>
      <c r="L268" s="27">
        <f>IFERROR(__xludf.DUMMYFUNCTION("""COMPUTED_VALUE"""),46013.0)</f>
        <v>46013</v>
      </c>
      <c r="M268" s="3" t="str">
        <f>IFERROR(__xludf.DUMMYFUNCTION("""COMPUTED_VALUE"""),"Waiting Update")</f>
        <v>Waiting Update</v>
      </c>
      <c r="N268" s="3"/>
      <c r="O268" s="3" t="str">
        <f>IFERROR(VLOOKUP(C268,Sheet4!A268:F1055,6,0),"")</f>
        <v/>
      </c>
      <c r="Q268" s="2" t="str">
        <f t="shared" si="1"/>
        <v>22</v>
      </c>
    </row>
    <row r="269">
      <c r="A269" s="3" t="str">
        <f>IFERROR(__xludf.DUMMYFUNCTION("""COMPUTED_VALUE"""),"Vswr")</f>
        <v>Vswr</v>
      </c>
      <c r="B269" s="3" t="str">
        <f>IFERROR(__xludf.DUMMYFUNCTION("""COMPUTED_VALUE"""),"P1")</f>
        <v>P1</v>
      </c>
      <c r="C269" s="3" t="str">
        <f>IFERROR(__xludf.DUMMYFUNCTION("""COMPUTED_VALUE"""),"PLK002")</f>
        <v>PLK002</v>
      </c>
      <c r="D269" s="3" t="str">
        <f>IFERROR(__xludf.DUMMYFUNCTION("""COMPUTED_VALUE"""),"james jimbris")</f>
        <v>james jimbris</v>
      </c>
      <c r="E269" s="3" t="str">
        <f>IFERROR(__xludf.DUMMYFUNCTION("""COMPUTED_VALUE"""),"TE")</f>
        <v>TE</v>
      </c>
      <c r="F269" s="3" t="str">
        <f>IFERROR(__xludf.DUMMYFUNCTION("""COMPUTED_VALUE"""),"Doni Damara")</f>
        <v>Doni Damara</v>
      </c>
      <c r="G269" s="3" t="str">
        <f>IFERROR(__xludf.DUMMYFUNCTION("""COMPUTED_VALUE"""),"Palangkaraya")</f>
        <v>Palangkaraya</v>
      </c>
      <c r="H269" s="3" t="str">
        <f>IFERROR(__xludf.DUMMYFUNCTION("""COMPUTED_VALUE"""),"Corrective")</f>
        <v>Corrective</v>
      </c>
      <c r="I269" s="3" t="str">
        <f>IFERROR(__xludf.DUMMYFUNCTION("""COMPUTED_VALUE"""),"Replace Jumper,antena/RRU")</f>
        <v>Replace Jumper,antena/RRU</v>
      </c>
      <c r="J269" s="3" t="str">
        <f>IFERROR(__xludf.DUMMYFUNCTION("""COMPUTED_VALUE"""),"On Progress")</f>
        <v>On Progress</v>
      </c>
      <c r="K269" s="27">
        <f>IFERROR(__xludf.DUMMYFUNCTION("""COMPUTED_VALUE"""),46013.0)</f>
        <v>46013</v>
      </c>
      <c r="L269" s="27">
        <f>IFERROR(__xludf.DUMMYFUNCTION("""COMPUTED_VALUE"""),46013.0)</f>
        <v>46013</v>
      </c>
      <c r="M269" s="3" t="str">
        <f>IFERROR(__xludf.DUMMYFUNCTION("""COMPUTED_VALUE"""),"Pending")</f>
        <v>Pending</v>
      </c>
      <c r="N269" s="3"/>
      <c r="O269" s="3">
        <f>IFERROR(VLOOKUP(C269,Sheet4!A269:F1056,6,0),"")</f>
        <v>11388602</v>
      </c>
      <c r="Q269" s="2" t="str">
        <f t="shared" si="1"/>
        <v>22</v>
      </c>
    </row>
    <row r="270">
      <c r="A270" s="3" t="str">
        <f>IFERROR(__xludf.DUMMYFUNCTION("""COMPUTED_VALUE"""),"Cell down")</f>
        <v>Cell down</v>
      </c>
      <c r="B270" s="3" t="str">
        <f>IFERROR(__xludf.DUMMYFUNCTION("""COMPUTED_VALUE"""),"P1")</f>
        <v>P1</v>
      </c>
      <c r="C270" s="3" t="str">
        <f>IFERROR(__xludf.DUMMYFUNCTION("""COMPUTED_VALUE"""),"COH979")</f>
        <v>COH979</v>
      </c>
      <c r="D270" s="3" t="str">
        <f>IFERROR(__xludf.DUMMYFUNCTION("""COMPUTED_VALUE"""),"Ahmad Setiawan")</f>
        <v>Ahmad Setiawan</v>
      </c>
      <c r="E270" s="3" t="str">
        <f>IFERROR(__xludf.DUMMYFUNCTION("""COMPUTED_VALUE"""),"TE")</f>
        <v>TE</v>
      </c>
      <c r="F270" s="3" t="str">
        <f>IFERROR(__xludf.DUMMYFUNCTION("""COMPUTED_VALUE"""),"Doni Damara")</f>
        <v>Doni Damara</v>
      </c>
      <c r="G270" s="3" t="str">
        <f>IFERROR(__xludf.DUMMYFUNCTION("""COMPUTED_VALUE"""),"Palangkaraya")</f>
        <v>Palangkaraya</v>
      </c>
      <c r="H270" s="3" t="str">
        <f>IFERROR(__xludf.DUMMYFUNCTION("""COMPUTED_VALUE"""),"Corrective")</f>
        <v>Corrective</v>
      </c>
      <c r="I270" s="3" t="str">
        <f>IFERROR(__xludf.DUMMYFUNCTION("""COMPUTED_VALUE"""),"Replace Optik,RRU/Soket Power/Replace GPS")</f>
        <v>Replace Optik,RRU/Soket Power/Replace GPS</v>
      </c>
      <c r="J270" s="3" t="str">
        <f>IFERROR(__xludf.DUMMYFUNCTION("""COMPUTED_VALUE"""),"On Progress")</f>
        <v>On Progress</v>
      </c>
      <c r="K270" s="27">
        <f>IFERROR(__xludf.DUMMYFUNCTION("""COMPUTED_VALUE"""),46013.0)</f>
        <v>46013</v>
      </c>
      <c r="L270" s="27">
        <f>IFERROR(__xludf.DUMMYFUNCTION("""COMPUTED_VALUE"""),46013.0)</f>
        <v>46013</v>
      </c>
      <c r="M270" s="3" t="str">
        <f>IFERROR(__xludf.DUMMYFUNCTION("""COMPUTED_VALUE"""),"Done")</f>
        <v>Done</v>
      </c>
      <c r="N270" s="3"/>
      <c r="O270" s="3" t="str">
        <f>IFERROR(VLOOKUP(C270,Sheet4!A270:F1057,6,0),"")</f>
        <v/>
      </c>
      <c r="Q270" s="2" t="str">
        <f t="shared" si="1"/>
        <v>22</v>
      </c>
    </row>
    <row r="271">
      <c r="A271" s="3" t="str">
        <f>IFERROR(__xludf.DUMMYFUNCTION("""COMPUTED_VALUE"""),"Tshoot Genset")</f>
        <v>Tshoot Genset</v>
      </c>
      <c r="B271" s="3" t="str">
        <f>IFERROR(__xludf.DUMMYFUNCTION("""COMPUTED_VALUE"""),"P1")</f>
        <v>P1</v>
      </c>
      <c r="C271" s="3" t="str">
        <f>IFERROR(__xludf.DUMMYFUNCTION("""COMPUTED_VALUE"""),"KKP044")</f>
        <v>KKP044</v>
      </c>
      <c r="D271" s="3" t="str">
        <f>IFERROR(__xludf.DUMMYFUNCTION("""COMPUTED_VALUE"""),"Jumadi")</f>
        <v>Jumadi</v>
      </c>
      <c r="E271" s="3" t="str">
        <f>IFERROR(__xludf.DUMMYFUNCTION("""COMPUTED_VALUE"""),"TE")</f>
        <v>TE</v>
      </c>
      <c r="F271" s="3" t="str">
        <f>IFERROR(__xludf.DUMMYFUNCTION("""COMPUTED_VALUE"""),"Winda Sokenda")</f>
        <v>Winda Sokenda</v>
      </c>
      <c r="G271" s="3" t="str">
        <f>IFERROR(__xludf.DUMMYFUNCTION("""COMPUTED_VALUE"""),"Barito Raya")</f>
        <v>Barito Raya</v>
      </c>
      <c r="H271" s="3" t="str">
        <f>IFERROR(__xludf.DUMMYFUNCTION("""COMPUTED_VALUE"""),"Corrective")</f>
        <v>Corrective</v>
      </c>
      <c r="I271" s="3" t="str">
        <f>IFERROR(__xludf.DUMMYFUNCTION("""COMPUTED_VALUE"""),"Perbaikan Auto,pergantian relay,timer, yang berhubungan genset")</f>
        <v>Perbaikan Auto,pergantian relay,timer, yang berhubungan genset</v>
      </c>
      <c r="J271" s="3" t="str">
        <f>IFERROR(__xludf.DUMMYFUNCTION("""COMPUTED_VALUE"""),"On Progress")</f>
        <v>On Progress</v>
      </c>
      <c r="K271" s="27">
        <f>IFERROR(__xludf.DUMMYFUNCTION("""COMPUTED_VALUE"""),46013.0)</f>
        <v>46013</v>
      </c>
      <c r="L271" s="27">
        <f>IFERROR(__xludf.DUMMYFUNCTION("""COMPUTED_VALUE"""),46013.0)</f>
        <v>46013</v>
      </c>
      <c r="M271" s="3" t="str">
        <f>IFERROR(__xludf.DUMMYFUNCTION("""COMPUTED_VALUE"""),"Waiting Update")</f>
        <v>Waiting Update</v>
      </c>
      <c r="N271" s="3"/>
      <c r="O271" s="3" t="str">
        <f>IFERROR(VLOOKUP(C271,Sheet4!A271:F1058,6,0),"")</f>
        <v/>
      </c>
      <c r="Q271" s="2" t="str">
        <f t="shared" si="1"/>
        <v>22</v>
      </c>
    </row>
    <row r="272">
      <c r="A272" s="3" t="str">
        <f>IFERROR(__xludf.DUMMYFUNCTION("""COMPUTED_VALUE"""),"Tshoot Genset")</f>
        <v>Tshoot Genset</v>
      </c>
      <c r="B272" s="3" t="str">
        <f>IFERROR(__xludf.DUMMYFUNCTION("""COMPUTED_VALUE"""),"P1")</f>
        <v>P1</v>
      </c>
      <c r="C272" s="3" t="str">
        <f>IFERROR(__xludf.DUMMYFUNCTION("""COMPUTED_VALUE"""),"KKP044")</f>
        <v>KKP044</v>
      </c>
      <c r="D272" s="3" t="str">
        <f>IFERROR(__xludf.DUMMYFUNCTION("""COMPUTED_VALUE"""),"Adi Bowo Santoso")</f>
        <v>Adi Bowo Santoso</v>
      </c>
      <c r="E272" s="3" t="str">
        <f>IFERROR(__xludf.DUMMYFUNCTION("""COMPUTED_VALUE"""),"TE")</f>
        <v>TE</v>
      </c>
      <c r="F272" s="3" t="str">
        <f>IFERROR(__xludf.DUMMYFUNCTION("""COMPUTED_VALUE"""),"Winda Sokenda")</f>
        <v>Winda Sokenda</v>
      </c>
      <c r="G272" s="3" t="str">
        <f>IFERROR(__xludf.DUMMYFUNCTION("""COMPUTED_VALUE"""),"Barito Raya")</f>
        <v>Barito Raya</v>
      </c>
      <c r="H272" s="3" t="str">
        <f>IFERROR(__xludf.DUMMYFUNCTION("""COMPUTED_VALUE"""),"Corrective")</f>
        <v>Corrective</v>
      </c>
      <c r="I272" s="3" t="str">
        <f>IFERROR(__xludf.DUMMYFUNCTION("""COMPUTED_VALUE"""),"Perbaikan Auto,pergantian relay,timer, yang berhubungan genset")</f>
        <v>Perbaikan Auto,pergantian relay,timer, yang berhubungan genset</v>
      </c>
      <c r="J272" s="3" t="str">
        <f>IFERROR(__xludf.DUMMYFUNCTION("""COMPUTED_VALUE"""),"On Progress")</f>
        <v>On Progress</v>
      </c>
      <c r="K272" s="27">
        <f>IFERROR(__xludf.DUMMYFUNCTION("""COMPUTED_VALUE"""),46013.0)</f>
        <v>46013</v>
      </c>
      <c r="L272" s="27">
        <f>IFERROR(__xludf.DUMMYFUNCTION("""COMPUTED_VALUE"""),46013.0)</f>
        <v>46013</v>
      </c>
      <c r="M272" s="3" t="str">
        <f>IFERROR(__xludf.DUMMYFUNCTION("""COMPUTED_VALUE"""),"Waiting Update")</f>
        <v>Waiting Update</v>
      </c>
      <c r="N272" s="3"/>
      <c r="O272" s="3" t="str">
        <f>IFERROR(VLOOKUP(C272,Sheet4!A272:F1059,6,0),"")</f>
        <v/>
      </c>
      <c r="Q272" s="2" t="str">
        <f t="shared" si="1"/>
        <v>22</v>
      </c>
    </row>
    <row r="273">
      <c r="A273" s="3" t="str">
        <f>IFERROR(__xludf.DUMMYFUNCTION("""COMPUTED_VALUE"""),"Pengecekan Power")</f>
        <v>Pengecekan Power</v>
      </c>
      <c r="B273" s="3" t="str">
        <f>IFERROR(__xludf.DUMMYFUNCTION("""COMPUTED_VALUE"""),"P1")</f>
        <v>P1</v>
      </c>
      <c r="C273" s="3" t="str">
        <f>IFERROR(__xludf.DUMMYFUNCTION("""COMPUTED_VALUE"""),"PPS084")</f>
        <v>PPS084</v>
      </c>
      <c r="D273" s="3" t="str">
        <f>IFERROR(__xludf.DUMMYFUNCTION("""COMPUTED_VALUE"""),"Muhamad Rayhan")</f>
        <v>Muhamad Rayhan</v>
      </c>
      <c r="E273" s="3" t="str">
        <f>IFERROR(__xludf.DUMMYFUNCTION("""COMPUTED_VALUE"""),"TE")</f>
        <v>TE</v>
      </c>
      <c r="F273" s="3" t="str">
        <f>IFERROR(__xludf.DUMMYFUNCTION("""COMPUTED_VALUE"""),"Doni Damara")</f>
        <v>Doni Damara</v>
      </c>
      <c r="G273" s="3" t="str">
        <f>IFERROR(__xludf.DUMMYFUNCTION("""COMPUTED_VALUE"""),"Palangkaraya")</f>
        <v>Palangkaraya</v>
      </c>
      <c r="H273" s="3" t="str">
        <f>IFERROR(__xludf.DUMMYFUNCTION("""COMPUTED_VALUE"""),"Preventive")</f>
        <v>Preventive</v>
      </c>
      <c r="I273" s="3" t="str">
        <f>IFERROR(__xludf.DUMMYFUNCTION("""COMPUTED_VALUE"""),"MCB trip/Power upnormal")</f>
        <v>MCB trip/Power upnormal</v>
      </c>
      <c r="J273" s="3" t="str">
        <f>IFERROR(__xludf.DUMMYFUNCTION("""COMPUTED_VALUE"""),"On Progress")</f>
        <v>On Progress</v>
      </c>
      <c r="K273" s="27">
        <f>IFERROR(__xludf.DUMMYFUNCTION("""COMPUTED_VALUE"""),46013.0)</f>
        <v>46013</v>
      </c>
      <c r="L273" s="27">
        <f>IFERROR(__xludf.DUMMYFUNCTION("""COMPUTED_VALUE"""),46013.0)</f>
        <v>46013</v>
      </c>
      <c r="M273" s="3" t="str">
        <f>IFERROR(__xludf.DUMMYFUNCTION("""COMPUTED_VALUE"""),"Pending")</f>
        <v>Pending</v>
      </c>
      <c r="N273" s="3"/>
      <c r="O273" s="3" t="str">
        <f>IFERROR(VLOOKUP(C273,Sheet4!A273:F1060,6,0),"")</f>
        <v/>
      </c>
      <c r="Q273" s="2" t="str">
        <f t="shared" si="1"/>
        <v>22</v>
      </c>
    </row>
    <row r="274">
      <c r="A274" s="3" t="str">
        <f>IFERROR(__xludf.DUMMYFUNCTION("""COMPUTED_VALUE"""),"Site Down")</f>
        <v>Site Down</v>
      </c>
      <c r="B274" s="3" t="str">
        <f>IFERROR(__xludf.DUMMYFUNCTION("""COMPUTED_VALUE"""),"P1")</f>
        <v>P1</v>
      </c>
      <c r="C274" s="3" t="str">
        <f>IFERROR(__xludf.DUMMYFUNCTION("""COMPUTED_VALUE"""),"PPS109")</f>
        <v>PPS109</v>
      </c>
      <c r="D274" s="3" t="str">
        <f>IFERROR(__xludf.DUMMYFUNCTION("""COMPUTED_VALUE"""),"Yahya Muhamad")</f>
        <v>Yahya Muhamad</v>
      </c>
      <c r="E274" s="3" t="str">
        <f>IFERROR(__xludf.DUMMYFUNCTION("""COMPUTED_VALUE"""),"TE")</f>
        <v>TE</v>
      </c>
      <c r="F274" s="3" t="str">
        <f>IFERROR(__xludf.DUMMYFUNCTION("""COMPUTED_VALUE"""),"Doni Damara")</f>
        <v>Doni Damara</v>
      </c>
      <c r="G274" s="3" t="str">
        <f>IFERROR(__xludf.DUMMYFUNCTION("""COMPUTED_VALUE"""),"Palangkaraya")</f>
        <v>Palangkaraya</v>
      </c>
      <c r="H274" s="3" t="str">
        <f>IFERROR(__xludf.DUMMYFUNCTION("""COMPUTED_VALUE"""),"Corrective")</f>
        <v>Corrective</v>
      </c>
      <c r="I274" s="3" t="str">
        <f>IFERROR(__xludf.DUMMYFUNCTION("""COMPUTED_VALUE"""),"Pemadaman,MCB Trip,Transmisi problem")</f>
        <v>Pemadaman,MCB Trip,Transmisi problem</v>
      </c>
      <c r="J274" s="3" t="str">
        <f>IFERROR(__xludf.DUMMYFUNCTION("""COMPUTED_VALUE"""),"On Progress")</f>
        <v>On Progress</v>
      </c>
      <c r="K274" s="27">
        <f>IFERROR(__xludf.DUMMYFUNCTION("""COMPUTED_VALUE"""),46013.0)</f>
        <v>46013</v>
      </c>
      <c r="L274" s="27">
        <f>IFERROR(__xludf.DUMMYFUNCTION("""COMPUTED_VALUE"""),46013.0)</f>
        <v>46013</v>
      </c>
      <c r="M274" s="3" t="str">
        <f>IFERROR(__xludf.DUMMYFUNCTION("""COMPUTED_VALUE"""),"Pending")</f>
        <v>Pending</v>
      </c>
      <c r="N274" s="3"/>
      <c r="O274" s="3">
        <f>IFERROR(VLOOKUP(C274,Sheet4!A274:F1061,6,0),"")</f>
        <v>11418992</v>
      </c>
      <c r="Q274" s="2" t="str">
        <f t="shared" si="1"/>
        <v>22</v>
      </c>
    </row>
    <row r="275">
      <c r="A275" s="3" t="str">
        <f>IFERROR(__xludf.DUMMYFUNCTION("""COMPUTED_VALUE"""),"Site Down")</f>
        <v>Site Down</v>
      </c>
      <c r="B275" s="3" t="str">
        <f>IFERROR(__xludf.DUMMYFUNCTION("""COMPUTED_VALUE"""),"P1")</f>
        <v>P1</v>
      </c>
      <c r="C275" s="3" t="str">
        <f>IFERROR(__xludf.DUMMYFUNCTION("""COMPUTED_VALUE"""),"KKN151")</f>
        <v>KKN151</v>
      </c>
      <c r="D275" s="3" t="str">
        <f>IFERROR(__xludf.DUMMYFUNCTION("""COMPUTED_VALUE"""),"Leonard")</f>
        <v>Leonard</v>
      </c>
      <c r="E275" s="3" t="str">
        <f>IFERROR(__xludf.DUMMYFUNCTION("""COMPUTED_VALUE"""),"TE")</f>
        <v>TE</v>
      </c>
      <c r="F275" s="3" t="str">
        <f>IFERROR(__xludf.DUMMYFUNCTION("""COMPUTED_VALUE"""),"Doni Damara")</f>
        <v>Doni Damara</v>
      </c>
      <c r="G275" s="3" t="str">
        <f>IFERROR(__xludf.DUMMYFUNCTION("""COMPUTED_VALUE"""),"Palangkaraya")</f>
        <v>Palangkaraya</v>
      </c>
      <c r="H275" s="3" t="str">
        <f>IFERROR(__xludf.DUMMYFUNCTION("""COMPUTED_VALUE"""),"Corrective")</f>
        <v>Corrective</v>
      </c>
      <c r="I275" s="3" t="str">
        <f>IFERROR(__xludf.DUMMYFUNCTION("""COMPUTED_VALUE"""),"Pemadaman,MCB Trip,Transmisi problem")</f>
        <v>Pemadaman,MCB Trip,Transmisi problem</v>
      </c>
      <c r="J275" s="3" t="str">
        <f>IFERROR(__xludf.DUMMYFUNCTION("""COMPUTED_VALUE"""),"On Progress")</f>
        <v>On Progress</v>
      </c>
      <c r="K275" s="27">
        <f>IFERROR(__xludf.DUMMYFUNCTION("""COMPUTED_VALUE"""),46013.0)</f>
        <v>46013</v>
      </c>
      <c r="L275" s="27">
        <f>IFERROR(__xludf.DUMMYFUNCTION("""COMPUTED_VALUE"""),46013.0)</f>
        <v>46013</v>
      </c>
      <c r="M275" s="3" t="str">
        <f>IFERROR(__xludf.DUMMYFUNCTION("""COMPUTED_VALUE"""),"Pending")</f>
        <v>Pending</v>
      </c>
      <c r="N275" s="3"/>
      <c r="O275" s="3" t="str">
        <f>IFERROR(VLOOKUP(C275,Sheet4!A275:F1062,6,0),"")</f>
        <v/>
      </c>
      <c r="Q275" s="2" t="str">
        <f t="shared" si="1"/>
        <v>22</v>
      </c>
    </row>
    <row r="276">
      <c r="A276" s="3" t="str">
        <f>IFERROR(__xludf.DUMMYFUNCTION("""COMPUTED_VALUE"""),"Cell down")</f>
        <v>Cell down</v>
      </c>
      <c r="B276" s="3" t="str">
        <f>IFERROR(__xludf.DUMMYFUNCTION("""COMPUTED_VALUE"""),"P1")</f>
        <v>P1</v>
      </c>
      <c r="C276" s="3" t="str">
        <f>IFERROR(__xludf.DUMMYFUNCTION("""COMPUTED_VALUE"""),"KKN074")</f>
        <v>KKN074</v>
      </c>
      <c r="D276" s="3" t="str">
        <f>IFERROR(__xludf.DUMMYFUNCTION("""COMPUTED_VALUE"""),"Aulia Rahman")</f>
        <v>Aulia Rahman</v>
      </c>
      <c r="E276" s="3" t="str">
        <f>IFERROR(__xludf.DUMMYFUNCTION("""COMPUTED_VALUE"""),"TE")</f>
        <v>TE</v>
      </c>
      <c r="F276" s="3" t="str">
        <f>IFERROR(__xludf.DUMMYFUNCTION("""COMPUTED_VALUE"""),"Doni Damara")</f>
        <v>Doni Damara</v>
      </c>
      <c r="G276" s="3" t="str">
        <f>IFERROR(__xludf.DUMMYFUNCTION("""COMPUTED_VALUE"""),"Palangkaraya")</f>
        <v>Palangkaraya</v>
      </c>
      <c r="H276" s="3" t="str">
        <f>IFERROR(__xludf.DUMMYFUNCTION("""COMPUTED_VALUE"""),"Corrective")</f>
        <v>Corrective</v>
      </c>
      <c r="I276" s="3" t="str">
        <f>IFERROR(__xludf.DUMMYFUNCTION("""COMPUTED_VALUE"""),"Replace Optik,RRU/Soket Power/Replace GPS")</f>
        <v>Replace Optik,RRU/Soket Power/Replace GPS</v>
      </c>
      <c r="J276" s="3" t="str">
        <f>IFERROR(__xludf.DUMMYFUNCTION("""COMPUTED_VALUE"""),"Waiting Material")</f>
        <v>Waiting Material</v>
      </c>
      <c r="K276" s="27">
        <f>IFERROR(__xludf.DUMMYFUNCTION("""COMPUTED_VALUE"""),46013.0)</f>
        <v>46013</v>
      </c>
      <c r="L276" s="27">
        <f>IFERROR(__xludf.DUMMYFUNCTION("""COMPUTED_VALUE"""),46013.0)</f>
        <v>46013</v>
      </c>
      <c r="M276" s="3" t="str">
        <f>IFERROR(__xludf.DUMMYFUNCTION("""COMPUTED_VALUE"""),"Pending")</f>
        <v>Pending</v>
      </c>
      <c r="N276" s="3"/>
      <c r="O276" s="3" t="str">
        <f>IFERROR(VLOOKUP(C276,Sheet4!A276:F1063,6,0),"")</f>
        <v/>
      </c>
      <c r="Q276" s="2" t="str">
        <f t="shared" si="1"/>
        <v>22</v>
      </c>
    </row>
    <row r="277">
      <c r="A277" s="3" t="str">
        <f>IFERROR(__xludf.DUMMYFUNCTION("""COMPUTED_VALUE"""),"Cell down")</f>
        <v>Cell down</v>
      </c>
      <c r="B277" s="3" t="str">
        <f>IFERROR(__xludf.DUMMYFUNCTION("""COMPUTED_VALUE"""),"P1")</f>
        <v>P1</v>
      </c>
      <c r="C277" s="3" t="str">
        <f>IFERROR(__xludf.DUMMYFUNCTION("""COMPUTED_VALUE"""),"KSN006")</f>
        <v>KSN006</v>
      </c>
      <c r="D277" s="3" t="str">
        <f>IFERROR(__xludf.DUMMYFUNCTION("""COMPUTED_VALUE"""),"Muhammad Mukhlis")</f>
        <v>Muhammad Mukhlis</v>
      </c>
      <c r="E277" s="3" t="str">
        <f>IFERROR(__xludf.DUMMYFUNCTION("""COMPUTED_VALUE"""),"TE")</f>
        <v>TE</v>
      </c>
      <c r="F277" s="3" t="str">
        <f>IFERROR(__xludf.DUMMYFUNCTION("""COMPUTED_VALUE"""),"Doni Damara")</f>
        <v>Doni Damara</v>
      </c>
      <c r="G277" s="3" t="str">
        <f>IFERROR(__xludf.DUMMYFUNCTION("""COMPUTED_VALUE"""),"Palangkaraya")</f>
        <v>Palangkaraya</v>
      </c>
      <c r="H277" s="3" t="str">
        <f>IFERROR(__xludf.DUMMYFUNCTION("""COMPUTED_VALUE"""),"Corrective")</f>
        <v>Corrective</v>
      </c>
      <c r="I277" s="3" t="str">
        <f>IFERROR(__xludf.DUMMYFUNCTION("""COMPUTED_VALUE"""),"Replace Optik,RRU/Soket Power/Replace GPS")</f>
        <v>Replace Optik,RRU/Soket Power/Replace GPS</v>
      </c>
      <c r="J277" s="3" t="str">
        <f>IFERROR(__xludf.DUMMYFUNCTION("""COMPUTED_VALUE"""),"On Progress")</f>
        <v>On Progress</v>
      </c>
      <c r="K277" s="27">
        <f>IFERROR(__xludf.DUMMYFUNCTION("""COMPUTED_VALUE"""),46013.0)</f>
        <v>46013</v>
      </c>
      <c r="L277" s="27">
        <f>IFERROR(__xludf.DUMMYFUNCTION("""COMPUTED_VALUE"""),46013.0)</f>
        <v>46013</v>
      </c>
      <c r="M277" s="3" t="str">
        <f>IFERROR(__xludf.DUMMYFUNCTION("""COMPUTED_VALUE"""),"Pending")</f>
        <v>Pending</v>
      </c>
      <c r="N277" s="3"/>
      <c r="O277" s="3">
        <f>IFERROR(VLOOKUP(C277,Sheet4!A277:F1064,6,0),"")</f>
        <v>11347421</v>
      </c>
      <c r="Q277" s="2" t="str">
        <f t="shared" si="1"/>
        <v>22</v>
      </c>
    </row>
    <row r="278">
      <c r="A278" s="3" t="str">
        <f>IFERROR(__xludf.DUMMYFUNCTION("""COMPUTED_VALUE"""),"Cell down")</f>
        <v>Cell down</v>
      </c>
      <c r="B278" s="3" t="str">
        <f>IFERROR(__xludf.DUMMYFUNCTION("""COMPUTED_VALUE"""),"P1")</f>
        <v>P1</v>
      </c>
      <c r="C278" s="3" t="str">
        <f>IFERROR(__xludf.DUMMYFUNCTION("""COMPUTED_VALUE"""),"KSN036")</f>
        <v>KSN036</v>
      </c>
      <c r="D278" s="3" t="str">
        <f>IFERROR(__xludf.DUMMYFUNCTION("""COMPUTED_VALUE"""),"Muhammad Mukti")</f>
        <v>Muhammad Mukti</v>
      </c>
      <c r="E278" s="3" t="str">
        <f>IFERROR(__xludf.DUMMYFUNCTION("""COMPUTED_VALUE"""),"TE")</f>
        <v>TE</v>
      </c>
      <c r="F278" s="3" t="str">
        <f>IFERROR(__xludf.DUMMYFUNCTION("""COMPUTED_VALUE"""),"Doni Damara")</f>
        <v>Doni Damara</v>
      </c>
      <c r="G278" s="3" t="str">
        <f>IFERROR(__xludf.DUMMYFUNCTION("""COMPUTED_VALUE"""),"Palangkaraya")</f>
        <v>Palangkaraya</v>
      </c>
      <c r="H278" s="3" t="str">
        <f>IFERROR(__xludf.DUMMYFUNCTION("""COMPUTED_VALUE"""),"Corrective")</f>
        <v>Corrective</v>
      </c>
      <c r="I278" s="3" t="str">
        <f>IFERROR(__xludf.DUMMYFUNCTION("""COMPUTED_VALUE"""),"Replace Optik,RRU/Soket Power/Replace GPS")</f>
        <v>Replace Optik,RRU/Soket Power/Replace GPS</v>
      </c>
      <c r="J278" s="3" t="str">
        <f>IFERROR(__xludf.DUMMYFUNCTION("""COMPUTED_VALUE"""),"Waiting Material")</f>
        <v>Waiting Material</v>
      </c>
      <c r="K278" s="27">
        <f>IFERROR(__xludf.DUMMYFUNCTION("""COMPUTED_VALUE"""),46013.0)</f>
        <v>46013</v>
      </c>
      <c r="L278" s="27">
        <f>IFERROR(__xludf.DUMMYFUNCTION("""COMPUTED_VALUE"""),46013.0)</f>
        <v>46013</v>
      </c>
      <c r="M278" s="3" t="str">
        <f>IFERROR(__xludf.DUMMYFUNCTION("""COMPUTED_VALUE"""),"Pending")</f>
        <v>Pending</v>
      </c>
      <c r="N278" s="3"/>
      <c r="O278" s="3">
        <f>IFERROR(VLOOKUP(C278,Sheet4!A278:F1065,6,0),"")</f>
        <v>11309504</v>
      </c>
      <c r="Q278" s="2" t="str">
        <f t="shared" si="1"/>
        <v>22</v>
      </c>
    </row>
    <row r="279">
      <c r="A279" s="3" t="str">
        <f>IFERROR(__xludf.DUMMYFUNCTION("""COMPUTED_VALUE"""),"PM")</f>
        <v>PM</v>
      </c>
      <c r="B279" s="3" t="str">
        <f>IFERROR(__xludf.DUMMYFUNCTION("""COMPUTED_VALUE"""),"P2")</f>
        <v>P2</v>
      </c>
      <c r="C279" s="3" t="str">
        <f>IFERROR(__xludf.DUMMYFUNCTION("""COMPUTED_VALUE"""),"KKN054")</f>
        <v>KKN054</v>
      </c>
      <c r="D279" s="3" t="str">
        <f>IFERROR(__xludf.DUMMYFUNCTION("""COMPUTED_VALUE"""),"Indra")</f>
        <v>Indra</v>
      </c>
      <c r="E279" s="3" t="str">
        <f>IFERROR(__xludf.DUMMYFUNCTION("""COMPUTED_VALUE"""),"PM")</f>
        <v>PM</v>
      </c>
      <c r="F279" s="3" t="str">
        <f>IFERROR(__xludf.DUMMYFUNCTION("""COMPUTED_VALUE"""),"Doni Damara")</f>
        <v>Doni Damara</v>
      </c>
      <c r="G279" s="3" t="str">
        <f>IFERROR(__xludf.DUMMYFUNCTION("""COMPUTED_VALUE"""),"Palangkaraya")</f>
        <v>Palangkaraya</v>
      </c>
      <c r="H279" s="3" t="str">
        <f>IFERROR(__xludf.DUMMYFUNCTION("""COMPUTED_VALUE"""),"Preventive")</f>
        <v>Preventive</v>
      </c>
      <c r="I279" s="3" t="str">
        <f>IFERROR(__xludf.DUMMYFUNCTION("""COMPUTED_VALUE"""),"Preventive Maintenance")</f>
        <v>Preventive Maintenance</v>
      </c>
      <c r="J279" s="3" t="str">
        <f>IFERROR(__xludf.DUMMYFUNCTION("""COMPUTED_VALUE"""),"On Progress")</f>
        <v>On Progress</v>
      </c>
      <c r="K279" s="27">
        <f>IFERROR(__xludf.DUMMYFUNCTION("""COMPUTED_VALUE"""),46013.0)</f>
        <v>46013</v>
      </c>
      <c r="L279" s="27">
        <f>IFERROR(__xludf.DUMMYFUNCTION("""COMPUTED_VALUE"""),46013.0)</f>
        <v>46013</v>
      </c>
      <c r="M279" s="3" t="str">
        <f>IFERROR(__xludf.DUMMYFUNCTION("""COMPUTED_VALUE"""),"Done")</f>
        <v>Done</v>
      </c>
      <c r="N279" s="3"/>
      <c r="O279" s="3" t="str">
        <f>IFERROR(VLOOKUP(C279,Sheet4!A279:F1066,6,0),"")</f>
        <v/>
      </c>
      <c r="Q279" s="2" t="str">
        <f t="shared" si="1"/>
        <v>22</v>
      </c>
    </row>
    <row r="280">
      <c r="A280" s="3" t="str">
        <f>IFERROR(__xludf.DUMMYFUNCTION("""COMPUTED_VALUE"""),"PM")</f>
        <v>PM</v>
      </c>
      <c r="B280" s="3" t="str">
        <f>IFERROR(__xludf.DUMMYFUNCTION("""COMPUTED_VALUE"""),"P2")</f>
        <v>P2</v>
      </c>
      <c r="C280" s="3" t="str">
        <f>IFERROR(__xludf.DUMMYFUNCTION("""COMPUTED_VALUE"""),"PLK098")</f>
        <v>PLK098</v>
      </c>
      <c r="D280" s="3" t="str">
        <f>IFERROR(__xludf.DUMMYFUNCTION("""COMPUTED_VALUE"""),"Darli")</f>
        <v>Darli</v>
      </c>
      <c r="E280" s="3" t="str">
        <f>IFERROR(__xludf.DUMMYFUNCTION("""COMPUTED_VALUE"""),"PM")</f>
        <v>PM</v>
      </c>
      <c r="F280" s="3" t="str">
        <f>IFERROR(__xludf.DUMMYFUNCTION("""COMPUTED_VALUE"""),"Doni Damara")</f>
        <v>Doni Damara</v>
      </c>
      <c r="G280" s="3" t="str">
        <f>IFERROR(__xludf.DUMMYFUNCTION("""COMPUTED_VALUE"""),"Palangkaraya")</f>
        <v>Palangkaraya</v>
      </c>
      <c r="H280" s="3" t="str">
        <f>IFERROR(__xludf.DUMMYFUNCTION("""COMPUTED_VALUE"""),"Preventive")</f>
        <v>Preventive</v>
      </c>
      <c r="I280" s="3" t="str">
        <f>IFERROR(__xludf.DUMMYFUNCTION("""COMPUTED_VALUE"""),"Preventive Maintenance")</f>
        <v>Preventive Maintenance</v>
      </c>
      <c r="J280" s="3" t="str">
        <f>IFERROR(__xludf.DUMMYFUNCTION("""COMPUTED_VALUE"""),"On Progress")</f>
        <v>On Progress</v>
      </c>
      <c r="K280" s="27">
        <f>IFERROR(__xludf.DUMMYFUNCTION("""COMPUTED_VALUE"""),46013.0)</f>
        <v>46013</v>
      </c>
      <c r="L280" s="27">
        <f>IFERROR(__xludf.DUMMYFUNCTION("""COMPUTED_VALUE"""),46013.0)</f>
        <v>46013</v>
      </c>
      <c r="M280" s="3" t="str">
        <f>IFERROR(__xludf.DUMMYFUNCTION("""COMPUTED_VALUE"""),"Done")</f>
        <v>Done</v>
      </c>
      <c r="N280" s="3"/>
      <c r="O280" s="3" t="str">
        <f>IFERROR(VLOOKUP(C280,Sheet4!A280:F1067,6,0),"")</f>
        <v/>
      </c>
      <c r="Q280" s="2" t="str">
        <f t="shared" si="1"/>
        <v>22</v>
      </c>
    </row>
    <row r="281">
      <c r="A281" s="3" t="str">
        <f>IFERROR(__xludf.DUMMYFUNCTION("""COMPUTED_VALUE"""),"PM")</f>
        <v>PM</v>
      </c>
      <c r="B281" s="3" t="str">
        <f>IFERROR(__xludf.DUMMYFUNCTION("""COMPUTED_VALUE"""),"P2")</f>
        <v>P2</v>
      </c>
      <c r="C281" s="3" t="str">
        <f>IFERROR(__xludf.DUMMYFUNCTION("""COMPUTED_VALUE"""),"PLK278")</f>
        <v>PLK278</v>
      </c>
      <c r="D281" s="3" t="str">
        <f>IFERROR(__xludf.DUMMYFUNCTION("""COMPUTED_VALUE"""),"AHMAD ARDIANTO FIRMANSYAH")</f>
        <v>AHMAD ARDIANTO FIRMANSYAH</v>
      </c>
      <c r="E281" s="3" t="str">
        <f>IFERROR(__xludf.DUMMYFUNCTION("""COMPUTED_VALUE"""),"PM")</f>
        <v>PM</v>
      </c>
      <c r="F281" s="3" t="str">
        <f>IFERROR(__xludf.DUMMYFUNCTION("""COMPUTED_VALUE"""),"Doni Damara")</f>
        <v>Doni Damara</v>
      </c>
      <c r="G281" s="3" t="str">
        <f>IFERROR(__xludf.DUMMYFUNCTION("""COMPUTED_VALUE"""),"Palangkaraya")</f>
        <v>Palangkaraya</v>
      </c>
      <c r="H281" s="3" t="str">
        <f>IFERROR(__xludf.DUMMYFUNCTION("""COMPUTED_VALUE"""),"Preventive")</f>
        <v>Preventive</v>
      </c>
      <c r="I281" s="3" t="str">
        <f>IFERROR(__xludf.DUMMYFUNCTION("""COMPUTED_VALUE"""),"Preventive Maintenance")</f>
        <v>Preventive Maintenance</v>
      </c>
      <c r="J281" s="3" t="str">
        <f>IFERROR(__xludf.DUMMYFUNCTION("""COMPUTED_VALUE"""),"On Progress")</f>
        <v>On Progress</v>
      </c>
      <c r="K281" s="27">
        <f>IFERROR(__xludf.DUMMYFUNCTION("""COMPUTED_VALUE"""),46013.0)</f>
        <v>46013</v>
      </c>
      <c r="L281" s="27">
        <f>IFERROR(__xludf.DUMMYFUNCTION("""COMPUTED_VALUE"""),46013.0)</f>
        <v>46013</v>
      </c>
      <c r="M281" s="3" t="str">
        <f>IFERROR(__xludf.DUMMYFUNCTION("""COMPUTED_VALUE"""),"Done")</f>
        <v>Done</v>
      </c>
      <c r="N281" s="3"/>
      <c r="O281" s="3">
        <f>IFERROR(VLOOKUP(C281,Sheet4!A281:F1068,6,0),"")</f>
        <v>11391816</v>
      </c>
      <c r="Q281" s="2" t="str">
        <f t="shared" si="1"/>
        <v>22</v>
      </c>
    </row>
    <row r="282">
      <c r="A282" s="3" t="str">
        <f>IFERROR(__xludf.DUMMYFUNCTION("""COMPUTED_VALUE"""),"Standby On Call")</f>
        <v>Standby On Call</v>
      </c>
      <c r="B282" s="3" t="str">
        <f>IFERROR(__xludf.DUMMYFUNCTION("""COMPUTED_VALUE"""),"P3")</f>
        <v>P3</v>
      </c>
      <c r="C282" s="3"/>
      <c r="D282" s="3" t="str">
        <f>IFERROR(__xludf.DUMMYFUNCTION("""COMPUTED_VALUE"""),"Purwanto")</f>
        <v>Purwanto</v>
      </c>
      <c r="E282" s="3" t="str">
        <f>IFERROR(__xludf.DUMMYFUNCTION("""COMPUTED_VALUE"""),"MBP")</f>
        <v>MBP</v>
      </c>
      <c r="F282" s="3" t="str">
        <f>IFERROR(__xludf.DUMMYFUNCTION("""COMPUTED_VALUE"""),"Doni Damara")</f>
        <v>Doni Damara</v>
      </c>
      <c r="G282" s="3" t="str">
        <f>IFERROR(__xludf.DUMMYFUNCTION("""COMPUTED_VALUE"""),"Palangkaraya")</f>
        <v>Palangkaraya</v>
      </c>
      <c r="H282" s="3" t="str">
        <f>IFERROR(__xludf.DUMMYFUNCTION("""COMPUTED_VALUE"""),"Standby")</f>
        <v>Standby</v>
      </c>
      <c r="I282" s="3" t="str">
        <f>IFERROR(__xludf.DUMMYFUNCTION("""COMPUTED_VALUE"""),"Standby On Call")</f>
        <v>Standby On Call</v>
      </c>
      <c r="J282" s="3" t="str">
        <f>IFERROR(__xludf.DUMMYFUNCTION("""COMPUTED_VALUE"""),"Standby")</f>
        <v>Standby</v>
      </c>
      <c r="K282" s="27">
        <f>IFERROR(__xludf.DUMMYFUNCTION("""COMPUTED_VALUE"""),46013.0)</f>
        <v>46013</v>
      </c>
      <c r="L282" s="27">
        <f>IFERROR(__xludf.DUMMYFUNCTION("""COMPUTED_VALUE"""),46013.0)</f>
        <v>46013</v>
      </c>
      <c r="M282" s="3" t="str">
        <f>IFERROR(__xludf.DUMMYFUNCTION("""COMPUTED_VALUE"""),"Waiting Update")</f>
        <v>Waiting Update</v>
      </c>
      <c r="N282" s="3"/>
      <c r="O282" s="3" t="str">
        <f>IFERROR(VLOOKUP(C282,Sheet4!A282:F1069,6,0),"")</f>
        <v/>
      </c>
      <c r="Q282" s="2" t="str">
        <f t="shared" si="1"/>
        <v>22</v>
      </c>
    </row>
    <row r="283">
      <c r="A283" s="3" t="str">
        <f>IFERROR(__xludf.DUMMYFUNCTION("""COMPUTED_VALUE"""),"Standby On Call")</f>
        <v>Standby On Call</v>
      </c>
      <c r="B283" s="3" t="str">
        <f>IFERROR(__xludf.DUMMYFUNCTION("""COMPUTED_VALUE"""),"P3")</f>
        <v>P3</v>
      </c>
      <c r="C283" s="3"/>
      <c r="D283" s="3" t="str">
        <f>IFERROR(__xludf.DUMMYFUNCTION("""COMPUTED_VALUE"""),"Sarwono")</f>
        <v>Sarwono</v>
      </c>
      <c r="E283" s="3" t="str">
        <f>IFERROR(__xludf.DUMMYFUNCTION("""COMPUTED_VALUE"""),"CME")</f>
        <v>CME</v>
      </c>
      <c r="F283" s="3" t="str">
        <f>IFERROR(__xludf.DUMMYFUNCTION("""COMPUTED_VALUE"""),"Doni Damara")</f>
        <v>Doni Damara</v>
      </c>
      <c r="G283" s="3" t="str">
        <f>IFERROR(__xludf.DUMMYFUNCTION("""COMPUTED_VALUE"""),"Palangkaraya")</f>
        <v>Palangkaraya</v>
      </c>
      <c r="H283" s="3" t="str">
        <f>IFERROR(__xludf.DUMMYFUNCTION("""COMPUTED_VALUE"""),"Standby")</f>
        <v>Standby</v>
      </c>
      <c r="I283" s="3" t="str">
        <f>IFERROR(__xludf.DUMMYFUNCTION("""COMPUTED_VALUE"""),"Standby On Call")</f>
        <v>Standby On Call</v>
      </c>
      <c r="J283" s="3" t="str">
        <f>IFERROR(__xludf.DUMMYFUNCTION("""COMPUTED_VALUE"""),"Standby")</f>
        <v>Standby</v>
      </c>
      <c r="K283" s="27">
        <f>IFERROR(__xludf.DUMMYFUNCTION("""COMPUTED_VALUE"""),46013.0)</f>
        <v>46013</v>
      </c>
      <c r="L283" s="27">
        <f>IFERROR(__xludf.DUMMYFUNCTION("""COMPUTED_VALUE"""),46013.0)</f>
        <v>46013</v>
      </c>
      <c r="M283" s="3" t="str">
        <f>IFERROR(__xludf.DUMMYFUNCTION("""COMPUTED_VALUE"""),"Waiting Update")</f>
        <v>Waiting Update</v>
      </c>
      <c r="N283" s="3"/>
      <c r="O283" s="3" t="str">
        <f>IFERROR(VLOOKUP(C283,Sheet4!A283:F1070,6,0),"")</f>
        <v/>
      </c>
      <c r="Q283" s="2" t="str">
        <f t="shared" si="1"/>
        <v>22</v>
      </c>
    </row>
    <row r="284">
      <c r="A284" s="3" t="str">
        <f>IFERROR(__xludf.DUMMYFUNCTION("""COMPUTED_VALUE"""),"Standby On Call")</f>
        <v>Standby On Call</v>
      </c>
      <c r="B284" s="3" t="str">
        <f>IFERROR(__xludf.DUMMYFUNCTION("""COMPUTED_VALUE"""),"P3")</f>
        <v>P3</v>
      </c>
      <c r="C284" s="3"/>
      <c r="D284" s="3" t="str">
        <f>IFERROR(__xludf.DUMMYFUNCTION("""COMPUTED_VALUE"""),"Sairaji")</f>
        <v>Sairaji</v>
      </c>
      <c r="E284" s="3" t="str">
        <f>IFERROR(__xludf.DUMMYFUNCTION("""COMPUTED_VALUE"""),"MBP")</f>
        <v>MBP</v>
      </c>
      <c r="F284" s="3" t="str">
        <f>IFERROR(__xludf.DUMMYFUNCTION("""COMPUTED_VALUE"""),"Doni Damara")</f>
        <v>Doni Damara</v>
      </c>
      <c r="G284" s="3" t="str">
        <f>IFERROR(__xludf.DUMMYFUNCTION("""COMPUTED_VALUE"""),"Palangkaraya")</f>
        <v>Palangkaraya</v>
      </c>
      <c r="H284" s="3" t="str">
        <f>IFERROR(__xludf.DUMMYFUNCTION("""COMPUTED_VALUE"""),"Standby")</f>
        <v>Standby</v>
      </c>
      <c r="I284" s="3" t="str">
        <f>IFERROR(__xludf.DUMMYFUNCTION("""COMPUTED_VALUE"""),"Standby On Call")</f>
        <v>Standby On Call</v>
      </c>
      <c r="J284" s="3" t="str">
        <f>IFERROR(__xludf.DUMMYFUNCTION("""COMPUTED_VALUE"""),"Standby")</f>
        <v>Standby</v>
      </c>
      <c r="K284" s="27">
        <f>IFERROR(__xludf.DUMMYFUNCTION("""COMPUTED_VALUE"""),46013.0)</f>
        <v>46013</v>
      </c>
      <c r="L284" s="27">
        <f>IFERROR(__xludf.DUMMYFUNCTION("""COMPUTED_VALUE"""),46013.0)</f>
        <v>46013</v>
      </c>
      <c r="M284" s="3" t="str">
        <f>IFERROR(__xludf.DUMMYFUNCTION("""COMPUTED_VALUE"""),"Waiting Update")</f>
        <v>Waiting Update</v>
      </c>
      <c r="N284" s="3"/>
      <c r="O284" s="3" t="str">
        <f>IFERROR(VLOOKUP(C284,Sheet4!A284:F1071,6,0),"")</f>
        <v/>
      </c>
      <c r="Q284" s="2" t="str">
        <f t="shared" si="1"/>
        <v>22</v>
      </c>
    </row>
    <row r="285">
      <c r="A285" s="3" t="str">
        <f>IFERROR(__xludf.DUMMYFUNCTION("""COMPUTED_VALUE"""),"Standby On Call")</f>
        <v>Standby On Call</v>
      </c>
      <c r="B285" s="3" t="str">
        <f>IFERROR(__xludf.DUMMYFUNCTION("""COMPUTED_VALUE"""),"P3")</f>
        <v>P3</v>
      </c>
      <c r="C285" s="3"/>
      <c r="D285" s="3" t="str">
        <f>IFERROR(__xludf.DUMMYFUNCTION("""COMPUTED_VALUE"""),"Agus muliana pamungkas")</f>
        <v>Agus muliana pamungkas</v>
      </c>
      <c r="E285" s="3" t="str">
        <f>IFERROR(__xludf.DUMMYFUNCTION("""COMPUTED_VALUE"""),"MBP")</f>
        <v>MBP</v>
      </c>
      <c r="F285" s="3" t="str">
        <f>IFERROR(__xludf.DUMMYFUNCTION("""COMPUTED_VALUE"""),"Doni Damara")</f>
        <v>Doni Damara</v>
      </c>
      <c r="G285" s="3" t="str">
        <f>IFERROR(__xludf.DUMMYFUNCTION("""COMPUTED_VALUE"""),"Palangkaraya")</f>
        <v>Palangkaraya</v>
      </c>
      <c r="H285" s="3" t="str">
        <f>IFERROR(__xludf.DUMMYFUNCTION("""COMPUTED_VALUE"""),"Standby")</f>
        <v>Standby</v>
      </c>
      <c r="I285" s="3" t="str">
        <f>IFERROR(__xludf.DUMMYFUNCTION("""COMPUTED_VALUE"""),"Standby On Call")</f>
        <v>Standby On Call</v>
      </c>
      <c r="J285" s="3" t="str">
        <f>IFERROR(__xludf.DUMMYFUNCTION("""COMPUTED_VALUE"""),"Standby")</f>
        <v>Standby</v>
      </c>
      <c r="K285" s="27">
        <f>IFERROR(__xludf.DUMMYFUNCTION("""COMPUTED_VALUE"""),46013.0)</f>
        <v>46013</v>
      </c>
      <c r="L285" s="27">
        <f>IFERROR(__xludf.DUMMYFUNCTION("""COMPUTED_VALUE"""),46013.0)</f>
        <v>46013</v>
      </c>
      <c r="M285" s="3" t="str">
        <f>IFERROR(__xludf.DUMMYFUNCTION("""COMPUTED_VALUE"""),"Waiting Update")</f>
        <v>Waiting Update</v>
      </c>
      <c r="N285" s="3"/>
      <c r="O285" s="3" t="str">
        <f>IFERROR(VLOOKUP(C285,Sheet4!A285:F1072,6,0),"")</f>
        <v/>
      </c>
      <c r="Q285" s="2" t="str">
        <f t="shared" si="1"/>
        <v>22</v>
      </c>
    </row>
    <row r="286">
      <c r="A286" s="3" t="str">
        <f>IFERROR(__xludf.DUMMYFUNCTION("""COMPUTED_VALUE"""),"Standby On Call")</f>
        <v>Standby On Call</v>
      </c>
      <c r="B286" s="3" t="str">
        <f>IFERROR(__xludf.DUMMYFUNCTION("""COMPUTED_VALUE"""),"P3")</f>
        <v>P3</v>
      </c>
      <c r="C286" s="3"/>
      <c r="D286" s="3" t="str">
        <f>IFERROR(__xludf.DUMMYFUNCTION("""COMPUTED_VALUE"""),"Fajrianur wahid")</f>
        <v>Fajrianur wahid</v>
      </c>
      <c r="E286" s="3" t="str">
        <f>IFERROR(__xludf.DUMMYFUNCTION("""COMPUTED_VALUE"""),"TE")</f>
        <v>TE</v>
      </c>
      <c r="F286" s="3" t="str">
        <f>IFERROR(__xludf.DUMMYFUNCTION("""COMPUTED_VALUE"""),"Doni Damara")</f>
        <v>Doni Damara</v>
      </c>
      <c r="G286" s="3" t="str">
        <f>IFERROR(__xludf.DUMMYFUNCTION("""COMPUTED_VALUE"""),"Palangkaraya")</f>
        <v>Palangkaraya</v>
      </c>
      <c r="H286" s="3" t="str">
        <f>IFERROR(__xludf.DUMMYFUNCTION("""COMPUTED_VALUE"""),"Standby")</f>
        <v>Standby</v>
      </c>
      <c r="I286" s="3" t="str">
        <f>IFERROR(__xludf.DUMMYFUNCTION("""COMPUTED_VALUE"""),"Standby On Call")</f>
        <v>Standby On Call</v>
      </c>
      <c r="J286" s="3" t="str">
        <f>IFERROR(__xludf.DUMMYFUNCTION("""COMPUTED_VALUE"""),"Standby")</f>
        <v>Standby</v>
      </c>
      <c r="K286" s="27">
        <f>IFERROR(__xludf.DUMMYFUNCTION("""COMPUTED_VALUE"""),46013.0)</f>
        <v>46013</v>
      </c>
      <c r="L286" s="27">
        <f>IFERROR(__xludf.DUMMYFUNCTION("""COMPUTED_VALUE"""),46013.0)</f>
        <v>46013</v>
      </c>
      <c r="M286" s="3" t="str">
        <f>IFERROR(__xludf.DUMMYFUNCTION("""COMPUTED_VALUE"""),"Waiting Update")</f>
        <v>Waiting Update</v>
      </c>
      <c r="N286" s="3"/>
      <c r="O286" s="3" t="str">
        <f>IFERROR(VLOOKUP(C286,Sheet4!A286:F1073,6,0),"")</f>
        <v/>
      </c>
      <c r="Q286" s="2" t="str">
        <f t="shared" si="1"/>
        <v>22</v>
      </c>
    </row>
    <row r="287">
      <c r="A287" s="3" t="str">
        <f>IFERROR(__xludf.DUMMYFUNCTION("""COMPUTED_VALUE"""),"Standby On Call")</f>
        <v>Standby On Call</v>
      </c>
      <c r="B287" s="3" t="str">
        <f>IFERROR(__xludf.DUMMYFUNCTION("""COMPUTED_VALUE"""),"P3")</f>
        <v>P3</v>
      </c>
      <c r="C287" s="3"/>
      <c r="D287" s="3" t="str">
        <f>IFERROR(__xludf.DUMMYFUNCTION("""COMPUTED_VALUE"""),"hory yusmanto")</f>
        <v>hory yusmanto</v>
      </c>
      <c r="E287" s="3" t="str">
        <f>IFERROR(__xludf.DUMMYFUNCTION("""COMPUTED_VALUE"""),"MBP")</f>
        <v>MBP</v>
      </c>
      <c r="F287" s="3" t="str">
        <f>IFERROR(__xludf.DUMMYFUNCTION("""COMPUTED_VALUE"""),"Doni Damara")</f>
        <v>Doni Damara</v>
      </c>
      <c r="G287" s="3" t="str">
        <f>IFERROR(__xludf.DUMMYFUNCTION("""COMPUTED_VALUE"""),"Palangkaraya")</f>
        <v>Palangkaraya</v>
      </c>
      <c r="H287" s="3" t="str">
        <f>IFERROR(__xludf.DUMMYFUNCTION("""COMPUTED_VALUE"""),"Standby")</f>
        <v>Standby</v>
      </c>
      <c r="I287" s="3" t="str">
        <f>IFERROR(__xludf.DUMMYFUNCTION("""COMPUTED_VALUE"""),"Standby On Call")</f>
        <v>Standby On Call</v>
      </c>
      <c r="J287" s="3" t="str">
        <f>IFERROR(__xludf.DUMMYFUNCTION("""COMPUTED_VALUE"""),"Standby")</f>
        <v>Standby</v>
      </c>
      <c r="K287" s="27">
        <f>IFERROR(__xludf.DUMMYFUNCTION("""COMPUTED_VALUE"""),46013.0)</f>
        <v>46013</v>
      </c>
      <c r="L287" s="27">
        <f>IFERROR(__xludf.DUMMYFUNCTION("""COMPUTED_VALUE"""),46013.0)</f>
        <v>46013</v>
      </c>
      <c r="M287" s="3" t="str">
        <f>IFERROR(__xludf.DUMMYFUNCTION("""COMPUTED_VALUE"""),"Waiting Update")</f>
        <v>Waiting Update</v>
      </c>
      <c r="N287" s="3"/>
      <c r="O287" s="3" t="str">
        <f>IFERROR(VLOOKUP(C287,Sheet4!A287:F1074,6,0),"")</f>
        <v/>
      </c>
      <c r="Q287" s="2" t="str">
        <f t="shared" si="1"/>
        <v>22</v>
      </c>
    </row>
    <row r="288">
      <c r="A288" s="3" t="str">
        <f>IFERROR(__xludf.DUMMYFUNCTION("""COMPUTED_VALUE"""),"Standby On Call")</f>
        <v>Standby On Call</v>
      </c>
      <c r="B288" s="3" t="str">
        <f>IFERROR(__xludf.DUMMYFUNCTION("""COMPUTED_VALUE"""),"P3")</f>
        <v>P3</v>
      </c>
      <c r="C288" s="3"/>
      <c r="D288" s="3" t="str">
        <f>IFERROR(__xludf.DUMMYFUNCTION("""COMPUTED_VALUE"""),"Elia Ronaldo")</f>
        <v>Elia Ronaldo</v>
      </c>
      <c r="E288" s="3" t="str">
        <f>IFERROR(__xludf.DUMMYFUNCTION("""COMPUTED_VALUE"""),"MBP")</f>
        <v>MBP</v>
      </c>
      <c r="F288" s="3" t="str">
        <f>IFERROR(__xludf.DUMMYFUNCTION("""COMPUTED_VALUE"""),"Doni Damara")</f>
        <v>Doni Damara</v>
      </c>
      <c r="G288" s="3" t="str">
        <f>IFERROR(__xludf.DUMMYFUNCTION("""COMPUTED_VALUE"""),"Palangkaraya")</f>
        <v>Palangkaraya</v>
      </c>
      <c r="H288" s="3" t="str">
        <f>IFERROR(__xludf.DUMMYFUNCTION("""COMPUTED_VALUE"""),"Standby")</f>
        <v>Standby</v>
      </c>
      <c r="I288" s="3" t="str">
        <f>IFERROR(__xludf.DUMMYFUNCTION("""COMPUTED_VALUE"""),"Standby On Call")</f>
        <v>Standby On Call</v>
      </c>
      <c r="J288" s="3" t="str">
        <f>IFERROR(__xludf.DUMMYFUNCTION("""COMPUTED_VALUE"""),"Standby")</f>
        <v>Standby</v>
      </c>
      <c r="K288" s="27">
        <f>IFERROR(__xludf.DUMMYFUNCTION("""COMPUTED_VALUE"""),46013.0)</f>
        <v>46013</v>
      </c>
      <c r="L288" s="3"/>
      <c r="M288" s="3" t="str">
        <f>IFERROR(__xludf.DUMMYFUNCTION("""COMPUTED_VALUE"""),"Waiting Update")</f>
        <v>Waiting Update</v>
      </c>
      <c r="N288" s="3"/>
      <c r="O288" s="3" t="str">
        <f>IFERROR(VLOOKUP(C288,Sheet4!A288:F1075,6,0),"")</f>
        <v/>
      </c>
      <c r="Q288" s="2" t="str">
        <f t="shared" si="1"/>
        <v>22</v>
      </c>
    </row>
    <row r="289">
      <c r="A289" s="3" t="str">
        <f>IFERROR(__xludf.DUMMYFUNCTION("""COMPUTED_VALUE"""),"On Leave")</f>
        <v>On Leave</v>
      </c>
      <c r="B289" s="3" t="str">
        <f>IFERROR(__xludf.DUMMYFUNCTION("""COMPUTED_VALUE"""),"P3")</f>
        <v>P3</v>
      </c>
      <c r="C289" s="3"/>
      <c r="D289" s="3" t="str">
        <f>IFERROR(__xludf.DUMMYFUNCTION("""COMPUTED_VALUE"""),"melky.O.Tulangow")</f>
        <v>melky.O.Tulangow</v>
      </c>
      <c r="E289" s="3" t="str">
        <f>IFERROR(__xludf.DUMMYFUNCTION("""COMPUTED_VALUE"""),"TE")</f>
        <v>TE</v>
      </c>
      <c r="F289" s="3" t="str">
        <f>IFERROR(__xludf.DUMMYFUNCTION("""COMPUTED_VALUE"""),"Doni Damara")</f>
        <v>Doni Damara</v>
      </c>
      <c r="G289" s="3" t="str">
        <f>IFERROR(__xludf.DUMMYFUNCTION("""COMPUTED_VALUE"""),"Palangkaraya")</f>
        <v>Palangkaraya</v>
      </c>
      <c r="H289" s="3" t="str">
        <f>IFERROR(__xludf.DUMMYFUNCTION("""COMPUTED_VALUE"""),"On Leave")</f>
        <v>On Leave</v>
      </c>
      <c r="I289" s="3" t="str">
        <f>IFERROR(__xludf.DUMMYFUNCTION("""COMPUTED_VALUE"""),"On Leave")</f>
        <v>On Leave</v>
      </c>
      <c r="J289" s="3" t="str">
        <f>IFERROR(__xludf.DUMMYFUNCTION("""COMPUTED_VALUE"""),"Standby")</f>
        <v>Standby</v>
      </c>
      <c r="K289" s="27">
        <f>IFERROR(__xludf.DUMMYFUNCTION("""COMPUTED_VALUE"""),46013.0)</f>
        <v>46013</v>
      </c>
      <c r="L289" s="3"/>
      <c r="M289" s="3" t="str">
        <f>IFERROR(__xludf.DUMMYFUNCTION("""COMPUTED_VALUE"""),"Waiting Update")</f>
        <v>Waiting Update</v>
      </c>
      <c r="N289" s="3"/>
      <c r="O289" s="3" t="str">
        <f>IFERROR(VLOOKUP(C289,Sheet4!A289:F1076,6,0),"")</f>
        <v/>
      </c>
      <c r="Q289" s="2" t="str">
        <f t="shared" si="1"/>
        <v>22</v>
      </c>
    </row>
    <row r="290">
      <c r="A290" s="3" t="str">
        <f>IFERROR(__xludf.DUMMYFUNCTION("""COMPUTED_VALUE"""),"Pengecekan battrey")</f>
        <v>Pengecekan battrey</v>
      </c>
      <c r="B290" s="3" t="str">
        <f>IFERROR(__xludf.DUMMYFUNCTION("""COMPUTED_VALUE"""),"P2")</f>
        <v>P2</v>
      </c>
      <c r="C290" s="3" t="str">
        <f>IFERROR(__xludf.DUMMYFUNCTION("""COMPUTED_VALUE"""),"BNT027")</f>
        <v>BNT027</v>
      </c>
      <c r="D290" s="3" t="str">
        <f>IFERROR(__xludf.DUMMYFUNCTION("""COMPUTED_VALUE"""),"Putra wardana")</f>
        <v>Putra wardana</v>
      </c>
      <c r="E290" s="3" t="str">
        <f>IFERROR(__xludf.DUMMYFUNCTION("""COMPUTED_VALUE"""),"TE")</f>
        <v>TE</v>
      </c>
      <c r="F290" s="3" t="str">
        <f>IFERROR(__xludf.DUMMYFUNCTION("""COMPUTED_VALUE"""),"Winda Sokenda")</f>
        <v>Winda Sokenda</v>
      </c>
      <c r="G290" s="3" t="str">
        <f>IFERROR(__xludf.DUMMYFUNCTION("""COMPUTED_VALUE"""),"Barito Raya")</f>
        <v>Barito Raya</v>
      </c>
      <c r="H290" s="3" t="str">
        <f>IFERROR(__xludf.DUMMYFUNCTION("""COMPUTED_VALUE"""),"Preventive")</f>
        <v>Preventive</v>
      </c>
      <c r="I290" s="3" t="str">
        <f>IFERROR(__xludf.DUMMYFUNCTION("""COMPUTED_VALUE"""),"Pengukuran dan pengambilan data log serta input Gdoc BBT")</f>
        <v>Pengukuran dan pengambilan data log serta input Gdoc BBT</v>
      </c>
      <c r="J290" s="3"/>
      <c r="K290" s="27">
        <f>IFERROR(__xludf.DUMMYFUNCTION("""COMPUTED_VALUE"""),46014.0)</f>
        <v>46014</v>
      </c>
      <c r="L290" s="27">
        <f>IFERROR(__xludf.DUMMYFUNCTION("""COMPUTED_VALUE"""),46014.0)</f>
        <v>46014</v>
      </c>
      <c r="M290" s="3" t="str">
        <f>IFERROR(__xludf.DUMMYFUNCTION("""COMPUTED_VALUE"""),"Waiting Update")</f>
        <v>Waiting Update</v>
      </c>
      <c r="N290" s="3"/>
      <c r="O290" s="3" t="str">
        <f>IFERROR(VLOOKUP(C290,Sheet4!A290:F1077,6,0),"")</f>
        <v/>
      </c>
      <c r="Q290" s="2" t="str">
        <f t="shared" si="1"/>
        <v>23</v>
      </c>
    </row>
    <row r="291">
      <c r="A291" s="3" t="str">
        <f>IFERROR(__xludf.DUMMYFUNCTION("""COMPUTED_VALUE"""),"Pengecekan Power")</f>
        <v>Pengecekan Power</v>
      </c>
      <c r="B291" s="3" t="str">
        <f>IFERROR(__xludf.DUMMYFUNCTION("""COMPUTED_VALUE"""),"P1")</f>
        <v>P1</v>
      </c>
      <c r="C291" s="3" t="str">
        <f>IFERROR(__xludf.DUMMYFUNCTION("""COMPUTED_VALUE"""),"NTH148")</f>
        <v>NTH148</v>
      </c>
      <c r="D291" s="3" t="str">
        <f>IFERROR(__xludf.DUMMYFUNCTION("""COMPUTED_VALUE"""),"Sailillah")</f>
        <v>Sailillah</v>
      </c>
      <c r="E291" s="3" t="str">
        <f>IFERROR(__xludf.DUMMYFUNCTION("""COMPUTED_VALUE"""),"TE")</f>
        <v>TE</v>
      </c>
      <c r="F291" s="3" t="str">
        <f>IFERROR(__xludf.DUMMYFUNCTION("""COMPUTED_VALUE"""),"Winda Sokenda")</f>
        <v>Winda Sokenda</v>
      </c>
      <c r="G291" s="3" t="str">
        <f>IFERROR(__xludf.DUMMYFUNCTION("""COMPUTED_VALUE"""),"Barito Raya")</f>
        <v>Barito Raya</v>
      </c>
      <c r="H291" s="3" t="str">
        <f>IFERROR(__xludf.DUMMYFUNCTION("""COMPUTED_VALUE"""),"Preventive")</f>
        <v>Preventive</v>
      </c>
      <c r="I291" s="3" t="str">
        <f>IFERROR(__xludf.DUMMYFUNCTION("""COMPUTED_VALUE"""),"MCB trip/Power upnormal")</f>
        <v>MCB trip/Power upnormal</v>
      </c>
      <c r="J291" s="3"/>
      <c r="K291" s="27">
        <f>IFERROR(__xludf.DUMMYFUNCTION("""COMPUTED_VALUE"""),46014.0)</f>
        <v>46014</v>
      </c>
      <c r="L291" s="27">
        <f>IFERROR(__xludf.DUMMYFUNCTION("""COMPUTED_VALUE"""),46014.0)</f>
        <v>46014</v>
      </c>
      <c r="M291" s="3" t="str">
        <f>IFERROR(__xludf.DUMMYFUNCTION("""COMPUTED_VALUE"""),"Waiting Update")</f>
        <v>Waiting Update</v>
      </c>
      <c r="N291" s="3"/>
      <c r="O291" s="3" t="str">
        <f>IFERROR(VLOOKUP(C291,Sheet4!A291:F1078,6,0),"")</f>
        <v/>
      </c>
      <c r="Q291" s="2" t="str">
        <f t="shared" si="1"/>
        <v>23</v>
      </c>
    </row>
    <row r="292">
      <c r="A292" s="3" t="str">
        <f>IFERROR(__xludf.DUMMYFUNCTION("""COMPUTED_VALUE"""),"Pengawalan Team telkom")</f>
        <v>Pengawalan Team telkom</v>
      </c>
      <c r="B292" s="3" t="str">
        <f>IFERROR(__xludf.DUMMYFUNCTION("""COMPUTED_VALUE"""),"P2")</f>
        <v>P2</v>
      </c>
      <c r="C292" s="3" t="str">
        <f>IFERROR(__xludf.DUMMYFUNCTION("""COMPUTED_VALUE"""),"TML005")</f>
        <v>TML005</v>
      </c>
      <c r="D292" s="3" t="str">
        <f>IFERROR(__xludf.DUMMYFUNCTION("""COMPUTED_VALUE"""),"Tiviansyah")</f>
        <v>Tiviansyah</v>
      </c>
      <c r="E292" s="3" t="str">
        <f>IFERROR(__xludf.DUMMYFUNCTION("""COMPUTED_VALUE"""),"TE")</f>
        <v>TE</v>
      </c>
      <c r="F292" s="3" t="str">
        <f>IFERROR(__xludf.DUMMYFUNCTION("""COMPUTED_VALUE"""),"Winda Sokenda")</f>
        <v>Winda Sokenda</v>
      </c>
      <c r="G292" s="3" t="str">
        <f>IFERROR(__xludf.DUMMYFUNCTION("""COMPUTED_VALUE"""),"Barito Raya")</f>
        <v>Barito Raya</v>
      </c>
      <c r="H292" s="3" t="str">
        <f>IFERROR(__xludf.DUMMYFUNCTION("""COMPUTED_VALUE"""),"Preventive")</f>
        <v>Preventive</v>
      </c>
      <c r="I292" s="3" t="str">
        <f>IFERROR(__xludf.DUMMYFUNCTION("""COMPUTED_VALUE"""),"Akses/Hub Site problem metro")</f>
        <v>Akses/Hub Site problem metro</v>
      </c>
      <c r="J292" s="3"/>
      <c r="K292" s="27">
        <f>IFERROR(__xludf.DUMMYFUNCTION("""COMPUTED_VALUE"""),46014.0)</f>
        <v>46014</v>
      </c>
      <c r="L292" s="27">
        <f>IFERROR(__xludf.DUMMYFUNCTION("""COMPUTED_VALUE"""),46014.0)</f>
        <v>46014</v>
      </c>
      <c r="M292" s="3" t="str">
        <f>IFERROR(__xludf.DUMMYFUNCTION("""COMPUTED_VALUE"""),"Waiting Update")</f>
        <v>Waiting Update</v>
      </c>
      <c r="N292" s="3"/>
      <c r="O292" s="3" t="str">
        <f>IFERROR(VLOOKUP(C292,Sheet4!A292:F1079,6,0),"")</f>
        <v/>
      </c>
      <c r="Q292" s="2" t="str">
        <f t="shared" si="1"/>
        <v>23</v>
      </c>
    </row>
    <row r="293">
      <c r="A293" s="3" t="str">
        <f>IFERROR(__xludf.DUMMYFUNCTION("""COMPUTED_VALUE"""),"Standby On Call")</f>
        <v>Standby On Call</v>
      </c>
      <c r="B293" s="3" t="str">
        <f>IFERROR(__xludf.DUMMYFUNCTION("""COMPUTED_VALUE"""),"P3")</f>
        <v>P3</v>
      </c>
      <c r="C293" s="3"/>
      <c r="D293" s="3" t="str">
        <f>IFERROR(__xludf.DUMMYFUNCTION("""COMPUTED_VALUE"""),"munawir akhmad")</f>
        <v>munawir akhmad</v>
      </c>
      <c r="E293" s="3" t="str">
        <f>IFERROR(__xludf.DUMMYFUNCTION("""COMPUTED_VALUE"""),"TE")</f>
        <v>TE</v>
      </c>
      <c r="F293" s="3" t="str">
        <f>IFERROR(__xludf.DUMMYFUNCTION("""COMPUTED_VALUE"""),"Winda Sokenda")</f>
        <v>Winda Sokenda</v>
      </c>
      <c r="G293" s="3" t="str">
        <f>IFERROR(__xludf.DUMMYFUNCTION("""COMPUTED_VALUE"""),"Barito Raya")</f>
        <v>Barito Raya</v>
      </c>
      <c r="H293" s="3" t="str">
        <f>IFERROR(__xludf.DUMMYFUNCTION("""COMPUTED_VALUE"""),"Standby")</f>
        <v>Standby</v>
      </c>
      <c r="I293" s="3" t="str">
        <f>IFERROR(__xludf.DUMMYFUNCTION("""COMPUTED_VALUE"""),"Standby On Call")</f>
        <v>Standby On Call</v>
      </c>
      <c r="J293" s="3"/>
      <c r="K293" s="27">
        <f>IFERROR(__xludf.DUMMYFUNCTION("""COMPUTED_VALUE"""),46014.0)</f>
        <v>46014</v>
      </c>
      <c r="L293" s="27">
        <f>IFERROR(__xludf.DUMMYFUNCTION("""COMPUTED_VALUE"""),46014.0)</f>
        <v>46014</v>
      </c>
      <c r="M293" s="3"/>
      <c r="N293" s="3"/>
      <c r="O293" s="3" t="str">
        <f>IFERROR(VLOOKUP(C293,Sheet4!A293:F1080,6,0),"")</f>
        <v/>
      </c>
      <c r="Q293" s="2" t="str">
        <f t="shared" si="1"/>
        <v>23</v>
      </c>
    </row>
    <row r="294">
      <c r="A294" s="3" t="str">
        <f>IFERROR(__xludf.DUMMYFUNCTION("""COMPUTED_VALUE"""),"Standby On Call")</f>
        <v>Standby On Call</v>
      </c>
      <c r="B294" s="3" t="str">
        <f>IFERROR(__xludf.DUMMYFUNCTION("""COMPUTED_VALUE"""),"P3")</f>
        <v>P3</v>
      </c>
      <c r="C294" s="3"/>
      <c r="D294" s="3" t="str">
        <f>IFERROR(__xludf.DUMMYFUNCTION("""COMPUTED_VALUE"""),"Riki Hidayat")</f>
        <v>Riki Hidayat</v>
      </c>
      <c r="E294" s="3" t="str">
        <f>IFERROR(__xludf.DUMMYFUNCTION("""COMPUTED_VALUE"""),"TE")</f>
        <v>TE</v>
      </c>
      <c r="F294" s="3" t="str">
        <f>IFERROR(__xludf.DUMMYFUNCTION("""COMPUTED_VALUE"""),"Winda Sokenda")</f>
        <v>Winda Sokenda</v>
      </c>
      <c r="G294" s="3" t="str">
        <f>IFERROR(__xludf.DUMMYFUNCTION("""COMPUTED_VALUE"""),"Barito Raya")</f>
        <v>Barito Raya</v>
      </c>
      <c r="H294" s="3" t="str">
        <f>IFERROR(__xludf.DUMMYFUNCTION("""COMPUTED_VALUE"""),"Standby")</f>
        <v>Standby</v>
      </c>
      <c r="I294" s="3" t="str">
        <f>IFERROR(__xludf.DUMMYFUNCTION("""COMPUTED_VALUE"""),"Standby On Call")</f>
        <v>Standby On Call</v>
      </c>
      <c r="J294" s="3"/>
      <c r="K294" s="27">
        <f>IFERROR(__xludf.DUMMYFUNCTION("""COMPUTED_VALUE"""),46014.0)</f>
        <v>46014</v>
      </c>
      <c r="L294" s="27">
        <f>IFERROR(__xludf.DUMMYFUNCTION("""COMPUTED_VALUE"""),46014.0)</f>
        <v>46014</v>
      </c>
      <c r="M294" s="3"/>
      <c r="N294" s="3"/>
      <c r="O294" s="3" t="str">
        <f>IFERROR(VLOOKUP(C294,Sheet4!A294:F1081,6,0),"")</f>
        <v/>
      </c>
      <c r="Q294" s="2" t="str">
        <f t="shared" si="1"/>
        <v>23</v>
      </c>
    </row>
    <row r="295">
      <c r="A295" s="3" t="str">
        <f>IFERROR(__xludf.DUMMYFUNCTION("""COMPUTED_VALUE"""),"Pengecekan Power")</f>
        <v>Pengecekan Power</v>
      </c>
      <c r="B295" s="3" t="str">
        <f>IFERROR(__xludf.DUMMYFUNCTION("""COMPUTED_VALUE"""),"P1")</f>
        <v>P1</v>
      </c>
      <c r="C295" s="3" t="str">
        <f>IFERROR(__xludf.DUMMYFUNCTION("""COMPUTED_VALUE"""),"PRC166")</f>
        <v>PRC166</v>
      </c>
      <c r="D295" s="3" t="str">
        <f>IFERROR(__xludf.DUMMYFUNCTION("""COMPUTED_VALUE"""),"Murjani")</f>
        <v>Murjani</v>
      </c>
      <c r="E295" s="3" t="str">
        <f>IFERROR(__xludf.DUMMYFUNCTION("""COMPUTED_VALUE"""),"TE")</f>
        <v>TE</v>
      </c>
      <c r="F295" s="3" t="str">
        <f>IFERROR(__xludf.DUMMYFUNCTION("""COMPUTED_VALUE"""),"Winda Sokenda")</f>
        <v>Winda Sokenda</v>
      </c>
      <c r="G295" s="3" t="str">
        <f>IFERROR(__xludf.DUMMYFUNCTION("""COMPUTED_VALUE"""),"Barito Raya")</f>
        <v>Barito Raya</v>
      </c>
      <c r="H295" s="3" t="str">
        <f>IFERROR(__xludf.DUMMYFUNCTION("""COMPUTED_VALUE"""),"Preventive")</f>
        <v>Preventive</v>
      </c>
      <c r="I295" s="3" t="str">
        <f>IFERROR(__xludf.DUMMYFUNCTION("""COMPUTED_VALUE"""),"MCB trip/Power upnormal")</f>
        <v>MCB trip/Power upnormal</v>
      </c>
      <c r="J295" s="3"/>
      <c r="K295" s="27">
        <f>IFERROR(__xludf.DUMMYFUNCTION("""COMPUTED_VALUE"""),46014.0)</f>
        <v>46014</v>
      </c>
      <c r="L295" s="27">
        <f>IFERROR(__xludf.DUMMYFUNCTION("""COMPUTED_VALUE"""),46014.0)</f>
        <v>46014</v>
      </c>
      <c r="M295" s="3" t="str">
        <f>IFERROR(__xludf.DUMMYFUNCTION("""COMPUTED_VALUE"""),"Waiting Update")</f>
        <v>Waiting Update</v>
      </c>
      <c r="N295" s="3"/>
      <c r="O295" s="3">
        <f>IFERROR(VLOOKUP(C295,Sheet4!A295:F1082,6,0),"")</f>
        <v>1145157</v>
      </c>
      <c r="Q295" s="2" t="str">
        <f t="shared" si="1"/>
        <v>23</v>
      </c>
    </row>
    <row r="296">
      <c r="A296" s="3" t="str">
        <f>IFERROR(__xludf.DUMMYFUNCTION("""COMPUTED_VALUE"""),"PM")</f>
        <v>PM</v>
      </c>
      <c r="B296" s="3" t="str">
        <f>IFERROR(__xludf.DUMMYFUNCTION("""COMPUTED_VALUE"""),"P2")</f>
        <v>P2</v>
      </c>
      <c r="C296" s="3" t="str">
        <f>IFERROR(__xludf.DUMMYFUNCTION("""COMPUTED_VALUE"""),"KKP036")</f>
        <v>KKP036</v>
      </c>
      <c r="D296" s="3" t="str">
        <f>IFERROR(__xludf.DUMMYFUNCTION("""COMPUTED_VALUE"""),"Reynaldy Ricardo Putra")</f>
        <v>Reynaldy Ricardo Putra</v>
      </c>
      <c r="E296" s="3" t="str">
        <f>IFERROR(__xludf.DUMMYFUNCTION("""COMPUTED_VALUE"""),"TE")</f>
        <v>TE</v>
      </c>
      <c r="F296" s="3" t="str">
        <f>IFERROR(__xludf.DUMMYFUNCTION("""COMPUTED_VALUE"""),"Winda Sokenda")</f>
        <v>Winda Sokenda</v>
      </c>
      <c r="G296" s="3" t="str">
        <f>IFERROR(__xludf.DUMMYFUNCTION("""COMPUTED_VALUE"""),"Barito Raya")</f>
        <v>Barito Raya</v>
      </c>
      <c r="H296" s="3" t="str">
        <f>IFERROR(__xludf.DUMMYFUNCTION("""COMPUTED_VALUE"""),"Preventive")</f>
        <v>Preventive</v>
      </c>
      <c r="I296" s="3" t="str">
        <f>IFERROR(__xludf.DUMMYFUNCTION("""COMPUTED_VALUE"""),"Preventive Maintenance")</f>
        <v>Preventive Maintenance</v>
      </c>
      <c r="J296" s="3"/>
      <c r="K296" s="27">
        <f>IFERROR(__xludf.DUMMYFUNCTION("""COMPUTED_VALUE"""),46014.0)</f>
        <v>46014</v>
      </c>
      <c r="L296" s="27">
        <f>IFERROR(__xludf.DUMMYFUNCTION("""COMPUTED_VALUE"""),46014.0)</f>
        <v>46014</v>
      </c>
      <c r="M296" s="3" t="str">
        <f>IFERROR(__xludf.DUMMYFUNCTION("""COMPUTED_VALUE"""),"Waiting Update")</f>
        <v>Waiting Update</v>
      </c>
      <c r="N296" s="3"/>
      <c r="O296" s="3" t="str">
        <f>IFERROR(VLOOKUP(C296,Sheet4!A296:F1083,6,0),"")</f>
        <v/>
      </c>
      <c r="Q296" s="2" t="str">
        <f t="shared" si="1"/>
        <v>23</v>
      </c>
    </row>
    <row r="297">
      <c r="A297" s="3" t="str">
        <f>IFERROR(__xludf.DUMMYFUNCTION("""COMPUTED_VALUE"""),"Pengawalan Team telkom")</f>
        <v>Pengawalan Team telkom</v>
      </c>
      <c r="B297" s="3" t="str">
        <f>IFERROR(__xludf.DUMMYFUNCTION("""COMPUTED_VALUE"""),"P2")</f>
        <v>P2</v>
      </c>
      <c r="C297" s="3" t="str">
        <f>IFERROR(__xludf.DUMMYFUNCTION("""COMPUTED_VALUE"""),"KKP002")</f>
        <v>KKP002</v>
      </c>
      <c r="D297" s="3" t="str">
        <f>IFERROR(__xludf.DUMMYFUNCTION("""COMPUTED_VALUE"""),"Sahrul Saputra")</f>
        <v>Sahrul Saputra</v>
      </c>
      <c r="E297" s="3" t="str">
        <f>IFERROR(__xludf.DUMMYFUNCTION("""COMPUTED_VALUE"""),"TE")</f>
        <v>TE</v>
      </c>
      <c r="F297" s="3" t="str">
        <f>IFERROR(__xludf.DUMMYFUNCTION("""COMPUTED_VALUE"""),"Winda Sokenda")</f>
        <v>Winda Sokenda</v>
      </c>
      <c r="G297" s="3" t="str">
        <f>IFERROR(__xludf.DUMMYFUNCTION("""COMPUTED_VALUE"""),"Barito Raya")</f>
        <v>Barito Raya</v>
      </c>
      <c r="H297" s="3" t="str">
        <f>IFERROR(__xludf.DUMMYFUNCTION("""COMPUTED_VALUE"""),"Preventive")</f>
        <v>Preventive</v>
      </c>
      <c r="I297" s="3" t="str">
        <f>IFERROR(__xludf.DUMMYFUNCTION("""COMPUTED_VALUE"""),"Akses/Hub Site problem metro")</f>
        <v>Akses/Hub Site problem metro</v>
      </c>
      <c r="J297" s="3"/>
      <c r="K297" s="27">
        <f>IFERROR(__xludf.DUMMYFUNCTION("""COMPUTED_VALUE"""),46014.0)</f>
        <v>46014</v>
      </c>
      <c r="L297" s="27">
        <f>IFERROR(__xludf.DUMMYFUNCTION("""COMPUTED_VALUE"""),46014.0)</f>
        <v>46014</v>
      </c>
      <c r="M297" s="3" t="str">
        <f>IFERROR(__xludf.DUMMYFUNCTION("""COMPUTED_VALUE"""),"Waiting Update")</f>
        <v>Waiting Update</v>
      </c>
      <c r="N297" s="3"/>
      <c r="O297" s="3" t="str">
        <f>IFERROR(VLOOKUP(C297,Sheet4!A297:F1084,6,0),"")</f>
        <v/>
      </c>
      <c r="Q297" s="2" t="str">
        <f t="shared" si="1"/>
        <v>23</v>
      </c>
    </row>
    <row r="298">
      <c r="A298" s="3" t="str">
        <f>IFERROR(__xludf.DUMMYFUNCTION("""COMPUTED_VALUE"""),"Pengecekan Power")</f>
        <v>Pengecekan Power</v>
      </c>
      <c r="B298" s="3" t="str">
        <f>IFERROR(__xludf.DUMMYFUNCTION("""COMPUTED_VALUE"""),"P1")</f>
        <v>P1</v>
      </c>
      <c r="C298" s="3" t="str">
        <f>IFERROR(__xludf.DUMMYFUNCTION("""COMPUTED_VALUE"""),"NTH148")</f>
        <v>NTH148</v>
      </c>
      <c r="D298" s="3" t="str">
        <f>IFERROR(__xludf.DUMMYFUNCTION("""COMPUTED_VALUE"""),"Nurhayat")</f>
        <v>Nurhayat</v>
      </c>
      <c r="E298" s="3" t="str">
        <f>IFERROR(__xludf.DUMMYFUNCTION("""COMPUTED_VALUE"""),"MBP")</f>
        <v>MBP</v>
      </c>
      <c r="F298" s="3" t="str">
        <f>IFERROR(__xludf.DUMMYFUNCTION("""COMPUTED_VALUE"""),"Winda Sokenda")</f>
        <v>Winda Sokenda</v>
      </c>
      <c r="G298" s="3" t="str">
        <f>IFERROR(__xludf.DUMMYFUNCTION("""COMPUTED_VALUE"""),"Barito Raya")</f>
        <v>Barito Raya</v>
      </c>
      <c r="H298" s="3" t="str">
        <f>IFERROR(__xludf.DUMMYFUNCTION("""COMPUTED_VALUE"""),"Preventive")</f>
        <v>Preventive</v>
      </c>
      <c r="I298" s="3" t="str">
        <f>IFERROR(__xludf.DUMMYFUNCTION("""COMPUTED_VALUE"""),"MCB trip/Power upnormal")</f>
        <v>MCB trip/Power upnormal</v>
      </c>
      <c r="J298" s="3"/>
      <c r="K298" s="27">
        <f>IFERROR(__xludf.DUMMYFUNCTION("""COMPUTED_VALUE"""),46014.0)</f>
        <v>46014</v>
      </c>
      <c r="L298" s="27">
        <f>IFERROR(__xludf.DUMMYFUNCTION("""COMPUTED_VALUE"""),46014.0)</f>
        <v>46014</v>
      </c>
      <c r="M298" s="3" t="str">
        <f>IFERROR(__xludf.DUMMYFUNCTION("""COMPUTED_VALUE"""),"Waiting Update")</f>
        <v>Waiting Update</v>
      </c>
      <c r="N298" s="3"/>
      <c r="O298" s="3" t="str">
        <f>IFERROR(VLOOKUP(C298,Sheet4!A298:F1085,6,0),"")</f>
        <v/>
      </c>
      <c r="Q298" s="2" t="str">
        <f t="shared" si="1"/>
        <v>23</v>
      </c>
    </row>
    <row r="299">
      <c r="A299" s="3" t="str">
        <f>IFERROR(__xludf.DUMMYFUNCTION("""COMPUTED_VALUE"""),"Standby On Call")</f>
        <v>Standby On Call</v>
      </c>
      <c r="B299" s="3" t="str">
        <f>IFERROR(__xludf.DUMMYFUNCTION("""COMPUTED_VALUE"""),"P3")</f>
        <v>P3</v>
      </c>
      <c r="C299" s="3"/>
      <c r="D299" s="3" t="str">
        <f>IFERROR(__xludf.DUMMYFUNCTION("""COMPUTED_VALUE"""),"Harun Nurasyid")</f>
        <v>Harun Nurasyid</v>
      </c>
      <c r="E299" s="3" t="str">
        <f>IFERROR(__xludf.DUMMYFUNCTION("""COMPUTED_VALUE"""),"CME")</f>
        <v>CME</v>
      </c>
      <c r="F299" s="3" t="str">
        <f>IFERROR(__xludf.DUMMYFUNCTION("""COMPUTED_VALUE"""),"Winda Sokenda")</f>
        <v>Winda Sokenda</v>
      </c>
      <c r="G299" s="3" t="str">
        <f>IFERROR(__xludf.DUMMYFUNCTION("""COMPUTED_VALUE"""),"Barito Raya")</f>
        <v>Barito Raya</v>
      </c>
      <c r="H299" s="3" t="str">
        <f>IFERROR(__xludf.DUMMYFUNCTION("""COMPUTED_VALUE"""),"Standby")</f>
        <v>Standby</v>
      </c>
      <c r="I299" s="3" t="str">
        <f>IFERROR(__xludf.DUMMYFUNCTION("""COMPUTED_VALUE"""),"Standby On Call")</f>
        <v>Standby On Call</v>
      </c>
      <c r="J299" s="3"/>
      <c r="K299" s="27">
        <f>IFERROR(__xludf.DUMMYFUNCTION("""COMPUTED_VALUE"""),46014.0)</f>
        <v>46014</v>
      </c>
      <c r="L299" s="27">
        <f>IFERROR(__xludf.DUMMYFUNCTION("""COMPUTED_VALUE"""),46014.0)</f>
        <v>46014</v>
      </c>
      <c r="M299" s="3"/>
      <c r="N299" s="3"/>
      <c r="O299" s="3" t="str">
        <f>IFERROR(VLOOKUP(C299,Sheet4!A299:F1086,6,0),"")</f>
        <v/>
      </c>
      <c r="Q299" s="2" t="str">
        <f t="shared" si="1"/>
        <v>23</v>
      </c>
    </row>
    <row r="300">
      <c r="A300" s="3" t="str">
        <f>IFERROR(__xludf.DUMMYFUNCTION("""COMPUTED_VALUE"""),"Standby On Call")</f>
        <v>Standby On Call</v>
      </c>
      <c r="B300" s="3" t="str">
        <f>IFERROR(__xludf.DUMMYFUNCTION("""COMPUTED_VALUE"""),"P3")</f>
        <v>P3</v>
      </c>
      <c r="C300" s="3"/>
      <c r="D300" s="3" t="str">
        <f>IFERROR(__xludf.DUMMYFUNCTION("""COMPUTED_VALUE"""),"Rio ardinata")</f>
        <v>Rio ardinata</v>
      </c>
      <c r="E300" s="3" t="str">
        <f>IFERROR(__xludf.DUMMYFUNCTION("""COMPUTED_VALUE"""),"MBP")</f>
        <v>MBP</v>
      </c>
      <c r="F300" s="3" t="str">
        <f>IFERROR(__xludf.DUMMYFUNCTION("""COMPUTED_VALUE"""),"Winda Sokenda")</f>
        <v>Winda Sokenda</v>
      </c>
      <c r="G300" s="3" t="str">
        <f>IFERROR(__xludf.DUMMYFUNCTION("""COMPUTED_VALUE"""),"Barito Raya")</f>
        <v>Barito Raya</v>
      </c>
      <c r="H300" s="3" t="str">
        <f>IFERROR(__xludf.DUMMYFUNCTION("""COMPUTED_VALUE"""),"Standby")</f>
        <v>Standby</v>
      </c>
      <c r="I300" s="3" t="str">
        <f>IFERROR(__xludf.DUMMYFUNCTION("""COMPUTED_VALUE"""),"Standby On Call")</f>
        <v>Standby On Call</v>
      </c>
      <c r="J300" s="3"/>
      <c r="K300" s="27">
        <f>IFERROR(__xludf.DUMMYFUNCTION("""COMPUTED_VALUE"""),46014.0)</f>
        <v>46014</v>
      </c>
      <c r="L300" s="27">
        <f>IFERROR(__xludf.DUMMYFUNCTION("""COMPUTED_VALUE"""),46014.0)</f>
        <v>46014</v>
      </c>
      <c r="M300" s="3"/>
      <c r="N300" s="3"/>
      <c r="O300" s="3" t="str">
        <f>IFERROR(VLOOKUP(C300,Sheet4!A300:F1087,6,0),"")</f>
        <v/>
      </c>
      <c r="Q300" s="2" t="str">
        <f t="shared" si="1"/>
        <v>23</v>
      </c>
    </row>
    <row r="301">
      <c r="A301" s="3" t="str">
        <f>IFERROR(__xludf.DUMMYFUNCTION("""COMPUTED_VALUE"""),"Standby On Call")</f>
        <v>Standby On Call</v>
      </c>
      <c r="B301" s="3" t="str">
        <f>IFERROR(__xludf.DUMMYFUNCTION("""COMPUTED_VALUE"""),"P3")</f>
        <v>P3</v>
      </c>
      <c r="C301" s="3"/>
      <c r="D301" s="3" t="str">
        <f>IFERROR(__xludf.DUMMYFUNCTION("""COMPUTED_VALUE"""),"Taklim")</f>
        <v>Taklim</v>
      </c>
      <c r="E301" s="3" t="str">
        <f>IFERROR(__xludf.DUMMYFUNCTION("""COMPUTED_VALUE"""),"MBP")</f>
        <v>MBP</v>
      </c>
      <c r="F301" s="3" t="str">
        <f>IFERROR(__xludf.DUMMYFUNCTION("""COMPUTED_VALUE"""),"Winda Sokenda")</f>
        <v>Winda Sokenda</v>
      </c>
      <c r="G301" s="3" t="str">
        <f>IFERROR(__xludf.DUMMYFUNCTION("""COMPUTED_VALUE"""),"Barito Raya")</f>
        <v>Barito Raya</v>
      </c>
      <c r="H301" s="3" t="str">
        <f>IFERROR(__xludf.DUMMYFUNCTION("""COMPUTED_VALUE"""),"Standby")</f>
        <v>Standby</v>
      </c>
      <c r="I301" s="3" t="str">
        <f>IFERROR(__xludf.DUMMYFUNCTION("""COMPUTED_VALUE"""),"Standby On Call")</f>
        <v>Standby On Call</v>
      </c>
      <c r="J301" s="3"/>
      <c r="K301" s="27">
        <f>IFERROR(__xludf.DUMMYFUNCTION("""COMPUTED_VALUE"""),46014.0)</f>
        <v>46014</v>
      </c>
      <c r="L301" s="27">
        <f>IFERROR(__xludf.DUMMYFUNCTION("""COMPUTED_VALUE"""),46014.0)</f>
        <v>46014</v>
      </c>
      <c r="M301" s="3"/>
      <c r="N301" s="3"/>
      <c r="O301" s="3" t="str">
        <f>IFERROR(VLOOKUP(C301,Sheet4!A301:F1088,6,0),"")</f>
        <v/>
      </c>
      <c r="Q301" s="2" t="str">
        <f t="shared" si="1"/>
        <v>23</v>
      </c>
    </row>
    <row r="302">
      <c r="A302" s="3" t="str">
        <f>IFERROR(__xludf.DUMMYFUNCTION("""COMPUTED_VALUE"""),"Pengecekan Power")</f>
        <v>Pengecekan Power</v>
      </c>
      <c r="B302" s="3" t="str">
        <f>IFERROR(__xludf.DUMMYFUNCTION("""COMPUTED_VALUE"""),"P1")</f>
        <v>P1</v>
      </c>
      <c r="C302" s="3" t="str">
        <f>IFERROR(__xludf.DUMMYFUNCTION("""COMPUTED_VALUE"""),"PRC166")</f>
        <v>PRC166</v>
      </c>
      <c r="D302" s="3" t="str">
        <f>IFERROR(__xludf.DUMMYFUNCTION("""COMPUTED_VALUE"""),"Ahmad Muzakir")</f>
        <v>Ahmad Muzakir</v>
      </c>
      <c r="E302" s="3" t="str">
        <f>IFERROR(__xludf.DUMMYFUNCTION("""COMPUTED_VALUE"""),"MBP")</f>
        <v>MBP</v>
      </c>
      <c r="F302" s="3" t="str">
        <f>IFERROR(__xludf.DUMMYFUNCTION("""COMPUTED_VALUE"""),"Winda Sokenda")</f>
        <v>Winda Sokenda</v>
      </c>
      <c r="G302" s="3" t="str">
        <f>IFERROR(__xludf.DUMMYFUNCTION("""COMPUTED_VALUE"""),"Barito Raya")</f>
        <v>Barito Raya</v>
      </c>
      <c r="H302" s="3" t="str">
        <f>IFERROR(__xludf.DUMMYFUNCTION("""COMPUTED_VALUE"""),"Preventive")</f>
        <v>Preventive</v>
      </c>
      <c r="I302" s="3" t="str">
        <f>IFERROR(__xludf.DUMMYFUNCTION("""COMPUTED_VALUE"""),"MCB trip/Power upnormal")</f>
        <v>MCB trip/Power upnormal</v>
      </c>
      <c r="J302" s="3"/>
      <c r="K302" s="27">
        <f>IFERROR(__xludf.DUMMYFUNCTION("""COMPUTED_VALUE"""),46014.0)</f>
        <v>46014</v>
      </c>
      <c r="L302" s="27">
        <f>IFERROR(__xludf.DUMMYFUNCTION("""COMPUTED_VALUE"""),46014.0)</f>
        <v>46014</v>
      </c>
      <c r="M302" s="3" t="str">
        <f>IFERROR(__xludf.DUMMYFUNCTION("""COMPUTED_VALUE"""),"Waiting Update")</f>
        <v>Waiting Update</v>
      </c>
      <c r="N302" s="3"/>
      <c r="O302" s="3">
        <f>IFERROR(VLOOKUP(C302,Sheet4!A302:F1089,6,0),"")</f>
        <v>1145157</v>
      </c>
      <c r="Q302" s="2" t="str">
        <f t="shared" si="1"/>
        <v>23</v>
      </c>
    </row>
    <row r="303">
      <c r="A303" s="3" t="str">
        <f>IFERROR(__xludf.DUMMYFUNCTION("""COMPUTED_VALUE"""),"Standby On Call")</f>
        <v>Standby On Call</v>
      </c>
      <c r="B303" s="3" t="str">
        <f>IFERROR(__xludf.DUMMYFUNCTION("""COMPUTED_VALUE"""),"P3")</f>
        <v>P3</v>
      </c>
      <c r="C303" s="3"/>
      <c r="D303" s="3" t="str">
        <f>IFERROR(__xludf.DUMMYFUNCTION("""COMPUTED_VALUE"""),"Armadi")</f>
        <v>Armadi</v>
      </c>
      <c r="E303" s="3" t="str">
        <f>IFERROR(__xludf.DUMMYFUNCTION("""COMPUTED_VALUE"""),"TE")</f>
        <v>TE</v>
      </c>
      <c r="F303" s="3" t="str">
        <f>IFERROR(__xludf.DUMMYFUNCTION("""COMPUTED_VALUE"""),"Winda Sokenda")</f>
        <v>Winda Sokenda</v>
      </c>
      <c r="G303" s="3" t="str">
        <f>IFERROR(__xludf.DUMMYFUNCTION("""COMPUTED_VALUE"""),"Barito Raya")</f>
        <v>Barito Raya</v>
      </c>
      <c r="H303" s="3" t="str">
        <f>IFERROR(__xludf.DUMMYFUNCTION("""COMPUTED_VALUE"""),"Standby")</f>
        <v>Standby</v>
      </c>
      <c r="I303" s="3" t="str">
        <f>IFERROR(__xludf.DUMMYFUNCTION("""COMPUTED_VALUE"""),"Standby On Call")</f>
        <v>Standby On Call</v>
      </c>
      <c r="J303" s="3"/>
      <c r="K303" s="27">
        <f>IFERROR(__xludf.DUMMYFUNCTION("""COMPUTED_VALUE"""),46014.0)</f>
        <v>46014</v>
      </c>
      <c r="L303" s="27">
        <f>IFERROR(__xludf.DUMMYFUNCTION("""COMPUTED_VALUE"""),46014.0)</f>
        <v>46014</v>
      </c>
      <c r="M303" s="3"/>
      <c r="N303" s="3"/>
      <c r="O303" s="3" t="str">
        <f>IFERROR(VLOOKUP(C303,Sheet4!A303:F1090,6,0),"")</f>
        <v/>
      </c>
      <c r="Q303" s="2" t="str">
        <f t="shared" si="1"/>
        <v>23</v>
      </c>
    </row>
    <row r="304">
      <c r="A304" s="3" t="str">
        <f>IFERROR(__xludf.DUMMYFUNCTION("""COMPUTED_VALUE"""),"Pengecekan Power")</f>
        <v>Pengecekan Power</v>
      </c>
      <c r="B304" s="3" t="str">
        <f>IFERROR(__xludf.DUMMYFUNCTION("""COMPUTED_VALUE"""),"P1")</f>
        <v>P1</v>
      </c>
      <c r="C304" s="3" t="str">
        <f>IFERROR(__xludf.DUMMYFUNCTION("""COMPUTED_VALUE"""),"KKP055")</f>
        <v>KKP055</v>
      </c>
      <c r="D304" s="3" t="str">
        <f>IFERROR(__xludf.DUMMYFUNCTION("""COMPUTED_VALUE"""),"Alfi Syahri")</f>
        <v>Alfi Syahri</v>
      </c>
      <c r="E304" s="3" t="str">
        <f>IFERROR(__xludf.DUMMYFUNCTION("""COMPUTED_VALUE"""),"CME")</f>
        <v>CME</v>
      </c>
      <c r="F304" s="3" t="str">
        <f>IFERROR(__xludf.DUMMYFUNCTION("""COMPUTED_VALUE"""),"Winda Sokenda")</f>
        <v>Winda Sokenda</v>
      </c>
      <c r="G304" s="3" t="str">
        <f>IFERROR(__xludf.DUMMYFUNCTION("""COMPUTED_VALUE"""),"Barito Raya")</f>
        <v>Barito Raya</v>
      </c>
      <c r="H304" s="3" t="str">
        <f>IFERROR(__xludf.DUMMYFUNCTION("""COMPUTED_VALUE"""),"Preventive")</f>
        <v>Preventive</v>
      </c>
      <c r="I304" s="3" t="str">
        <f>IFERROR(__xludf.DUMMYFUNCTION("""COMPUTED_VALUE"""),"MCB trip/Power upnormal")</f>
        <v>MCB trip/Power upnormal</v>
      </c>
      <c r="J304" s="3"/>
      <c r="K304" s="27">
        <f>IFERROR(__xludf.DUMMYFUNCTION("""COMPUTED_VALUE"""),46014.0)</f>
        <v>46014</v>
      </c>
      <c r="L304" s="27">
        <f>IFERROR(__xludf.DUMMYFUNCTION("""COMPUTED_VALUE"""),46014.0)</f>
        <v>46014</v>
      </c>
      <c r="M304" s="3" t="str">
        <f>IFERROR(__xludf.DUMMYFUNCTION("""COMPUTED_VALUE"""),"Waiting Update")</f>
        <v>Waiting Update</v>
      </c>
      <c r="N304" s="3"/>
      <c r="O304" s="3" t="str">
        <f>IFERROR(VLOOKUP(C304,Sheet4!A304:F1091,6,0),"")</f>
        <v/>
      </c>
      <c r="Q304" s="2" t="str">
        <f t="shared" si="1"/>
        <v>23</v>
      </c>
    </row>
    <row r="305">
      <c r="A305" s="3" t="str">
        <f>IFERROR(__xludf.DUMMYFUNCTION("""COMPUTED_VALUE"""),"PM")</f>
        <v>PM</v>
      </c>
      <c r="B305" s="3" t="str">
        <f>IFERROR(__xludf.DUMMYFUNCTION("""COMPUTED_VALUE"""),"P2")</f>
        <v>P2</v>
      </c>
      <c r="C305" s="3" t="str">
        <f>IFERROR(__xludf.DUMMYFUNCTION("""COMPUTED_VALUE"""),"BNT017")</f>
        <v>BNT017</v>
      </c>
      <c r="D305" s="3" t="str">
        <f>IFERROR(__xludf.DUMMYFUNCTION("""COMPUTED_VALUE"""),"Trisno Susanto")</f>
        <v>Trisno Susanto</v>
      </c>
      <c r="E305" s="3" t="str">
        <f>IFERROR(__xludf.DUMMYFUNCTION("""COMPUTED_VALUE"""),"PM")</f>
        <v>PM</v>
      </c>
      <c r="F305" s="3" t="str">
        <f>IFERROR(__xludf.DUMMYFUNCTION("""COMPUTED_VALUE"""),"Winda Sokenda")</f>
        <v>Winda Sokenda</v>
      </c>
      <c r="G305" s="3" t="str">
        <f>IFERROR(__xludf.DUMMYFUNCTION("""COMPUTED_VALUE"""),"Barito Raya")</f>
        <v>Barito Raya</v>
      </c>
      <c r="H305" s="3" t="str">
        <f>IFERROR(__xludf.DUMMYFUNCTION("""COMPUTED_VALUE"""),"Preventive")</f>
        <v>Preventive</v>
      </c>
      <c r="I305" s="3" t="str">
        <f>IFERROR(__xludf.DUMMYFUNCTION("""COMPUTED_VALUE"""),"Preventive Maintenance")</f>
        <v>Preventive Maintenance</v>
      </c>
      <c r="J305" s="3"/>
      <c r="K305" s="27">
        <f>IFERROR(__xludf.DUMMYFUNCTION("""COMPUTED_VALUE"""),46014.0)</f>
        <v>46014</v>
      </c>
      <c r="L305" s="27">
        <f>IFERROR(__xludf.DUMMYFUNCTION("""COMPUTED_VALUE"""),46014.0)</f>
        <v>46014</v>
      </c>
      <c r="M305" s="3" t="str">
        <f>IFERROR(__xludf.DUMMYFUNCTION("""COMPUTED_VALUE"""),"Waiting Update")</f>
        <v>Waiting Update</v>
      </c>
      <c r="N305" s="3"/>
      <c r="O305" s="3" t="str">
        <f>IFERROR(VLOOKUP(C305,Sheet4!A305:F1092,6,0),"")</f>
        <v/>
      </c>
      <c r="Q305" s="2" t="str">
        <f t="shared" si="1"/>
        <v>23</v>
      </c>
    </row>
    <row r="306">
      <c r="A306" s="3" t="str">
        <f>IFERROR(__xludf.DUMMYFUNCTION("""COMPUTED_VALUE"""),"pm")</f>
        <v>pm</v>
      </c>
      <c r="B306" s="3" t="str">
        <f>IFERROR(__xludf.DUMMYFUNCTION("""COMPUTED_VALUE"""),"P2")</f>
        <v>P2</v>
      </c>
      <c r="C306" s="3" t="str">
        <f>IFERROR(__xludf.DUMMYFUNCTION("""COMPUTED_VALUE"""),"BNT523")</f>
        <v>BNT523</v>
      </c>
      <c r="D306" s="3" t="str">
        <f>IFERROR(__xludf.DUMMYFUNCTION("""COMPUTED_VALUE"""),"Khilal dawai katiri")</f>
        <v>Khilal dawai katiri</v>
      </c>
      <c r="E306" s="3" t="str">
        <f>IFERROR(__xludf.DUMMYFUNCTION("""COMPUTED_VALUE"""),"MBP")</f>
        <v>MBP</v>
      </c>
      <c r="F306" s="3" t="str">
        <f>IFERROR(__xludf.DUMMYFUNCTION("""COMPUTED_VALUE"""),"Winda Sokenda")</f>
        <v>Winda Sokenda</v>
      </c>
      <c r="G306" s="3" t="str">
        <f>IFERROR(__xludf.DUMMYFUNCTION("""COMPUTED_VALUE"""),"Barito Raya")</f>
        <v>Barito Raya</v>
      </c>
      <c r="H306" s="3" t="str">
        <f>IFERROR(__xludf.DUMMYFUNCTION("""COMPUTED_VALUE"""),"Preventive")</f>
        <v>Preventive</v>
      </c>
      <c r="I306" s="3" t="str">
        <f>IFERROR(__xludf.DUMMYFUNCTION("""COMPUTED_VALUE"""),"Preventive Maintenance")</f>
        <v>Preventive Maintenance</v>
      </c>
      <c r="J306" s="3"/>
      <c r="K306" s="27">
        <f>IFERROR(__xludf.DUMMYFUNCTION("""COMPUTED_VALUE"""),46014.0)</f>
        <v>46014</v>
      </c>
      <c r="L306" s="27">
        <f>IFERROR(__xludf.DUMMYFUNCTION("""COMPUTED_VALUE"""),46014.0)</f>
        <v>46014</v>
      </c>
      <c r="M306" s="3" t="str">
        <f>IFERROR(__xludf.DUMMYFUNCTION("""COMPUTED_VALUE"""),"Waiting Update")</f>
        <v>Waiting Update</v>
      </c>
      <c r="N306" s="3"/>
      <c r="O306" s="3" t="str">
        <f>IFERROR(VLOOKUP(C306,Sheet4!A306:F1093,6,0),"")</f>
        <v/>
      </c>
      <c r="Q306" s="2" t="str">
        <f t="shared" si="1"/>
        <v>23</v>
      </c>
    </row>
    <row r="307">
      <c r="A307" s="3" t="str">
        <f>IFERROR(__xludf.DUMMYFUNCTION("""COMPUTED_VALUE"""),"PM")</f>
        <v>PM</v>
      </c>
      <c r="B307" s="3" t="str">
        <f>IFERROR(__xludf.DUMMYFUNCTION("""COMPUTED_VALUE"""),"P2")</f>
        <v>P2</v>
      </c>
      <c r="C307" s="3" t="str">
        <f>IFERROR(__xludf.DUMMYFUNCTION("""COMPUTED_VALUE"""),"MTW005")</f>
        <v>MTW005</v>
      </c>
      <c r="D307" s="3" t="str">
        <f>IFERROR(__xludf.DUMMYFUNCTION("""COMPUTED_VALUE"""),"Riko setiadi")</f>
        <v>Riko setiadi</v>
      </c>
      <c r="E307" s="3" t="str">
        <f>IFERROR(__xludf.DUMMYFUNCTION("""COMPUTED_VALUE"""),"PM")</f>
        <v>PM</v>
      </c>
      <c r="F307" s="3" t="str">
        <f>IFERROR(__xludf.DUMMYFUNCTION("""COMPUTED_VALUE"""),"Winda Sokenda")</f>
        <v>Winda Sokenda</v>
      </c>
      <c r="G307" s="3" t="str">
        <f>IFERROR(__xludf.DUMMYFUNCTION("""COMPUTED_VALUE"""),"Barito Raya")</f>
        <v>Barito Raya</v>
      </c>
      <c r="H307" s="3" t="str">
        <f>IFERROR(__xludf.DUMMYFUNCTION("""COMPUTED_VALUE"""),"Preventive")</f>
        <v>Preventive</v>
      </c>
      <c r="I307" s="3" t="str">
        <f>IFERROR(__xludf.DUMMYFUNCTION("""COMPUTED_VALUE"""),"Preventive Maintenance")</f>
        <v>Preventive Maintenance</v>
      </c>
      <c r="J307" s="3"/>
      <c r="K307" s="27">
        <f>IFERROR(__xludf.DUMMYFUNCTION("""COMPUTED_VALUE"""),46014.0)</f>
        <v>46014</v>
      </c>
      <c r="L307" s="27">
        <f>IFERROR(__xludf.DUMMYFUNCTION("""COMPUTED_VALUE"""),46014.0)</f>
        <v>46014</v>
      </c>
      <c r="M307" s="3" t="str">
        <f>IFERROR(__xludf.DUMMYFUNCTION("""COMPUTED_VALUE"""),"Waiting Update")</f>
        <v>Waiting Update</v>
      </c>
      <c r="N307" s="3"/>
      <c r="O307" s="3">
        <f>IFERROR(VLOOKUP(C307,Sheet4!A307:F1094,6,0),"")</f>
        <v>11463015</v>
      </c>
      <c r="Q307" s="2" t="str">
        <f t="shared" si="1"/>
        <v>23</v>
      </c>
    </row>
    <row r="308">
      <c r="A308" s="3" t="str">
        <f>IFERROR(__xludf.DUMMYFUNCTION("""COMPUTED_VALUE"""),"Pemasangan battrey")</f>
        <v>Pemasangan battrey</v>
      </c>
      <c r="B308" s="3" t="str">
        <f>IFERROR(__xludf.DUMMYFUNCTION("""COMPUTED_VALUE"""),"P2")</f>
        <v>P2</v>
      </c>
      <c r="C308" s="3" t="str">
        <f>IFERROR(__xludf.DUMMYFUNCTION("""COMPUTED_VALUE"""),"PPS061")</f>
        <v>PPS061</v>
      </c>
      <c r="D308" s="3" t="str">
        <f>IFERROR(__xludf.DUMMYFUNCTION("""COMPUTED_VALUE"""),"Ahmad")</f>
        <v>Ahmad</v>
      </c>
      <c r="E308" s="3" t="str">
        <f>IFERROR(__xludf.DUMMYFUNCTION("""COMPUTED_VALUE"""),"TE")</f>
        <v>TE</v>
      </c>
      <c r="F308" s="3" t="str">
        <f>IFERROR(__xludf.DUMMYFUNCTION("""COMPUTED_VALUE"""),"Winda Sokenda")</f>
        <v>Winda Sokenda</v>
      </c>
      <c r="G308" s="3" t="str">
        <f>IFERROR(__xludf.DUMMYFUNCTION("""COMPUTED_VALUE"""),"Barito Raya")</f>
        <v>Barito Raya</v>
      </c>
      <c r="H308" s="3" t="str">
        <f>IFERROR(__xludf.DUMMYFUNCTION("""COMPUTED_VALUE"""),"Preventive")</f>
        <v>Preventive</v>
      </c>
      <c r="I308" s="3" t="str">
        <f>IFERROR(__xludf.DUMMYFUNCTION("""COMPUTED_VALUE"""),"Instalasi Battery")</f>
        <v>Instalasi Battery</v>
      </c>
      <c r="J308" s="3" t="str">
        <f>IFERROR(__xludf.DUMMYFUNCTION("""COMPUTED_VALUE"""),"On Progress")</f>
        <v>On Progress</v>
      </c>
      <c r="K308" s="27">
        <f>IFERROR(__xludf.DUMMYFUNCTION("""COMPUTED_VALUE"""),46014.0)</f>
        <v>46014</v>
      </c>
      <c r="L308" s="3"/>
      <c r="M308" s="3" t="str">
        <f>IFERROR(__xludf.DUMMYFUNCTION("""COMPUTED_VALUE"""),"Waiting Update")</f>
        <v>Waiting Update</v>
      </c>
      <c r="N308" s="3"/>
      <c r="O308" s="3">
        <f>IFERROR(VLOOKUP(C308,Sheet4!A308:F1095,6,0),"")</f>
        <v>11395425</v>
      </c>
      <c r="Q308" s="2" t="str">
        <f t="shared" si="1"/>
        <v>23</v>
      </c>
    </row>
    <row r="309">
      <c r="A309" s="3" t="str">
        <f>IFERROR(__xludf.DUMMYFUNCTION("""COMPUTED_VALUE"""),"Pemasangan battrey")</f>
        <v>Pemasangan battrey</v>
      </c>
      <c r="B309" s="3" t="str">
        <f>IFERROR(__xludf.DUMMYFUNCTION("""COMPUTED_VALUE"""),"P2")</f>
        <v>P2</v>
      </c>
      <c r="C309" s="3" t="str">
        <f>IFERROR(__xludf.DUMMYFUNCTION("""COMPUTED_VALUE"""),"PPS139")</f>
        <v>PPS139</v>
      </c>
      <c r="D309" s="3" t="str">
        <f>IFERROR(__xludf.DUMMYFUNCTION("""COMPUTED_VALUE"""),"james jimbris")</f>
        <v>james jimbris</v>
      </c>
      <c r="E309" s="3" t="str">
        <f>IFERROR(__xludf.DUMMYFUNCTION("""COMPUTED_VALUE"""),"TE")</f>
        <v>TE</v>
      </c>
      <c r="F309" s="3" t="str">
        <f>IFERROR(__xludf.DUMMYFUNCTION("""COMPUTED_VALUE"""),"Winda Sokenda")</f>
        <v>Winda Sokenda</v>
      </c>
      <c r="G309" s="3" t="str">
        <f>IFERROR(__xludf.DUMMYFUNCTION("""COMPUTED_VALUE"""),"Barito Raya")</f>
        <v>Barito Raya</v>
      </c>
      <c r="H309" s="3" t="str">
        <f>IFERROR(__xludf.DUMMYFUNCTION("""COMPUTED_VALUE"""),"Preventive")</f>
        <v>Preventive</v>
      </c>
      <c r="I309" s="3" t="str">
        <f>IFERROR(__xludf.DUMMYFUNCTION("""COMPUTED_VALUE"""),"Instalasi Battery")</f>
        <v>Instalasi Battery</v>
      </c>
      <c r="J309" s="3" t="str">
        <f>IFERROR(__xludf.DUMMYFUNCTION("""COMPUTED_VALUE"""),"On Progress")</f>
        <v>On Progress</v>
      </c>
      <c r="K309" s="27">
        <f>IFERROR(__xludf.DUMMYFUNCTION("""COMPUTED_VALUE"""),46014.0)</f>
        <v>46014</v>
      </c>
      <c r="L309" s="3"/>
      <c r="M309" s="3" t="str">
        <f>IFERROR(__xludf.DUMMYFUNCTION("""COMPUTED_VALUE"""),"Waiting Update")</f>
        <v>Waiting Update</v>
      </c>
      <c r="N309" s="3"/>
      <c r="O309" s="3">
        <f>IFERROR(VLOOKUP(C309,Sheet4!A309:F1096,6,0),"")</f>
        <v>11394447</v>
      </c>
      <c r="Q309" s="2" t="str">
        <f t="shared" si="1"/>
        <v>23</v>
      </c>
    </row>
    <row r="310">
      <c r="A310" s="3" t="str">
        <f>IFERROR(__xludf.DUMMYFUNCTION("""COMPUTED_VALUE"""),"Pemasangan battrey")</f>
        <v>Pemasangan battrey</v>
      </c>
      <c r="B310" s="3" t="str">
        <f>IFERROR(__xludf.DUMMYFUNCTION("""COMPUTED_VALUE"""),"P2")</f>
        <v>P2</v>
      </c>
      <c r="C310" s="3" t="str">
        <f>IFERROR(__xludf.DUMMYFUNCTION("""COMPUTED_VALUE"""),"PLK734")</f>
        <v>PLK734</v>
      </c>
      <c r="D310" s="3" t="str">
        <f>IFERROR(__xludf.DUMMYFUNCTION("""COMPUTED_VALUE"""),"Sarwono")</f>
        <v>Sarwono</v>
      </c>
      <c r="E310" s="3" t="str">
        <f>IFERROR(__xludf.DUMMYFUNCTION("""COMPUTED_VALUE"""),"CME")</f>
        <v>CME</v>
      </c>
      <c r="F310" s="3" t="str">
        <f>IFERROR(__xludf.DUMMYFUNCTION("""COMPUTED_VALUE"""),"Doni Damara")</f>
        <v>Doni Damara</v>
      </c>
      <c r="G310" s="3" t="str">
        <f>IFERROR(__xludf.DUMMYFUNCTION("""COMPUTED_VALUE"""),"Palangkaraya")</f>
        <v>Palangkaraya</v>
      </c>
      <c r="H310" s="3" t="str">
        <f>IFERROR(__xludf.DUMMYFUNCTION("""COMPUTED_VALUE"""),"Preventive")</f>
        <v>Preventive</v>
      </c>
      <c r="I310" s="3" t="str">
        <f>IFERROR(__xludf.DUMMYFUNCTION("""COMPUTED_VALUE"""),"Instalasi Battery")</f>
        <v>Instalasi Battery</v>
      </c>
      <c r="J310" s="3" t="str">
        <f>IFERROR(__xludf.DUMMYFUNCTION("""COMPUTED_VALUE"""),"On Progress")</f>
        <v>On Progress</v>
      </c>
      <c r="K310" s="27">
        <f>IFERROR(__xludf.DUMMYFUNCTION("""COMPUTED_VALUE"""),46014.0)</f>
        <v>46014</v>
      </c>
      <c r="L310" s="3"/>
      <c r="M310" s="3" t="str">
        <f>IFERROR(__xludf.DUMMYFUNCTION("""COMPUTED_VALUE"""),"Waiting Update")</f>
        <v>Waiting Update</v>
      </c>
      <c r="N310" s="3"/>
      <c r="O310" s="3">
        <f>IFERROR(VLOOKUP(C310,Sheet4!A310:F1097,6,0),"")</f>
        <v>1139481</v>
      </c>
      <c r="Q310" s="2" t="str">
        <f t="shared" si="1"/>
        <v>23</v>
      </c>
    </row>
    <row r="311">
      <c r="A311" s="3" t="str">
        <f>IFERROR(__xludf.DUMMYFUNCTION("""COMPUTED_VALUE"""),"Cell down")</f>
        <v>Cell down</v>
      </c>
      <c r="B311" s="3" t="str">
        <f>IFERROR(__xludf.DUMMYFUNCTION("""COMPUTED_VALUE"""),"P1")</f>
        <v>P1</v>
      </c>
      <c r="C311" s="3" t="str">
        <f>IFERROR(__xludf.DUMMYFUNCTION("""COMPUTED_VALUE"""),"PPS109")</f>
        <v>PPS109</v>
      </c>
      <c r="D311" s="3" t="str">
        <f>IFERROR(__xludf.DUMMYFUNCTION("""COMPUTED_VALUE"""),"Yahya Muhamad")</f>
        <v>Yahya Muhamad</v>
      </c>
      <c r="E311" s="3" t="str">
        <f>IFERROR(__xludf.DUMMYFUNCTION("""COMPUTED_VALUE"""),"TE")</f>
        <v>TE</v>
      </c>
      <c r="F311" s="3" t="str">
        <f>IFERROR(__xludf.DUMMYFUNCTION("""COMPUTED_VALUE"""),"Doni Damara")</f>
        <v>Doni Damara</v>
      </c>
      <c r="G311" s="3" t="str">
        <f>IFERROR(__xludf.DUMMYFUNCTION("""COMPUTED_VALUE"""),"Palangkaraya")</f>
        <v>Palangkaraya</v>
      </c>
      <c r="H311" s="3" t="str">
        <f>IFERROR(__xludf.DUMMYFUNCTION("""COMPUTED_VALUE"""),"Corrective")</f>
        <v>Corrective</v>
      </c>
      <c r="I311" s="3" t="str">
        <f>IFERROR(__xludf.DUMMYFUNCTION("""COMPUTED_VALUE"""),"Replace Optik,RRU/Soket Power/Replace GPS")</f>
        <v>Replace Optik,RRU/Soket Power/Replace GPS</v>
      </c>
      <c r="J311" s="3" t="str">
        <f>IFERROR(__xludf.DUMMYFUNCTION("""COMPUTED_VALUE"""),"On Progress")</f>
        <v>On Progress</v>
      </c>
      <c r="K311" s="27">
        <f>IFERROR(__xludf.DUMMYFUNCTION("""COMPUTED_VALUE"""),46014.0)</f>
        <v>46014</v>
      </c>
      <c r="L311" s="3"/>
      <c r="M311" s="3" t="str">
        <f>IFERROR(__xludf.DUMMYFUNCTION("""COMPUTED_VALUE"""),"Waiting Update")</f>
        <v>Waiting Update</v>
      </c>
      <c r="N311" s="3"/>
      <c r="O311" s="3">
        <f>IFERROR(VLOOKUP(C311,Sheet4!A311:F1098,6,0),"")</f>
        <v>11418992</v>
      </c>
      <c r="Q311" s="2" t="str">
        <f t="shared" si="1"/>
        <v>23</v>
      </c>
    </row>
    <row r="312">
      <c r="A312" s="3" t="str">
        <f>IFERROR(__xludf.DUMMYFUNCTION("""COMPUTED_VALUE"""),"Cell down")</f>
        <v>Cell down</v>
      </c>
      <c r="B312" s="3" t="str">
        <f>IFERROR(__xludf.DUMMYFUNCTION("""COMPUTED_VALUE"""),"P1")</f>
        <v>P1</v>
      </c>
      <c r="C312" s="3" t="str">
        <f>IFERROR(__xludf.DUMMYFUNCTION("""COMPUTED_VALUE"""),"PPS084")</f>
        <v>PPS084</v>
      </c>
      <c r="D312" s="3" t="str">
        <f>IFERROR(__xludf.DUMMYFUNCTION("""COMPUTED_VALUE"""),"Muhamad Rayhan")</f>
        <v>Muhamad Rayhan</v>
      </c>
      <c r="E312" s="3" t="str">
        <f>IFERROR(__xludf.DUMMYFUNCTION("""COMPUTED_VALUE"""),"TE")</f>
        <v>TE</v>
      </c>
      <c r="F312" s="3" t="str">
        <f>IFERROR(__xludf.DUMMYFUNCTION("""COMPUTED_VALUE"""),"Doni Damara")</f>
        <v>Doni Damara</v>
      </c>
      <c r="G312" s="3" t="str">
        <f>IFERROR(__xludf.DUMMYFUNCTION("""COMPUTED_VALUE"""),"Palangkaraya")</f>
        <v>Palangkaraya</v>
      </c>
      <c r="H312" s="3" t="str">
        <f>IFERROR(__xludf.DUMMYFUNCTION("""COMPUTED_VALUE"""),"Corrective")</f>
        <v>Corrective</v>
      </c>
      <c r="I312" s="3" t="str">
        <f>IFERROR(__xludf.DUMMYFUNCTION("""COMPUTED_VALUE"""),"Replace Optik,RRU/Soket Power/Replace GPS")</f>
        <v>Replace Optik,RRU/Soket Power/Replace GPS</v>
      </c>
      <c r="J312" s="3" t="str">
        <f>IFERROR(__xludf.DUMMYFUNCTION("""COMPUTED_VALUE"""),"On Progress")</f>
        <v>On Progress</v>
      </c>
      <c r="K312" s="27">
        <f>IFERROR(__xludf.DUMMYFUNCTION("""COMPUTED_VALUE"""),46014.0)</f>
        <v>46014</v>
      </c>
      <c r="L312" s="3"/>
      <c r="M312" s="3" t="str">
        <f>IFERROR(__xludf.DUMMYFUNCTION("""COMPUTED_VALUE"""),"Waiting Update")</f>
        <v>Waiting Update</v>
      </c>
      <c r="N312" s="3"/>
      <c r="O312" s="3" t="str">
        <f>IFERROR(VLOOKUP(C312,Sheet4!A312:F1099,6,0),"")</f>
        <v/>
      </c>
      <c r="Q312" s="2" t="str">
        <f t="shared" si="1"/>
        <v>23</v>
      </c>
    </row>
    <row r="313">
      <c r="A313" s="3" t="str">
        <f>IFERROR(__xludf.DUMMYFUNCTION("""COMPUTED_VALUE"""),"Site Down")</f>
        <v>Site Down</v>
      </c>
      <c r="B313" s="3" t="str">
        <f>IFERROR(__xludf.DUMMYFUNCTION("""COMPUTED_VALUE"""),"P1")</f>
        <v>P1</v>
      </c>
      <c r="C313" s="3" t="str">
        <f>IFERROR(__xludf.DUMMYFUNCTION("""COMPUTED_VALUE"""),"KSN002")</f>
        <v>KSN002</v>
      </c>
      <c r="D313" s="3" t="str">
        <f>IFERROR(__xludf.DUMMYFUNCTION("""COMPUTED_VALUE"""),"Muhammad Mukti")</f>
        <v>Muhammad Mukti</v>
      </c>
      <c r="E313" s="3" t="str">
        <f>IFERROR(__xludf.DUMMYFUNCTION("""COMPUTED_VALUE"""),"TE")</f>
        <v>TE</v>
      </c>
      <c r="F313" s="3" t="str">
        <f>IFERROR(__xludf.DUMMYFUNCTION("""COMPUTED_VALUE"""),"Doni Damara")</f>
        <v>Doni Damara</v>
      </c>
      <c r="G313" s="3" t="str">
        <f>IFERROR(__xludf.DUMMYFUNCTION("""COMPUTED_VALUE"""),"Palangkaraya")</f>
        <v>Palangkaraya</v>
      </c>
      <c r="H313" s="3" t="str">
        <f>IFERROR(__xludf.DUMMYFUNCTION("""COMPUTED_VALUE"""),"Corrective")</f>
        <v>Corrective</v>
      </c>
      <c r="I313" s="3" t="str">
        <f>IFERROR(__xludf.DUMMYFUNCTION("""COMPUTED_VALUE"""),"Pemadaman,MCB Trip,Transmisi problem")</f>
        <v>Pemadaman,MCB Trip,Transmisi problem</v>
      </c>
      <c r="J313" s="3" t="str">
        <f>IFERROR(__xludf.DUMMYFUNCTION("""COMPUTED_VALUE"""),"On Progress")</f>
        <v>On Progress</v>
      </c>
      <c r="K313" s="27">
        <f>IFERROR(__xludf.DUMMYFUNCTION("""COMPUTED_VALUE"""),46014.0)</f>
        <v>46014</v>
      </c>
      <c r="L313" s="3"/>
      <c r="M313" s="3" t="str">
        <f>IFERROR(__xludf.DUMMYFUNCTION("""COMPUTED_VALUE"""),"Waiting Update")</f>
        <v>Waiting Update</v>
      </c>
      <c r="N313" s="3"/>
      <c r="O313" s="3" t="str">
        <f>IFERROR(VLOOKUP(C313,Sheet4!A313:F1100,6,0),"")</f>
        <v/>
      </c>
      <c r="Q313" s="2" t="str">
        <f t="shared" si="1"/>
        <v>23</v>
      </c>
    </row>
    <row r="314">
      <c r="A314" s="3" t="str">
        <f>IFERROR(__xludf.DUMMYFUNCTION("""COMPUTED_VALUE"""),"Cell down")</f>
        <v>Cell down</v>
      </c>
      <c r="B314" s="3" t="str">
        <f>IFERROR(__xludf.DUMMYFUNCTION("""COMPUTED_VALUE"""),"P1")</f>
        <v>P1</v>
      </c>
      <c r="C314" s="3" t="str">
        <f>IFERROR(__xludf.DUMMYFUNCTION("""COMPUTED_VALUE"""),"KSN021")</f>
        <v>KSN021</v>
      </c>
      <c r="D314" s="3" t="str">
        <f>IFERROR(__xludf.DUMMYFUNCTION("""COMPUTED_VALUE"""),"Muhammad Mukhlis")</f>
        <v>Muhammad Mukhlis</v>
      </c>
      <c r="E314" s="3" t="str">
        <f>IFERROR(__xludf.DUMMYFUNCTION("""COMPUTED_VALUE"""),"TE")</f>
        <v>TE</v>
      </c>
      <c r="F314" s="3" t="str">
        <f>IFERROR(__xludf.DUMMYFUNCTION("""COMPUTED_VALUE"""),"Doni Damara")</f>
        <v>Doni Damara</v>
      </c>
      <c r="G314" s="3" t="str">
        <f>IFERROR(__xludf.DUMMYFUNCTION("""COMPUTED_VALUE"""),"Palangkaraya")</f>
        <v>Palangkaraya</v>
      </c>
      <c r="H314" s="3" t="str">
        <f>IFERROR(__xludf.DUMMYFUNCTION("""COMPUTED_VALUE"""),"Corrective")</f>
        <v>Corrective</v>
      </c>
      <c r="I314" s="3" t="str">
        <f>IFERROR(__xludf.DUMMYFUNCTION("""COMPUTED_VALUE"""),"Replace Optik,RRU/Soket Power/Replace GPS")</f>
        <v>Replace Optik,RRU/Soket Power/Replace GPS</v>
      </c>
      <c r="J314" s="3" t="str">
        <f>IFERROR(__xludf.DUMMYFUNCTION("""COMPUTED_VALUE"""),"On Progress")</f>
        <v>On Progress</v>
      </c>
      <c r="K314" s="27">
        <f>IFERROR(__xludf.DUMMYFUNCTION("""COMPUTED_VALUE"""),46014.0)</f>
        <v>46014</v>
      </c>
      <c r="L314" s="3"/>
      <c r="M314" s="3" t="str">
        <f>IFERROR(__xludf.DUMMYFUNCTION("""COMPUTED_VALUE"""),"Waiting Update")</f>
        <v>Waiting Update</v>
      </c>
      <c r="N314" s="3"/>
      <c r="O314" s="3" t="str">
        <f>IFERROR(VLOOKUP(C314,Sheet4!A314:F1101,6,0),"")</f>
        <v/>
      </c>
      <c r="Q314" s="2" t="str">
        <f t="shared" si="1"/>
        <v>23</v>
      </c>
    </row>
    <row r="315">
      <c r="A315" s="3" t="str">
        <f>IFERROR(__xludf.DUMMYFUNCTION("""COMPUTED_VALUE"""),"Vswr")</f>
        <v>Vswr</v>
      </c>
      <c r="B315" s="3" t="str">
        <f>IFERROR(__xludf.DUMMYFUNCTION("""COMPUTED_VALUE"""),"P1")</f>
        <v>P1</v>
      </c>
      <c r="C315" s="3" t="str">
        <f>IFERROR(__xludf.DUMMYFUNCTION("""COMPUTED_VALUE"""),"COH979")</f>
        <v>COH979</v>
      </c>
      <c r="D315" s="3" t="str">
        <f>IFERROR(__xludf.DUMMYFUNCTION("""COMPUTED_VALUE"""),"Ahmad Setiawan")</f>
        <v>Ahmad Setiawan</v>
      </c>
      <c r="E315" s="3" t="str">
        <f>IFERROR(__xludf.DUMMYFUNCTION("""COMPUTED_VALUE"""),"TE")</f>
        <v>TE</v>
      </c>
      <c r="F315" s="3" t="str">
        <f>IFERROR(__xludf.DUMMYFUNCTION("""COMPUTED_VALUE"""),"Doni Damara")</f>
        <v>Doni Damara</v>
      </c>
      <c r="G315" s="3" t="str">
        <f>IFERROR(__xludf.DUMMYFUNCTION("""COMPUTED_VALUE"""),"Palangkaraya")</f>
        <v>Palangkaraya</v>
      </c>
      <c r="H315" s="3" t="str">
        <f>IFERROR(__xludf.DUMMYFUNCTION("""COMPUTED_VALUE"""),"Corrective")</f>
        <v>Corrective</v>
      </c>
      <c r="I315" s="3" t="str">
        <f>IFERROR(__xludf.DUMMYFUNCTION("""COMPUTED_VALUE"""),"Replace Jumper,antena/RRU")</f>
        <v>Replace Jumper,antena/RRU</v>
      </c>
      <c r="J315" s="3" t="str">
        <f>IFERROR(__xludf.DUMMYFUNCTION("""COMPUTED_VALUE"""),"On Progress")</f>
        <v>On Progress</v>
      </c>
      <c r="K315" s="27">
        <f>IFERROR(__xludf.DUMMYFUNCTION("""COMPUTED_VALUE"""),46014.0)</f>
        <v>46014</v>
      </c>
      <c r="L315" s="3"/>
      <c r="M315" s="3" t="str">
        <f>IFERROR(__xludf.DUMMYFUNCTION("""COMPUTED_VALUE"""),"Waiting Update")</f>
        <v>Waiting Update</v>
      </c>
      <c r="N315" s="3"/>
      <c r="O315" s="3" t="str">
        <f>IFERROR(VLOOKUP(C315,Sheet4!A315:F1102,6,0),"")</f>
        <v/>
      </c>
      <c r="Q315" s="2" t="str">
        <f t="shared" si="1"/>
        <v>23</v>
      </c>
    </row>
    <row r="316">
      <c r="A316" s="3" t="str">
        <f>IFERROR(__xludf.DUMMYFUNCTION("""COMPUTED_VALUE"""),"Vswr")</f>
        <v>Vswr</v>
      </c>
      <c r="B316" s="3" t="str">
        <f>IFERROR(__xludf.DUMMYFUNCTION("""COMPUTED_VALUE"""),"P1")</f>
        <v>P1</v>
      </c>
      <c r="C316" s="3" t="str">
        <f>IFERROR(__xludf.DUMMYFUNCTION("""COMPUTED_VALUE"""),"COH980")</f>
        <v>COH980</v>
      </c>
      <c r="D316" s="3" t="str">
        <f>IFERROR(__xludf.DUMMYFUNCTION("""COMPUTED_VALUE"""),"Fahmi")</f>
        <v>Fahmi</v>
      </c>
      <c r="E316" s="3" t="str">
        <f>IFERROR(__xludf.DUMMYFUNCTION("""COMPUTED_VALUE"""),"TE")</f>
        <v>TE</v>
      </c>
      <c r="F316" s="3" t="str">
        <f>IFERROR(__xludf.DUMMYFUNCTION("""COMPUTED_VALUE"""),"Doni Damara")</f>
        <v>Doni Damara</v>
      </c>
      <c r="G316" s="3" t="str">
        <f>IFERROR(__xludf.DUMMYFUNCTION("""COMPUTED_VALUE"""),"Palangkaraya")</f>
        <v>Palangkaraya</v>
      </c>
      <c r="H316" s="3" t="str">
        <f>IFERROR(__xludf.DUMMYFUNCTION("""COMPUTED_VALUE"""),"Corrective")</f>
        <v>Corrective</v>
      </c>
      <c r="I316" s="3" t="str">
        <f>IFERROR(__xludf.DUMMYFUNCTION("""COMPUTED_VALUE"""),"Replace Jumper,antena/RRU")</f>
        <v>Replace Jumper,antena/RRU</v>
      </c>
      <c r="J316" s="3" t="str">
        <f>IFERROR(__xludf.DUMMYFUNCTION("""COMPUTED_VALUE"""),"On Progress")</f>
        <v>On Progress</v>
      </c>
      <c r="K316" s="27">
        <f>IFERROR(__xludf.DUMMYFUNCTION("""COMPUTED_VALUE"""),46014.0)</f>
        <v>46014</v>
      </c>
      <c r="L316" s="3"/>
      <c r="M316" s="3" t="str">
        <f>IFERROR(__xludf.DUMMYFUNCTION("""COMPUTED_VALUE"""),"Waiting Update")</f>
        <v>Waiting Update</v>
      </c>
      <c r="N316" s="3"/>
      <c r="O316" s="3" t="str">
        <f>IFERROR(VLOOKUP(C316,Sheet4!A316:F1103,6,0),"")</f>
        <v/>
      </c>
      <c r="Q316" s="2" t="str">
        <f t="shared" si="1"/>
        <v>23</v>
      </c>
    </row>
    <row r="317">
      <c r="A317" s="3" t="str">
        <f>IFERROR(__xludf.DUMMYFUNCTION("""COMPUTED_VALUE"""),"Site Down")</f>
        <v>Site Down</v>
      </c>
      <c r="B317" s="3" t="str">
        <f>IFERROR(__xludf.DUMMYFUNCTION("""COMPUTED_VALUE"""),"P1")</f>
        <v>P1</v>
      </c>
      <c r="C317" s="3" t="str">
        <f>IFERROR(__xludf.DUMMYFUNCTION("""COMPUTED_VALUE"""),"KKN151")</f>
        <v>KKN151</v>
      </c>
      <c r="D317" s="3" t="str">
        <f>IFERROR(__xludf.DUMMYFUNCTION("""COMPUTED_VALUE"""),"Leonard")</f>
        <v>Leonard</v>
      </c>
      <c r="E317" s="3" t="str">
        <f>IFERROR(__xludf.DUMMYFUNCTION("""COMPUTED_VALUE"""),"TE")</f>
        <v>TE</v>
      </c>
      <c r="F317" s="3" t="str">
        <f>IFERROR(__xludf.DUMMYFUNCTION("""COMPUTED_VALUE"""),"Doni Damara")</f>
        <v>Doni Damara</v>
      </c>
      <c r="G317" s="3" t="str">
        <f>IFERROR(__xludf.DUMMYFUNCTION("""COMPUTED_VALUE"""),"Palangkaraya")</f>
        <v>Palangkaraya</v>
      </c>
      <c r="H317" s="3" t="str">
        <f>IFERROR(__xludf.DUMMYFUNCTION("""COMPUTED_VALUE"""),"Corrective")</f>
        <v>Corrective</v>
      </c>
      <c r="I317" s="3" t="str">
        <f>IFERROR(__xludf.DUMMYFUNCTION("""COMPUTED_VALUE"""),"Pemadaman,MCB Trip,Transmisi problem")</f>
        <v>Pemadaman,MCB Trip,Transmisi problem</v>
      </c>
      <c r="J317" s="3" t="str">
        <f>IFERROR(__xludf.DUMMYFUNCTION("""COMPUTED_VALUE"""),"On Progress")</f>
        <v>On Progress</v>
      </c>
      <c r="K317" s="27">
        <f>IFERROR(__xludf.DUMMYFUNCTION("""COMPUTED_VALUE"""),46014.0)</f>
        <v>46014</v>
      </c>
      <c r="L317" s="3"/>
      <c r="M317" s="3" t="str">
        <f>IFERROR(__xludf.DUMMYFUNCTION("""COMPUTED_VALUE"""),"Waiting Update")</f>
        <v>Waiting Update</v>
      </c>
      <c r="N317" s="3"/>
      <c r="O317" s="3" t="str">
        <f>IFERROR(VLOOKUP(C317,Sheet4!A317:F1104,6,0),"")</f>
        <v/>
      </c>
      <c r="Q317" s="2" t="str">
        <f t="shared" si="1"/>
        <v>23</v>
      </c>
    </row>
    <row r="318">
      <c r="A318" s="3" t="str">
        <f>IFERROR(__xludf.DUMMYFUNCTION("""COMPUTED_VALUE"""),"Cell down")</f>
        <v>Cell down</v>
      </c>
      <c r="B318" s="3" t="str">
        <f>IFERROR(__xludf.DUMMYFUNCTION("""COMPUTED_VALUE"""),"P1")</f>
        <v>P1</v>
      </c>
      <c r="C318" s="3" t="str">
        <f>IFERROR(__xludf.DUMMYFUNCTION("""COMPUTED_VALUE"""),"KKN006")</f>
        <v>KKN006</v>
      </c>
      <c r="D318" s="3" t="str">
        <f>IFERROR(__xludf.DUMMYFUNCTION("""COMPUTED_VALUE"""),"Aulia Rahman")</f>
        <v>Aulia Rahman</v>
      </c>
      <c r="E318" s="3" t="str">
        <f>IFERROR(__xludf.DUMMYFUNCTION("""COMPUTED_VALUE"""),"TE")</f>
        <v>TE</v>
      </c>
      <c r="F318" s="3" t="str">
        <f>IFERROR(__xludf.DUMMYFUNCTION("""COMPUTED_VALUE"""),"Doni Damara")</f>
        <v>Doni Damara</v>
      </c>
      <c r="G318" s="3" t="str">
        <f>IFERROR(__xludf.DUMMYFUNCTION("""COMPUTED_VALUE"""),"Palangkaraya")</f>
        <v>Palangkaraya</v>
      </c>
      <c r="H318" s="3" t="str">
        <f>IFERROR(__xludf.DUMMYFUNCTION("""COMPUTED_VALUE"""),"Corrective")</f>
        <v>Corrective</v>
      </c>
      <c r="I318" s="3" t="str">
        <f>IFERROR(__xludf.DUMMYFUNCTION("""COMPUTED_VALUE"""),"Replace Optik,RRU/Soket Power/Replace GPS")</f>
        <v>Replace Optik,RRU/Soket Power/Replace GPS</v>
      </c>
      <c r="J318" s="3" t="str">
        <f>IFERROR(__xludf.DUMMYFUNCTION("""COMPUTED_VALUE"""),"On Progress")</f>
        <v>On Progress</v>
      </c>
      <c r="K318" s="27">
        <f>IFERROR(__xludf.DUMMYFUNCTION("""COMPUTED_VALUE"""),46014.0)</f>
        <v>46014</v>
      </c>
      <c r="L318" s="3"/>
      <c r="M318" s="3" t="str">
        <f>IFERROR(__xludf.DUMMYFUNCTION("""COMPUTED_VALUE"""),"Waiting Update")</f>
        <v>Waiting Update</v>
      </c>
      <c r="N318" s="3"/>
      <c r="O318" s="3">
        <f>IFERROR(VLOOKUP(C318,Sheet4!A318:F1105,6,0),"")</f>
        <v>11372689</v>
      </c>
      <c r="Q318" s="2" t="str">
        <f t="shared" si="1"/>
        <v>23</v>
      </c>
    </row>
    <row r="319">
      <c r="A319" s="3" t="str">
        <f>IFERROR(__xludf.DUMMYFUNCTION("""COMPUTED_VALUE"""),"On Leave")</f>
        <v>On Leave</v>
      </c>
      <c r="B319" s="3" t="str">
        <f>IFERROR(__xludf.DUMMYFUNCTION("""COMPUTED_VALUE"""),"P3")</f>
        <v>P3</v>
      </c>
      <c r="C319" s="3"/>
      <c r="D319" s="3" t="str">
        <f>IFERROR(__xludf.DUMMYFUNCTION("""COMPUTED_VALUE"""),"melky.O.Tulangow")</f>
        <v>melky.O.Tulangow</v>
      </c>
      <c r="E319" s="3" t="str">
        <f>IFERROR(__xludf.DUMMYFUNCTION("""COMPUTED_VALUE"""),"TE")</f>
        <v>TE</v>
      </c>
      <c r="F319" s="3" t="str">
        <f>IFERROR(__xludf.DUMMYFUNCTION("""COMPUTED_VALUE"""),"Doni Damara")</f>
        <v>Doni Damara</v>
      </c>
      <c r="G319" s="3" t="str">
        <f>IFERROR(__xludf.DUMMYFUNCTION("""COMPUTED_VALUE"""),"Palangkaraya")</f>
        <v>Palangkaraya</v>
      </c>
      <c r="H319" s="3" t="str">
        <f>IFERROR(__xludf.DUMMYFUNCTION("""COMPUTED_VALUE"""),"On Leave")</f>
        <v>On Leave</v>
      </c>
      <c r="I319" s="3" t="str">
        <f>IFERROR(__xludf.DUMMYFUNCTION("""COMPUTED_VALUE"""),"On Leave")</f>
        <v>On Leave</v>
      </c>
      <c r="J319" s="3" t="str">
        <f>IFERROR(__xludf.DUMMYFUNCTION("""COMPUTED_VALUE"""),"Standby")</f>
        <v>Standby</v>
      </c>
      <c r="K319" s="27">
        <f>IFERROR(__xludf.DUMMYFUNCTION("""COMPUTED_VALUE"""),46014.0)</f>
        <v>46014</v>
      </c>
      <c r="L319" s="3"/>
      <c r="M319" s="3" t="str">
        <f>IFERROR(__xludf.DUMMYFUNCTION("""COMPUTED_VALUE"""),"Waiting Update")</f>
        <v>Waiting Update</v>
      </c>
      <c r="N319" s="3"/>
      <c r="O319" s="3" t="str">
        <f>IFERROR(VLOOKUP(C319,Sheet4!A319:F1106,6,0),"")</f>
        <v/>
      </c>
      <c r="Q319" s="2" t="str">
        <f t="shared" si="1"/>
        <v>23</v>
      </c>
    </row>
    <row r="320">
      <c r="A320" s="3" t="str">
        <f>IFERROR(__xludf.DUMMYFUNCTION("""COMPUTED_VALUE"""),"PM")</f>
        <v>PM</v>
      </c>
      <c r="B320" s="3" t="str">
        <f>IFERROR(__xludf.DUMMYFUNCTION("""COMPUTED_VALUE"""),"P2")</f>
        <v>P2</v>
      </c>
      <c r="C320" s="3" t="str">
        <f>IFERROR(__xludf.DUMMYFUNCTION("""COMPUTED_VALUE"""),"PLK024")</f>
        <v>PLK024</v>
      </c>
      <c r="D320" s="3" t="str">
        <f>IFERROR(__xludf.DUMMYFUNCTION("""COMPUTED_VALUE"""),"Darli")</f>
        <v>Darli</v>
      </c>
      <c r="E320" s="3" t="str">
        <f>IFERROR(__xludf.DUMMYFUNCTION("""COMPUTED_VALUE"""),"PM")</f>
        <v>PM</v>
      </c>
      <c r="F320" s="3" t="str">
        <f>IFERROR(__xludf.DUMMYFUNCTION("""COMPUTED_VALUE"""),"Doni Damara")</f>
        <v>Doni Damara</v>
      </c>
      <c r="G320" s="3" t="str">
        <f>IFERROR(__xludf.DUMMYFUNCTION("""COMPUTED_VALUE"""),"Palangkaraya")</f>
        <v>Palangkaraya</v>
      </c>
      <c r="H320" s="3" t="str">
        <f>IFERROR(__xludf.DUMMYFUNCTION("""COMPUTED_VALUE"""),"Preventive")</f>
        <v>Preventive</v>
      </c>
      <c r="I320" s="3" t="str">
        <f>IFERROR(__xludf.DUMMYFUNCTION("""COMPUTED_VALUE"""),"Preventive Maintenance")</f>
        <v>Preventive Maintenance</v>
      </c>
      <c r="J320" s="3" t="str">
        <f>IFERROR(__xludf.DUMMYFUNCTION("""COMPUTED_VALUE"""),"On Progress")</f>
        <v>On Progress</v>
      </c>
      <c r="K320" s="27">
        <f>IFERROR(__xludf.DUMMYFUNCTION("""COMPUTED_VALUE"""),46014.0)</f>
        <v>46014</v>
      </c>
      <c r="L320" s="3"/>
      <c r="M320" s="3" t="str">
        <f>IFERROR(__xludf.DUMMYFUNCTION("""COMPUTED_VALUE"""),"Waiting Update")</f>
        <v>Waiting Update</v>
      </c>
      <c r="N320" s="3"/>
      <c r="O320" s="3">
        <f>IFERROR(VLOOKUP(C320,Sheet4!A320:F1107,6,0),"")</f>
        <v>11368627</v>
      </c>
      <c r="Q320" s="2" t="str">
        <f t="shared" si="1"/>
        <v>23</v>
      </c>
    </row>
    <row r="321">
      <c r="A321" s="3" t="str">
        <f>IFERROR(__xludf.DUMMYFUNCTION("""COMPUTED_VALUE"""),"PM")</f>
        <v>PM</v>
      </c>
      <c r="B321" s="3" t="str">
        <f>IFERROR(__xludf.DUMMYFUNCTION("""COMPUTED_VALUE"""),"P2")</f>
        <v>P2</v>
      </c>
      <c r="C321" s="3" t="str">
        <f>IFERROR(__xludf.DUMMYFUNCTION("""COMPUTED_VALUE"""),"PPS008")</f>
        <v>PPS008</v>
      </c>
      <c r="D321" s="3" t="str">
        <f>IFERROR(__xludf.DUMMYFUNCTION("""COMPUTED_VALUE"""),"Indra")</f>
        <v>Indra</v>
      </c>
      <c r="E321" s="3" t="str">
        <f>IFERROR(__xludf.DUMMYFUNCTION("""COMPUTED_VALUE"""),"PM")</f>
        <v>PM</v>
      </c>
      <c r="F321" s="3" t="str">
        <f>IFERROR(__xludf.DUMMYFUNCTION("""COMPUTED_VALUE"""),"Doni Damara")</f>
        <v>Doni Damara</v>
      </c>
      <c r="G321" s="3" t="str">
        <f>IFERROR(__xludf.DUMMYFUNCTION("""COMPUTED_VALUE"""),"Palangkaraya")</f>
        <v>Palangkaraya</v>
      </c>
      <c r="H321" s="3" t="str">
        <f>IFERROR(__xludf.DUMMYFUNCTION("""COMPUTED_VALUE"""),"Preventive")</f>
        <v>Preventive</v>
      </c>
      <c r="I321" s="3" t="str">
        <f>IFERROR(__xludf.DUMMYFUNCTION("""COMPUTED_VALUE"""),"Preventive Maintenance")</f>
        <v>Preventive Maintenance</v>
      </c>
      <c r="J321" s="3" t="str">
        <f>IFERROR(__xludf.DUMMYFUNCTION("""COMPUTED_VALUE"""),"On Progress")</f>
        <v>On Progress</v>
      </c>
      <c r="K321" s="27">
        <f>IFERROR(__xludf.DUMMYFUNCTION("""COMPUTED_VALUE"""),46014.0)</f>
        <v>46014</v>
      </c>
      <c r="L321" s="3"/>
      <c r="M321" s="3" t="str">
        <f>IFERROR(__xludf.DUMMYFUNCTION("""COMPUTED_VALUE"""),"Waiting Update")</f>
        <v>Waiting Update</v>
      </c>
      <c r="N321" s="3"/>
      <c r="O321" s="3" t="str">
        <f>IFERROR(VLOOKUP(C321,Sheet4!A321:F1108,6,0),"")</f>
        <v/>
      </c>
      <c r="Q321" s="2" t="str">
        <f t="shared" si="1"/>
        <v>23</v>
      </c>
    </row>
    <row r="322">
      <c r="A322" s="3" t="str">
        <f>IFERROR(__xludf.DUMMYFUNCTION("""COMPUTED_VALUE"""),"Site Down")</f>
        <v>Site Down</v>
      </c>
      <c r="B322" s="3" t="str">
        <f>IFERROR(__xludf.DUMMYFUNCTION("""COMPUTED_VALUE"""),"P1")</f>
        <v>P1</v>
      </c>
      <c r="C322" s="3" t="str">
        <f>IFERROR(__xludf.DUMMYFUNCTION("""COMPUTED_VALUE"""),"KSN024")</f>
        <v>KSN024</v>
      </c>
      <c r="D322" s="3" t="str">
        <f>IFERROR(__xludf.DUMMYFUNCTION("""COMPUTED_VALUE"""),"hory yusmanto")</f>
        <v>hory yusmanto</v>
      </c>
      <c r="E322" s="3" t="str">
        <f>IFERROR(__xludf.DUMMYFUNCTION("""COMPUTED_VALUE"""),"MBP")</f>
        <v>MBP</v>
      </c>
      <c r="F322" s="3" t="str">
        <f>IFERROR(__xludf.DUMMYFUNCTION("""COMPUTED_VALUE"""),"Doni Damara")</f>
        <v>Doni Damara</v>
      </c>
      <c r="G322" s="3" t="str">
        <f>IFERROR(__xludf.DUMMYFUNCTION("""COMPUTED_VALUE"""),"Palangkaraya")</f>
        <v>Palangkaraya</v>
      </c>
      <c r="H322" s="3" t="str">
        <f>IFERROR(__xludf.DUMMYFUNCTION("""COMPUTED_VALUE"""),"Corrective")</f>
        <v>Corrective</v>
      </c>
      <c r="I322" s="3" t="str">
        <f>IFERROR(__xludf.DUMMYFUNCTION("""COMPUTED_VALUE"""),"Pemadaman,MCB Trip,Transmisi problem")</f>
        <v>Pemadaman,MCB Trip,Transmisi problem</v>
      </c>
      <c r="J322" s="3" t="str">
        <f>IFERROR(__xludf.DUMMYFUNCTION("""COMPUTED_VALUE"""),"On Progress")</f>
        <v>On Progress</v>
      </c>
      <c r="K322" s="27">
        <f>IFERROR(__xludf.DUMMYFUNCTION("""COMPUTED_VALUE"""),46014.0)</f>
        <v>46014</v>
      </c>
      <c r="L322" s="3"/>
      <c r="M322" s="3" t="str">
        <f>IFERROR(__xludf.DUMMYFUNCTION("""COMPUTED_VALUE"""),"Waiting Update")</f>
        <v>Waiting Update</v>
      </c>
      <c r="N322" s="3"/>
      <c r="O322" s="3">
        <f>IFERROR(VLOOKUP(C322,Sheet4!A322:F1109,6,0),"")</f>
        <v>112958977</v>
      </c>
      <c r="Q322" s="2" t="str">
        <f t="shared" si="1"/>
        <v>23</v>
      </c>
    </row>
    <row r="323">
      <c r="A323" s="3" t="str">
        <f>IFERROR(__xludf.DUMMYFUNCTION("""COMPUTED_VALUE"""),"Standby On Call")</f>
        <v>Standby On Call</v>
      </c>
      <c r="B323" s="3" t="str">
        <f>IFERROR(__xludf.DUMMYFUNCTION("""COMPUTED_VALUE"""),"P3")</f>
        <v>P3</v>
      </c>
      <c r="C323" s="3"/>
      <c r="D323" s="3" t="str">
        <f>IFERROR(__xludf.DUMMYFUNCTION("""COMPUTED_VALUE"""),"Fajrianur wahid")</f>
        <v>Fajrianur wahid</v>
      </c>
      <c r="E323" s="3" t="str">
        <f>IFERROR(__xludf.DUMMYFUNCTION("""COMPUTED_VALUE"""),"TE")</f>
        <v>TE</v>
      </c>
      <c r="F323" s="3" t="str">
        <f>IFERROR(__xludf.DUMMYFUNCTION("""COMPUTED_VALUE"""),"Doni Damara")</f>
        <v>Doni Damara</v>
      </c>
      <c r="G323" s="3" t="str">
        <f>IFERROR(__xludf.DUMMYFUNCTION("""COMPUTED_VALUE"""),"Palangkaraya")</f>
        <v>Palangkaraya</v>
      </c>
      <c r="H323" s="3" t="str">
        <f>IFERROR(__xludf.DUMMYFUNCTION("""COMPUTED_VALUE"""),"Standby")</f>
        <v>Standby</v>
      </c>
      <c r="I323" s="3" t="str">
        <f>IFERROR(__xludf.DUMMYFUNCTION("""COMPUTED_VALUE"""),"Standby On Call")</f>
        <v>Standby On Call</v>
      </c>
      <c r="J323" s="3" t="str">
        <f>IFERROR(__xludf.DUMMYFUNCTION("""COMPUTED_VALUE"""),"Standby")</f>
        <v>Standby</v>
      </c>
      <c r="K323" s="27">
        <f>IFERROR(__xludf.DUMMYFUNCTION("""COMPUTED_VALUE"""),46014.0)</f>
        <v>46014</v>
      </c>
      <c r="L323" s="3"/>
      <c r="M323" s="3" t="str">
        <f>IFERROR(__xludf.DUMMYFUNCTION("""COMPUTED_VALUE"""),"Waiting Update")</f>
        <v>Waiting Update</v>
      </c>
      <c r="N323" s="3"/>
      <c r="O323" s="3" t="str">
        <f>IFERROR(VLOOKUP(C323,Sheet4!A323:F1110,6,0),"")</f>
        <v/>
      </c>
      <c r="Q323" s="2" t="str">
        <f t="shared" si="1"/>
        <v>23</v>
      </c>
    </row>
    <row r="324">
      <c r="A324" s="3" t="str">
        <f>IFERROR(__xludf.DUMMYFUNCTION("""COMPUTED_VALUE"""),"Standby On Call")</f>
        <v>Standby On Call</v>
      </c>
      <c r="B324" s="3" t="str">
        <f>IFERROR(__xludf.DUMMYFUNCTION("""COMPUTED_VALUE"""),"P3")</f>
        <v>P3</v>
      </c>
      <c r="C324" s="3"/>
      <c r="D324" s="3" t="str">
        <f>IFERROR(__xludf.DUMMYFUNCTION("""COMPUTED_VALUE"""),"Elia Ronaldo")</f>
        <v>Elia Ronaldo</v>
      </c>
      <c r="E324" s="3" t="str">
        <f>IFERROR(__xludf.DUMMYFUNCTION("""COMPUTED_VALUE"""),"TE")</f>
        <v>TE</v>
      </c>
      <c r="F324" s="3" t="str">
        <f>IFERROR(__xludf.DUMMYFUNCTION("""COMPUTED_VALUE"""),"Doni Damara")</f>
        <v>Doni Damara</v>
      </c>
      <c r="G324" s="3" t="str">
        <f>IFERROR(__xludf.DUMMYFUNCTION("""COMPUTED_VALUE"""),"Palangkaraya")</f>
        <v>Palangkaraya</v>
      </c>
      <c r="H324" s="3" t="str">
        <f>IFERROR(__xludf.DUMMYFUNCTION("""COMPUTED_VALUE"""),"Standby")</f>
        <v>Standby</v>
      </c>
      <c r="I324" s="3" t="str">
        <f>IFERROR(__xludf.DUMMYFUNCTION("""COMPUTED_VALUE"""),"Standby On Call")</f>
        <v>Standby On Call</v>
      </c>
      <c r="J324" s="3" t="str">
        <f>IFERROR(__xludf.DUMMYFUNCTION("""COMPUTED_VALUE"""),"Standby")</f>
        <v>Standby</v>
      </c>
      <c r="K324" s="27">
        <f>IFERROR(__xludf.DUMMYFUNCTION("""COMPUTED_VALUE"""),46014.0)</f>
        <v>46014</v>
      </c>
      <c r="L324" s="3"/>
      <c r="M324" s="3" t="str">
        <f>IFERROR(__xludf.DUMMYFUNCTION("""COMPUTED_VALUE"""),"Waiting Update")</f>
        <v>Waiting Update</v>
      </c>
      <c r="N324" s="3"/>
      <c r="O324" s="3" t="str">
        <f>IFERROR(VLOOKUP(C324,Sheet4!A324:F1111,6,0),"")</f>
        <v/>
      </c>
      <c r="Q324" s="2" t="str">
        <f t="shared" si="1"/>
        <v>23</v>
      </c>
    </row>
    <row r="325">
      <c r="A325" s="3" t="str">
        <f>IFERROR(__xludf.DUMMYFUNCTION("""COMPUTED_VALUE"""),"Standby On Call")</f>
        <v>Standby On Call</v>
      </c>
      <c r="B325" s="3" t="str">
        <f>IFERROR(__xludf.DUMMYFUNCTION("""COMPUTED_VALUE"""),"P3")</f>
        <v>P3</v>
      </c>
      <c r="C325" s="3"/>
      <c r="D325" s="3" t="str">
        <f>IFERROR(__xludf.DUMMYFUNCTION("""COMPUTED_VALUE"""),"Agus muliana pamungkas")</f>
        <v>Agus muliana pamungkas</v>
      </c>
      <c r="E325" s="3" t="str">
        <f>IFERROR(__xludf.DUMMYFUNCTION("""COMPUTED_VALUE"""),"MBP")</f>
        <v>MBP</v>
      </c>
      <c r="F325" s="3" t="str">
        <f>IFERROR(__xludf.DUMMYFUNCTION("""COMPUTED_VALUE"""),"Doni Damara")</f>
        <v>Doni Damara</v>
      </c>
      <c r="G325" s="3" t="str">
        <f>IFERROR(__xludf.DUMMYFUNCTION("""COMPUTED_VALUE"""),"Palangkaraya")</f>
        <v>Palangkaraya</v>
      </c>
      <c r="H325" s="3" t="str">
        <f>IFERROR(__xludf.DUMMYFUNCTION("""COMPUTED_VALUE"""),"Standby")</f>
        <v>Standby</v>
      </c>
      <c r="I325" s="3" t="str">
        <f>IFERROR(__xludf.DUMMYFUNCTION("""COMPUTED_VALUE"""),"Standby On Call")</f>
        <v>Standby On Call</v>
      </c>
      <c r="J325" s="3" t="str">
        <f>IFERROR(__xludf.DUMMYFUNCTION("""COMPUTED_VALUE"""),"Standby")</f>
        <v>Standby</v>
      </c>
      <c r="K325" s="27">
        <f>IFERROR(__xludf.DUMMYFUNCTION("""COMPUTED_VALUE"""),46014.0)</f>
        <v>46014</v>
      </c>
      <c r="L325" s="3"/>
      <c r="M325" s="3" t="str">
        <f>IFERROR(__xludf.DUMMYFUNCTION("""COMPUTED_VALUE"""),"Waiting Update")</f>
        <v>Waiting Update</v>
      </c>
      <c r="N325" s="3"/>
      <c r="O325" s="3" t="str">
        <f>IFERROR(VLOOKUP(C325,Sheet4!A325:F1112,6,0),"")</f>
        <v/>
      </c>
      <c r="Q325" s="2" t="str">
        <f t="shared" si="1"/>
        <v>23</v>
      </c>
    </row>
    <row r="326">
      <c r="A326" s="3" t="str">
        <f>IFERROR(__xludf.DUMMYFUNCTION("""COMPUTED_VALUE"""),"Standby On Call")</f>
        <v>Standby On Call</v>
      </c>
      <c r="B326" s="3" t="str">
        <f>IFERROR(__xludf.DUMMYFUNCTION("""COMPUTED_VALUE"""),"P3")</f>
        <v>P3</v>
      </c>
      <c r="C326" s="3"/>
      <c r="D326" s="3" t="str">
        <f>IFERROR(__xludf.DUMMYFUNCTION("""COMPUTED_VALUE"""),"Sairaji")</f>
        <v>Sairaji</v>
      </c>
      <c r="E326" s="3" t="str">
        <f>IFERROR(__xludf.DUMMYFUNCTION("""COMPUTED_VALUE"""),"MBP")</f>
        <v>MBP</v>
      </c>
      <c r="F326" s="3" t="str">
        <f>IFERROR(__xludf.DUMMYFUNCTION("""COMPUTED_VALUE"""),"Doni Damara")</f>
        <v>Doni Damara</v>
      </c>
      <c r="G326" s="3" t="str">
        <f>IFERROR(__xludf.DUMMYFUNCTION("""COMPUTED_VALUE"""),"Palangkaraya")</f>
        <v>Palangkaraya</v>
      </c>
      <c r="H326" s="3" t="str">
        <f>IFERROR(__xludf.DUMMYFUNCTION("""COMPUTED_VALUE"""),"Standby")</f>
        <v>Standby</v>
      </c>
      <c r="I326" s="3" t="str">
        <f>IFERROR(__xludf.DUMMYFUNCTION("""COMPUTED_VALUE"""),"Standby On Call")</f>
        <v>Standby On Call</v>
      </c>
      <c r="J326" s="3" t="str">
        <f>IFERROR(__xludf.DUMMYFUNCTION("""COMPUTED_VALUE"""),"Standby")</f>
        <v>Standby</v>
      </c>
      <c r="K326" s="27">
        <f>IFERROR(__xludf.DUMMYFUNCTION("""COMPUTED_VALUE"""),46014.0)</f>
        <v>46014</v>
      </c>
      <c r="L326" s="3"/>
      <c r="M326" s="3" t="str">
        <f>IFERROR(__xludf.DUMMYFUNCTION("""COMPUTED_VALUE"""),"Waiting Update")</f>
        <v>Waiting Update</v>
      </c>
      <c r="N326" s="3"/>
      <c r="O326" s="3" t="str">
        <f>IFERROR(VLOOKUP(C326,Sheet4!A326:F1113,6,0),"")</f>
        <v/>
      </c>
      <c r="Q326" s="2" t="str">
        <f t="shared" si="1"/>
        <v>23</v>
      </c>
    </row>
    <row r="327">
      <c r="A327" s="3" t="str">
        <f>IFERROR(__xludf.DUMMYFUNCTION("""COMPUTED_VALUE"""),"Standby On Call")</f>
        <v>Standby On Call</v>
      </c>
      <c r="B327" s="3" t="str">
        <f>IFERROR(__xludf.DUMMYFUNCTION("""COMPUTED_VALUE"""),"P3")</f>
        <v>P3</v>
      </c>
      <c r="C327" s="3"/>
      <c r="D327" s="3" t="str">
        <f>IFERROR(__xludf.DUMMYFUNCTION("""COMPUTED_VALUE"""),"Purwanto")</f>
        <v>Purwanto</v>
      </c>
      <c r="E327" s="3" t="str">
        <f>IFERROR(__xludf.DUMMYFUNCTION("""COMPUTED_VALUE"""),"MBP")</f>
        <v>MBP</v>
      </c>
      <c r="F327" s="3" t="str">
        <f>IFERROR(__xludf.DUMMYFUNCTION("""COMPUTED_VALUE"""),"Doni Damara")</f>
        <v>Doni Damara</v>
      </c>
      <c r="G327" s="3" t="str">
        <f>IFERROR(__xludf.DUMMYFUNCTION("""COMPUTED_VALUE"""),"Palangkaraya")</f>
        <v>Palangkaraya</v>
      </c>
      <c r="H327" s="3" t="str">
        <f>IFERROR(__xludf.DUMMYFUNCTION("""COMPUTED_VALUE"""),"Standby")</f>
        <v>Standby</v>
      </c>
      <c r="I327" s="3" t="str">
        <f>IFERROR(__xludf.DUMMYFUNCTION("""COMPUTED_VALUE"""),"Standby On Call")</f>
        <v>Standby On Call</v>
      </c>
      <c r="J327" s="3" t="str">
        <f>IFERROR(__xludf.DUMMYFUNCTION("""COMPUTED_VALUE"""),"Standby")</f>
        <v>Standby</v>
      </c>
      <c r="K327" s="27">
        <f>IFERROR(__xludf.DUMMYFUNCTION("""COMPUTED_VALUE"""),46014.0)</f>
        <v>46014</v>
      </c>
      <c r="L327" s="3"/>
      <c r="M327" s="3" t="str">
        <f>IFERROR(__xludf.DUMMYFUNCTION("""COMPUTED_VALUE"""),"Waiting Update")</f>
        <v>Waiting Update</v>
      </c>
      <c r="N327" s="3"/>
      <c r="O327" s="3" t="str">
        <f>IFERROR(VLOOKUP(C327,Sheet4!A327:F1114,6,0),"")</f>
        <v/>
      </c>
      <c r="Q327" s="2" t="str">
        <f t="shared" si="1"/>
        <v>23</v>
      </c>
    </row>
    <row r="328">
      <c r="A328" s="3" t="str">
        <f>IFERROR(__xludf.DUMMYFUNCTION("""COMPUTED_VALUE"""),"Pengecekan Power")</f>
        <v>Pengecekan Power</v>
      </c>
      <c r="B328" s="3" t="str">
        <f>IFERROR(__xludf.DUMMYFUNCTION("""COMPUTED_VALUE"""),"P1")</f>
        <v>P1</v>
      </c>
      <c r="C328" s="3" t="str">
        <f>IFERROR(__xludf.DUMMYFUNCTION("""COMPUTED_VALUE"""),"BNT007")</f>
        <v>BNT007</v>
      </c>
      <c r="D328" s="3" t="str">
        <f>IFERROR(__xludf.DUMMYFUNCTION("""COMPUTED_VALUE"""),"Putra wardana")</f>
        <v>Putra wardana</v>
      </c>
      <c r="E328" s="3" t="str">
        <f>IFERROR(__xludf.DUMMYFUNCTION("""COMPUTED_VALUE"""),"TE")</f>
        <v>TE</v>
      </c>
      <c r="F328" s="3" t="str">
        <f>IFERROR(__xludf.DUMMYFUNCTION("""COMPUTED_VALUE"""),"Winda Sokenda")</f>
        <v>Winda Sokenda</v>
      </c>
      <c r="G328" s="3" t="str">
        <f>IFERROR(__xludf.DUMMYFUNCTION("""COMPUTED_VALUE"""),"Barito Raya")</f>
        <v>Barito Raya</v>
      </c>
      <c r="H328" s="3" t="str">
        <f>IFERROR(__xludf.DUMMYFUNCTION("""COMPUTED_VALUE"""),"Preventive")</f>
        <v>Preventive</v>
      </c>
      <c r="I328" s="3" t="str">
        <f>IFERROR(__xludf.DUMMYFUNCTION("""COMPUTED_VALUE"""),"MCB trip/Power upnormal")</f>
        <v>MCB trip/Power upnormal</v>
      </c>
      <c r="J328" s="3" t="str">
        <f>IFERROR(__xludf.DUMMYFUNCTION("""COMPUTED_VALUE"""),"On Progress")</f>
        <v>On Progress</v>
      </c>
      <c r="K328" s="27">
        <f>IFERROR(__xludf.DUMMYFUNCTION("""COMPUTED_VALUE"""),46015.0)</f>
        <v>46015</v>
      </c>
      <c r="L328" s="27">
        <f>IFERROR(__xludf.DUMMYFUNCTION("""COMPUTED_VALUE"""),46015.0)</f>
        <v>46015</v>
      </c>
      <c r="M328" s="3" t="str">
        <f>IFERROR(__xludf.DUMMYFUNCTION("""COMPUTED_VALUE"""),"Waiting Update")</f>
        <v>Waiting Update</v>
      </c>
      <c r="N328" s="3" t="str">
        <f>IFERROR(__xludf.DUMMYFUNCTION("""COMPUTED_VALUE"""),"SWACAM KWH PLN")</f>
        <v>SWACAM KWH PLN</v>
      </c>
      <c r="O328" s="3" t="str">
        <f>IFERROR(VLOOKUP(C328,Sheet4!A328:F1115,6,0),"")</f>
        <v/>
      </c>
      <c r="Q328" s="2" t="str">
        <f t="shared" si="1"/>
        <v>24</v>
      </c>
    </row>
    <row r="329">
      <c r="A329" s="3" t="str">
        <f>IFERROR(__xludf.DUMMYFUNCTION("""COMPUTED_VALUE"""),"Pengecekan Power")</f>
        <v>Pengecekan Power</v>
      </c>
      <c r="B329" s="3" t="str">
        <f>IFERROR(__xludf.DUMMYFUNCTION("""COMPUTED_VALUE"""),"P1")</f>
        <v>P1</v>
      </c>
      <c r="C329" s="3" t="str">
        <f>IFERROR(__xludf.DUMMYFUNCTION("""COMPUTED_VALUE"""),"TML029")</f>
        <v>TML029</v>
      </c>
      <c r="D329" s="3" t="str">
        <f>IFERROR(__xludf.DUMMYFUNCTION("""COMPUTED_VALUE"""),"Sailillah")</f>
        <v>Sailillah</v>
      </c>
      <c r="E329" s="3" t="str">
        <f>IFERROR(__xludf.DUMMYFUNCTION("""COMPUTED_VALUE"""),"TE")</f>
        <v>TE</v>
      </c>
      <c r="F329" s="3" t="str">
        <f>IFERROR(__xludf.DUMMYFUNCTION("""COMPUTED_VALUE"""),"Winda Sokenda")</f>
        <v>Winda Sokenda</v>
      </c>
      <c r="G329" s="3" t="str">
        <f>IFERROR(__xludf.DUMMYFUNCTION("""COMPUTED_VALUE"""),"Barito Raya")</f>
        <v>Barito Raya</v>
      </c>
      <c r="H329" s="3" t="str">
        <f>IFERROR(__xludf.DUMMYFUNCTION("""COMPUTED_VALUE"""),"Preventive")</f>
        <v>Preventive</v>
      </c>
      <c r="I329" s="3" t="str">
        <f>IFERROR(__xludf.DUMMYFUNCTION("""COMPUTED_VALUE"""),"MCB trip/Power upnormal")</f>
        <v>MCB trip/Power upnormal</v>
      </c>
      <c r="J329" s="3" t="str">
        <f>IFERROR(__xludf.DUMMYFUNCTION("""COMPUTED_VALUE"""),"On Progress")</f>
        <v>On Progress</v>
      </c>
      <c r="K329" s="27">
        <f>IFERROR(__xludf.DUMMYFUNCTION("""COMPUTED_VALUE"""),46015.0)</f>
        <v>46015</v>
      </c>
      <c r="L329" s="27">
        <f>IFERROR(__xludf.DUMMYFUNCTION("""COMPUTED_VALUE"""),46015.0)</f>
        <v>46015</v>
      </c>
      <c r="M329" s="3" t="str">
        <f>IFERROR(__xludf.DUMMYFUNCTION("""COMPUTED_VALUE"""),"Waiting Update")</f>
        <v>Waiting Update</v>
      </c>
      <c r="N329" s="3" t="str">
        <f>IFERROR(__xludf.DUMMYFUNCTION("""COMPUTED_VALUE"""),"SWACAM KWH PLN")</f>
        <v>SWACAM KWH PLN</v>
      </c>
      <c r="O329" s="3">
        <f>IFERROR(VLOOKUP(C329,Sheet4!A329:F1116,6,0),"")</f>
        <v>11524123</v>
      </c>
      <c r="Q329" s="2" t="str">
        <f t="shared" si="1"/>
        <v>24</v>
      </c>
    </row>
    <row r="330">
      <c r="A330" s="3" t="str">
        <f>IFERROR(__xludf.DUMMYFUNCTION("""COMPUTED_VALUE"""),"Pengecekan Power")</f>
        <v>Pengecekan Power</v>
      </c>
      <c r="B330" s="3" t="str">
        <f>IFERROR(__xludf.DUMMYFUNCTION("""COMPUTED_VALUE"""),"P1")</f>
        <v>P1</v>
      </c>
      <c r="C330" s="3" t="str">
        <f>IFERROR(__xludf.DUMMYFUNCTION("""COMPUTED_VALUE"""),"TML026, BNT160")</f>
        <v>TML026, BNT160</v>
      </c>
      <c r="D330" s="3" t="str">
        <f>IFERROR(__xludf.DUMMYFUNCTION("""COMPUTED_VALUE"""),"Tiviansyah")</f>
        <v>Tiviansyah</v>
      </c>
      <c r="E330" s="3" t="str">
        <f>IFERROR(__xludf.DUMMYFUNCTION("""COMPUTED_VALUE"""),"TE")</f>
        <v>TE</v>
      </c>
      <c r="F330" s="3" t="str">
        <f>IFERROR(__xludf.DUMMYFUNCTION("""COMPUTED_VALUE"""),"Winda Sokenda")</f>
        <v>Winda Sokenda</v>
      </c>
      <c r="G330" s="3" t="str">
        <f>IFERROR(__xludf.DUMMYFUNCTION("""COMPUTED_VALUE"""),"Barito Raya")</f>
        <v>Barito Raya</v>
      </c>
      <c r="H330" s="3" t="str">
        <f>IFERROR(__xludf.DUMMYFUNCTION("""COMPUTED_VALUE"""),"Preventive")</f>
        <v>Preventive</v>
      </c>
      <c r="I330" s="3" t="str">
        <f>IFERROR(__xludf.DUMMYFUNCTION("""COMPUTED_VALUE"""),"MCB trip/Power upnormal")</f>
        <v>MCB trip/Power upnormal</v>
      </c>
      <c r="J330" s="3" t="str">
        <f>IFERROR(__xludf.DUMMYFUNCTION("""COMPUTED_VALUE"""),"On Progress")</f>
        <v>On Progress</v>
      </c>
      <c r="K330" s="27">
        <f>IFERROR(__xludf.DUMMYFUNCTION("""COMPUTED_VALUE"""),46015.0)</f>
        <v>46015</v>
      </c>
      <c r="L330" s="27">
        <f>IFERROR(__xludf.DUMMYFUNCTION("""COMPUTED_VALUE"""),46015.0)</f>
        <v>46015</v>
      </c>
      <c r="M330" s="3" t="str">
        <f>IFERROR(__xludf.DUMMYFUNCTION("""COMPUTED_VALUE"""),"Waiting Update")</f>
        <v>Waiting Update</v>
      </c>
      <c r="N330" s="3" t="str">
        <f>IFERROR(__xludf.DUMMYFUNCTION("""COMPUTED_VALUE"""),"SWACAM KWH PLN")</f>
        <v>SWACAM KWH PLN</v>
      </c>
      <c r="O330" s="3" t="str">
        <f>IFERROR(VLOOKUP(C330,Sheet4!A330:F1117,6,0),"")</f>
        <v/>
      </c>
      <c r="Q330" s="2" t="str">
        <f t="shared" si="1"/>
        <v>24</v>
      </c>
    </row>
    <row r="331">
      <c r="A331" s="3" t="str">
        <f>IFERROR(__xludf.DUMMYFUNCTION("""COMPUTED_VALUE"""),"Pengecekan Power")</f>
        <v>Pengecekan Power</v>
      </c>
      <c r="B331" s="3" t="str">
        <f>IFERROR(__xludf.DUMMYFUNCTION("""COMPUTED_VALUE"""),"P1")</f>
        <v>P1</v>
      </c>
      <c r="C331" s="3" t="str">
        <f>IFERROR(__xludf.DUMMYFUNCTION("""COMPUTED_VALUE"""),"MTW248, MTW067")</f>
        <v>MTW248, MTW067</v>
      </c>
      <c r="D331" s="3" t="str">
        <f>IFERROR(__xludf.DUMMYFUNCTION("""COMPUTED_VALUE"""),"munawir akhmad")</f>
        <v>munawir akhmad</v>
      </c>
      <c r="E331" s="3" t="str">
        <f>IFERROR(__xludf.DUMMYFUNCTION("""COMPUTED_VALUE"""),"TE")</f>
        <v>TE</v>
      </c>
      <c r="F331" s="3" t="str">
        <f>IFERROR(__xludf.DUMMYFUNCTION("""COMPUTED_VALUE"""),"Winda Sokenda")</f>
        <v>Winda Sokenda</v>
      </c>
      <c r="G331" s="3" t="str">
        <f>IFERROR(__xludf.DUMMYFUNCTION("""COMPUTED_VALUE"""),"Barito Raya")</f>
        <v>Barito Raya</v>
      </c>
      <c r="H331" s="3" t="str">
        <f>IFERROR(__xludf.DUMMYFUNCTION("""COMPUTED_VALUE"""),"Preventive")</f>
        <v>Preventive</v>
      </c>
      <c r="I331" s="3" t="str">
        <f>IFERROR(__xludf.DUMMYFUNCTION("""COMPUTED_VALUE"""),"MCB trip/Power upnormal")</f>
        <v>MCB trip/Power upnormal</v>
      </c>
      <c r="J331" s="3" t="str">
        <f>IFERROR(__xludf.DUMMYFUNCTION("""COMPUTED_VALUE"""),"On Progress")</f>
        <v>On Progress</v>
      </c>
      <c r="K331" s="27">
        <f>IFERROR(__xludf.DUMMYFUNCTION("""COMPUTED_VALUE"""),46015.0)</f>
        <v>46015</v>
      </c>
      <c r="L331" s="27">
        <f>IFERROR(__xludf.DUMMYFUNCTION("""COMPUTED_VALUE"""),46015.0)</f>
        <v>46015</v>
      </c>
      <c r="M331" s="3" t="str">
        <f>IFERROR(__xludf.DUMMYFUNCTION("""COMPUTED_VALUE"""),"Waiting Update")</f>
        <v>Waiting Update</v>
      </c>
      <c r="N331" s="3" t="str">
        <f>IFERROR(__xludf.DUMMYFUNCTION("""COMPUTED_VALUE"""),"SWACAM KWH PLN")</f>
        <v>SWACAM KWH PLN</v>
      </c>
      <c r="O331" s="3" t="str">
        <f>IFERROR(VLOOKUP(C331,Sheet4!A331:F1118,6,0),"")</f>
        <v/>
      </c>
      <c r="Q331" s="2" t="str">
        <f t="shared" si="1"/>
        <v>24</v>
      </c>
    </row>
    <row r="332">
      <c r="A332" s="3" t="str">
        <f>IFERROR(__xludf.DUMMYFUNCTION("""COMPUTED_VALUE"""),"Tshoot Genset")</f>
        <v>Tshoot Genset</v>
      </c>
      <c r="B332" s="3" t="str">
        <f>IFERROR(__xludf.DUMMYFUNCTION("""COMPUTED_VALUE"""),"P1")</f>
        <v>P1</v>
      </c>
      <c r="C332" s="3" t="str">
        <f>IFERROR(__xludf.DUMMYFUNCTION("""COMPUTED_VALUE"""),"MTW059")</f>
        <v>MTW059</v>
      </c>
      <c r="D332" s="3" t="str">
        <f>IFERROR(__xludf.DUMMYFUNCTION("""COMPUTED_VALUE"""),"Riki Hidayat")</f>
        <v>Riki Hidayat</v>
      </c>
      <c r="E332" s="3" t="str">
        <f>IFERROR(__xludf.DUMMYFUNCTION("""COMPUTED_VALUE"""),"TE")</f>
        <v>TE</v>
      </c>
      <c r="F332" s="3" t="str">
        <f>IFERROR(__xludf.DUMMYFUNCTION("""COMPUTED_VALUE"""),"Winda Sokenda")</f>
        <v>Winda Sokenda</v>
      </c>
      <c r="G332" s="3" t="str">
        <f>IFERROR(__xludf.DUMMYFUNCTION("""COMPUTED_VALUE"""),"Barito Raya")</f>
        <v>Barito Raya</v>
      </c>
      <c r="H332" s="3" t="str">
        <f>IFERROR(__xludf.DUMMYFUNCTION("""COMPUTED_VALUE"""),"Corrective")</f>
        <v>Corrective</v>
      </c>
      <c r="I332" s="3" t="str">
        <f>IFERROR(__xludf.DUMMYFUNCTION("""COMPUTED_VALUE"""),"Perbaikan Auto,pergantian relay,timer, yang berhubungan genset")</f>
        <v>Perbaikan Auto,pergantian relay,timer, yang berhubungan genset</v>
      </c>
      <c r="J332" s="3" t="str">
        <f>IFERROR(__xludf.DUMMYFUNCTION("""COMPUTED_VALUE"""),"On Progress")</f>
        <v>On Progress</v>
      </c>
      <c r="K332" s="27">
        <f>IFERROR(__xludf.DUMMYFUNCTION("""COMPUTED_VALUE"""),46015.0)</f>
        <v>46015</v>
      </c>
      <c r="L332" s="27">
        <f>IFERROR(__xludf.DUMMYFUNCTION("""COMPUTED_VALUE"""),46015.0)</f>
        <v>46015</v>
      </c>
      <c r="M332" s="3" t="str">
        <f>IFERROR(__xludf.DUMMYFUNCTION("""COMPUTED_VALUE"""),"Done")</f>
        <v>Done</v>
      </c>
      <c r="N332" s="3" t="str">
        <f>IFERROR(__xludf.DUMMYFUNCTION("""COMPUTED_VALUE"""),"POWER PLN TIDAK STABIL, ATS NYANGKUT")</f>
        <v>POWER PLN TIDAK STABIL, ATS NYANGKUT</v>
      </c>
      <c r="O332" s="3">
        <f>IFERROR(VLOOKUP(C332,Sheet4!A332:F1119,6,0),"")</f>
        <v>1149522</v>
      </c>
      <c r="Q332" s="2" t="str">
        <f t="shared" si="1"/>
        <v>24</v>
      </c>
    </row>
    <row r="333">
      <c r="A333" s="3" t="str">
        <f>IFERROR(__xludf.DUMMYFUNCTION("""COMPUTED_VALUE"""),"Pengecekan Power")</f>
        <v>Pengecekan Power</v>
      </c>
      <c r="B333" s="3" t="str">
        <f>IFERROR(__xludf.DUMMYFUNCTION("""COMPUTED_VALUE"""),"P1")</f>
        <v>P1</v>
      </c>
      <c r="C333" s="3" t="str">
        <f>IFERROR(__xludf.DUMMYFUNCTION("""COMPUTED_VALUE"""),"PRC002")</f>
        <v>PRC002</v>
      </c>
      <c r="D333" s="3" t="str">
        <f>IFERROR(__xludf.DUMMYFUNCTION("""COMPUTED_VALUE"""),"Murjani")</f>
        <v>Murjani</v>
      </c>
      <c r="E333" s="3" t="str">
        <f>IFERROR(__xludf.DUMMYFUNCTION("""COMPUTED_VALUE"""),"TE")</f>
        <v>TE</v>
      </c>
      <c r="F333" s="3" t="str">
        <f>IFERROR(__xludf.DUMMYFUNCTION("""COMPUTED_VALUE"""),"Winda Sokenda")</f>
        <v>Winda Sokenda</v>
      </c>
      <c r="G333" s="3" t="str">
        <f>IFERROR(__xludf.DUMMYFUNCTION("""COMPUTED_VALUE"""),"Barito Raya")</f>
        <v>Barito Raya</v>
      </c>
      <c r="H333" s="3" t="str">
        <f>IFERROR(__xludf.DUMMYFUNCTION("""COMPUTED_VALUE"""),"Preventive")</f>
        <v>Preventive</v>
      </c>
      <c r="I333" s="3" t="str">
        <f>IFERROR(__xludf.DUMMYFUNCTION("""COMPUTED_VALUE"""),"MCB trip/Power upnormal")</f>
        <v>MCB trip/Power upnormal</v>
      </c>
      <c r="J333" s="3" t="str">
        <f>IFERROR(__xludf.DUMMYFUNCTION("""COMPUTED_VALUE"""),"On Progress")</f>
        <v>On Progress</v>
      </c>
      <c r="K333" s="27">
        <f>IFERROR(__xludf.DUMMYFUNCTION("""COMPUTED_VALUE"""),46015.0)</f>
        <v>46015</v>
      </c>
      <c r="L333" s="27">
        <f>IFERROR(__xludf.DUMMYFUNCTION("""COMPUTED_VALUE"""),46015.0)</f>
        <v>46015</v>
      </c>
      <c r="M333" s="3" t="str">
        <f>IFERROR(__xludf.DUMMYFUNCTION("""COMPUTED_VALUE"""),"Waiting Update")</f>
        <v>Waiting Update</v>
      </c>
      <c r="N333" s="3" t="str">
        <f>IFERROR(__xludf.DUMMYFUNCTION("""COMPUTED_VALUE"""),"SWACAM KWH PLN")</f>
        <v>SWACAM KWH PLN</v>
      </c>
      <c r="O333" s="3">
        <f>IFERROR(VLOOKUP(C333,Sheet4!A333:F1120,6,0),"")</f>
        <v>11473469</v>
      </c>
      <c r="Q333" s="2" t="str">
        <f t="shared" si="1"/>
        <v>24</v>
      </c>
    </row>
    <row r="334">
      <c r="A334" s="3" t="str">
        <f>IFERROR(__xludf.DUMMYFUNCTION("""COMPUTED_VALUE"""),"Pengecekan Power")</f>
        <v>Pengecekan Power</v>
      </c>
      <c r="B334" s="3" t="str">
        <f>IFERROR(__xludf.DUMMYFUNCTION("""COMPUTED_VALUE"""),"P1")</f>
        <v>P1</v>
      </c>
      <c r="C334" s="3" t="str">
        <f>IFERROR(__xludf.DUMMYFUNCTION("""COMPUTED_VALUE"""),"KKP218")</f>
        <v>KKP218</v>
      </c>
      <c r="D334" s="3" t="str">
        <f>IFERROR(__xludf.DUMMYFUNCTION("""COMPUTED_VALUE"""),"Armadi")</f>
        <v>Armadi</v>
      </c>
      <c r="E334" s="3" t="str">
        <f>IFERROR(__xludf.DUMMYFUNCTION("""COMPUTED_VALUE"""),"TE")</f>
        <v>TE</v>
      </c>
      <c r="F334" s="3" t="str">
        <f>IFERROR(__xludf.DUMMYFUNCTION("""COMPUTED_VALUE"""),"Winda Sokenda")</f>
        <v>Winda Sokenda</v>
      </c>
      <c r="G334" s="3" t="str">
        <f>IFERROR(__xludf.DUMMYFUNCTION("""COMPUTED_VALUE"""),"Barito Raya")</f>
        <v>Barito Raya</v>
      </c>
      <c r="H334" s="3" t="str">
        <f>IFERROR(__xludf.DUMMYFUNCTION("""COMPUTED_VALUE"""),"Preventive")</f>
        <v>Preventive</v>
      </c>
      <c r="I334" s="3" t="str">
        <f>IFERROR(__xludf.DUMMYFUNCTION("""COMPUTED_VALUE"""),"MCB trip/Power upnormal")</f>
        <v>MCB trip/Power upnormal</v>
      </c>
      <c r="J334" s="3" t="str">
        <f>IFERROR(__xludf.DUMMYFUNCTION("""COMPUTED_VALUE"""),"On Progress")</f>
        <v>On Progress</v>
      </c>
      <c r="K334" s="27">
        <f>IFERROR(__xludf.DUMMYFUNCTION("""COMPUTED_VALUE"""),46015.0)</f>
        <v>46015</v>
      </c>
      <c r="L334" s="27">
        <f>IFERROR(__xludf.DUMMYFUNCTION("""COMPUTED_VALUE"""),46015.0)</f>
        <v>46015</v>
      </c>
      <c r="M334" s="3" t="str">
        <f>IFERROR(__xludf.DUMMYFUNCTION("""COMPUTED_VALUE"""),"Waiting Update")</f>
        <v>Waiting Update</v>
      </c>
      <c r="N334" s="3" t="str">
        <f>IFERROR(__xludf.DUMMYFUNCTION("""COMPUTED_VALUE"""),"SWACAM KWH PLN")</f>
        <v>SWACAM KWH PLN</v>
      </c>
      <c r="O334" s="3" t="str">
        <f>IFERROR(VLOOKUP(C334,Sheet4!A334:F1121,6,0),"")</f>
        <v/>
      </c>
      <c r="Q334" s="2" t="str">
        <f t="shared" si="1"/>
        <v>24</v>
      </c>
    </row>
    <row r="335">
      <c r="A335" s="3" t="str">
        <f>IFERROR(__xludf.DUMMYFUNCTION("""COMPUTED_VALUE"""),"Pengecekan Power")</f>
        <v>Pengecekan Power</v>
      </c>
      <c r="B335" s="3" t="str">
        <f>IFERROR(__xludf.DUMMYFUNCTION("""COMPUTED_VALUE"""),"P1")</f>
        <v>P1</v>
      </c>
      <c r="C335" s="3" t="str">
        <f>IFERROR(__xludf.DUMMYFUNCTION("""COMPUTED_VALUE"""),"KKP045")</f>
        <v>KKP045</v>
      </c>
      <c r="D335" s="3" t="str">
        <f>IFERROR(__xludf.DUMMYFUNCTION("""COMPUTED_VALUE"""),"Reynaldy Ricardo Putra")</f>
        <v>Reynaldy Ricardo Putra</v>
      </c>
      <c r="E335" s="3" t="str">
        <f>IFERROR(__xludf.DUMMYFUNCTION("""COMPUTED_VALUE"""),"TE")</f>
        <v>TE</v>
      </c>
      <c r="F335" s="3" t="str">
        <f>IFERROR(__xludf.DUMMYFUNCTION("""COMPUTED_VALUE"""),"Winda Sokenda")</f>
        <v>Winda Sokenda</v>
      </c>
      <c r="G335" s="3" t="str">
        <f>IFERROR(__xludf.DUMMYFUNCTION("""COMPUTED_VALUE"""),"Barito Raya")</f>
        <v>Barito Raya</v>
      </c>
      <c r="H335" s="3" t="str">
        <f>IFERROR(__xludf.DUMMYFUNCTION("""COMPUTED_VALUE"""),"Preventive")</f>
        <v>Preventive</v>
      </c>
      <c r="I335" s="3" t="str">
        <f>IFERROR(__xludf.DUMMYFUNCTION("""COMPUTED_VALUE"""),"MCB trip/Power upnormal")</f>
        <v>MCB trip/Power upnormal</v>
      </c>
      <c r="J335" s="3" t="str">
        <f>IFERROR(__xludf.DUMMYFUNCTION("""COMPUTED_VALUE"""),"On Progress")</f>
        <v>On Progress</v>
      </c>
      <c r="K335" s="27">
        <f>IFERROR(__xludf.DUMMYFUNCTION("""COMPUTED_VALUE"""),46015.0)</f>
        <v>46015</v>
      </c>
      <c r="L335" s="27">
        <f>IFERROR(__xludf.DUMMYFUNCTION("""COMPUTED_VALUE"""),46015.0)</f>
        <v>46015</v>
      </c>
      <c r="M335" s="3" t="str">
        <f>IFERROR(__xludf.DUMMYFUNCTION("""COMPUTED_VALUE"""),"Waiting Update")</f>
        <v>Waiting Update</v>
      </c>
      <c r="N335" s="3" t="str">
        <f>IFERROR(__xludf.DUMMYFUNCTION("""COMPUTED_VALUE"""),"SWACAM KWH PLN")</f>
        <v>SWACAM KWH PLN</v>
      </c>
      <c r="O335" s="3" t="str">
        <f>IFERROR(VLOOKUP(C335,Sheet4!A335:F1122,6,0),"")</f>
        <v/>
      </c>
      <c r="Q335" s="2" t="str">
        <f t="shared" si="1"/>
        <v>24</v>
      </c>
    </row>
    <row r="336">
      <c r="A336" s="3" t="str">
        <f>IFERROR(__xludf.DUMMYFUNCTION("""COMPUTED_VALUE"""),"Pengecekan Power")</f>
        <v>Pengecekan Power</v>
      </c>
      <c r="B336" s="3" t="str">
        <f>IFERROR(__xludf.DUMMYFUNCTION("""COMPUTED_VALUE"""),"P1")</f>
        <v>P1</v>
      </c>
      <c r="C336" s="3" t="str">
        <f>IFERROR(__xludf.DUMMYFUNCTION("""COMPUTED_VALUE"""),"KKP064, KKP125")</f>
        <v>KKP064, KKP125</v>
      </c>
      <c r="D336" s="3" t="str">
        <f>IFERROR(__xludf.DUMMYFUNCTION("""COMPUTED_VALUE"""),"Sahrul Saputra")</f>
        <v>Sahrul Saputra</v>
      </c>
      <c r="E336" s="3" t="str">
        <f>IFERROR(__xludf.DUMMYFUNCTION("""COMPUTED_VALUE"""),"TE")</f>
        <v>TE</v>
      </c>
      <c r="F336" s="3" t="str">
        <f>IFERROR(__xludf.DUMMYFUNCTION("""COMPUTED_VALUE"""),"Winda Sokenda")</f>
        <v>Winda Sokenda</v>
      </c>
      <c r="G336" s="3" t="str">
        <f>IFERROR(__xludf.DUMMYFUNCTION("""COMPUTED_VALUE"""),"Barito Raya")</f>
        <v>Barito Raya</v>
      </c>
      <c r="H336" s="3" t="str">
        <f>IFERROR(__xludf.DUMMYFUNCTION("""COMPUTED_VALUE"""),"Preventive")</f>
        <v>Preventive</v>
      </c>
      <c r="I336" s="3" t="str">
        <f>IFERROR(__xludf.DUMMYFUNCTION("""COMPUTED_VALUE"""),"MCB trip/Power upnormal")</f>
        <v>MCB trip/Power upnormal</v>
      </c>
      <c r="J336" s="3" t="str">
        <f>IFERROR(__xludf.DUMMYFUNCTION("""COMPUTED_VALUE"""),"On Progress")</f>
        <v>On Progress</v>
      </c>
      <c r="K336" s="27">
        <f>IFERROR(__xludf.DUMMYFUNCTION("""COMPUTED_VALUE"""),46015.0)</f>
        <v>46015</v>
      </c>
      <c r="L336" s="27">
        <f>IFERROR(__xludf.DUMMYFUNCTION("""COMPUTED_VALUE"""),46015.0)</f>
        <v>46015</v>
      </c>
      <c r="M336" s="3" t="str">
        <f>IFERROR(__xludf.DUMMYFUNCTION("""COMPUTED_VALUE"""),"Waiting Update")</f>
        <v>Waiting Update</v>
      </c>
      <c r="N336" s="3" t="str">
        <f>IFERROR(__xludf.DUMMYFUNCTION("""COMPUTED_VALUE"""),"SWACAM KWH PLN")</f>
        <v>SWACAM KWH PLN</v>
      </c>
      <c r="O336" s="3" t="str">
        <f>IFERROR(VLOOKUP(C336,Sheet4!A336:F1123,6,0),"")</f>
        <v/>
      </c>
      <c r="Q336" s="2" t="str">
        <f t="shared" si="1"/>
        <v>24</v>
      </c>
    </row>
    <row r="337">
      <c r="A337" s="3" t="str">
        <f>IFERROR(__xludf.DUMMYFUNCTION("""COMPUTED_VALUE"""),"Standby On Call")</f>
        <v>Standby On Call</v>
      </c>
      <c r="B337" s="3" t="str">
        <f>IFERROR(__xludf.DUMMYFUNCTION("""COMPUTED_VALUE"""),"P3")</f>
        <v>P3</v>
      </c>
      <c r="C337" s="3"/>
      <c r="D337" s="3" t="str">
        <f>IFERROR(__xludf.DUMMYFUNCTION("""COMPUTED_VALUE"""),"Nurhayat")</f>
        <v>Nurhayat</v>
      </c>
      <c r="E337" s="3" t="str">
        <f>IFERROR(__xludf.DUMMYFUNCTION("""COMPUTED_VALUE"""),"MBP")</f>
        <v>MBP</v>
      </c>
      <c r="F337" s="3" t="str">
        <f>IFERROR(__xludf.DUMMYFUNCTION("""COMPUTED_VALUE"""),"Winda Sokenda")</f>
        <v>Winda Sokenda</v>
      </c>
      <c r="G337" s="3" t="str">
        <f>IFERROR(__xludf.DUMMYFUNCTION("""COMPUTED_VALUE"""),"Barito Raya")</f>
        <v>Barito Raya</v>
      </c>
      <c r="H337" s="3" t="str">
        <f>IFERROR(__xludf.DUMMYFUNCTION("""COMPUTED_VALUE"""),"Standby")</f>
        <v>Standby</v>
      </c>
      <c r="I337" s="3" t="str">
        <f>IFERROR(__xludf.DUMMYFUNCTION("""COMPUTED_VALUE"""),"Standby On Call")</f>
        <v>Standby On Call</v>
      </c>
      <c r="J337" s="3" t="str">
        <f>IFERROR(__xludf.DUMMYFUNCTION("""COMPUTED_VALUE"""),"Standby")</f>
        <v>Standby</v>
      </c>
      <c r="K337" s="27">
        <f>IFERROR(__xludf.DUMMYFUNCTION("""COMPUTED_VALUE"""),46015.0)</f>
        <v>46015</v>
      </c>
      <c r="L337" s="27">
        <f>IFERROR(__xludf.DUMMYFUNCTION("""COMPUTED_VALUE"""),46015.0)</f>
        <v>46015</v>
      </c>
      <c r="M337" s="3" t="str">
        <f>IFERROR(__xludf.DUMMYFUNCTION("""COMPUTED_VALUE"""),"Waiting Update")</f>
        <v>Waiting Update</v>
      </c>
      <c r="N337" s="3"/>
      <c r="O337" s="3" t="str">
        <f>IFERROR(VLOOKUP(C337,Sheet4!A337:F1124,6,0),"")</f>
        <v/>
      </c>
      <c r="Q337" s="2" t="str">
        <f t="shared" si="1"/>
        <v>24</v>
      </c>
    </row>
    <row r="338">
      <c r="A338" s="3" t="str">
        <f>IFERROR(__xludf.DUMMYFUNCTION("""COMPUTED_VALUE"""),"Pengecekan Power")</f>
        <v>Pengecekan Power</v>
      </c>
      <c r="B338" s="3" t="str">
        <f>IFERROR(__xludf.DUMMYFUNCTION("""COMPUTED_VALUE"""),"P1")</f>
        <v>P1</v>
      </c>
      <c r="C338" s="3" t="str">
        <f>IFERROR(__xludf.DUMMYFUNCTION("""COMPUTED_VALUE"""),"TML038, TML035")</f>
        <v>TML038, TML035</v>
      </c>
      <c r="D338" s="3" t="str">
        <f>IFERROR(__xludf.DUMMYFUNCTION("""COMPUTED_VALUE"""),"Harun Nurasyid")</f>
        <v>Harun Nurasyid</v>
      </c>
      <c r="E338" s="3" t="str">
        <f>IFERROR(__xludf.DUMMYFUNCTION("""COMPUTED_VALUE"""),"CME")</f>
        <v>CME</v>
      </c>
      <c r="F338" s="3" t="str">
        <f>IFERROR(__xludf.DUMMYFUNCTION("""COMPUTED_VALUE"""),"Winda Sokenda")</f>
        <v>Winda Sokenda</v>
      </c>
      <c r="G338" s="3" t="str">
        <f>IFERROR(__xludf.DUMMYFUNCTION("""COMPUTED_VALUE"""),"Barito Raya")</f>
        <v>Barito Raya</v>
      </c>
      <c r="H338" s="3" t="str">
        <f>IFERROR(__xludf.DUMMYFUNCTION("""COMPUTED_VALUE"""),"Preventive")</f>
        <v>Preventive</v>
      </c>
      <c r="I338" s="3" t="str">
        <f>IFERROR(__xludf.DUMMYFUNCTION("""COMPUTED_VALUE"""),"MCB trip/Power upnormal")</f>
        <v>MCB trip/Power upnormal</v>
      </c>
      <c r="J338" s="3" t="str">
        <f>IFERROR(__xludf.DUMMYFUNCTION("""COMPUTED_VALUE"""),"On Progress")</f>
        <v>On Progress</v>
      </c>
      <c r="K338" s="27">
        <f>IFERROR(__xludf.DUMMYFUNCTION("""COMPUTED_VALUE"""),46015.0)</f>
        <v>46015</v>
      </c>
      <c r="L338" s="27">
        <f>IFERROR(__xludf.DUMMYFUNCTION("""COMPUTED_VALUE"""),46015.0)</f>
        <v>46015</v>
      </c>
      <c r="M338" s="3" t="str">
        <f>IFERROR(__xludf.DUMMYFUNCTION("""COMPUTED_VALUE"""),"Waiting Update")</f>
        <v>Waiting Update</v>
      </c>
      <c r="N338" s="3" t="str">
        <f>IFERROR(__xludf.DUMMYFUNCTION("""COMPUTED_VALUE"""),"SWACAM KWH PLN")</f>
        <v>SWACAM KWH PLN</v>
      </c>
      <c r="O338" s="3" t="str">
        <f>IFERROR(VLOOKUP(C338,Sheet4!A338:F1125,6,0),"")</f>
        <v/>
      </c>
      <c r="Q338" s="2" t="str">
        <f t="shared" si="1"/>
        <v>24</v>
      </c>
    </row>
    <row r="339">
      <c r="A339" s="3" t="str">
        <f>IFERROR(__xludf.DUMMYFUNCTION("""COMPUTED_VALUE"""),"Tshoot Genset")</f>
        <v>Tshoot Genset</v>
      </c>
      <c r="B339" s="3" t="str">
        <f>IFERROR(__xludf.DUMMYFUNCTION("""COMPUTED_VALUE"""),"P1")</f>
        <v>P1</v>
      </c>
      <c r="C339" s="3" t="str">
        <f>IFERROR(__xludf.DUMMYFUNCTION("""COMPUTED_VALUE"""),"MTW059")</f>
        <v>MTW059</v>
      </c>
      <c r="D339" s="3" t="str">
        <f>IFERROR(__xludf.DUMMYFUNCTION("""COMPUTED_VALUE"""),"Taklim")</f>
        <v>Taklim</v>
      </c>
      <c r="E339" s="3" t="str">
        <f>IFERROR(__xludf.DUMMYFUNCTION("""COMPUTED_VALUE"""),"MBP")</f>
        <v>MBP</v>
      </c>
      <c r="F339" s="3" t="str">
        <f>IFERROR(__xludf.DUMMYFUNCTION("""COMPUTED_VALUE"""),"Winda Sokenda")</f>
        <v>Winda Sokenda</v>
      </c>
      <c r="G339" s="3" t="str">
        <f>IFERROR(__xludf.DUMMYFUNCTION("""COMPUTED_VALUE"""),"Barito Raya")</f>
        <v>Barito Raya</v>
      </c>
      <c r="H339" s="3" t="str">
        <f>IFERROR(__xludf.DUMMYFUNCTION("""COMPUTED_VALUE"""),"Corrective")</f>
        <v>Corrective</v>
      </c>
      <c r="I339" s="3" t="str">
        <f>IFERROR(__xludf.DUMMYFUNCTION("""COMPUTED_VALUE"""),"Perbaikan Auto,pergantian relay,timer, yang berhubungan genset")</f>
        <v>Perbaikan Auto,pergantian relay,timer, yang berhubungan genset</v>
      </c>
      <c r="J339" s="3" t="str">
        <f>IFERROR(__xludf.DUMMYFUNCTION("""COMPUTED_VALUE"""),"On Progress")</f>
        <v>On Progress</v>
      </c>
      <c r="K339" s="27">
        <f>IFERROR(__xludf.DUMMYFUNCTION("""COMPUTED_VALUE"""),46015.0)</f>
        <v>46015</v>
      </c>
      <c r="L339" s="27">
        <f>IFERROR(__xludf.DUMMYFUNCTION("""COMPUTED_VALUE"""),46015.0)</f>
        <v>46015</v>
      </c>
      <c r="M339" s="3" t="str">
        <f>IFERROR(__xludf.DUMMYFUNCTION("""COMPUTED_VALUE"""),"Done")</f>
        <v>Done</v>
      </c>
      <c r="N339" s="3" t="str">
        <f>IFERROR(__xludf.DUMMYFUNCTION("""COMPUTED_VALUE"""),"POWER PLN TIDAK STABIL, ATS NYANGKUT")</f>
        <v>POWER PLN TIDAK STABIL, ATS NYANGKUT</v>
      </c>
      <c r="O339" s="3">
        <f>IFERROR(VLOOKUP(C339,Sheet4!A339:F1126,6,0),"")</f>
        <v>1149522</v>
      </c>
      <c r="Q339" s="2" t="str">
        <f t="shared" si="1"/>
        <v>24</v>
      </c>
    </row>
    <row r="340">
      <c r="A340" s="3" t="str">
        <f>IFERROR(__xludf.DUMMYFUNCTION("""COMPUTED_VALUE"""),"Standby On Call")</f>
        <v>Standby On Call</v>
      </c>
      <c r="B340" s="3" t="str">
        <f>IFERROR(__xludf.DUMMYFUNCTION("""COMPUTED_VALUE"""),"P3")</f>
        <v>P3</v>
      </c>
      <c r="C340" s="3"/>
      <c r="D340" s="3" t="str">
        <f>IFERROR(__xludf.DUMMYFUNCTION("""COMPUTED_VALUE"""),"Rio ardinata")</f>
        <v>Rio ardinata</v>
      </c>
      <c r="E340" s="3" t="str">
        <f>IFERROR(__xludf.DUMMYFUNCTION("""COMPUTED_VALUE"""),"MBP")</f>
        <v>MBP</v>
      </c>
      <c r="F340" s="3" t="str">
        <f>IFERROR(__xludf.DUMMYFUNCTION("""COMPUTED_VALUE"""),"Winda Sokenda")</f>
        <v>Winda Sokenda</v>
      </c>
      <c r="G340" s="3" t="str">
        <f>IFERROR(__xludf.DUMMYFUNCTION("""COMPUTED_VALUE"""),"Barito Raya")</f>
        <v>Barito Raya</v>
      </c>
      <c r="H340" s="3" t="str">
        <f>IFERROR(__xludf.DUMMYFUNCTION("""COMPUTED_VALUE"""),"Standby")</f>
        <v>Standby</v>
      </c>
      <c r="I340" s="3" t="str">
        <f>IFERROR(__xludf.DUMMYFUNCTION("""COMPUTED_VALUE"""),"Standby On Call")</f>
        <v>Standby On Call</v>
      </c>
      <c r="J340" s="3" t="str">
        <f>IFERROR(__xludf.DUMMYFUNCTION("""COMPUTED_VALUE"""),"Standby")</f>
        <v>Standby</v>
      </c>
      <c r="K340" s="27">
        <f>IFERROR(__xludf.DUMMYFUNCTION("""COMPUTED_VALUE"""),46015.0)</f>
        <v>46015</v>
      </c>
      <c r="L340" s="27">
        <f>IFERROR(__xludf.DUMMYFUNCTION("""COMPUTED_VALUE"""),46015.0)</f>
        <v>46015</v>
      </c>
      <c r="M340" s="3"/>
      <c r="N340" s="3"/>
      <c r="O340" s="3" t="str">
        <f>IFERROR(VLOOKUP(C340,Sheet4!A340:F1127,6,0),"")</f>
        <v/>
      </c>
      <c r="Q340" s="2" t="str">
        <f t="shared" si="1"/>
        <v>24</v>
      </c>
    </row>
    <row r="341">
      <c r="A341" s="3" t="str">
        <f>IFERROR(__xludf.DUMMYFUNCTION("""COMPUTED_VALUE"""),"Standby On Call")</f>
        <v>Standby On Call</v>
      </c>
      <c r="B341" s="3" t="str">
        <f>IFERROR(__xludf.DUMMYFUNCTION("""COMPUTED_VALUE"""),"P3")</f>
        <v>P3</v>
      </c>
      <c r="C341" s="3"/>
      <c r="D341" s="3" t="str">
        <f>IFERROR(__xludf.DUMMYFUNCTION("""COMPUTED_VALUE"""),"Ahmad Muzakir")</f>
        <v>Ahmad Muzakir</v>
      </c>
      <c r="E341" s="3" t="str">
        <f>IFERROR(__xludf.DUMMYFUNCTION("""COMPUTED_VALUE"""),"MBP")</f>
        <v>MBP</v>
      </c>
      <c r="F341" s="3" t="str">
        <f>IFERROR(__xludf.DUMMYFUNCTION("""COMPUTED_VALUE"""),"Winda Sokenda")</f>
        <v>Winda Sokenda</v>
      </c>
      <c r="G341" s="3" t="str">
        <f>IFERROR(__xludf.DUMMYFUNCTION("""COMPUTED_VALUE"""),"Barito Raya")</f>
        <v>Barito Raya</v>
      </c>
      <c r="H341" s="3" t="str">
        <f>IFERROR(__xludf.DUMMYFUNCTION("""COMPUTED_VALUE"""),"Standby")</f>
        <v>Standby</v>
      </c>
      <c r="I341" s="3" t="str">
        <f>IFERROR(__xludf.DUMMYFUNCTION("""COMPUTED_VALUE"""),"Standby On Call")</f>
        <v>Standby On Call</v>
      </c>
      <c r="J341" s="3" t="str">
        <f>IFERROR(__xludf.DUMMYFUNCTION("""COMPUTED_VALUE"""),"Standby")</f>
        <v>Standby</v>
      </c>
      <c r="K341" s="27">
        <f>IFERROR(__xludf.DUMMYFUNCTION("""COMPUTED_VALUE"""),46015.0)</f>
        <v>46015</v>
      </c>
      <c r="L341" s="27">
        <f>IFERROR(__xludf.DUMMYFUNCTION("""COMPUTED_VALUE"""),46015.0)</f>
        <v>46015</v>
      </c>
      <c r="M341" s="3"/>
      <c r="N341" s="3"/>
      <c r="O341" s="3" t="str">
        <f>IFERROR(VLOOKUP(C341,Sheet4!A341:F1128,6,0),"")</f>
        <v/>
      </c>
      <c r="Q341" s="2" t="str">
        <f t="shared" si="1"/>
        <v>24</v>
      </c>
    </row>
    <row r="342">
      <c r="A342" s="3" t="str">
        <f>IFERROR(__xludf.DUMMYFUNCTION("""COMPUTED_VALUE"""),"Pengecekan Power")</f>
        <v>Pengecekan Power</v>
      </c>
      <c r="B342" s="3" t="str">
        <f>IFERROR(__xludf.DUMMYFUNCTION("""COMPUTED_VALUE"""),"P1")</f>
        <v>P1</v>
      </c>
      <c r="C342" s="3" t="str">
        <f>IFERROR(__xludf.DUMMYFUNCTION("""COMPUTED_VALUE"""),"KKP312")</f>
        <v>KKP312</v>
      </c>
      <c r="D342" s="3" t="str">
        <f>IFERROR(__xludf.DUMMYFUNCTION("""COMPUTED_VALUE"""),"Alfi Syahri")</f>
        <v>Alfi Syahri</v>
      </c>
      <c r="E342" s="3" t="str">
        <f>IFERROR(__xludf.DUMMYFUNCTION("""COMPUTED_VALUE"""),"CME")</f>
        <v>CME</v>
      </c>
      <c r="F342" s="3" t="str">
        <f>IFERROR(__xludf.DUMMYFUNCTION("""COMPUTED_VALUE"""),"Winda Sokenda")</f>
        <v>Winda Sokenda</v>
      </c>
      <c r="G342" s="3" t="str">
        <f>IFERROR(__xludf.DUMMYFUNCTION("""COMPUTED_VALUE"""),"Barito Raya")</f>
        <v>Barito Raya</v>
      </c>
      <c r="H342" s="3" t="str">
        <f>IFERROR(__xludf.DUMMYFUNCTION("""COMPUTED_VALUE"""),"Preventive")</f>
        <v>Preventive</v>
      </c>
      <c r="I342" s="3" t="str">
        <f>IFERROR(__xludf.DUMMYFUNCTION("""COMPUTED_VALUE"""),"MCB trip/Power upnormal")</f>
        <v>MCB trip/Power upnormal</v>
      </c>
      <c r="J342" s="3" t="str">
        <f>IFERROR(__xludf.DUMMYFUNCTION("""COMPUTED_VALUE"""),"On Progress")</f>
        <v>On Progress</v>
      </c>
      <c r="K342" s="27">
        <f>IFERROR(__xludf.DUMMYFUNCTION("""COMPUTED_VALUE"""),46015.0)</f>
        <v>46015</v>
      </c>
      <c r="L342" s="27">
        <f>IFERROR(__xludf.DUMMYFUNCTION("""COMPUTED_VALUE"""),46015.0)</f>
        <v>46015</v>
      </c>
      <c r="M342" s="3" t="str">
        <f>IFERROR(__xludf.DUMMYFUNCTION("""COMPUTED_VALUE"""),"Waiting Update")</f>
        <v>Waiting Update</v>
      </c>
      <c r="N342" s="3" t="str">
        <f>IFERROR(__xludf.DUMMYFUNCTION("""COMPUTED_VALUE"""),"SWACAM KWH PLN")</f>
        <v>SWACAM KWH PLN</v>
      </c>
      <c r="O342" s="3">
        <f>IFERROR(VLOOKUP(C342,Sheet4!A342:F1129,6,0),"")</f>
        <v>11428453</v>
      </c>
      <c r="Q342" s="2" t="str">
        <f t="shared" si="1"/>
        <v>24</v>
      </c>
    </row>
    <row r="343">
      <c r="A343" s="3" t="str">
        <f>IFERROR(__xludf.DUMMYFUNCTION("""COMPUTED_VALUE"""),"Standby On Call")</f>
        <v>Standby On Call</v>
      </c>
      <c r="B343" s="3" t="str">
        <f>IFERROR(__xludf.DUMMYFUNCTION("""COMPUTED_VALUE"""),"P3")</f>
        <v>P3</v>
      </c>
      <c r="C343" s="3"/>
      <c r="D343" s="3" t="str">
        <f>IFERROR(__xludf.DUMMYFUNCTION("""COMPUTED_VALUE"""),"Pujianto")</f>
        <v>Pujianto</v>
      </c>
      <c r="E343" s="3" t="str">
        <f>IFERROR(__xludf.DUMMYFUNCTION("""COMPUTED_VALUE"""),"MBP")</f>
        <v>MBP</v>
      </c>
      <c r="F343" s="3" t="str">
        <f>IFERROR(__xludf.DUMMYFUNCTION("""COMPUTED_VALUE"""),"Winda Sokenda")</f>
        <v>Winda Sokenda</v>
      </c>
      <c r="G343" s="3" t="str">
        <f>IFERROR(__xludf.DUMMYFUNCTION("""COMPUTED_VALUE"""),"Barito Raya")</f>
        <v>Barito Raya</v>
      </c>
      <c r="H343" s="3" t="str">
        <f>IFERROR(__xludf.DUMMYFUNCTION("""COMPUTED_VALUE"""),"Standby")</f>
        <v>Standby</v>
      </c>
      <c r="I343" s="3" t="str">
        <f>IFERROR(__xludf.DUMMYFUNCTION("""COMPUTED_VALUE"""),"Standby On Call")</f>
        <v>Standby On Call</v>
      </c>
      <c r="J343" s="3" t="str">
        <f>IFERROR(__xludf.DUMMYFUNCTION("""COMPUTED_VALUE"""),"Standby")</f>
        <v>Standby</v>
      </c>
      <c r="K343" s="27">
        <f>IFERROR(__xludf.DUMMYFUNCTION("""COMPUTED_VALUE"""),46015.0)</f>
        <v>46015</v>
      </c>
      <c r="L343" s="27">
        <f>IFERROR(__xludf.DUMMYFUNCTION("""COMPUTED_VALUE"""),46015.0)</f>
        <v>46015</v>
      </c>
      <c r="M343" s="3"/>
      <c r="N343" s="3"/>
      <c r="O343" s="3" t="str">
        <f>IFERROR(VLOOKUP(C343,Sheet4!A343:F1130,6,0),"")</f>
        <v/>
      </c>
      <c r="Q343" s="2" t="str">
        <f t="shared" si="1"/>
        <v>24</v>
      </c>
    </row>
    <row r="344">
      <c r="A344" s="3" t="str">
        <f>IFERROR(__xludf.DUMMYFUNCTION("""COMPUTED_VALUE"""),"Standby On Call")</f>
        <v>Standby On Call</v>
      </c>
      <c r="B344" s="3" t="str">
        <f>IFERROR(__xludf.DUMMYFUNCTION("""COMPUTED_VALUE"""),"P3")</f>
        <v>P3</v>
      </c>
      <c r="C344" s="3"/>
      <c r="D344" s="3" t="str">
        <f>IFERROR(__xludf.DUMMYFUNCTION("""COMPUTED_VALUE"""),"Trisno Susanto")</f>
        <v>Trisno Susanto</v>
      </c>
      <c r="E344" s="3" t="str">
        <f>IFERROR(__xludf.DUMMYFUNCTION("""COMPUTED_VALUE"""),"PM")</f>
        <v>PM</v>
      </c>
      <c r="F344" s="3" t="str">
        <f>IFERROR(__xludf.DUMMYFUNCTION("""COMPUTED_VALUE"""),"Winda Sokenda")</f>
        <v>Winda Sokenda</v>
      </c>
      <c r="G344" s="3" t="str">
        <f>IFERROR(__xludf.DUMMYFUNCTION("""COMPUTED_VALUE"""),"Barito Raya")</f>
        <v>Barito Raya</v>
      </c>
      <c r="H344" s="3" t="str">
        <f>IFERROR(__xludf.DUMMYFUNCTION("""COMPUTED_VALUE"""),"Standby")</f>
        <v>Standby</v>
      </c>
      <c r="I344" s="3" t="str">
        <f>IFERROR(__xludf.DUMMYFUNCTION("""COMPUTED_VALUE"""),"Standby On Call")</f>
        <v>Standby On Call</v>
      </c>
      <c r="J344" s="3" t="str">
        <f>IFERROR(__xludf.DUMMYFUNCTION("""COMPUTED_VALUE"""),"Standby")</f>
        <v>Standby</v>
      </c>
      <c r="K344" s="27">
        <f>IFERROR(__xludf.DUMMYFUNCTION("""COMPUTED_VALUE"""),46015.0)</f>
        <v>46015</v>
      </c>
      <c r="L344" s="27">
        <f>IFERROR(__xludf.DUMMYFUNCTION("""COMPUTED_VALUE"""),46015.0)</f>
        <v>46015</v>
      </c>
      <c r="M344" s="3"/>
      <c r="N344" s="3"/>
      <c r="O344" s="3" t="str">
        <f>IFERROR(VLOOKUP(C344,Sheet4!A344:F1131,6,0),"")</f>
        <v/>
      </c>
      <c r="Q344" s="2" t="str">
        <f t="shared" si="1"/>
        <v>24</v>
      </c>
    </row>
    <row r="345">
      <c r="A345" s="3" t="str">
        <f>IFERROR(__xludf.DUMMYFUNCTION("""COMPUTED_VALUE"""),"Standby On Call")</f>
        <v>Standby On Call</v>
      </c>
      <c r="B345" s="3" t="str">
        <f>IFERROR(__xludf.DUMMYFUNCTION("""COMPUTED_VALUE"""),"P3")</f>
        <v>P3</v>
      </c>
      <c r="C345" s="3"/>
      <c r="D345" s="3" t="str">
        <f>IFERROR(__xludf.DUMMYFUNCTION("""COMPUTED_VALUE"""),"Khilal dawai katiri")</f>
        <v>Khilal dawai katiri</v>
      </c>
      <c r="E345" s="3" t="str">
        <f>IFERROR(__xludf.DUMMYFUNCTION("""COMPUTED_VALUE"""),"MBP")</f>
        <v>MBP</v>
      </c>
      <c r="F345" s="3" t="str">
        <f>IFERROR(__xludf.DUMMYFUNCTION("""COMPUTED_VALUE"""),"Winda Sokenda")</f>
        <v>Winda Sokenda</v>
      </c>
      <c r="G345" s="3" t="str">
        <f>IFERROR(__xludf.DUMMYFUNCTION("""COMPUTED_VALUE"""),"Barito Raya")</f>
        <v>Barito Raya</v>
      </c>
      <c r="H345" s="3" t="str">
        <f>IFERROR(__xludf.DUMMYFUNCTION("""COMPUTED_VALUE"""),"Standby")</f>
        <v>Standby</v>
      </c>
      <c r="I345" s="3" t="str">
        <f>IFERROR(__xludf.DUMMYFUNCTION("""COMPUTED_VALUE"""),"Standby On Call")</f>
        <v>Standby On Call</v>
      </c>
      <c r="J345" s="3" t="str">
        <f>IFERROR(__xludf.DUMMYFUNCTION("""COMPUTED_VALUE"""),"Standby")</f>
        <v>Standby</v>
      </c>
      <c r="K345" s="27">
        <f>IFERROR(__xludf.DUMMYFUNCTION("""COMPUTED_VALUE"""),46015.0)</f>
        <v>46015</v>
      </c>
      <c r="L345" s="27">
        <f>IFERROR(__xludf.DUMMYFUNCTION("""COMPUTED_VALUE"""),46015.0)</f>
        <v>46015</v>
      </c>
      <c r="M345" s="3"/>
      <c r="N345" s="3"/>
      <c r="O345" s="3" t="str">
        <f>IFERROR(VLOOKUP(C345,Sheet4!A345:F1132,6,0),"")</f>
        <v/>
      </c>
      <c r="Q345" s="2" t="str">
        <f t="shared" si="1"/>
        <v>24</v>
      </c>
    </row>
    <row r="346">
      <c r="A346" s="3" t="str">
        <f>IFERROR(__xludf.DUMMYFUNCTION("""COMPUTED_VALUE"""),"Standby On Call")</f>
        <v>Standby On Call</v>
      </c>
      <c r="B346" s="3" t="str">
        <f>IFERROR(__xludf.DUMMYFUNCTION("""COMPUTED_VALUE"""),"P3")</f>
        <v>P3</v>
      </c>
      <c r="C346" s="3"/>
      <c r="D346" s="3" t="str">
        <f>IFERROR(__xludf.DUMMYFUNCTION("""COMPUTED_VALUE"""),"Riko setiadi")</f>
        <v>Riko setiadi</v>
      </c>
      <c r="E346" s="3" t="str">
        <f>IFERROR(__xludf.DUMMYFUNCTION("""COMPUTED_VALUE"""),"PM")</f>
        <v>PM</v>
      </c>
      <c r="F346" s="3" t="str">
        <f>IFERROR(__xludf.DUMMYFUNCTION("""COMPUTED_VALUE"""),"Winda Sokenda")</f>
        <v>Winda Sokenda</v>
      </c>
      <c r="G346" s="3" t="str">
        <f>IFERROR(__xludf.DUMMYFUNCTION("""COMPUTED_VALUE"""),"Barito Raya")</f>
        <v>Barito Raya</v>
      </c>
      <c r="H346" s="3" t="str">
        <f>IFERROR(__xludf.DUMMYFUNCTION("""COMPUTED_VALUE"""),"Standby")</f>
        <v>Standby</v>
      </c>
      <c r="I346" s="3" t="str">
        <f>IFERROR(__xludf.DUMMYFUNCTION("""COMPUTED_VALUE"""),"Standby On Call")</f>
        <v>Standby On Call</v>
      </c>
      <c r="J346" s="3" t="str">
        <f>IFERROR(__xludf.DUMMYFUNCTION("""COMPUTED_VALUE"""),"Standby")</f>
        <v>Standby</v>
      </c>
      <c r="K346" s="27">
        <f>IFERROR(__xludf.DUMMYFUNCTION("""COMPUTED_VALUE"""),46015.0)</f>
        <v>46015</v>
      </c>
      <c r="L346" s="27">
        <f>IFERROR(__xludf.DUMMYFUNCTION("""COMPUTED_VALUE"""),46015.0)</f>
        <v>46015</v>
      </c>
      <c r="M346" s="3"/>
      <c r="N346" s="3"/>
      <c r="O346" s="3" t="str">
        <f>IFERROR(VLOOKUP(C346,Sheet4!A346:F1133,6,0),"")</f>
        <v/>
      </c>
      <c r="Q346" s="2" t="str">
        <f t="shared" si="1"/>
        <v>24</v>
      </c>
    </row>
    <row r="347">
      <c r="A347" s="3" t="str">
        <f>IFERROR(__xludf.DUMMYFUNCTION("""COMPUTED_VALUE"""),"Pengecekan Power")</f>
        <v>Pengecekan Power</v>
      </c>
      <c r="B347" s="3" t="str">
        <f>IFERROR(__xludf.DUMMYFUNCTION("""COMPUTED_VALUE"""),"P1")</f>
        <v>P1</v>
      </c>
      <c r="C347" s="3" t="str">
        <f>IFERROR(__xludf.DUMMYFUNCTION("""COMPUTED_VALUE"""),"BNT002")</f>
        <v>BNT002</v>
      </c>
      <c r="D347" s="3" t="str">
        <f>IFERROR(__xludf.DUMMYFUNCTION("""COMPUTED_VALUE"""),"Putra wardana")</f>
        <v>Putra wardana</v>
      </c>
      <c r="E347" s="3" t="str">
        <f>IFERROR(__xludf.DUMMYFUNCTION("""COMPUTED_VALUE"""),"TE")</f>
        <v>TE</v>
      </c>
      <c r="F347" s="3" t="str">
        <f>IFERROR(__xludf.DUMMYFUNCTION("""COMPUTED_VALUE"""),"Winda Sokenda")</f>
        <v>Winda Sokenda</v>
      </c>
      <c r="G347" s="3" t="str">
        <f>IFERROR(__xludf.DUMMYFUNCTION("""COMPUTED_VALUE"""),"Barito Raya")</f>
        <v>Barito Raya</v>
      </c>
      <c r="H347" s="3" t="str">
        <f>IFERROR(__xludf.DUMMYFUNCTION("""COMPUTED_VALUE"""),"Preventive")</f>
        <v>Preventive</v>
      </c>
      <c r="I347" s="3" t="str">
        <f>IFERROR(__xludf.DUMMYFUNCTION("""COMPUTED_VALUE"""),"MCB trip/Power upnormal")</f>
        <v>MCB trip/Power upnormal</v>
      </c>
      <c r="J347" s="3" t="str">
        <f>IFERROR(__xludf.DUMMYFUNCTION("""COMPUTED_VALUE"""),"On Progress")</f>
        <v>On Progress</v>
      </c>
      <c r="K347" s="27">
        <f>IFERROR(__xludf.DUMMYFUNCTION("""COMPUTED_VALUE"""),46020.0)</f>
        <v>46020</v>
      </c>
      <c r="L347" s="27">
        <f>IFERROR(__xludf.DUMMYFUNCTION("""COMPUTED_VALUE"""),46020.0)</f>
        <v>46020</v>
      </c>
      <c r="M347" s="3" t="str">
        <f>IFERROR(__xludf.DUMMYFUNCTION("""COMPUTED_VALUE"""),"Done")</f>
        <v>Done</v>
      </c>
      <c r="N347" s="3"/>
      <c r="O347" s="3">
        <f>IFERROR(VLOOKUP(C347,Sheet4!A347:F1134,6,0),"")</f>
        <v>11483654</v>
      </c>
      <c r="Q347" s="2" t="str">
        <f t="shared" si="1"/>
        <v>29</v>
      </c>
    </row>
    <row r="348">
      <c r="A348" s="3" t="str">
        <f>IFERROR(__xludf.DUMMYFUNCTION("""COMPUTED_VALUE"""),"Pengecekan Power")</f>
        <v>Pengecekan Power</v>
      </c>
      <c r="B348" s="3" t="str">
        <f>IFERROR(__xludf.DUMMYFUNCTION("""COMPUTED_VALUE"""),"P1")</f>
        <v>P1</v>
      </c>
      <c r="C348" s="3" t="str">
        <f>IFERROR(__xludf.DUMMYFUNCTION("""COMPUTED_VALUE"""),"BNT025")</f>
        <v>BNT025</v>
      </c>
      <c r="D348" s="3" t="str">
        <f>IFERROR(__xludf.DUMMYFUNCTION("""COMPUTED_VALUE"""),"Sailillah")</f>
        <v>Sailillah</v>
      </c>
      <c r="E348" s="3" t="str">
        <f>IFERROR(__xludf.DUMMYFUNCTION("""COMPUTED_VALUE"""),"TE")</f>
        <v>TE</v>
      </c>
      <c r="F348" s="3" t="str">
        <f>IFERROR(__xludf.DUMMYFUNCTION("""COMPUTED_VALUE"""),"Winda Sokenda")</f>
        <v>Winda Sokenda</v>
      </c>
      <c r="G348" s="3" t="str">
        <f>IFERROR(__xludf.DUMMYFUNCTION("""COMPUTED_VALUE"""),"Barito Raya")</f>
        <v>Barito Raya</v>
      </c>
      <c r="H348" s="3" t="str">
        <f>IFERROR(__xludf.DUMMYFUNCTION("""COMPUTED_VALUE"""),"Preventive")</f>
        <v>Preventive</v>
      </c>
      <c r="I348" s="3" t="str">
        <f>IFERROR(__xludf.DUMMYFUNCTION("""COMPUTED_VALUE"""),"MCB trip/Power upnormal")</f>
        <v>MCB trip/Power upnormal</v>
      </c>
      <c r="J348" s="3" t="str">
        <f>IFERROR(__xludf.DUMMYFUNCTION("""COMPUTED_VALUE"""),"On Progress")</f>
        <v>On Progress</v>
      </c>
      <c r="K348" s="27">
        <f>IFERROR(__xludf.DUMMYFUNCTION("""COMPUTED_VALUE"""),46020.0)</f>
        <v>46020</v>
      </c>
      <c r="L348" s="27">
        <f>IFERROR(__xludf.DUMMYFUNCTION("""COMPUTED_VALUE"""),46020.0)</f>
        <v>46020</v>
      </c>
      <c r="M348" s="3" t="str">
        <f>IFERROR(__xludf.DUMMYFUNCTION("""COMPUTED_VALUE"""),"Pending")</f>
        <v>Pending</v>
      </c>
      <c r="N348" s="3" t="str">
        <f>IFERROR(__xludf.DUMMYFUNCTION("""COMPUTED_VALUE"""),"cuaca hujan")</f>
        <v>cuaca hujan</v>
      </c>
      <c r="O348" s="3" t="str">
        <f>IFERROR(VLOOKUP(C348,Sheet4!A348:F1135,6,0),"")</f>
        <v/>
      </c>
      <c r="Q348" s="2" t="str">
        <f t="shared" si="1"/>
        <v>29</v>
      </c>
    </row>
    <row r="349">
      <c r="A349" s="3" t="str">
        <f>IFERROR(__xludf.DUMMYFUNCTION("""COMPUTED_VALUE"""),"Pengecekan Power")</f>
        <v>Pengecekan Power</v>
      </c>
      <c r="B349" s="3" t="str">
        <f>IFERROR(__xludf.DUMMYFUNCTION("""COMPUTED_VALUE"""),"P1")</f>
        <v>P1</v>
      </c>
      <c r="C349" s="3" t="str">
        <f>IFERROR(__xludf.DUMMYFUNCTION("""COMPUTED_VALUE"""),"BNT004")</f>
        <v>BNT004</v>
      </c>
      <c r="D349" s="3" t="str">
        <f>IFERROR(__xludf.DUMMYFUNCTION("""COMPUTED_VALUE"""),"Tiviansyah")</f>
        <v>Tiviansyah</v>
      </c>
      <c r="E349" s="3" t="str">
        <f>IFERROR(__xludf.DUMMYFUNCTION("""COMPUTED_VALUE"""),"TE")</f>
        <v>TE</v>
      </c>
      <c r="F349" s="3" t="str">
        <f>IFERROR(__xludf.DUMMYFUNCTION("""COMPUTED_VALUE"""),"Winda Sokenda")</f>
        <v>Winda Sokenda</v>
      </c>
      <c r="G349" s="3" t="str">
        <f>IFERROR(__xludf.DUMMYFUNCTION("""COMPUTED_VALUE"""),"Barito Raya")</f>
        <v>Barito Raya</v>
      </c>
      <c r="H349" s="3" t="str">
        <f>IFERROR(__xludf.DUMMYFUNCTION("""COMPUTED_VALUE"""),"Preventive")</f>
        <v>Preventive</v>
      </c>
      <c r="I349" s="3" t="str">
        <f>IFERROR(__xludf.DUMMYFUNCTION("""COMPUTED_VALUE"""),"MCB trip/Power upnormal")</f>
        <v>MCB trip/Power upnormal</v>
      </c>
      <c r="J349" s="3" t="str">
        <f>IFERROR(__xludf.DUMMYFUNCTION("""COMPUTED_VALUE"""),"On Progress")</f>
        <v>On Progress</v>
      </c>
      <c r="K349" s="27">
        <f>IFERROR(__xludf.DUMMYFUNCTION("""COMPUTED_VALUE"""),46020.0)</f>
        <v>46020</v>
      </c>
      <c r="L349" s="27">
        <f>IFERROR(__xludf.DUMMYFUNCTION("""COMPUTED_VALUE"""),46020.0)</f>
        <v>46020</v>
      </c>
      <c r="M349" s="3" t="str">
        <f>IFERROR(__xludf.DUMMYFUNCTION("""COMPUTED_VALUE"""),"Done")</f>
        <v>Done</v>
      </c>
      <c r="N349" s="3"/>
      <c r="O349" s="3" t="str">
        <f>IFERROR(VLOOKUP(C349,Sheet4!A349:F1136,6,0),"")</f>
        <v/>
      </c>
      <c r="Q349" s="2" t="str">
        <f t="shared" si="1"/>
        <v>29</v>
      </c>
    </row>
    <row r="350">
      <c r="A350" s="3" t="str">
        <f>IFERROR(__xludf.DUMMYFUNCTION("""COMPUTED_VALUE"""),"On Leave")</f>
        <v>On Leave</v>
      </c>
      <c r="B350" s="3" t="str">
        <f>IFERROR(__xludf.DUMMYFUNCTION("""COMPUTED_VALUE"""),"P3")</f>
        <v>P3</v>
      </c>
      <c r="C350" s="3"/>
      <c r="D350" s="3" t="str">
        <f>IFERROR(__xludf.DUMMYFUNCTION("""COMPUTED_VALUE"""),"munawir akhmad")</f>
        <v>munawir akhmad</v>
      </c>
      <c r="E350" s="3" t="str">
        <f>IFERROR(__xludf.DUMMYFUNCTION("""COMPUTED_VALUE"""),"TE")</f>
        <v>TE</v>
      </c>
      <c r="F350" s="3" t="str">
        <f>IFERROR(__xludf.DUMMYFUNCTION("""COMPUTED_VALUE"""),"Winda Sokenda")</f>
        <v>Winda Sokenda</v>
      </c>
      <c r="G350" s="3" t="str">
        <f>IFERROR(__xludf.DUMMYFUNCTION("""COMPUTED_VALUE"""),"Barito Raya")</f>
        <v>Barito Raya</v>
      </c>
      <c r="H350" s="3" t="str">
        <f>IFERROR(__xludf.DUMMYFUNCTION("""COMPUTED_VALUE"""),"On Leave")</f>
        <v>On Leave</v>
      </c>
      <c r="I350" s="3" t="str">
        <f>IFERROR(__xludf.DUMMYFUNCTION("""COMPUTED_VALUE"""),"On Leave")</f>
        <v>On Leave</v>
      </c>
      <c r="J350" s="3"/>
      <c r="K350" s="27">
        <f>IFERROR(__xludf.DUMMYFUNCTION("""COMPUTED_VALUE"""),46020.0)</f>
        <v>46020</v>
      </c>
      <c r="L350" s="27">
        <f>IFERROR(__xludf.DUMMYFUNCTION("""COMPUTED_VALUE"""),46020.0)</f>
        <v>46020</v>
      </c>
      <c r="M350" s="3"/>
      <c r="N350" s="3"/>
      <c r="O350" s="3" t="str">
        <f>IFERROR(VLOOKUP(C350,Sheet4!A350:F1137,6,0),"")</f>
        <v/>
      </c>
      <c r="Q350" s="2" t="str">
        <f t="shared" si="1"/>
        <v>29</v>
      </c>
    </row>
    <row r="351">
      <c r="A351" s="3" t="str">
        <f>IFERROR(__xludf.DUMMYFUNCTION("""COMPUTED_VALUE"""),"Standby On Call")</f>
        <v>Standby On Call</v>
      </c>
      <c r="B351" s="3" t="str">
        <f>IFERROR(__xludf.DUMMYFUNCTION("""COMPUTED_VALUE"""),"P3")</f>
        <v>P3</v>
      </c>
      <c r="C351" s="3"/>
      <c r="D351" s="3" t="str">
        <f>IFERROR(__xludf.DUMMYFUNCTION("""COMPUTED_VALUE"""),"Riki Hidayat")</f>
        <v>Riki Hidayat</v>
      </c>
      <c r="E351" s="3" t="str">
        <f>IFERROR(__xludf.DUMMYFUNCTION("""COMPUTED_VALUE"""),"TE")</f>
        <v>TE</v>
      </c>
      <c r="F351" s="3" t="str">
        <f>IFERROR(__xludf.DUMMYFUNCTION("""COMPUTED_VALUE"""),"Winda Sokenda")</f>
        <v>Winda Sokenda</v>
      </c>
      <c r="G351" s="3" t="str">
        <f>IFERROR(__xludf.DUMMYFUNCTION("""COMPUTED_VALUE"""),"Barito Raya")</f>
        <v>Barito Raya</v>
      </c>
      <c r="H351" s="3" t="str">
        <f>IFERROR(__xludf.DUMMYFUNCTION("""COMPUTED_VALUE"""),"Standby")</f>
        <v>Standby</v>
      </c>
      <c r="I351" s="3" t="str">
        <f>IFERROR(__xludf.DUMMYFUNCTION("""COMPUTED_VALUE"""),"Standby On Call")</f>
        <v>Standby On Call</v>
      </c>
      <c r="J351" s="3" t="str">
        <f>IFERROR(__xludf.DUMMYFUNCTION("""COMPUTED_VALUE"""),"Standby")</f>
        <v>Standby</v>
      </c>
      <c r="K351" s="27">
        <f>IFERROR(__xludf.DUMMYFUNCTION("""COMPUTED_VALUE"""),46020.0)</f>
        <v>46020</v>
      </c>
      <c r="L351" s="27">
        <f>IFERROR(__xludf.DUMMYFUNCTION("""COMPUTED_VALUE"""),46020.0)</f>
        <v>46020</v>
      </c>
      <c r="M351" s="3"/>
      <c r="N351" s="3"/>
      <c r="O351" s="3" t="str">
        <f>IFERROR(VLOOKUP(C351,Sheet4!A351:F1138,6,0),"")</f>
        <v/>
      </c>
      <c r="Q351" s="2" t="str">
        <f t="shared" si="1"/>
        <v>29</v>
      </c>
    </row>
    <row r="352">
      <c r="A352" s="3" t="str">
        <f>IFERROR(__xludf.DUMMYFUNCTION("""COMPUTED_VALUE"""),"Pengecekan Power")</f>
        <v>Pengecekan Power</v>
      </c>
      <c r="B352" s="3" t="str">
        <f>IFERROR(__xludf.DUMMYFUNCTION("""COMPUTED_VALUE"""),"P1")</f>
        <v>P1</v>
      </c>
      <c r="C352" s="3" t="str">
        <f>IFERROR(__xludf.DUMMYFUNCTION("""COMPUTED_VALUE"""),"PRC030")</f>
        <v>PRC030</v>
      </c>
      <c r="D352" s="3" t="str">
        <f>IFERROR(__xludf.DUMMYFUNCTION("""COMPUTED_VALUE"""),"Murjani")</f>
        <v>Murjani</v>
      </c>
      <c r="E352" s="3" t="str">
        <f>IFERROR(__xludf.DUMMYFUNCTION("""COMPUTED_VALUE"""),"TE")</f>
        <v>TE</v>
      </c>
      <c r="F352" s="3" t="str">
        <f>IFERROR(__xludf.DUMMYFUNCTION("""COMPUTED_VALUE"""),"Winda Sokenda")</f>
        <v>Winda Sokenda</v>
      </c>
      <c r="G352" s="3" t="str">
        <f>IFERROR(__xludf.DUMMYFUNCTION("""COMPUTED_VALUE"""),"Barito Raya")</f>
        <v>Barito Raya</v>
      </c>
      <c r="H352" s="3" t="str">
        <f>IFERROR(__xludf.DUMMYFUNCTION("""COMPUTED_VALUE"""),"Preventive")</f>
        <v>Preventive</v>
      </c>
      <c r="I352" s="3" t="str">
        <f>IFERROR(__xludf.DUMMYFUNCTION("""COMPUTED_VALUE"""),"MCB trip/Power upnormal")</f>
        <v>MCB trip/Power upnormal</v>
      </c>
      <c r="J352" s="3" t="str">
        <f>IFERROR(__xludf.DUMMYFUNCTION("""COMPUTED_VALUE"""),"On Progress")</f>
        <v>On Progress</v>
      </c>
      <c r="K352" s="27">
        <f>IFERROR(__xludf.DUMMYFUNCTION("""COMPUTED_VALUE"""),46020.0)</f>
        <v>46020</v>
      </c>
      <c r="L352" s="27">
        <f>IFERROR(__xludf.DUMMYFUNCTION("""COMPUTED_VALUE"""),46020.0)</f>
        <v>46020</v>
      </c>
      <c r="M352" s="3" t="str">
        <f>IFERROR(__xludf.DUMMYFUNCTION("""COMPUTED_VALUE"""),"Done")</f>
        <v>Done</v>
      </c>
      <c r="N352" s="3"/>
      <c r="O352" s="3">
        <f>IFERROR(VLOOKUP(C352,Sheet4!A352:F1139,6,0),"")</f>
        <v>11456408</v>
      </c>
      <c r="Q352" s="2" t="str">
        <f t="shared" si="1"/>
        <v>29</v>
      </c>
    </row>
    <row r="353">
      <c r="A353" s="3" t="str">
        <f>IFERROR(__xludf.DUMMYFUNCTION("""COMPUTED_VALUE"""),"Cell down")</f>
        <v>Cell down</v>
      </c>
      <c r="B353" s="3" t="str">
        <f>IFERROR(__xludf.DUMMYFUNCTION("""COMPUTED_VALUE"""),"P1")</f>
        <v>P1</v>
      </c>
      <c r="C353" s="3" t="str">
        <f>IFERROR(__xludf.DUMMYFUNCTION("""COMPUTED_VALUE"""),"KKP065")</f>
        <v>KKP065</v>
      </c>
      <c r="D353" s="3" t="str">
        <f>IFERROR(__xludf.DUMMYFUNCTION("""COMPUTED_VALUE"""),"Armadi")</f>
        <v>Armadi</v>
      </c>
      <c r="E353" s="3" t="str">
        <f>IFERROR(__xludf.DUMMYFUNCTION("""COMPUTED_VALUE"""),"TE")</f>
        <v>TE</v>
      </c>
      <c r="F353" s="3" t="str">
        <f>IFERROR(__xludf.DUMMYFUNCTION("""COMPUTED_VALUE"""),"Winda Sokenda")</f>
        <v>Winda Sokenda</v>
      </c>
      <c r="G353" s="3" t="str">
        <f>IFERROR(__xludf.DUMMYFUNCTION("""COMPUTED_VALUE"""),"Barito Raya")</f>
        <v>Barito Raya</v>
      </c>
      <c r="H353" s="3" t="str">
        <f>IFERROR(__xludf.DUMMYFUNCTION("""COMPUTED_VALUE"""),"Corrective")</f>
        <v>Corrective</v>
      </c>
      <c r="I353" s="3" t="str">
        <f>IFERROR(__xludf.DUMMYFUNCTION("""COMPUTED_VALUE"""),"Replace Optik,RRU/Soket Power/Replace GPS")</f>
        <v>Replace Optik,RRU/Soket Power/Replace GPS</v>
      </c>
      <c r="J353" s="3" t="str">
        <f>IFERROR(__xludf.DUMMYFUNCTION("""COMPUTED_VALUE"""),"Standby")</f>
        <v>Standby</v>
      </c>
      <c r="K353" s="27">
        <f>IFERROR(__xludf.DUMMYFUNCTION("""COMPUTED_VALUE"""),46020.0)</f>
        <v>46020</v>
      </c>
      <c r="L353" s="27">
        <f>IFERROR(__xludf.DUMMYFUNCTION("""COMPUTED_VALUE"""),46020.0)</f>
        <v>46020</v>
      </c>
      <c r="M353" s="3" t="str">
        <f>IFERROR(__xludf.DUMMYFUNCTION("""COMPUTED_VALUE"""),"Done")</f>
        <v>Done</v>
      </c>
      <c r="N353" s="3" t="str">
        <f>IFERROR(__xludf.DUMMYFUNCTION("""COMPUTED_VALUE"""),"waiting cable jumper")</f>
        <v>waiting cable jumper</v>
      </c>
      <c r="O353" s="3" t="str">
        <f>IFERROR(VLOOKUP(C353,Sheet4!A353:F1140,6,0),"")</f>
        <v/>
      </c>
      <c r="Q353" s="2" t="str">
        <f t="shared" si="1"/>
        <v>29</v>
      </c>
    </row>
    <row r="354">
      <c r="A354" s="3" t="str">
        <f>IFERROR(__xludf.DUMMYFUNCTION("""COMPUTED_VALUE"""),"Site Down")</f>
        <v>Site Down</v>
      </c>
      <c r="B354" s="3" t="str">
        <f>IFERROR(__xludf.DUMMYFUNCTION("""COMPUTED_VALUE"""),"P1")</f>
        <v>P1</v>
      </c>
      <c r="C354" s="3" t="str">
        <f>IFERROR(__xludf.DUMMYFUNCTION("""COMPUTED_VALUE"""),"KKP293")</f>
        <v>KKP293</v>
      </c>
      <c r="D354" s="3" t="str">
        <f>IFERROR(__xludf.DUMMYFUNCTION("""COMPUTED_VALUE"""),"Reynaldy Ricardo Putra")</f>
        <v>Reynaldy Ricardo Putra</v>
      </c>
      <c r="E354" s="3" t="str">
        <f>IFERROR(__xludf.DUMMYFUNCTION("""COMPUTED_VALUE"""),"TE")</f>
        <v>TE</v>
      </c>
      <c r="F354" s="3" t="str">
        <f>IFERROR(__xludf.DUMMYFUNCTION("""COMPUTED_VALUE"""),"Winda Sokenda")</f>
        <v>Winda Sokenda</v>
      </c>
      <c r="G354" s="3" t="str">
        <f>IFERROR(__xludf.DUMMYFUNCTION("""COMPUTED_VALUE"""),"Barito Raya")</f>
        <v>Barito Raya</v>
      </c>
      <c r="H354" s="3" t="str">
        <f>IFERROR(__xludf.DUMMYFUNCTION("""COMPUTED_VALUE"""),"Corrective")</f>
        <v>Corrective</v>
      </c>
      <c r="I354" s="3" t="str">
        <f>IFERROR(__xludf.DUMMYFUNCTION("""COMPUTED_VALUE"""),"Pemadaman,MCB Trip,Transmisi problem")</f>
        <v>Pemadaman,MCB Trip,Transmisi problem</v>
      </c>
      <c r="J354" s="3" t="str">
        <f>IFERROR(__xludf.DUMMYFUNCTION("""COMPUTED_VALUE"""),"On Progress")</f>
        <v>On Progress</v>
      </c>
      <c r="K354" s="27">
        <f>IFERROR(__xludf.DUMMYFUNCTION("""COMPUTED_VALUE"""),46020.0)</f>
        <v>46020</v>
      </c>
      <c r="L354" s="27">
        <f>IFERROR(__xludf.DUMMYFUNCTION("""COMPUTED_VALUE"""),46020.0)</f>
        <v>46020</v>
      </c>
      <c r="M354" s="3" t="str">
        <f>IFERROR(__xludf.DUMMYFUNCTION("""COMPUTED_VALUE"""),"Done")</f>
        <v>Done</v>
      </c>
      <c r="N354" s="3"/>
      <c r="O354" s="3">
        <f>IFERROR(VLOOKUP(C354,Sheet4!A354:F1141,6,0),"")</f>
        <v>1144008</v>
      </c>
      <c r="Q354" s="2" t="str">
        <f t="shared" si="1"/>
        <v>29</v>
      </c>
    </row>
    <row r="355">
      <c r="A355" s="3" t="str">
        <f>IFERROR(__xludf.DUMMYFUNCTION("""COMPUTED_VALUE"""),"Cell down")</f>
        <v>Cell down</v>
      </c>
      <c r="B355" s="3" t="str">
        <f>IFERROR(__xludf.DUMMYFUNCTION("""COMPUTED_VALUE"""),"P1")</f>
        <v>P1</v>
      </c>
      <c r="C355" s="3" t="str">
        <f>IFERROR(__xludf.DUMMYFUNCTION("""COMPUTED_VALUE"""),"KKP344")</f>
        <v>KKP344</v>
      </c>
      <c r="D355" s="3" t="str">
        <f>IFERROR(__xludf.DUMMYFUNCTION("""COMPUTED_VALUE"""),"Sahrul Saputra")</f>
        <v>Sahrul Saputra</v>
      </c>
      <c r="E355" s="3" t="str">
        <f>IFERROR(__xludf.DUMMYFUNCTION("""COMPUTED_VALUE"""),"TE")</f>
        <v>TE</v>
      </c>
      <c r="F355" s="3" t="str">
        <f>IFERROR(__xludf.DUMMYFUNCTION("""COMPUTED_VALUE"""),"Winda Sokenda")</f>
        <v>Winda Sokenda</v>
      </c>
      <c r="G355" s="3" t="str">
        <f>IFERROR(__xludf.DUMMYFUNCTION("""COMPUTED_VALUE"""),"Barito Raya")</f>
        <v>Barito Raya</v>
      </c>
      <c r="H355" s="3" t="str">
        <f>IFERROR(__xludf.DUMMYFUNCTION("""COMPUTED_VALUE"""),"Corrective")</f>
        <v>Corrective</v>
      </c>
      <c r="I355" s="3" t="str">
        <f>IFERROR(__xludf.DUMMYFUNCTION("""COMPUTED_VALUE"""),"Replace Optik,RRU/Soket Power/Replace GPS")</f>
        <v>Replace Optik,RRU/Soket Power/Replace GPS</v>
      </c>
      <c r="J355" s="3" t="str">
        <f>IFERROR(__xludf.DUMMYFUNCTION("""COMPUTED_VALUE"""),"On Progress")</f>
        <v>On Progress</v>
      </c>
      <c r="K355" s="27">
        <f>IFERROR(__xludf.DUMMYFUNCTION("""COMPUTED_VALUE"""),46020.0)</f>
        <v>46020</v>
      </c>
      <c r="L355" s="27">
        <f>IFERROR(__xludf.DUMMYFUNCTION("""COMPUTED_VALUE"""),46020.0)</f>
        <v>46020</v>
      </c>
      <c r="M355" s="3" t="str">
        <f>IFERROR(__xludf.DUMMYFUNCTION("""COMPUTED_VALUE"""),"Pending")</f>
        <v>Pending</v>
      </c>
      <c r="N355" s="3" t="str">
        <f>IFERROR(__xludf.DUMMYFUNCTION("""COMPUTED_VALUE"""),"Cuaca hujan")</f>
        <v>Cuaca hujan</v>
      </c>
      <c r="O355" s="3">
        <f>IFERROR(VLOOKUP(C355,Sheet4!A355:F1142,6,0),"")</f>
        <v>11440778</v>
      </c>
      <c r="Q355" s="2" t="str">
        <f t="shared" si="1"/>
        <v>29</v>
      </c>
    </row>
    <row r="356">
      <c r="A356" s="3" t="str">
        <f>IFERROR(__xludf.DUMMYFUNCTION("""COMPUTED_VALUE"""),"Standby On Call")</f>
        <v>Standby On Call</v>
      </c>
      <c r="B356" s="3" t="str">
        <f>IFERROR(__xludf.DUMMYFUNCTION("""COMPUTED_VALUE"""),"P3")</f>
        <v>P3</v>
      </c>
      <c r="C356" s="3"/>
      <c r="D356" s="3" t="str">
        <f>IFERROR(__xludf.DUMMYFUNCTION("""COMPUTED_VALUE"""),"Nurhayat")</f>
        <v>Nurhayat</v>
      </c>
      <c r="E356" s="3" t="str">
        <f>IFERROR(__xludf.DUMMYFUNCTION("""COMPUTED_VALUE"""),"MBP")</f>
        <v>MBP</v>
      </c>
      <c r="F356" s="3" t="str">
        <f>IFERROR(__xludf.DUMMYFUNCTION("""COMPUTED_VALUE"""),"Winda Sokenda")</f>
        <v>Winda Sokenda</v>
      </c>
      <c r="G356" s="3" t="str">
        <f>IFERROR(__xludf.DUMMYFUNCTION("""COMPUTED_VALUE"""),"Barito Raya")</f>
        <v>Barito Raya</v>
      </c>
      <c r="H356" s="3" t="str">
        <f>IFERROR(__xludf.DUMMYFUNCTION("""COMPUTED_VALUE"""),"Standby")</f>
        <v>Standby</v>
      </c>
      <c r="I356" s="3" t="str">
        <f>IFERROR(__xludf.DUMMYFUNCTION("""COMPUTED_VALUE"""),"Standby On Call")</f>
        <v>Standby On Call</v>
      </c>
      <c r="J356" s="3" t="str">
        <f>IFERROR(__xludf.DUMMYFUNCTION("""COMPUTED_VALUE"""),"Standby")</f>
        <v>Standby</v>
      </c>
      <c r="K356" s="27">
        <f>IFERROR(__xludf.DUMMYFUNCTION("""COMPUTED_VALUE"""),46020.0)</f>
        <v>46020</v>
      </c>
      <c r="L356" s="27">
        <f>IFERROR(__xludf.DUMMYFUNCTION("""COMPUTED_VALUE"""),46020.0)</f>
        <v>46020</v>
      </c>
      <c r="M356" s="3"/>
      <c r="N356" s="3"/>
      <c r="O356" s="3" t="str">
        <f>IFERROR(VLOOKUP(C356,Sheet4!A356:F1143,6,0),"")</f>
        <v/>
      </c>
      <c r="Q356" s="2" t="str">
        <f t="shared" si="1"/>
        <v>29</v>
      </c>
    </row>
    <row r="357">
      <c r="A357" s="3" t="str">
        <f>IFERROR(__xludf.DUMMYFUNCTION("""COMPUTED_VALUE"""),"Standby On Call")</f>
        <v>Standby On Call</v>
      </c>
      <c r="B357" s="3" t="str">
        <f>IFERROR(__xludf.DUMMYFUNCTION("""COMPUTED_VALUE"""),"P3")</f>
        <v>P3</v>
      </c>
      <c r="C357" s="3"/>
      <c r="D357" s="3" t="str">
        <f>IFERROR(__xludf.DUMMYFUNCTION("""COMPUTED_VALUE"""),"Harun Nurasyid")</f>
        <v>Harun Nurasyid</v>
      </c>
      <c r="E357" s="3" t="str">
        <f>IFERROR(__xludf.DUMMYFUNCTION("""COMPUTED_VALUE"""),"CME")</f>
        <v>CME</v>
      </c>
      <c r="F357" s="3" t="str">
        <f>IFERROR(__xludf.DUMMYFUNCTION("""COMPUTED_VALUE"""),"Winda Sokenda")</f>
        <v>Winda Sokenda</v>
      </c>
      <c r="G357" s="3" t="str">
        <f>IFERROR(__xludf.DUMMYFUNCTION("""COMPUTED_VALUE"""),"Barito Raya")</f>
        <v>Barito Raya</v>
      </c>
      <c r="H357" s="3" t="str">
        <f>IFERROR(__xludf.DUMMYFUNCTION("""COMPUTED_VALUE"""),"Standby")</f>
        <v>Standby</v>
      </c>
      <c r="I357" s="3" t="str">
        <f>IFERROR(__xludf.DUMMYFUNCTION("""COMPUTED_VALUE"""),"Standby On Call")</f>
        <v>Standby On Call</v>
      </c>
      <c r="J357" s="3" t="str">
        <f>IFERROR(__xludf.DUMMYFUNCTION("""COMPUTED_VALUE"""),"Standby")</f>
        <v>Standby</v>
      </c>
      <c r="K357" s="27">
        <f>IFERROR(__xludf.DUMMYFUNCTION("""COMPUTED_VALUE"""),46020.0)</f>
        <v>46020</v>
      </c>
      <c r="L357" s="27">
        <f>IFERROR(__xludf.DUMMYFUNCTION("""COMPUTED_VALUE"""),46020.0)</f>
        <v>46020</v>
      </c>
      <c r="M357" s="3"/>
      <c r="N357" s="3"/>
      <c r="O357" s="3" t="str">
        <f>IFERROR(VLOOKUP(C357,Sheet4!A357:F1144,6,0),"")</f>
        <v/>
      </c>
      <c r="Q357" s="2" t="str">
        <f t="shared" si="1"/>
        <v>29</v>
      </c>
    </row>
    <row r="358">
      <c r="A358" s="3" t="str">
        <f>IFERROR(__xludf.DUMMYFUNCTION("""COMPUTED_VALUE"""),"Standby On Call")</f>
        <v>Standby On Call</v>
      </c>
      <c r="B358" s="3" t="str">
        <f>IFERROR(__xludf.DUMMYFUNCTION("""COMPUTED_VALUE"""),"P3")</f>
        <v>P3</v>
      </c>
      <c r="C358" s="3"/>
      <c r="D358" s="3" t="str">
        <f>IFERROR(__xludf.DUMMYFUNCTION("""COMPUTED_VALUE"""),"Taklim")</f>
        <v>Taklim</v>
      </c>
      <c r="E358" s="3" t="str">
        <f>IFERROR(__xludf.DUMMYFUNCTION("""COMPUTED_VALUE"""),"MBP")</f>
        <v>MBP</v>
      </c>
      <c r="F358" s="3" t="str">
        <f>IFERROR(__xludf.DUMMYFUNCTION("""COMPUTED_VALUE"""),"Winda Sokenda")</f>
        <v>Winda Sokenda</v>
      </c>
      <c r="G358" s="3" t="str">
        <f>IFERROR(__xludf.DUMMYFUNCTION("""COMPUTED_VALUE"""),"Barito Raya")</f>
        <v>Barito Raya</v>
      </c>
      <c r="H358" s="3" t="str">
        <f>IFERROR(__xludf.DUMMYFUNCTION("""COMPUTED_VALUE"""),"Standby")</f>
        <v>Standby</v>
      </c>
      <c r="I358" s="3" t="str">
        <f>IFERROR(__xludf.DUMMYFUNCTION("""COMPUTED_VALUE"""),"Standby On Call")</f>
        <v>Standby On Call</v>
      </c>
      <c r="J358" s="3" t="str">
        <f>IFERROR(__xludf.DUMMYFUNCTION("""COMPUTED_VALUE"""),"Standby")</f>
        <v>Standby</v>
      </c>
      <c r="K358" s="27">
        <f>IFERROR(__xludf.DUMMYFUNCTION("""COMPUTED_VALUE"""),46020.0)</f>
        <v>46020</v>
      </c>
      <c r="L358" s="27">
        <f>IFERROR(__xludf.DUMMYFUNCTION("""COMPUTED_VALUE"""),46020.0)</f>
        <v>46020</v>
      </c>
      <c r="M358" s="3"/>
      <c r="N358" s="3"/>
      <c r="O358" s="3" t="str">
        <f>IFERROR(VLOOKUP(C358,Sheet4!A358:F1145,6,0),"")</f>
        <v/>
      </c>
      <c r="Q358" s="2" t="str">
        <f t="shared" si="1"/>
        <v>29</v>
      </c>
    </row>
    <row r="359">
      <c r="A359" s="3" t="str">
        <f>IFERROR(__xludf.DUMMYFUNCTION("""COMPUTED_VALUE"""),"Standby On Call")</f>
        <v>Standby On Call</v>
      </c>
      <c r="B359" s="3" t="str">
        <f>IFERROR(__xludf.DUMMYFUNCTION("""COMPUTED_VALUE"""),"P3")</f>
        <v>P3</v>
      </c>
      <c r="C359" s="3"/>
      <c r="D359" s="3" t="str">
        <f>IFERROR(__xludf.DUMMYFUNCTION("""COMPUTED_VALUE"""),"Rio ardinata")</f>
        <v>Rio ardinata</v>
      </c>
      <c r="E359" s="3" t="str">
        <f>IFERROR(__xludf.DUMMYFUNCTION("""COMPUTED_VALUE"""),"MBP")</f>
        <v>MBP</v>
      </c>
      <c r="F359" s="3" t="str">
        <f>IFERROR(__xludf.DUMMYFUNCTION("""COMPUTED_VALUE"""),"Winda Sokenda")</f>
        <v>Winda Sokenda</v>
      </c>
      <c r="G359" s="3" t="str">
        <f>IFERROR(__xludf.DUMMYFUNCTION("""COMPUTED_VALUE"""),"Barito Raya")</f>
        <v>Barito Raya</v>
      </c>
      <c r="H359" s="3" t="str">
        <f>IFERROR(__xludf.DUMMYFUNCTION("""COMPUTED_VALUE"""),"Standby")</f>
        <v>Standby</v>
      </c>
      <c r="I359" s="3" t="str">
        <f>IFERROR(__xludf.DUMMYFUNCTION("""COMPUTED_VALUE"""),"Standby On Call")</f>
        <v>Standby On Call</v>
      </c>
      <c r="J359" s="3" t="str">
        <f>IFERROR(__xludf.DUMMYFUNCTION("""COMPUTED_VALUE"""),"Standby")</f>
        <v>Standby</v>
      </c>
      <c r="K359" s="27">
        <f>IFERROR(__xludf.DUMMYFUNCTION("""COMPUTED_VALUE"""),46020.0)</f>
        <v>46020</v>
      </c>
      <c r="L359" s="27">
        <f>IFERROR(__xludf.DUMMYFUNCTION("""COMPUTED_VALUE"""),46020.0)</f>
        <v>46020</v>
      </c>
      <c r="M359" s="3"/>
      <c r="N359" s="3"/>
      <c r="O359" s="3" t="str">
        <f>IFERROR(VLOOKUP(C359,Sheet4!A359:F1146,6,0),"")</f>
        <v/>
      </c>
      <c r="Q359" s="2" t="str">
        <f t="shared" si="1"/>
        <v>29</v>
      </c>
    </row>
    <row r="360">
      <c r="A360" s="3" t="str">
        <f>IFERROR(__xludf.DUMMYFUNCTION("""COMPUTED_VALUE"""),"On Leave")</f>
        <v>On Leave</v>
      </c>
      <c r="B360" s="3" t="str">
        <f>IFERROR(__xludf.DUMMYFUNCTION("""COMPUTED_VALUE"""),"P3")</f>
        <v>P3</v>
      </c>
      <c r="C360" s="3"/>
      <c r="D360" s="3" t="str">
        <f>IFERROR(__xludf.DUMMYFUNCTION("""COMPUTED_VALUE"""),"Ahmad Muzakir")</f>
        <v>Ahmad Muzakir</v>
      </c>
      <c r="E360" s="3" t="str">
        <f>IFERROR(__xludf.DUMMYFUNCTION("""COMPUTED_VALUE"""),"MBP")</f>
        <v>MBP</v>
      </c>
      <c r="F360" s="3" t="str">
        <f>IFERROR(__xludf.DUMMYFUNCTION("""COMPUTED_VALUE"""),"Winda Sokenda")</f>
        <v>Winda Sokenda</v>
      </c>
      <c r="G360" s="3" t="str">
        <f>IFERROR(__xludf.DUMMYFUNCTION("""COMPUTED_VALUE"""),"Barito Raya")</f>
        <v>Barito Raya</v>
      </c>
      <c r="H360" s="3" t="str">
        <f>IFERROR(__xludf.DUMMYFUNCTION("""COMPUTED_VALUE"""),"On Leave")</f>
        <v>On Leave</v>
      </c>
      <c r="I360" s="3" t="str">
        <f>IFERROR(__xludf.DUMMYFUNCTION("""COMPUTED_VALUE"""),"On Leave")</f>
        <v>On Leave</v>
      </c>
      <c r="J360" s="3"/>
      <c r="K360" s="27">
        <f>IFERROR(__xludf.DUMMYFUNCTION("""COMPUTED_VALUE"""),46020.0)</f>
        <v>46020</v>
      </c>
      <c r="L360" s="27">
        <f>IFERROR(__xludf.DUMMYFUNCTION("""COMPUTED_VALUE"""),46020.0)</f>
        <v>46020</v>
      </c>
      <c r="M360" s="3"/>
      <c r="N360" s="3"/>
      <c r="O360" s="3" t="str">
        <f>IFERROR(VLOOKUP(C360,Sheet4!A360:F1147,6,0),"")</f>
        <v/>
      </c>
      <c r="Q360" s="2" t="str">
        <f t="shared" si="1"/>
        <v>29</v>
      </c>
    </row>
    <row r="361">
      <c r="A361" s="3" t="str">
        <f>IFERROR(__xludf.DUMMYFUNCTION("""COMPUTED_VALUE"""),"Cell down")</f>
        <v>Cell down</v>
      </c>
      <c r="B361" s="3" t="str">
        <f>IFERROR(__xludf.DUMMYFUNCTION("""COMPUTED_VALUE"""),"P1")</f>
        <v>P1</v>
      </c>
      <c r="C361" s="3" t="str">
        <f>IFERROR(__xludf.DUMMYFUNCTION("""COMPUTED_VALUE"""),"KKP065")</f>
        <v>KKP065</v>
      </c>
      <c r="D361" s="3" t="str">
        <f>IFERROR(__xludf.DUMMYFUNCTION("""COMPUTED_VALUE"""),"Alfi Syahri")</f>
        <v>Alfi Syahri</v>
      </c>
      <c r="E361" s="3" t="str">
        <f>IFERROR(__xludf.DUMMYFUNCTION("""COMPUTED_VALUE"""),"CME")</f>
        <v>CME</v>
      </c>
      <c r="F361" s="3" t="str">
        <f>IFERROR(__xludf.DUMMYFUNCTION("""COMPUTED_VALUE"""),"Winda Sokenda")</f>
        <v>Winda Sokenda</v>
      </c>
      <c r="G361" s="3" t="str">
        <f>IFERROR(__xludf.DUMMYFUNCTION("""COMPUTED_VALUE"""),"Barito Raya")</f>
        <v>Barito Raya</v>
      </c>
      <c r="H361" s="3" t="str">
        <f>IFERROR(__xludf.DUMMYFUNCTION("""COMPUTED_VALUE"""),"Corrective")</f>
        <v>Corrective</v>
      </c>
      <c r="I361" s="3" t="str">
        <f>IFERROR(__xludf.DUMMYFUNCTION("""COMPUTED_VALUE"""),"Replace Optik,RRU/Soket Power/Replace GPS")</f>
        <v>Replace Optik,RRU/Soket Power/Replace GPS</v>
      </c>
      <c r="J361" s="3" t="str">
        <f>IFERROR(__xludf.DUMMYFUNCTION("""COMPUTED_VALUE"""),"On Progress")</f>
        <v>On Progress</v>
      </c>
      <c r="K361" s="27">
        <f>IFERROR(__xludf.DUMMYFUNCTION("""COMPUTED_VALUE"""),46020.0)</f>
        <v>46020</v>
      </c>
      <c r="L361" s="27">
        <f>IFERROR(__xludf.DUMMYFUNCTION("""COMPUTED_VALUE"""),46020.0)</f>
        <v>46020</v>
      </c>
      <c r="M361" s="3" t="str">
        <f>IFERROR(__xludf.DUMMYFUNCTION("""COMPUTED_VALUE"""),"Done")</f>
        <v>Done</v>
      </c>
      <c r="N361" s="3" t="str">
        <f>IFERROR(__xludf.DUMMYFUNCTION("""COMPUTED_VALUE"""),"waiting cable jumper")</f>
        <v>waiting cable jumper</v>
      </c>
      <c r="O361" s="3" t="str">
        <f>IFERROR(VLOOKUP(C361,Sheet4!A361:F1148,6,0),"")</f>
        <v/>
      </c>
      <c r="Q361" s="2" t="str">
        <f t="shared" si="1"/>
        <v>29</v>
      </c>
    </row>
    <row r="362">
      <c r="A362" s="3" t="str">
        <f>IFERROR(__xludf.DUMMYFUNCTION("""COMPUTED_VALUE"""),"Standby On Call")</f>
        <v>Standby On Call</v>
      </c>
      <c r="B362" s="3" t="str">
        <f>IFERROR(__xludf.DUMMYFUNCTION("""COMPUTED_VALUE"""),"P3")</f>
        <v>P3</v>
      </c>
      <c r="C362" s="3"/>
      <c r="D362" s="3" t="str">
        <f>IFERROR(__xludf.DUMMYFUNCTION("""COMPUTED_VALUE"""),"Pujianto")</f>
        <v>Pujianto</v>
      </c>
      <c r="E362" s="3" t="str">
        <f>IFERROR(__xludf.DUMMYFUNCTION("""COMPUTED_VALUE"""),"MBP")</f>
        <v>MBP</v>
      </c>
      <c r="F362" s="3" t="str">
        <f>IFERROR(__xludf.DUMMYFUNCTION("""COMPUTED_VALUE"""),"Winda Sokenda")</f>
        <v>Winda Sokenda</v>
      </c>
      <c r="G362" s="3" t="str">
        <f>IFERROR(__xludf.DUMMYFUNCTION("""COMPUTED_VALUE"""),"Barito Raya")</f>
        <v>Barito Raya</v>
      </c>
      <c r="H362" s="3" t="str">
        <f>IFERROR(__xludf.DUMMYFUNCTION("""COMPUTED_VALUE"""),"Standby")</f>
        <v>Standby</v>
      </c>
      <c r="I362" s="3" t="str">
        <f>IFERROR(__xludf.DUMMYFUNCTION("""COMPUTED_VALUE"""),"Standby On Call")</f>
        <v>Standby On Call</v>
      </c>
      <c r="J362" s="3"/>
      <c r="K362" s="27">
        <f>IFERROR(__xludf.DUMMYFUNCTION("""COMPUTED_VALUE"""),46020.0)</f>
        <v>46020</v>
      </c>
      <c r="L362" s="27">
        <f>IFERROR(__xludf.DUMMYFUNCTION("""COMPUTED_VALUE"""),46020.0)</f>
        <v>46020</v>
      </c>
      <c r="M362" s="3"/>
      <c r="N362" s="3"/>
      <c r="O362" s="3" t="str">
        <f>IFERROR(VLOOKUP(C362,Sheet4!A362:F1149,6,0),"")</f>
        <v/>
      </c>
      <c r="Q362" s="2" t="str">
        <f t="shared" si="1"/>
        <v>29</v>
      </c>
    </row>
    <row r="363">
      <c r="A363" s="3" t="str">
        <f>IFERROR(__xludf.DUMMYFUNCTION("""COMPUTED_VALUE"""),"Standby On Call")</f>
        <v>Standby On Call</v>
      </c>
      <c r="B363" s="3" t="str">
        <f>IFERROR(__xludf.DUMMYFUNCTION("""COMPUTED_VALUE"""),"P3")</f>
        <v>P3</v>
      </c>
      <c r="C363" s="3"/>
      <c r="D363" s="3" t="str">
        <f>IFERROR(__xludf.DUMMYFUNCTION("""COMPUTED_VALUE"""),"Trisno Susanto")</f>
        <v>Trisno Susanto</v>
      </c>
      <c r="E363" s="3" t="str">
        <f>IFERROR(__xludf.DUMMYFUNCTION("""COMPUTED_VALUE"""),"PM")</f>
        <v>PM</v>
      </c>
      <c r="F363" s="3" t="str">
        <f>IFERROR(__xludf.DUMMYFUNCTION("""COMPUTED_VALUE"""),"Winda Sokenda")</f>
        <v>Winda Sokenda</v>
      </c>
      <c r="G363" s="3" t="str">
        <f>IFERROR(__xludf.DUMMYFUNCTION("""COMPUTED_VALUE"""),"Barito Raya")</f>
        <v>Barito Raya</v>
      </c>
      <c r="H363" s="3" t="str">
        <f>IFERROR(__xludf.DUMMYFUNCTION("""COMPUTED_VALUE"""),"Standby")</f>
        <v>Standby</v>
      </c>
      <c r="I363" s="3" t="str">
        <f>IFERROR(__xludf.DUMMYFUNCTION("""COMPUTED_VALUE"""),"Standby On Call")</f>
        <v>Standby On Call</v>
      </c>
      <c r="J363" s="3"/>
      <c r="K363" s="27">
        <f>IFERROR(__xludf.DUMMYFUNCTION("""COMPUTED_VALUE"""),46020.0)</f>
        <v>46020</v>
      </c>
      <c r="L363" s="27">
        <f>IFERROR(__xludf.DUMMYFUNCTION("""COMPUTED_VALUE"""),46020.0)</f>
        <v>46020</v>
      </c>
      <c r="M363" s="3"/>
      <c r="N363" s="3"/>
      <c r="O363" s="3" t="str">
        <f>IFERROR(VLOOKUP(C363,Sheet4!A363:F1150,6,0),"")</f>
        <v/>
      </c>
      <c r="Q363" s="2" t="str">
        <f t="shared" si="1"/>
        <v>29</v>
      </c>
    </row>
    <row r="364">
      <c r="A364" s="3" t="str">
        <f>IFERROR(__xludf.DUMMYFUNCTION("""COMPUTED_VALUE"""),"Standby On Call")</f>
        <v>Standby On Call</v>
      </c>
      <c r="B364" s="3" t="str">
        <f>IFERROR(__xludf.DUMMYFUNCTION("""COMPUTED_VALUE"""),"P3")</f>
        <v>P3</v>
      </c>
      <c r="C364" s="3"/>
      <c r="D364" s="3" t="str">
        <f>IFERROR(__xludf.DUMMYFUNCTION("""COMPUTED_VALUE"""),"Khilal dawai katiri")</f>
        <v>Khilal dawai katiri</v>
      </c>
      <c r="E364" s="3" t="str">
        <f>IFERROR(__xludf.DUMMYFUNCTION("""COMPUTED_VALUE"""),"MBP")</f>
        <v>MBP</v>
      </c>
      <c r="F364" s="3" t="str">
        <f>IFERROR(__xludf.DUMMYFUNCTION("""COMPUTED_VALUE"""),"Winda Sokenda")</f>
        <v>Winda Sokenda</v>
      </c>
      <c r="G364" s="3" t="str">
        <f>IFERROR(__xludf.DUMMYFUNCTION("""COMPUTED_VALUE"""),"Barito Raya")</f>
        <v>Barito Raya</v>
      </c>
      <c r="H364" s="3" t="str">
        <f>IFERROR(__xludf.DUMMYFUNCTION("""COMPUTED_VALUE"""),"Standby")</f>
        <v>Standby</v>
      </c>
      <c r="I364" s="3" t="str">
        <f>IFERROR(__xludf.DUMMYFUNCTION("""COMPUTED_VALUE"""),"Standby On Call")</f>
        <v>Standby On Call</v>
      </c>
      <c r="J364" s="3"/>
      <c r="K364" s="27">
        <f>IFERROR(__xludf.DUMMYFUNCTION("""COMPUTED_VALUE"""),46020.0)</f>
        <v>46020</v>
      </c>
      <c r="L364" s="27">
        <f>IFERROR(__xludf.DUMMYFUNCTION("""COMPUTED_VALUE"""),46020.0)</f>
        <v>46020</v>
      </c>
      <c r="M364" s="3"/>
      <c r="N364" s="3"/>
      <c r="O364" s="3" t="str">
        <f>IFERROR(VLOOKUP(C364,Sheet4!A364:F1151,6,0),"")</f>
        <v/>
      </c>
      <c r="Q364" s="2" t="str">
        <f t="shared" si="1"/>
        <v>29</v>
      </c>
    </row>
    <row r="365">
      <c r="A365" s="3" t="str">
        <f>IFERROR(__xludf.DUMMYFUNCTION("""COMPUTED_VALUE"""),"Standby On Call")</f>
        <v>Standby On Call</v>
      </c>
      <c r="B365" s="3" t="str">
        <f>IFERROR(__xludf.DUMMYFUNCTION("""COMPUTED_VALUE"""),"P3")</f>
        <v>P3</v>
      </c>
      <c r="C365" s="3"/>
      <c r="D365" s="3" t="str">
        <f>IFERROR(__xludf.DUMMYFUNCTION("""COMPUTED_VALUE"""),"Riko setiadi")</f>
        <v>Riko setiadi</v>
      </c>
      <c r="E365" s="3" t="str">
        <f>IFERROR(__xludf.DUMMYFUNCTION("""COMPUTED_VALUE"""),"PM")</f>
        <v>PM</v>
      </c>
      <c r="F365" s="3" t="str">
        <f>IFERROR(__xludf.DUMMYFUNCTION("""COMPUTED_VALUE"""),"Winda Sokenda")</f>
        <v>Winda Sokenda</v>
      </c>
      <c r="G365" s="3" t="str">
        <f>IFERROR(__xludf.DUMMYFUNCTION("""COMPUTED_VALUE"""),"Barito Raya")</f>
        <v>Barito Raya</v>
      </c>
      <c r="H365" s="3" t="str">
        <f>IFERROR(__xludf.DUMMYFUNCTION("""COMPUTED_VALUE"""),"Standby")</f>
        <v>Standby</v>
      </c>
      <c r="I365" s="3" t="str">
        <f>IFERROR(__xludf.DUMMYFUNCTION("""COMPUTED_VALUE"""),"Standby On Call")</f>
        <v>Standby On Call</v>
      </c>
      <c r="J365" s="3"/>
      <c r="K365" s="27">
        <f>IFERROR(__xludf.DUMMYFUNCTION("""COMPUTED_VALUE"""),46020.0)</f>
        <v>46020</v>
      </c>
      <c r="L365" s="27">
        <f>IFERROR(__xludf.DUMMYFUNCTION("""COMPUTED_VALUE"""),46020.0)</f>
        <v>46020</v>
      </c>
      <c r="M365" s="3"/>
      <c r="N365" s="3"/>
      <c r="O365" s="3" t="str">
        <f>IFERROR(VLOOKUP(C365,Sheet4!A365:F1152,6,0),"")</f>
        <v/>
      </c>
      <c r="Q365" s="2" t="str">
        <f t="shared" si="1"/>
        <v>29</v>
      </c>
    </row>
    <row r="366">
      <c r="A366" s="3" t="str">
        <f>IFERROR(__xludf.DUMMYFUNCTION("""COMPUTED_VALUE"""),"Cell down")</f>
        <v>Cell down</v>
      </c>
      <c r="B366" s="3" t="str">
        <f>IFERROR(__xludf.DUMMYFUNCTION("""COMPUTED_VALUE"""),"P1")</f>
        <v>P1</v>
      </c>
      <c r="C366" s="3" t="str">
        <f>IFERROR(__xludf.DUMMYFUNCTION("""COMPUTED_VALUE"""),"PLK247")</f>
        <v>PLK247</v>
      </c>
      <c r="D366" s="3" t="str">
        <f>IFERROR(__xludf.DUMMYFUNCTION("""COMPUTED_VALUE"""),"Ahmad Setiawan")</f>
        <v>Ahmad Setiawan</v>
      </c>
      <c r="E366" s="3" t="str">
        <f>IFERROR(__xludf.DUMMYFUNCTION("""COMPUTED_VALUE"""),"TE")</f>
        <v>TE</v>
      </c>
      <c r="F366" s="3" t="str">
        <f>IFERROR(__xludf.DUMMYFUNCTION("""COMPUTED_VALUE"""),"Doni Damara")</f>
        <v>Doni Damara</v>
      </c>
      <c r="G366" s="3" t="str">
        <f>IFERROR(__xludf.DUMMYFUNCTION("""COMPUTED_VALUE"""),"Palangkaraya")</f>
        <v>Palangkaraya</v>
      </c>
      <c r="H366" s="3" t="str">
        <f>IFERROR(__xludf.DUMMYFUNCTION("""COMPUTED_VALUE"""),"Corrective")</f>
        <v>Corrective</v>
      </c>
      <c r="I366" s="3" t="str">
        <f>IFERROR(__xludf.DUMMYFUNCTION("""COMPUTED_VALUE"""),"Replace Optik,RRU/Soket Power/Replace GPS")</f>
        <v>Replace Optik,RRU/Soket Power/Replace GPS</v>
      </c>
      <c r="J366" s="3" t="str">
        <f>IFERROR(__xludf.DUMMYFUNCTION("""COMPUTED_VALUE"""),"On Progress")</f>
        <v>On Progress</v>
      </c>
      <c r="K366" s="27">
        <f>IFERROR(__xludf.DUMMYFUNCTION("""COMPUTED_VALUE"""),46020.0)</f>
        <v>46020</v>
      </c>
      <c r="L366" s="3"/>
      <c r="M366" s="3" t="str">
        <f>IFERROR(__xludf.DUMMYFUNCTION("""COMPUTED_VALUE"""),"Done")</f>
        <v>Done</v>
      </c>
      <c r="N366" s="3"/>
      <c r="O366" s="3">
        <f>IFERROR(VLOOKUP(C366,Sheet4!A366:F1153,6,0),"")</f>
        <v>11391569</v>
      </c>
      <c r="Q366" s="2" t="str">
        <f t="shared" si="1"/>
        <v>29</v>
      </c>
    </row>
    <row r="367">
      <c r="A367" s="3" t="str">
        <f>IFERROR(__xludf.DUMMYFUNCTION("""COMPUTED_VALUE"""),"Cell down")</f>
        <v>Cell down</v>
      </c>
      <c r="B367" s="3" t="str">
        <f>IFERROR(__xludf.DUMMYFUNCTION("""COMPUTED_VALUE"""),"P1")</f>
        <v>P1</v>
      </c>
      <c r="C367" s="3" t="str">
        <f>IFERROR(__xludf.DUMMYFUNCTION("""COMPUTED_VALUE"""),"PLK247")</f>
        <v>PLK247</v>
      </c>
      <c r="D367" s="3" t="str">
        <f>IFERROR(__xludf.DUMMYFUNCTION("""COMPUTED_VALUE"""),"Ahmad")</f>
        <v>Ahmad</v>
      </c>
      <c r="E367" s="3" t="str">
        <f>IFERROR(__xludf.DUMMYFUNCTION("""COMPUTED_VALUE"""),"TE")</f>
        <v>TE</v>
      </c>
      <c r="F367" s="3" t="str">
        <f>IFERROR(__xludf.DUMMYFUNCTION("""COMPUTED_VALUE"""),"Doni Damara")</f>
        <v>Doni Damara</v>
      </c>
      <c r="G367" s="3" t="str">
        <f>IFERROR(__xludf.DUMMYFUNCTION("""COMPUTED_VALUE"""),"Palangkaraya")</f>
        <v>Palangkaraya</v>
      </c>
      <c r="H367" s="3" t="str">
        <f>IFERROR(__xludf.DUMMYFUNCTION("""COMPUTED_VALUE"""),"Corrective")</f>
        <v>Corrective</v>
      </c>
      <c r="I367" s="3" t="str">
        <f>IFERROR(__xludf.DUMMYFUNCTION("""COMPUTED_VALUE"""),"Replace Optik,RRU/Soket Power/Replace GPS")</f>
        <v>Replace Optik,RRU/Soket Power/Replace GPS</v>
      </c>
      <c r="J367" s="3" t="str">
        <f>IFERROR(__xludf.DUMMYFUNCTION("""COMPUTED_VALUE"""),"On Progress")</f>
        <v>On Progress</v>
      </c>
      <c r="K367" s="27">
        <f>IFERROR(__xludf.DUMMYFUNCTION("""COMPUTED_VALUE"""),46020.0)</f>
        <v>46020</v>
      </c>
      <c r="L367" s="3"/>
      <c r="M367" s="3" t="str">
        <f>IFERROR(__xludf.DUMMYFUNCTION("""COMPUTED_VALUE"""),"Done")</f>
        <v>Done</v>
      </c>
      <c r="N367" s="3"/>
      <c r="O367" s="3">
        <f>IFERROR(VLOOKUP(C367,Sheet4!A367:F1154,6,0),"")</f>
        <v>11391569</v>
      </c>
      <c r="Q367" s="2" t="str">
        <f t="shared" si="1"/>
        <v>29</v>
      </c>
    </row>
    <row r="368">
      <c r="A368" s="3" t="str">
        <f>IFERROR(__xludf.DUMMYFUNCTION("""COMPUTED_VALUE"""),"Cell down")</f>
        <v>Cell down</v>
      </c>
      <c r="B368" s="3" t="str">
        <f>IFERROR(__xludf.DUMMYFUNCTION("""COMPUTED_VALUE"""),"P1")</f>
        <v>P1</v>
      </c>
      <c r="C368" s="3" t="str">
        <f>IFERROR(__xludf.DUMMYFUNCTION("""COMPUTED_VALUE"""),"PLK237")</f>
        <v>PLK237</v>
      </c>
      <c r="D368" s="3" t="str">
        <f>IFERROR(__xludf.DUMMYFUNCTION("""COMPUTED_VALUE"""),"Fahmi")</f>
        <v>Fahmi</v>
      </c>
      <c r="E368" s="3" t="str">
        <f>IFERROR(__xludf.DUMMYFUNCTION("""COMPUTED_VALUE"""),"TE")</f>
        <v>TE</v>
      </c>
      <c r="F368" s="3" t="str">
        <f>IFERROR(__xludf.DUMMYFUNCTION("""COMPUTED_VALUE"""),"Doni Damara")</f>
        <v>Doni Damara</v>
      </c>
      <c r="G368" s="3" t="str">
        <f>IFERROR(__xludf.DUMMYFUNCTION("""COMPUTED_VALUE"""),"Palangkaraya")</f>
        <v>Palangkaraya</v>
      </c>
      <c r="H368" s="3" t="str">
        <f>IFERROR(__xludf.DUMMYFUNCTION("""COMPUTED_VALUE"""),"Corrective")</f>
        <v>Corrective</v>
      </c>
      <c r="I368" s="3" t="str">
        <f>IFERROR(__xludf.DUMMYFUNCTION("""COMPUTED_VALUE"""),"Replace Optik,RRU/Soket Power/Replace GPS")</f>
        <v>Replace Optik,RRU/Soket Power/Replace GPS</v>
      </c>
      <c r="J368" s="3" t="str">
        <f>IFERROR(__xludf.DUMMYFUNCTION("""COMPUTED_VALUE"""),"On Progress")</f>
        <v>On Progress</v>
      </c>
      <c r="K368" s="27">
        <f>IFERROR(__xludf.DUMMYFUNCTION("""COMPUTED_VALUE"""),46020.0)</f>
        <v>46020</v>
      </c>
      <c r="L368" s="3"/>
      <c r="M368" s="3" t="str">
        <f>IFERROR(__xludf.DUMMYFUNCTION("""COMPUTED_VALUE"""),"Done")</f>
        <v>Done</v>
      </c>
      <c r="N368" s="3"/>
      <c r="O368" s="3">
        <f>IFERROR(VLOOKUP(C368,Sheet4!A368:F1155,6,0),"")</f>
        <v>11391264</v>
      </c>
      <c r="Q368" s="2" t="str">
        <f t="shared" si="1"/>
        <v>29</v>
      </c>
    </row>
    <row r="369">
      <c r="A369" s="3" t="str">
        <f>IFERROR(__xludf.DUMMYFUNCTION("""COMPUTED_VALUE"""),"Cell down")</f>
        <v>Cell down</v>
      </c>
      <c r="B369" s="3" t="str">
        <f>IFERROR(__xludf.DUMMYFUNCTION("""COMPUTED_VALUE"""),"P1")</f>
        <v>P1</v>
      </c>
      <c r="C369" s="3" t="str">
        <f>IFERROR(__xludf.DUMMYFUNCTION("""COMPUTED_VALUE"""),"PLK240")</f>
        <v>PLK240</v>
      </c>
      <c r="D369" s="3" t="str">
        <f>IFERROR(__xludf.DUMMYFUNCTION("""COMPUTED_VALUE"""),"Jumadi")</f>
        <v>Jumadi</v>
      </c>
      <c r="E369" s="3" t="str">
        <f>IFERROR(__xludf.DUMMYFUNCTION("""COMPUTED_VALUE"""),"TE")</f>
        <v>TE</v>
      </c>
      <c r="F369" s="3" t="str">
        <f>IFERROR(__xludf.DUMMYFUNCTION("""COMPUTED_VALUE"""),"Doni Damara")</f>
        <v>Doni Damara</v>
      </c>
      <c r="G369" s="3" t="str">
        <f>IFERROR(__xludf.DUMMYFUNCTION("""COMPUTED_VALUE"""),"Palangkaraya")</f>
        <v>Palangkaraya</v>
      </c>
      <c r="H369" s="3" t="str">
        <f>IFERROR(__xludf.DUMMYFUNCTION("""COMPUTED_VALUE"""),"Corrective")</f>
        <v>Corrective</v>
      </c>
      <c r="I369" s="3" t="str">
        <f>IFERROR(__xludf.DUMMYFUNCTION("""COMPUTED_VALUE"""),"Replace Optik,RRU/Soket Power/Replace GPS")</f>
        <v>Replace Optik,RRU/Soket Power/Replace GPS</v>
      </c>
      <c r="J369" s="3" t="str">
        <f>IFERROR(__xludf.DUMMYFUNCTION("""COMPUTED_VALUE"""),"On Progress")</f>
        <v>On Progress</v>
      </c>
      <c r="K369" s="27">
        <f>IFERROR(__xludf.DUMMYFUNCTION("""COMPUTED_VALUE"""),46020.0)</f>
        <v>46020</v>
      </c>
      <c r="L369" s="3"/>
      <c r="M369" s="3" t="str">
        <f>IFERROR(__xludf.DUMMYFUNCTION("""COMPUTED_VALUE"""),"Waiting Update")</f>
        <v>Waiting Update</v>
      </c>
      <c r="N369" s="3"/>
      <c r="O369" s="3">
        <f>IFERROR(VLOOKUP(C369,Sheet4!A369:F1156,6,0),"")</f>
        <v>11390138</v>
      </c>
      <c r="Q369" s="2" t="str">
        <f t="shared" si="1"/>
        <v>29</v>
      </c>
    </row>
    <row r="370">
      <c r="A370" s="3" t="str">
        <f>IFERROR(__xludf.DUMMYFUNCTION("""COMPUTED_VALUE"""),"PM")</f>
        <v>PM</v>
      </c>
      <c r="B370" s="3" t="str">
        <f>IFERROR(__xludf.DUMMYFUNCTION("""COMPUTED_VALUE"""),"P2")</f>
        <v>P2</v>
      </c>
      <c r="C370" s="3" t="str">
        <f>IFERROR(__xludf.DUMMYFUNCTION("""COMPUTED_VALUE"""),"PPS264")</f>
        <v>PPS264</v>
      </c>
      <c r="D370" s="3" t="str">
        <f>IFERROR(__xludf.DUMMYFUNCTION("""COMPUTED_VALUE"""),"Adi Bowo Santoso")</f>
        <v>Adi Bowo Santoso</v>
      </c>
      <c r="E370" s="3" t="str">
        <f>IFERROR(__xludf.DUMMYFUNCTION("""COMPUTED_VALUE"""),"TE")</f>
        <v>TE</v>
      </c>
      <c r="F370" s="3" t="str">
        <f>IFERROR(__xludf.DUMMYFUNCTION("""COMPUTED_VALUE"""),"Winda Sokenda")</f>
        <v>Winda Sokenda</v>
      </c>
      <c r="G370" s="3" t="str">
        <f>IFERROR(__xludf.DUMMYFUNCTION("""COMPUTED_VALUE"""),"Barito Raya")</f>
        <v>Barito Raya</v>
      </c>
      <c r="H370" s="3" t="str">
        <f>IFERROR(__xludf.DUMMYFUNCTION("""COMPUTED_VALUE"""),"Preventive")</f>
        <v>Preventive</v>
      </c>
      <c r="I370" s="3" t="str">
        <f>IFERROR(__xludf.DUMMYFUNCTION("""COMPUTED_VALUE"""),"Preventive Maintenance")</f>
        <v>Preventive Maintenance</v>
      </c>
      <c r="J370" s="3" t="str">
        <f>IFERROR(__xludf.DUMMYFUNCTION("""COMPUTED_VALUE"""),"On Progress")</f>
        <v>On Progress</v>
      </c>
      <c r="K370" s="27">
        <f>IFERROR(__xludf.DUMMYFUNCTION("""COMPUTED_VALUE"""),46020.0)</f>
        <v>46020</v>
      </c>
      <c r="L370" s="27">
        <f>IFERROR(__xludf.DUMMYFUNCTION("""COMPUTED_VALUE"""),46020.0)</f>
        <v>46020</v>
      </c>
      <c r="M370" s="3" t="str">
        <f>IFERROR(__xludf.DUMMYFUNCTION("""COMPUTED_VALUE"""),"Done")</f>
        <v>Done</v>
      </c>
      <c r="N370" s="3"/>
      <c r="O370" s="3">
        <f>IFERROR(VLOOKUP(C370,Sheet4!A370:F1157,6,0),"")</f>
        <v>11391273</v>
      </c>
      <c r="Q370" s="2" t="str">
        <f t="shared" si="1"/>
        <v>29</v>
      </c>
    </row>
    <row r="371">
      <c r="A371" s="3" t="str">
        <f>IFERROR(__xludf.DUMMYFUNCTION("""COMPUTED_VALUE"""),"Vswr")</f>
        <v>Vswr</v>
      </c>
      <c r="B371" s="3" t="str">
        <f>IFERROR(__xludf.DUMMYFUNCTION("""COMPUTED_VALUE"""),"P1")</f>
        <v>P1</v>
      </c>
      <c r="C371" s="3" t="str">
        <f>IFERROR(__xludf.DUMMYFUNCTION("""COMPUTED_VALUE"""),"PLK002")</f>
        <v>PLK002</v>
      </c>
      <c r="D371" s="3" t="str">
        <f>IFERROR(__xludf.DUMMYFUNCTION("""COMPUTED_VALUE"""),"Oky Bangkit Pamungkas")</f>
        <v>Oky Bangkit Pamungkas</v>
      </c>
      <c r="E371" s="3" t="str">
        <f>IFERROR(__xludf.DUMMYFUNCTION("""COMPUTED_VALUE"""),"TE")</f>
        <v>TE</v>
      </c>
      <c r="F371" s="3" t="str">
        <f>IFERROR(__xludf.DUMMYFUNCTION("""COMPUTED_VALUE"""),"Doni Damara")</f>
        <v>Doni Damara</v>
      </c>
      <c r="G371" s="3" t="str">
        <f>IFERROR(__xludf.DUMMYFUNCTION("""COMPUTED_VALUE"""),"Palangkaraya")</f>
        <v>Palangkaraya</v>
      </c>
      <c r="H371" s="3" t="str">
        <f>IFERROR(__xludf.DUMMYFUNCTION("""COMPUTED_VALUE"""),"Corrective")</f>
        <v>Corrective</v>
      </c>
      <c r="I371" s="3" t="str">
        <f>IFERROR(__xludf.DUMMYFUNCTION("""COMPUTED_VALUE"""),"Replace Jumper,antena/RRU")</f>
        <v>Replace Jumper,antena/RRU</v>
      </c>
      <c r="J371" s="3" t="str">
        <f>IFERROR(__xludf.DUMMYFUNCTION("""COMPUTED_VALUE"""),"On Progress")</f>
        <v>On Progress</v>
      </c>
      <c r="K371" s="27">
        <f>IFERROR(__xludf.DUMMYFUNCTION("""COMPUTED_VALUE"""),46020.0)</f>
        <v>46020</v>
      </c>
      <c r="L371" s="3"/>
      <c r="M371" s="3" t="str">
        <f>IFERROR(__xludf.DUMMYFUNCTION("""COMPUTED_VALUE"""),"Pending")</f>
        <v>Pending</v>
      </c>
      <c r="N371" s="3"/>
      <c r="O371" s="3">
        <f>IFERROR(VLOOKUP(C371,Sheet4!A371:F1158,6,0),"")</f>
        <v>11388602</v>
      </c>
      <c r="Q371" s="2" t="str">
        <f t="shared" si="1"/>
        <v>29</v>
      </c>
    </row>
    <row r="372">
      <c r="A372" s="3" t="str">
        <f>IFERROR(__xludf.DUMMYFUNCTION("""COMPUTED_VALUE"""),"Cell down")</f>
        <v>Cell down</v>
      </c>
      <c r="B372" s="3" t="str">
        <f>IFERROR(__xludf.DUMMYFUNCTION("""COMPUTED_VALUE"""),"P1")</f>
        <v>P1</v>
      </c>
      <c r="C372" s="3" t="str">
        <f>IFERROR(__xludf.DUMMYFUNCTION("""COMPUTED_VALUE"""),"PLK002")</f>
        <v>PLK002</v>
      </c>
      <c r="D372" s="3" t="str">
        <f>IFERROR(__xludf.DUMMYFUNCTION("""COMPUTED_VALUE"""),"james jimbris")</f>
        <v>james jimbris</v>
      </c>
      <c r="E372" s="3" t="str">
        <f>IFERROR(__xludf.DUMMYFUNCTION("""COMPUTED_VALUE"""),"TE")</f>
        <v>TE</v>
      </c>
      <c r="F372" s="3" t="str">
        <f>IFERROR(__xludf.DUMMYFUNCTION("""COMPUTED_VALUE"""),"Doni Damara")</f>
        <v>Doni Damara</v>
      </c>
      <c r="G372" s="3" t="str">
        <f>IFERROR(__xludf.DUMMYFUNCTION("""COMPUTED_VALUE"""),"Palangkaraya")</f>
        <v>Palangkaraya</v>
      </c>
      <c r="H372" s="3" t="str">
        <f>IFERROR(__xludf.DUMMYFUNCTION("""COMPUTED_VALUE"""),"Corrective")</f>
        <v>Corrective</v>
      </c>
      <c r="I372" s="3" t="str">
        <f>IFERROR(__xludf.DUMMYFUNCTION("""COMPUTED_VALUE"""),"Replace Optik,RRU/Soket Power/Replace GPS")</f>
        <v>Replace Optik,RRU/Soket Power/Replace GPS</v>
      </c>
      <c r="J372" s="3" t="str">
        <f>IFERROR(__xludf.DUMMYFUNCTION("""COMPUTED_VALUE"""),"On Progress")</f>
        <v>On Progress</v>
      </c>
      <c r="K372" s="27">
        <f>IFERROR(__xludf.DUMMYFUNCTION("""COMPUTED_VALUE"""),46020.0)</f>
        <v>46020</v>
      </c>
      <c r="L372" s="3"/>
      <c r="M372" s="3" t="str">
        <f>IFERROR(__xludf.DUMMYFUNCTION("""COMPUTED_VALUE"""),"Waiting Update")</f>
        <v>Waiting Update</v>
      </c>
      <c r="N372" s="3"/>
      <c r="O372" s="3">
        <f>IFERROR(VLOOKUP(C372,Sheet4!A372:F1159,6,0),"")</f>
        <v>11388602</v>
      </c>
      <c r="Q372" s="2" t="str">
        <f t="shared" si="1"/>
        <v>29</v>
      </c>
    </row>
    <row r="373">
      <c r="A373" s="3" t="str">
        <f>IFERROR(__xludf.DUMMYFUNCTION("""COMPUTED_VALUE"""),"Cell down")</f>
        <v>Cell down</v>
      </c>
      <c r="B373" s="3" t="str">
        <f>IFERROR(__xludf.DUMMYFUNCTION("""COMPUTED_VALUE"""),"P1")</f>
        <v>P1</v>
      </c>
      <c r="C373" s="3" t="str">
        <f>IFERROR(__xludf.DUMMYFUNCTION("""COMPUTED_VALUE"""),"KSN021")</f>
        <v>KSN021</v>
      </c>
      <c r="D373" s="3" t="str">
        <f>IFERROR(__xludf.DUMMYFUNCTION("""COMPUTED_VALUE"""),"Muhammad Mukhlis")</f>
        <v>Muhammad Mukhlis</v>
      </c>
      <c r="E373" s="3" t="str">
        <f>IFERROR(__xludf.DUMMYFUNCTION("""COMPUTED_VALUE"""),"TE")</f>
        <v>TE</v>
      </c>
      <c r="F373" s="3" t="str">
        <f>IFERROR(__xludf.DUMMYFUNCTION("""COMPUTED_VALUE"""),"Doni Damara")</f>
        <v>Doni Damara</v>
      </c>
      <c r="G373" s="3" t="str">
        <f>IFERROR(__xludf.DUMMYFUNCTION("""COMPUTED_VALUE"""),"Palangkaraya")</f>
        <v>Palangkaraya</v>
      </c>
      <c r="H373" s="3" t="str">
        <f>IFERROR(__xludf.DUMMYFUNCTION("""COMPUTED_VALUE"""),"Corrective")</f>
        <v>Corrective</v>
      </c>
      <c r="I373" s="3" t="str">
        <f>IFERROR(__xludf.DUMMYFUNCTION("""COMPUTED_VALUE"""),"Replace Optik,RRU/Soket Power/Replace GPS")</f>
        <v>Replace Optik,RRU/Soket Power/Replace GPS</v>
      </c>
      <c r="J373" s="3" t="str">
        <f>IFERROR(__xludf.DUMMYFUNCTION("""COMPUTED_VALUE"""),"On Progress")</f>
        <v>On Progress</v>
      </c>
      <c r="K373" s="27">
        <f>IFERROR(__xludf.DUMMYFUNCTION("""COMPUTED_VALUE"""),46020.0)</f>
        <v>46020</v>
      </c>
      <c r="L373" s="3"/>
      <c r="M373" s="3" t="str">
        <f>IFERROR(__xludf.DUMMYFUNCTION("""COMPUTED_VALUE"""),"Pending")</f>
        <v>Pending</v>
      </c>
      <c r="N373" s="3" t="str">
        <f>IFERROR(__xludf.DUMMYFUNCTION("""COMPUTED_VALUE"""),"Terkendala Cuaca hujan")</f>
        <v>Terkendala Cuaca hujan</v>
      </c>
      <c r="O373" s="3" t="str">
        <f>IFERROR(VLOOKUP(C373,Sheet4!A373:F1160,6,0),"")</f>
        <v/>
      </c>
      <c r="Q373" s="2" t="str">
        <f t="shared" si="1"/>
        <v>29</v>
      </c>
    </row>
    <row r="374">
      <c r="A374" s="3" t="str">
        <f>IFERROR(__xludf.DUMMYFUNCTION("""COMPUTED_VALUE"""),"Pengecekan Power")</f>
        <v>Pengecekan Power</v>
      </c>
      <c r="B374" s="3" t="str">
        <f>IFERROR(__xludf.DUMMYFUNCTION("""COMPUTED_VALUE"""),"P1")</f>
        <v>P1</v>
      </c>
      <c r="C374" s="3" t="str">
        <f>IFERROR(__xludf.DUMMYFUNCTION("""COMPUTED_VALUE"""),"KSN028")</f>
        <v>KSN028</v>
      </c>
      <c r="D374" s="3" t="str">
        <f>IFERROR(__xludf.DUMMYFUNCTION("""COMPUTED_VALUE"""),"Muhammad Mukti")</f>
        <v>Muhammad Mukti</v>
      </c>
      <c r="E374" s="3" t="str">
        <f>IFERROR(__xludf.DUMMYFUNCTION("""COMPUTED_VALUE"""),"TE")</f>
        <v>TE</v>
      </c>
      <c r="F374" s="3" t="str">
        <f>IFERROR(__xludf.DUMMYFUNCTION("""COMPUTED_VALUE"""),"Doni Damara")</f>
        <v>Doni Damara</v>
      </c>
      <c r="G374" s="3" t="str">
        <f>IFERROR(__xludf.DUMMYFUNCTION("""COMPUTED_VALUE"""),"Palangkaraya")</f>
        <v>Palangkaraya</v>
      </c>
      <c r="H374" s="3" t="str">
        <f>IFERROR(__xludf.DUMMYFUNCTION("""COMPUTED_VALUE"""),"Preventive")</f>
        <v>Preventive</v>
      </c>
      <c r="I374" s="3" t="str">
        <f>IFERROR(__xludf.DUMMYFUNCTION("""COMPUTED_VALUE"""),"MCB trip/Power upnormal")</f>
        <v>MCB trip/Power upnormal</v>
      </c>
      <c r="J374" s="3" t="str">
        <f>IFERROR(__xludf.DUMMYFUNCTION("""COMPUTED_VALUE"""),"On Progress")</f>
        <v>On Progress</v>
      </c>
      <c r="K374" s="27">
        <f>IFERROR(__xludf.DUMMYFUNCTION("""COMPUTED_VALUE"""),46020.0)</f>
        <v>46020</v>
      </c>
      <c r="L374" s="27">
        <f>IFERROR(__xludf.DUMMYFUNCTION("""COMPUTED_VALUE"""),46020.0)</f>
        <v>46020</v>
      </c>
      <c r="M374" s="3" t="str">
        <f>IFERROR(__xludf.DUMMYFUNCTION("""COMPUTED_VALUE"""),"Done")</f>
        <v>Done</v>
      </c>
      <c r="N374" s="3"/>
      <c r="O374" s="3" t="str">
        <f>IFERROR(VLOOKUP(C374,Sheet4!A374:F1161,6,0),"")</f>
        <v/>
      </c>
      <c r="Q374" s="2" t="str">
        <f t="shared" si="1"/>
        <v>29</v>
      </c>
    </row>
    <row r="375">
      <c r="A375" s="3" t="str">
        <f>IFERROR(__xludf.DUMMYFUNCTION("""COMPUTED_VALUE"""),"Site Down")</f>
        <v>Site Down</v>
      </c>
      <c r="B375" s="3" t="str">
        <f>IFERROR(__xludf.DUMMYFUNCTION("""COMPUTED_VALUE"""),"P1")</f>
        <v>P1</v>
      </c>
      <c r="C375" s="3" t="str">
        <f>IFERROR(__xludf.DUMMYFUNCTION("""COMPUTED_VALUE"""),"NTH044")</f>
        <v>NTH044</v>
      </c>
      <c r="D375" s="3" t="str">
        <f>IFERROR(__xludf.DUMMYFUNCTION("""COMPUTED_VALUE"""),"melky.O.Tulangow")</f>
        <v>melky.O.Tulangow</v>
      </c>
      <c r="E375" s="3" t="str">
        <f>IFERROR(__xludf.DUMMYFUNCTION("""COMPUTED_VALUE"""),"TE")</f>
        <v>TE</v>
      </c>
      <c r="F375" s="3" t="str">
        <f>IFERROR(__xludf.DUMMYFUNCTION("""COMPUTED_VALUE"""),"Doni Damara")</f>
        <v>Doni Damara</v>
      </c>
      <c r="G375" s="3" t="str">
        <f>IFERROR(__xludf.DUMMYFUNCTION("""COMPUTED_VALUE"""),"Palangkaraya")</f>
        <v>Palangkaraya</v>
      </c>
      <c r="H375" s="3" t="str">
        <f>IFERROR(__xludf.DUMMYFUNCTION("""COMPUTED_VALUE"""),"Corrective")</f>
        <v>Corrective</v>
      </c>
      <c r="I375" s="3" t="str">
        <f>IFERROR(__xludf.DUMMYFUNCTION("""COMPUTED_VALUE"""),"Pemadaman,MCB Trip,Transmisi problem")</f>
        <v>Pemadaman,MCB Trip,Transmisi problem</v>
      </c>
      <c r="J375" s="3" t="str">
        <f>IFERROR(__xludf.DUMMYFUNCTION("""COMPUTED_VALUE"""),"On Progress")</f>
        <v>On Progress</v>
      </c>
      <c r="K375" s="27">
        <f>IFERROR(__xludf.DUMMYFUNCTION("""COMPUTED_VALUE"""),46020.0)</f>
        <v>46020</v>
      </c>
      <c r="L375" s="3"/>
      <c r="M375" s="3" t="str">
        <f>IFERROR(__xludf.DUMMYFUNCTION("""COMPUTED_VALUE"""),"Waiting Update")</f>
        <v>Waiting Update</v>
      </c>
      <c r="N375" s="3"/>
      <c r="O375" s="3">
        <f>IFERROR(VLOOKUP(C375,Sheet4!A375:F1162,6,0),"")</f>
        <v>1127164</v>
      </c>
      <c r="Q375" s="2" t="str">
        <f t="shared" si="1"/>
        <v>29</v>
      </c>
    </row>
    <row r="376">
      <c r="A376" s="3" t="str">
        <f>IFERROR(__xludf.DUMMYFUNCTION("""COMPUTED_VALUE"""),"Site Down")</f>
        <v>Site Down</v>
      </c>
      <c r="B376" s="3" t="str">
        <f>IFERROR(__xludf.DUMMYFUNCTION("""COMPUTED_VALUE"""),"P1")</f>
        <v>P1</v>
      </c>
      <c r="C376" s="3" t="str">
        <f>IFERROR(__xludf.DUMMYFUNCTION("""COMPUTED_VALUE"""),"KKN029")</f>
        <v>KKN029</v>
      </c>
      <c r="D376" s="3" t="str">
        <f>IFERROR(__xludf.DUMMYFUNCTION("""COMPUTED_VALUE"""),"Leonard")</f>
        <v>Leonard</v>
      </c>
      <c r="E376" s="3" t="str">
        <f>IFERROR(__xludf.DUMMYFUNCTION("""COMPUTED_VALUE"""),"TE")</f>
        <v>TE</v>
      </c>
      <c r="F376" s="3" t="str">
        <f>IFERROR(__xludf.DUMMYFUNCTION("""COMPUTED_VALUE"""),"Doni Damara")</f>
        <v>Doni Damara</v>
      </c>
      <c r="G376" s="3" t="str">
        <f>IFERROR(__xludf.DUMMYFUNCTION("""COMPUTED_VALUE"""),"Palangkaraya")</f>
        <v>Palangkaraya</v>
      </c>
      <c r="H376" s="3" t="str">
        <f>IFERROR(__xludf.DUMMYFUNCTION("""COMPUTED_VALUE"""),"Corrective")</f>
        <v>Corrective</v>
      </c>
      <c r="I376" s="3" t="str">
        <f>IFERROR(__xludf.DUMMYFUNCTION("""COMPUTED_VALUE"""),"Pemadaman,MCB Trip,Transmisi problem")</f>
        <v>Pemadaman,MCB Trip,Transmisi problem</v>
      </c>
      <c r="J376" s="3" t="str">
        <f>IFERROR(__xludf.DUMMYFUNCTION("""COMPUTED_VALUE"""),"On Progress")</f>
        <v>On Progress</v>
      </c>
      <c r="K376" s="27">
        <f>IFERROR(__xludf.DUMMYFUNCTION("""COMPUTED_VALUE"""),46020.0)</f>
        <v>46020</v>
      </c>
      <c r="L376" s="3"/>
      <c r="M376" s="3" t="str">
        <f>IFERROR(__xludf.DUMMYFUNCTION("""COMPUTED_VALUE"""),"Waiting Update")</f>
        <v>Waiting Update</v>
      </c>
      <c r="N376" s="3"/>
      <c r="O376" s="3" t="str">
        <f>IFERROR(VLOOKUP(C376,Sheet4!A376:F1163,6,0),"")</f>
        <v/>
      </c>
      <c r="Q376" s="2" t="str">
        <f t="shared" si="1"/>
        <v>29</v>
      </c>
    </row>
    <row r="377">
      <c r="A377" s="3" t="str">
        <f>IFERROR(__xludf.DUMMYFUNCTION("""COMPUTED_VALUE"""),"Cell down")</f>
        <v>Cell down</v>
      </c>
      <c r="B377" s="3" t="str">
        <f>IFERROR(__xludf.DUMMYFUNCTION("""COMPUTED_VALUE"""),"P1")</f>
        <v>P1</v>
      </c>
      <c r="C377" s="3" t="str">
        <f>IFERROR(__xludf.DUMMYFUNCTION("""COMPUTED_VALUE"""),"KKN012")</f>
        <v>KKN012</v>
      </c>
      <c r="D377" s="3" t="str">
        <f>IFERROR(__xludf.DUMMYFUNCTION("""COMPUTED_VALUE"""),"Aulia Rahman")</f>
        <v>Aulia Rahman</v>
      </c>
      <c r="E377" s="3" t="str">
        <f>IFERROR(__xludf.DUMMYFUNCTION("""COMPUTED_VALUE"""),"TE")</f>
        <v>TE</v>
      </c>
      <c r="F377" s="3" t="str">
        <f>IFERROR(__xludf.DUMMYFUNCTION("""COMPUTED_VALUE"""),"Doni Damara")</f>
        <v>Doni Damara</v>
      </c>
      <c r="G377" s="3" t="str">
        <f>IFERROR(__xludf.DUMMYFUNCTION("""COMPUTED_VALUE"""),"Palangkaraya")</f>
        <v>Palangkaraya</v>
      </c>
      <c r="H377" s="3" t="str">
        <f>IFERROR(__xludf.DUMMYFUNCTION("""COMPUTED_VALUE"""),"Corrective")</f>
        <v>Corrective</v>
      </c>
      <c r="I377" s="3" t="str">
        <f>IFERROR(__xludf.DUMMYFUNCTION("""COMPUTED_VALUE"""),"Replace Optik,RRU/Soket Power/Replace GPS")</f>
        <v>Replace Optik,RRU/Soket Power/Replace GPS</v>
      </c>
      <c r="J377" s="3" t="str">
        <f>IFERROR(__xludf.DUMMYFUNCTION("""COMPUTED_VALUE"""),"On Progress")</f>
        <v>On Progress</v>
      </c>
      <c r="K377" s="27">
        <f>IFERROR(__xludf.DUMMYFUNCTION("""COMPUTED_VALUE"""),46020.0)</f>
        <v>46020</v>
      </c>
      <c r="L377" s="27">
        <f>IFERROR(__xludf.DUMMYFUNCTION("""COMPUTED_VALUE"""),46020.0)</f>
        <v>46020</v>
      </c>
      <c r="M377" s="3" t="str">
        <f>IFERROR(__xludf.DUMMYFUNCTION("""COMPUTED_VALUE"""),"Waiting Update")</f>
        <v>Waiting Update</v>
      </c>
      <c r="N377" s="3"/>
      <c r="O377" s="3">
        <f>IFERROR(VLOOKUP(C377,Sheet4!A377:F1164,6,0),"")</f>
        <v>113877</v>
      </c>
      <c r="Q377" s="2" t="str">
        <f t="shared" si="1"/>
        <v>29</v>
      </c>
    </row>
    <row r="378">
      <c r="A378" s="3" t="str">
        <f>IFERROR(__xludf.DUMMYFUNCTION("""COMPUTED_VALUE"""),"PM")</f>
        <v>PM</v>
      </c>
      <c r="B378" s="3" t="str">
        <f>IFERROR(__xludf.DUMMYFUNCTION("""COMPUTED_VALUE"""),"P2")</f>
        <v>P2</v>
      </c>
      <c r="C378" s="3" t="str">
        <f>IFERROR(__xludf.DUMMYFUNCTION("""COMPUTED_VALUE"""),"PLK278")</f>
        <v>PLK278</v>
      </c>
      <c r="D378" s="3" t="str">
        <f>IFERROR(__xludf.DUMMYFUNCTION("""COMPUTED_VALUE"""),"Purwanto")</f>
        <v>Purwanto</v>
      </c>
      <c r="E378" s="3" t="str">
        <f>IFERROR(__xludf.DUMMYFUNCTION("""COMPUTED_VALUE"""),"MBP")</f>
        <v>MBP</v>
      </c>
      <c r="F378" s="3" t="str">
        <f>IFERROR(__xludf.DUMMYFUNCTION("""COMPUTED_VALUE"""),"Doni Damara")</f>
        <v>Doni Damara</v>
      </c>
      <c r="G378" s="3" t="str">
        <f>IFERROR(__xludf.DUMMYFUNCTION("""COMPUTED_VALUE"""),"Palangkaraya")</f>
        <v>Palangkaraya</v>
      </c>
      <c r="H378" s="3" t="str">
        <f>IFERROR(__xludf.DUMMYFUNCTION("""COMPUTED_VALUE"""),"Preventive")</f>
        <v>Preventive</v>
      </c>
      <c r="I378" s="3" t="str">
        <f>IFERROR(__xludf.DUMMYFUNCTION("""COMPUTED_VALUE"""),"Preventive Maintenance")</f>
        <v>Preventive Maintenance</v>
      </c>
      <c r="J378" s="3" t="str">
        <f>IFERROR(__xludf.DUMMYFUNCTION("""COMPUTED_VALUE"""),"On Progress")</f>
        <v>On Progress</v>
      </c>
      <c r="K378" s="27">
        <f>IFERROR(__xludf.DUMMYFUNCTION("""COMPUTED_VALUE"""),46020.0)</f>
        <v>46020</v>
      </c>
      <c r="L378" s="3"/>
      <c r="M378" s="3" t="str">
        <f>IFERROR(__xludf.DUMMYFUNCTION("""COMPUTED_VALUE"""),"Waiting Update")</f>
        <v>Waiting Update</v>
      </c>
      <c r="N378" s="3"/>
      <c r="O378" s="3">
        <f>IFERROR(VLOOKUP(C378,Sheet4!A378:F1165,6,0),"")</f>
        <v>11391816</v>
      </c>
      <c r="Q378" s="2" t="str">
        <f t="shared" si="1"/>
        <v>29</v>
      </c>
    </row>
    <row r="379">
      <c r="A379" s="3" t="str">
        <f>IFERROR(__xludf.DUMMYFUNCTION("""COMPUTED_VALUE"""),"PM")</f>
        <v>PM</v>
      </c>
      <c r="B379" s="3" t="str">
        <f>IFERROR(__xludf.DUMMYFUNCTION("""COMPUTED_VALUE"""),"P2")</f>
        <v>P2</v>
      </c>
      <c r="C379" s="3" t="str">
        <f>IFERROR(__xludf.DUMMYFUNCTION("""COMPUTED_VALUE"""),"PLK202")</f>
        <v>PLK202</v>
      </c>
      <c r="D379" s="3" t="str">
        <f>IFERROR(__xludf.DUMMYFUNCTION("""COMPUTED_VALUE"""),"AHMAD ARDIANTO FIRMANSYAH")</f>
        <v>AHMAD ARDIANTO FIRMANSYAH</v>
      </c>
      <c r="E379" s="3" t="str">
        <f>IFERROR(__xludf.DUMMYFUNCTION("""COMPUTED_VALUE"""),"PM")</f>
        <v>PM</v>
      </c>
      <c r="F379" s="3" t="str">
        <f>IFERROR(__xludf.DUMMYFUNCTION("""COMPUTED_VALUE"""),"Doni Damara")</f>
        <v>Doni Damara</v>
      </c>
      <c r="G379" s="3" t="str">
        <f>IFERROR(__xludf.DUMMYFUNCTION("""COMPUTED_VALUE"""),"Palangkaraya")</f>
        <v>Palangkaraya</v>
      </c>
      <c r="H379" s="3" t="str">
        <f>IFERROR(__xludf.DUMMYFUNCTION("""COMPUTED_VALUE"""),"Preventive")</f>
        <v>Preventive</v>
      </c>
      <c r="I379" s="3" t="str">
        <f>IFERROR(__xludf.DUMMYFUNCTION("""COMPUTED_VALUE"""),"Preventive Maintenance")</f>
        <v>Preventive Maintenance</v>
      </c>
      <c r="J379" s="3" t="str">
        <f>IFERROR(__xludf.DUMMYFUNCTION("""COMPUTED_VALUE"""),"On Progress")</f>
        <v>On Progress</v>
      </c>
      <c r="K379" s="27">
        <f>IFERROR(__xludf.DUMMYFUNCTION("""COMPUTED_VALUE"""),46020.0)</f>
        <v>46020</v>
      </c>
      <c r="L379" s="3"/>
      <c r="M379" s="3" t="str">
        <f>IFERROR(__xludf.DUMMYFUNCTION("""COMPUTED_VALUE"""),"Waiting Update")</f>
        <v>Waiting Update</v>
      </c>
      <c r="N379" s="3"/>
      <c r="O379" s="3">
        <f>IFERROR(VLOOKUP(C379,Sheet4!A379:F1166,6,0),"")</f>
        <v>11393233</v>
      </c>
      <c r="Q379" s="2" t="str">
        <f t="shared" si="1"/>
        <v>29</v>
      </c>
    </row>
    <row r="380">
      <c r="A380" s="3" t="str">
        <f>IFERROR(__xludf.DUMMYFUNCTION("""COMPUTED_VALUE"""),"PM")</f>
        <v>PM</v>
      </c>
      <c r="B380" s="3" t="str">
        <f>IFERROR(__xludf.DUMMYFUNCTION("""COMPUTED_VALUE"""),"P2")</f>
        <v>P2</v>
      </c>
      <c r="C380" s="3" t="str">
        <f>IFERROR(__xludf.DUMMYFUNCTION("""COMPUTED_VALUE"""),"KKN004")</f>
        <v>KKN004</v>
      </c>
      <c r="D380" s="3" t="str">
        <f>IFERROR(__xludf.DUMMYFUNCTION("""COMPUTED_VALUE"""),"Darli")</f>
        <v>Darli</v>
      </c>
      <c r="E380" s="3" t="str">
        <f>IFERROR(__xludf.DUMMYFUNCTION("""COMPUTED_VALUE"""),"PM")</f>
        <v>PM</v>
      </c>
      <c r="F380" s="3" t="str">
        <f>IFERROR(__xludf.DUMMYFUNCTION("""COMPUTED_VALUE"""),"Doni Damara")</f>
        <v>Doni Damara</v>
      </c>
      <c r="G380" s="3" t="str">
        <f>IFERROR(__xludf.DUMMYFUNCTION("""COMPUTED_VALUE"""),"Palangkaraya")</f>
        <v>Palangkaraya</v>
      </c>
      <c r="H380" s="3" t="str">
        <f>IFERROR(__xludf.DUMMYFUNCTION("""COMPUTED_VALUE"""),"Preventive")</f>
        <v>Preventive</v>
      </c>
      <c r="I380" s="3" t="str">
        <f>IFERROR(__xludf.DUMMYFUNCTION("""COMPUTED_VALUE"""),"Preventive Maintenance")</f>
        <v>Preventive Maintenance</v>
      </c>
      <c r="J380" s="3" t="str">
        <f>IFERROR(__xludf.DUMMYFUNCTION("""COMPUTED_VALUE"""),"On Progress")</f>
        <v>On Progress</v>
      </c>
      <c r="K380" s="27">
        <f>IFERROR(__xludf.DUMMYFUNCTION("""COMPUTED_VALUE"""),46020.0)</f>
        <v>46020</v>
      </c>
      <c r="L380" s="3"/>
      <c r="M380" s="3" t="str">
        <f>IFERROR(__xludf.DUMMYFUNCTION("""COMPUTED_VALUE"""),"Done")</f>
        <v>Done</v>
      </c>
      <c r="N380" s="3"/>
      <c r="O380" s="3" t="str">
        <f>IFERROR(VLOOKUP(C380,Sheet4!A380:F1167,6,0),"")</f>
        <v/>
      </c>
      <c r="Q380" s="2" t="str">
        <f t="shared" si="1"/>
        <v>29</v>
      </c>
    </row>
    <row r="381">
      <c r="A381" s="3" t="str">
        <f>IFERROR(__xludf.DUMMYFUNCTION("""COMPUTED_VALUE"""),"PM")</f>
        <v>PM</v>
      </c>
      <c r="B381" s="3" t="str">
        <f>IFERROR(__xludf.DUMMYFUNCTION("""COMPUTED_VALUE"""),"P2")</f>
        <v>P2</v>
      </c>
      <c r="C381" s="3" t="str">
        <f>IFERROR(__xludf.DUMMYFUNCTION("""COMPUTED_VALUE"""),"PLK011")</f>
        <v>PLK011</v>
      </c>
      <c r="D381" s="3" t="str">
        <f>IFERROR(__xludf.DUMMYFUNCTION("""COMPUTED_VALUE"""),"Indra")</f>
        <v>Indra</v>
      </c>
      <c r="E381" s="3" t="str">
        <f>IFERROR(__xludf.DUMMYFUNCTION("""COMPUTED_VALUE"""),"PM")</f>
        <v>PM</v>
      </c>
      <c r="F381" s="3" t="str">
        <f>IFERROR(__xludf.DUMMYFUNCTION("""COMPUTED_VALUE"""),"Doni Damara")</f>
        <v>Doni Damara</v>
      </c>
      <c r="G381" s="3" t="str">
        <f>IFERROR(__xludf.DUMMYFUNCTION("""COMPUTED_VALUE"""),"Palangkaraya")</f>
        <v>Palangkaraya</v>
      </c>
      <c r="H381" s="3" t="str">
        <f>IFERROR(__xludf.DUMMYFUNCTION("""COMPUTED_VALUE"""),"Preventive")</f>
        <v>Preventive</v>
      </c>
      <c r="I381" s="3" t="str">
        <f>IFERROR(__xludf.DUMMYFUNCTION("""COMPUTED_VALUE"""),"Preventive Maintenance")</f>
        <v>Preventive Maintenance</v>
      </c>
      <c r="J381" s="3" t="str">
        <f>IFERROR(__xludf.DUMMYFUNCTION("""COMPUTED_VALUE"""),"On Progress")</f>
        <v>On Progress</v>
      </c>
      <c r="K381" s="27">
        <f>IFERROR(__xludf.DUMMYFUNCTION("""COMPUTED_VALUE"""),46020.0)</f>
        <v>46020</v>
      </c>
      <c r="L381" s="3"/>
      <c r="M381" s="3" t="str">
        <f>IFERROR(__xludf.DUMMYFUNCTION("""COMPUTED_VALUE"""),"Done")</f>
        <v>Done</v>
      </c>
      <c r="N381" s="3"/>
      <c r="O381" s="3" t="str">
        <f>IFERROR(VLOOKUP(C381,Sheet4!A381:F1168,6,0),"")</f>
        <v/>
      </c>
      <c r="Q381" s="2" t="str">
        <f t="shared" si="1"/>
        <v>29</v>
      </c>
    </row>
    <row r="382">
      <c r="A382" s="3" t="str">
        <f>IFERROR(__xludf.DUMMYFUNCTION("""COMPUTED_VALUE"""),"Standby On Call")</f>
        <v>Standby On Call</v>
      </c>
      <c r="B382" s="3" t="str">
        <f>IFERROR(__xludf.DUMMYFUNCTION("""COMPUTED_VALUE"""),"P3")</f>
        <v>P3</v>
      </c>
      <c r="C382" s="3"/>
      <c r="D382" s="3" t="str">
        <f>IFERROR(__xludf.DUMMYFUNCTION("""COMPUTED_VALUE"""),"Sairaji")</f>
        <v>Sairaji</v>
      </c>
      <c r="E382" s="3" t="str">
        <f>IFERROR(__xludf.DUMMYFUNCTION("""COMPUTED_VALUE"""),"MBP")</f>
        <v>MBP</v>
      </c>
      <c r="F382" s="3" t="str">
        <f>IFERROR(__xludf.DUMMYFUNCTION("""COMPUTED_VALUE"""),"Doni Damara")</f>
        <v>Doni Damara</v>
      </c>
      <c r="G382" s="3" t="str">
        <f>IFERROR(__xludf.DUMMYFUNCTION("""COMPUTED_VALUE"""),"Palangkaraya")</f>
        <v>Palangkaraya</v>
      </c>
      <c r="H382" s="3" t="str">
        <f>IFERROR(__xludf.DUMMYFUNCTION("""COMPUTED_VALUE"""),"Standby")</f>
        <v>Standby</v>
      </c>
      <c r="I382" s="3" t="str">
        <f>IFERROR(__xludf.DUMMYFUNCTION("""COMPUTED_VALUE"""),"Standby On Call")</f>
        <v>Standby On Call</v>
      </c>
      <c r="J382" s="3" t="str">
        <f>IFERROR(__xludf.DUMMYFUNCTION("""COMPUTED_VALUE"""),"Standby")</f>
        <v>Standby</v>
      </c>
      <c r="K382" s="27">
        <f>IFERROR(__xludf.DUMMYFUNCTION("""COMPUTED_VALUE"""),46020.0)</f>
        <v>46020</v>
      </c>
      <c r="L382" s="3"/>
      <c r="M382" s="3" t="str">
        <f>IFERROR(__xludf.DUMMYFUNCTION("""COMPUTED_VALUE"""),"Done")</f>
        <v>Done</v>
      </c>
      <c r="N382" s="3"/>
      <c r="O382" s="3" t="str">
        <f>IFERROR(VLOOKUP(C382,Sheet4!A382:F1169,6,0),"")</f>
        <v/>
      </c>
      <c r="Q382" s="2" t="str">
        <f t="shared" si="1"/>
        <v>29</v>
      </c>
    </row>
    <row r="383">
      <c r="A383" s="3" t="str">
        <f>IFERROR(__xludf.DUMMYFUNCTION("""COMPUTED_VALUE"""),"Standby On Call")</f>
        <v>Standby On Call</v>
      </c>
      <c r="B383" s="3" t="str">
        <f>IFERROR(__xludf.DUMMYFUNCTION("""COMPUTED_VALUE"""),"P3")</f>
        <v>P3</v>
      </c>
      <c r="C383" s="3"/>
      <c r="D383" s="3" t="str">
        <f>IFERROR(__xludf.DUMMYFUNCTION("""COMPUTED_VALUE"""),"Sarwono")</f>
        <v>Sarwono</v>
      </c>
      <c r="E383" s="3" t="str">
        <f>IFERROR(__xludf.DUMMYFUNCTION("""COMPUTED_VALUE"""),"CME")</f>
        <v>CME</v>
      </c>
      <c r="F383" s="3" t="str">
        <f>IFERROR(__xludf.DUMMYFUNCTION("""COMPUTED_VALUE"""),"Doni Damara")</f>
        <v>Doni Damara</v>
      </c>
      <c r="G383" s="3" t="str">
        <f>IFERROR(__xludf.DUMMYFUNCTION("""COMPUTED_VALUE"""),"Palangkaraya")</f>
        <v>Palangkaraya</v>
      </c>
      <c r="H383" s="3" t="str">
        <f>IFERROR(__xludf.DUMMYFUNCTION("""COMPUTED_VALUE"""),"Standby")</f>
        <v>Standby</v>
      </c>
      <c r="I383" s="3" t="str">
        <f>IFERROR(__xludf.DUMMYFUNCTION("""COMPUTED_VALUE"""),"Standby On Call")</f>
        <v>Standby On Call</v>
      </c>
      <c r="J383" s="3" t="str">
        <f>IFERROR(__xludf.DUMMYFUNCTION("""COMPUTED_VALUE"""),"Standby")</f>
        <v>Standby</v>
      </c>
      <c r="K383" s="27">
        <f>IFERROR(__xludf.DUMMYFUNCTION("""COMPUTED_VALUE"""),46020.0)</f>
        <v>46020</v>
      </c>
      <c r="L383" s="3"/>
      <c r="M383" s="3" t="str">
        <f>IFERROR(__xludf.DUMMYFUNCTION("""COMPUTED_VALUE"""),"Waiting Update")</f>
        <v>Waiting Update</v>
      </c>
      <c r="N383" s="3"/>
      <c r="O383" s="3" t="str">
        <f>IFERROR(VLOOKUP(C383,Sheet4!A383:F1170,6,0),"")</f>
        <v/>
      </c>
      <c r="Q383" s="2" t="str">
        <f t="shared" si="1"/>
        <v>29</v>
      </c>
    </row>
    <row r="384">
      <c r="A384" s="3" t="str">
        <f>IFERROR(__xludf.DUMMYFUNCTION("""COMPUTED_VALUE"""),"Standby On Call")</f>
        <v>Standby On Call</v>
      </c>
      <c r="B384" s="3" t="str">
        <f>IFERROR(__xludf.DUMMYFUNCTION("""COMPUTED_VALUE"""),"P3")</f>
        <v>P3</v>
      </c>
      <c r="C384" s="3"/>
      <c r="D384" s="3" t="str">
        <f>IFERROR(__xludf.DUMMYFUNCTION("""COMPUTED_VALUE"""),"Fajrianur wahid")</f>
        <v>Fajrianur wahid</v>
      </c>
      <c r="E384" s="3" t="str">
        <f>IFERROR(__xludf.DUMMYFUNCTION("""COMPUTED_VALUE"""),"MBP")</f>
        <v>MBP</v>
      </c>
      <c r="F384" s="3" t="str">
        <f>IFERROR(__xludf.DUMMYFUNCTION("""COMPUTED_VALUE"""),"Doni Damara")</f>
        <v>Doni Damara</v>
      </c>
      <c r="G384" s="3" t="str">
        <f>IFERROR(__xludf.DUMMYFUNCTION("""COMPUTED_VALUE"""),"Palangkaraya")</f>
        <v>Palangkaraya</v>
      </c>
      <c r="H384" s="3" t="str">
        <f>IFERROR(__xludf.DUMMYFUNCTION("""COMPUTED_VALUE"""),"Standby")</f>
        <v>Standby</v>
      </c>
      <c r="I384" s="3" t="str">
        <f>IFERROR(__xludf.DUMMYFUNCTION("""COMPUTED_VALUE"""),"Standby On Call")</f>
        <v>Standby On Call</v>
      </c>
      <c r="J384" s="3" t="str">
        <f>IFERROR(__xludf.DUMMYFUNCTION("""COMPUTED_VALUE"""),"Standby")</f>
        <v>Standby</v>
      </c>
      <c r="K384" s="27">
        <f>IFERROR(__xludf.DUMMYFUNCTION("""COMPUTED_VALUE"""),46020.0)</f>
        <v>46020</v>
      </c>
      <c r="L384" s="3"/>
      <c r="M384" s="3" t="str">
        <f>IFERROR(__xludf.DUMMYFUNCTION("""COMPUTED_VALUE"""),"Waiting Update")</f>
        <v>Waiting Update</v>
      </c>
      <c r="N384" s="3"/>
      <c r="O384" s="3" t="str">
        <f>IFERROR(VLOOKUP(C384,Sheet4!A384:F1171,6,0),"")</f>
        <v/>
      </c>
      <c r="Q384" s="2" t="str">
        <f t="shared" si="1"/>
        <v>29</v>
      </c>
    </row>
    <row r="385">
      <c r="A385" s="3" t="str">
        <f>IFERROR(__xludf.DUMMYFUNCTION("""COMPUTED_VALUE"""),"Standby On Call")</f>
        <v>Standby On Call</v>
      </c>
      <c r="B385" s="3" t="str">
        <f>IFERROR(__xludf.DUMMYFUNCTION("""COMPUTED_VALUE"""),"P3")</f>
        <v>P3</v>
      </c>
      <c r="C385" s="3"/>
      <c r="D385" s="3" t="str">
        <f>IFERROR(__xludf.DUMMYFUNCTION("""COMPUTED_VALUE"""),"Elia Ronaldo")</f>
        <v>Elia Ronaldo</v>
      </c>
      <c r="E385" s="3" t="str">
        <f>IFERROR(__xludf.DUMMYFUNCTION("""COMPUTED_VALUE"""),"MBP")</f>
        <v>MBP</v>
      </c>
      <c r="F385" s="3" t="str">
        <f>IFERROR(__xludf.DUMMYFUNCTION("""COMPUTED_VALUE"""),"Doni Damara")</f>
        <v>Doni Damara</v>
      </c>
      <c r="G385" s="3" t="str">
        <f>IFERROR(__xludf.DUMMYFUNCTION("""COMPUTED_VALUE"""),"Palangkaraya")</f>
        <v>Palangkaraya</v>
      </c>
      <c r="H385" s="3" t="str">
        <f>IFERROR(__xludf.DUMMYFUNCTION("""COMPUTED_VALUE"""),"Standby")</f>
        <v>Standby</v>
      </c>
      <c r="I385" s="3" t="str">
        <f>IFERROR(__xludf.DUMMYFUNCTION("""COMPUTED_VALUE"""),"Standby On Call")</f>
        <v>Standby On Call</v>
      </c>
      <c r="J385" s="3" t="str">
        <f>IFERROR(__xludf.DUMMYFUNCTION("""COMPUTED_VALUE"""),"Standby")</f>
        <v>Standby</v>
      </c>
      <c r="K385" s="27">
        <f>IFERROR(__xludf.DUMMYFUNCTION("""COMPUTED_VALUE"""),46020.0)</f>
        <v>46020</v>
      </c>
      <c r="L385" s="3"/>
      <c r="M385" s="3" t="str">
        <f>IFERROR(__xludf.DUMMYFUNCTION("""COMPUTED_VALUE"""),"Waiting Update")</f>
        <v>Waiting Update</v>
      </c>
      <c r="N385" s="3"/>
      <c r="O385" s="3" t="str">
        <f>IFERROR(VLOOKUP(C385,Sheet4!A385:F1172,6,0),"")</f>
        <v/>
      </c>
      <c r="Q385" s="2" t="str">
        <f t="shared" si="1"/>
        <v>29</v>
      </c>
    </row>
    <row r="386">
      <c r="A386" s="3" t="str">
        <f>IFERROR(__xludf.DUMMYFUNCTION("""COMPUTED_VALUE"""),"Standby On Call")</f>
        <v>Standby On Call</v>
      </c>
      <c r="B386" s="3" t="str">
        <f>IFERROR(__xludf.DUMMYFUNCTION("""COMPUTED_VALUE"""),"P3")</f>
        <v>P3</v>
      </c>
      <c r="C386" s="3"/>
      <c r="D386" s="3" t="str">
        <f>IFERROR(__xludf.DUMMYFUNCTION("""COMPUTED_VALUE"""),"hory yusmanto")</f>
        <v>hory yusmanto</v>
      </c>
      <c r="E386" s="3" t="str">
        <f>IFERROR(__xludf.DUMMYFUNCTION("""COMPUTED_VALUE"""),"MBP")</f>
        <v>MBP</v>
      </c>
      <c r="F386" s="3" t="str">
        <f>IFERROR(__xludf.DUMMYFUNCTION("""COMPUTED_VALUE"""),"Doni Damara")</f>
        <v>Doni Damara</v>
      </c>
      <c r="G386" s="3" t="str">
        <f>IFERROR(__xludf.DUMMYFUNCTION("""COMPUTED_VALUE"""),"Palangkaraya")</f>
        <v>Palangkaraya</v>
      </c>
      <c r="H386" s="3" t="str">
        <f>IFERROR(__xludf.DUMMYFUNCTION("""COMPUTED_VALUE"""),"Standby")</f>
        <v>Standby</v>
      </c>
      <c r="I386" s="3" t="str">
        <f>IFERROR(__xludf.DUMMYFUNCTION("""COMPUTED_VALUE"""),"Standby On Call")</f>
        <v>Standby On Call</v>
      </c>
      <c r="J386" s="3" t="str">
        <f>IFERROR(__xludf.DUMMYFUNCTION("""COMPUTED_VALUE"""),"Standby")</f>
        <v>Standby</v>
      </c>
      <c r="K386" s="27">
        <f>IFERROR(__xludf.DUMMYFUNCTION("""COMPUTED_VALUE"""),46020.0)</f>
        <v>46020</v>
      </c>
      <c r="L386" s="3"/>
      <c r="M386" s="3" t="str">
        <f>IFERROR(__xludf.DUMMYFUNCTION("""COMPUTED_VALUE"""),"Waiting Update")</f>
        <v>Waiting Update</v>
      </c>
      <c r="N386" s="3"/>
      <c r="O386" s="3" t="str">
        <f>IFERROR(VLOOKUP(C386,Sheet4!A386:F1173,6,0),"")</f>
        <v/>
      </c>
      <c r="Q386" s="2" t="str">
        <f t="shared" si="1"/>
        <v>29</v>
      </c>
    </row>
    <row r="387">
      <c r="A387" s="3" t="str">
        <f>IFERROR(__xludf.DUMMYFUNCTION("""COMPUTED_VALUE"""),"Pengecekan Power")</f>
        <v>Pengecekan Power</v>
      </c>
      <c r="B387" s="3" t="str">
        <f>IFERROR(__xludf.DUMMYFUNCTION("""COMPUTED_VALUE"""),"P1")</f>
        <v>P1</v>
      </c>
      <c r="C387" s="3" t="str">
        <f>IFERROR(__xludf.DUMMYFUNCTION("""COMPUTED_VALUE"""),"NTH245")</f>
        <v>NTH245</v>
      </c>
      <c r="D387" s="3" t="str">
        <f>IFERROR(__xludf.DUMMYFUNCTION("""COMPUTED_VALUE"""),"Putra wardana")</f>
        <v>Putra wardana</v>
      </c>
      <c r="E387" s="3" t="str">
        <f>IFERROR(__xludf.DUMMYFUNCTION("""COMPUTED_VALUE"""),"TE")</f>
        <v>TE</v>
      </c>
      <c r="F387" s="3" t="str">
        <f>IFERROR(__xludf.DUMMYFUNCTION("""COMPUTED_VALUE"""),"Winda Sokenda")</f>
        <v>Winda Sokenda</v>
      </c>
      <c r="G387" s="3" t="str">
        <f>IFERROR(__xludf.DUMMYFUNCTION("""COMPUTED_VALUE"""),"Barito Raya")</f>
        <v>Barito Raya</v>
      </c>
      <c r="H387" s="3" t="str">
        <f>IFERROR(__xludf.DUMMYFUNCTION("""COMPUTED_VALUE"""),"Preventive")</f>
        <v>Preventive</v>
      </c>
      <c r="I387" s="3" t="str">
        <f>IFERROR(__xludf.DUMMYFUNCTION("""COMPUTED_VALUE"""),"MCB trip/Power upnormal")</f>
        <v>MCB trip/Power upnormal</v>
      </c>
      <c r="J387" s="3" t="str">
        <f>IFERROR(__xludf.DUMMYFUNCTION("""COMPUTED_VALUE"""),"On Progress")</f>
        <v>On Progress</v>
      </c>
      <c r="K387" s="27">
        <f>IFERROR(__xludf.DUMMYFUNCTION("""COMPUTED_VALUE"""),46021.0)</f>
        <v>46021</v>
      </c>
      <c r="L387" s="27">
        <f>IFERROR(__xludf.DUMMYFUNCTION("""COMPUTED_VALUE"""),46021.0)</f>
        <v>46021</v>
      </c>
      <c r="M387" s="3" t="str">
        <f>IFERROR(__xludf.DUMMYFUNCTION("""COMPUTED_VALUE"""),"Pending")</f>
        <v>Pending</v>
      </c>
      <c r="N387" s="3" t="str">
        <f>IFERROR(__xludf.DUMMYFUNCTION("""COMPUTED_VALUE"""),"AKSES BANJIR")</f>
        <v>AKSES BANJIR</v>
      </c>
      <c r="O387" s="3" t="str">
        <f>IFERROR(VLOOKUP(C387,Sheet4!A387:F1174,6,0),"")</f>
        <v/>
      </c>
      <c r="Q387" s="2" t="str">
        <f t="shared" si="1"/>
        <v>30</v>
      </c>
    </row>
    <row r="388">
      <c r="A388" s="3" t="str">
        <f>IFERROR(__xludf.DUMMYFUNCTION("""COMPUTED_VALUE"""),"Site Down")</f>
        <v>Site Down</v>
      </c>
      <c r="B388" s="3" t="str">
        <f>IFERROR(__xludf.DUMMYFUNCTION("""COMPUTED_VALUE"""),"P1")</f>
        <v>P1</v>
      </c>
      <c r="C388" s="3" t="str">
        <f>IFERROR(__xludf.DUMMYFUNCTION("""COMPUTED_VALUE"""),"NTH149")</f>
        <v>NTH149</v>
      </c>
      <c r="D388" s="3" t="str">
        <f>IFERROR(__xludf.DUMMYFUNCTION("""COMPUTED_VALUE"""),"Sailillah")</f>
        <v>Sailillah</v>
      </c>
      <c r="E388" s="3" t="str">
        <f>IFERROR(__xludf.DUMMYFUNCTION("""COMPUTED_VALUE"""),"TE")</f>
        <v>TE</v>
      </c>
      <c r="F388" s="3" t="str">
        <f>IFERROR(__xludf.DUMMYFUNCTION("""COMPUTED_VALUE"""),"Winda Sokenda")</f>
        <v>Winda Sokenda</v>
      </c>
      <c r="G388" s="3" t="str">
        <f>IFERROR(__xludf.DUMMYFUNCTION("""COMPUTED_VALUE"""),"Barito Raya")</f>
        <v>Barito Raya</v>
      </c>
      <c r="H388" s="3" t="str">
        <f>IFERROR(__xludf.DUMMYFUNCTION("""COMPUTED_VALUE"""),"Corrective")</f>
        <v>Corrective</v>
      </c>
      <c r="I388" s="3" t="str">
        <f>IFERROR(__xludf.DUMMYFUNCTION("""COMPUTED_VALUE"""),"Pemadaman,MCB Trip,Transmisi problem")</f>
        <v>Pemadaman,MCB Trip,Transmisi problem</v>
      </c>
      <c r="J388" s="3" t="str">
        <f>IFERROR(__xludf.DUMMYFUNCTION("""COMPUTED_VALUE"""),"On Progress")</f>
        <v>On Progress</v>
      </c>
      <c r="K388" s="27">
        <f>IFERROR(__xludf.DUMMYFUNCTION("""COMPUTED_VALUE"""),46021.0)</f>
        <v>46021</v>
      </c>
      <c r="L388" s="27">
        <f>IFERROR(__xludf.DUMMYFUNCTION("""COMPUTED_VALUE"""),46021.0)</f>
        <v>46021</v>
      </c>
      <c r="M388" s="3" t="str">
        <f>IFERROR(__xludf.DUMMYFUNCTION("""COMPUTED_VALUE"""),"Done")</f>
        <v>Done</v>
      </c>
      <c r="N388" s="3"/>
      <c r="O388" s="3" t="str">
        <f>IFERROR(VLOOKUP(C388,Sheet4!A388:F1175,6,0),"")</f>
        <v/>
      </c>
      <c r="Q388" s="2" t="str">
        <f t="shared" si="1"/>
        <v>30</v>
      </c>
    </row>
    <row r="389">
      <c r="A389" s="3" t="str">
        <f>IFERROR(__xludf.DUMMYFUNCTION("""COMPUTED_VALUE"""),"Pengecekan Power")</f>
        <v>Pengecekan Power</v>
      </c>
      <c r="B389" s="3" t="str">
        <f>IFERROR(__xludf.DUMMYFUNCTION("""COMPUTED_VALUE"""),"P1")</f>
        <v>P1</v>
      </c>
      <c r="C389" s="3" t="str">
        <f>IFERROR(__xludf.DUMMYFUNCTION("""COMPUTED_VALUE"""),"NTH119")</f>
        <v>NTH119</v>
      </c>
      <c r="D389" s="3" t="str">
        <f>IFERROR(__xludf.DUMMYFUNCTION("""COMPUTED_VALUE"""),"Tiviansyah")</f>
        <v>Tiviansyah</v>
      </c>
      <c r="E389" s="3" t="str">
        <f>IFERROR(__xludf.DUMMYFUNCTION("""COMPUTED_VALUE"""),"TE")</f>
        <v>TE</v>
      </c>
      <c r="F389" s="3" t="str">
        <f>IFERROR(__xludf.DUMMYFUNCTION("""COMPUTED_VALUE"""),"Winda Sokenda")</f>
        <v>Winda Sokenda</v>
      </c>
      <c r="G389" s="3" t="str">
        <f>IFERROR(__xludf.DUMMYFUNCTION("""COMPUTED_VALUE"""),"Barito Raya")</f>
        <v>Barito Raya</v>
      </c>
      <c r="H389" s="3" t="str">
        <f>IFERROR(__xludf.DUMMYFUNCTION("""COMPUTED_VALUE"""),"Preventive")</f>
        <v>Preventive</v>
      </c>
      <c r="I389" s="3" t="str">
        <f>IFERROR(__xludf.DUMMYFUNCTION("""COMPUTED_VALUE"""),"MCB trip/Power upnormal")</f>
        <v>MCB trip/Power upnormal</v>
      </c>
      <c r="J389" s="3" t="str">
        <f>IFERROR(__xludf.DUMMYFUNCTION("""COMPUTED_VALUE"""),"On Progress")</f>
        <v>On Progress</v>
      </c>
      <c r="K389" s="27">
        <f>IFERROR(__xludf.DUMMYFUNCTION("""COMPUTED_VALUE"""),46021.0)</f>
        <v>46021</v>
      </c>
      <c r="L389" s="27">
        <f>IFERROR(__xludf.DUMMYFUNCTION("""COMPUTED_VALUE"""),46021.0)</f>
        <v>46021</v>
      </c>
      <c r="M389" s="3" t="str">
        <f>IFERROR(__xludf.DUMMYFUNCTION("""COMPUTED_VALUE"""),"Done")</f>
        <v>Done</v>
      </c>
      <c r="N389" s="3" t="str">
        <f>IFERROR(__xludf.DUMMYFUNCTION("""COMPUTED_VALUE"""),"ISI TOKEN")</f>
        <v>ISI TOKEN</v>
      </c>
      <c r="O389" s="3">
        <f>IFERROR(VLOOKUP(C389,Sheet4!A389:F1176,6,0),"")</f>
        <v>11494045</v>
      </c>
      <c r="Q389" s="2" t="str">
        <f t="shared" si="1"/>
        <v>30</v>
      </c>
    </row>
    <row r="390">
      <c r="A390" s="3" t="str">
        <f>IFERROR(__xludf.DUMMYFUNCTION("""COMPUTED_VALUE"""),"Pengecekan Power")</f>
        <v>Pengecekan Power</v>
      </c>
      <c r="B390" s="3" t="str">
        <f>IFERROR(__xludf.DUMMYFUNCTION("""COMPUTED_VALUE"""),"P1")</f>
        <v>P1</v>
      </c>
      <c r="C390" s="3" t="str">
        <f>IFERROR(__xludf.DUMMYFUNCTION("""COMPUTED_VALUE"""),"MTW085")</f>
        <v>MTW085</v>
      </c>
      <c r="D390" s="3" t="str">
        <f>IFERROR(__xludf.DUMMYFUNCTION("""COMPUTED_VALUE"""),"munawir akhmad")</f>
        <v>munawir akhmad</v>
      </c>
      <c r="E390" s="3" t="str">
        <f>IFERROR(__xludf.DUMMYFUNCTION("""COMPUTED_VALUE"""),"TE")</f>
        <v>TE</v>
      </c>
      <c r="F390" s="3" t="str">
        <f>IFERROR(__xludf.DUMMYFUNCTION("""COMPUTED_VALUE"""),"Winda Sokenda")</f>
        <v>Winda Sokenda</v>
      </c>
      <c r="G390" s="3" t="str">
        <f>IFERROR(__xludf.DUMMYFUNCTION("""COMPUTED_VALUE"""),"Barito Raya")</f>
        <v>Barito Raya</v>
      </c>
      <c r="H390" s="3" t="str">
        <f>IFERROR(__xludf.DUMMYFUNCTION("""COMPUTED_VALUE"""),"Preventive")</f>
        <v>Preventive</v>
      </c>
      <c r="I390" s="3" t="str">
        <f>IFERROR(__xludf.DUMMYFUNCTION("""COMPUTED_VALUE"""),"MCB trip/Power upnormal")</f>
        <v>MCB trip/Power upnormal</v>
      </c>
      <c r="J390" s="3" t="str">
        <f>IFERROR(__xludf.DUMMYFUNCTION("""COMPUTED_VALUE"""),"On Progress")</f>
        <v>On Progress</v>
      </c>
      <c r="K390" s="27">
        <f>IFERROR(__xludf.DUMMYFUNCTION("""COMPUTED_VALUE"""),46021.0)</f>
        <v>46021</v>
      </c>
      <c r="L390" s="27">
        <f>IFERROR(__xludf.DUMMYFUNCTION("""COMPUTED_VALUE"""),46021.0)</f>
        <v>46021</v>
      </c>
      <c r="M390" s="3" t="str">
        <f>IFERROR(__xludf.DUMMYFUNCTION("""COMPUTED_VALUE"""),"Done")</f>
        <v>Done</v>
      </c>
      <c r="N390" s="3" t="str">
        <f>IFERROR(__xludf.DUMMYFUNCTION("""COMPUTED_VALUE"""),"ISI TOKEN")</f>
        <v>ISI TOKEN</v>
      </c>
      <c r="O390" s="3">
        <f>IFERROR(VLOOKUP(C390,Sheet4!A390:F1177,6,0),"")</f>
        <v>11489353</v>
      </c>
      <c r="Q390" s="2" t="str">
        <f t="shared" si="1"/>
        <v>30</v>
      </c>
    </row>
    <row r="391">
      <c r="A391" s="3" t="str">
        <f>IFERROR(__xludf.DUMMYFUNCTION("""COMPUTED_VALUE"""),"Standby On Call")</f>
        <v>Standby On Call</v>
      </c>
      <c r="B391" s="3" t="str">
        <f>IFERROR(__xludf.DUMMYFUNCTION("""COMPUTED_VALUE"""),"P3")</f>
        <v>P3</v>
      </c>
      <c r="C391" s="3"/>
      <c r="D391" s="3" t="str">
        <f>IFERROR(__xludf.DUMMYFUNCTION("""COMPUTED_VALUE"""),"Riki Hidayat")</f>
        <v>Riki Hidayat</v>
      </c>
      <c r="E391" s="3" t="str">
        <f>IFERROR(__xludf.DUMMYFUNCTION("""COMPUTED_VALUE"""),"TE")</f>
        <v>TE</v>
      </c>
      <c r="F391" s="3" t="str">
        <f>IFERROR(__xludf.DUMMYFUNCTION("""COMPUTED_VALUE"""),"Winda Sokenda")</f>
        <v>Winda Sokenda</v>
      </c>
      <c r="G391" s="3" t="str">
        <f>IFERROR(__xludf.DUMMYFUNCTION("""COMPUTED_VALUE"""),"Barito Raya")</f>
        <v>Barito Raya</v>
      </c>
      <c r="H391" s="3" t="str">
        <f>IFERROR(__xludf.DUMMYFUNCTION("""COMPUTED_VALUE"""),"Standby")</f>
        <v>Standby</v>
      </c>
      <c r="I391" s="3" t="str">
        <f>IFERROR(__xludf.DUMMYFUNCTION("""COMPUTED_VALUE"""),"Standby On Call")</f>
        <v>Standby On Call</v>
      </c>
      <c r="J391" s="3"/>
      <c r="K391" s="27">
        <f>IFERROR(__xludf.DUMMYFUNCTION("""COMPUTED_VALUE"""),46021.0)</f>
        <v>46021</v>
      </c>
      <c r="L391" s="27">
        <f>IFERROR(__xludf.DUMMYFUNCTION("""COMPUTED_VALUE"""),46021.0)</f>
        <v>46021</v>
      </c>
      <c r="M391" s="3"/>
      <c r="N391" s="3"/>
      <c r="O391" s="3" t="str">
        <f>IFERROR(VLOOKUP(C391,Sheet4!A391:F1178,6,0),"")</f>
        <v/>
      </c>
      <c r="Q391" s="2" t="str">
        <f t="shared" si="1"/>
        <v>30</v>
      </c>
    </row>
    <row r="392">
      <c r="A392" s="3" t="str">
        <f>IFERROR(__xludf.DUMMYFUNCTION("""COMPUTED_VALUE"""),"Tshoot Genset")</f>
        <v>Tshoot Genset</v>
      </c>
      <c r="B392" s="3" t="str">
        <f>IFERROR(__xludf.DUMMYFUNCTION("""COMPUTED_VALUE"""),"P1")</f>
        <v>P1</v>
      </c>
      <c r="C392" s="3" t="str">
        <f>IFERROR(__xludf.DUMMYFUNCTION("""COMPUTED_VALUE"""),"PRC200")</f>
        <v>PRC200</v>
      </c>
      <c r="D392" s="3" t="str">
        <f>IFERROR(__xludf.DUMMYFUNCTION("""COMPUTED_VALUE"""),"Murjani")</f>
        <v>Murjani</v>
      </c>
      <c r="E392" s="3" t="str">
        <f>IFERROR(__xludf.DUMMYFUNCTION("""COMPUTED_VALUE"""),"TE")</f>
        <v>TE</v>
      </c>
      <c r="F392" s="3" t="str">
        <f>IFERROR(__xludf.DUMMYFUNCTION("""COMPUTED_VALUE"""),"Winda Sokenda")</f>
        <v>Winda Sokenda</v>
      </c>
      <c r="G392" s="3" t="str">
        <f>IFERROR(__xludf.DUMMYFUNCTION("""COMPUTED_VALUE"""),"Barito Raya")</f>
        <v>Barito Raya</v>
      </c>
      <c r="H392" s="3" t="str">
        <f>IFERROR(__xludf.DUMMYFUNCTION("""COMPUTED_VALUE"""),"Corrective")</f>
        <v>Corrective</v>
      </c>
      <c r="I392" s="3" t="str">
        <f>IFERROR(__xludf.DUMMYFUNCTION("""COMPUTED_VALUE"""),"Perbaikan Auto,pergantian relay,timer, yang berhubungan genset")</f>
        <v>Perbaikan Auto,pergantian relay,timer, yang berhubungan genset</v>
      </c>
      <c r="J392" s="3" t="str">
        <f>IFERROR(__xludf.DUMMYFUNCTION("""COMPUTED_VALUE"""),"On Progress")</f>
        <v>On Progress</v>
      </c>
      <c r="K392" s="27">
        <f>IFERROR(__xludf.DUMMYFUNCTION("""COMPUTED_VALUE"""),46021.0)</f>
        <v>46021</v>
      </c>
      <c r="L392" s="27">
        <f>IFERROR(__xludf.DUMMYFUNCTION("""COMPUTED_VALUE"""),46021.0)</f>
        <v>46021</v>
      </c>
      <c r="M392" s="3" t="str">
        <f>IFERROR(__xludf.DUMMYFUNCTION("""COMPUTED_VALUE"""),"Done")</f>
        <v>Done</v>
      </c>
      <c r="N392" s="3"/>
      <c r="O392" s="3">
        <f>IFERROR(VLOOKUP(C392,Sheet4!A392:F1179,6,0),"")</f>
        <v>11458301</v>
      </c>
      <c r="Q392" s="2" t="str">
        <f t="shared" si="1"/>
        <v>30</v>
      </c>
    </row>
    <row r="393">
      <c r="A393" s="3" t="str">
        <f>IFERROR(__xludf.DUMMYFUNCTION("""COMPUTED_VALUE"""),"Standby On Call")</f>
        <v>Standby On Call</v>
      </c>
      <c r="B393" s="3" t="str">
        <f>IFERROR(__xludf.DUMMYFUNCTION("""COMPUTED_VALUE"""),"P3")</f>
        <v>P3</v>
      </c>
      <c r="C393" s="3"/>
      <c r="D393" s="3" t="str">
        <f>IFERROR(__xludf.DUMMYFUNCTION("""COMPUTED_VALUE"""),"Armadi")</f>
        <v>Armadi</v>
      </c>
      <c r="E393" s="3" t="str">
        <f>IFERROR(__xludf.DUMMYFUNCTION("""COMPUTED_VALUE"""),"TE")</f>
        <v>TE</v>
      </c>
      <c r="F393" s="3" t="str">
        <f>IFERROR(__xludf.DUMMYFUNCTION("""COMPUTED_VALUE"""),"Winda Sokenda")</f>
        <v>Winda Sokenda</v>
      </c>
      <c r="G393" s="3" t="str">
        <f>IFERROR(__xludf.DUMMYFUNCTION("""COMPUTED_VALUE"""),"Barito Raya")</f>
        <v>Barito Raya</v>
      </c>
      <c r="H393" s="3" t="str">
        <f>IFERROR(__xludf.DUMMYFUNCTION("""COMPUTED_VALUE"""),"Standby")</f>
        <v>Standby</v>
      </c>
      <c r="I393" s="3" t="str">
        <f>IFERROR(__xludf.DUMMYFUNCTION("""COMPUTED_VALUE"""),"Standby On Call")</f>
        <v>Standby On Call</v>
      </c>
      <c r="J393" s="3"/>
      <c r="K393" s="27">
        <f>IFERROR(__xludf.DUMMYFUNCTION("""COMPUTED_VALUE"""),46021.0)</f>
        <v>46021</v>
      </c>
      <c r="L393" s="27">
        <f>IFERROR(__xludf.DUMMYFUNCTION("""COMPUTED_VALUE"""),46021.0)</f>
        <v>46021</v>
      </c>
      <c r="M393" s="3"/>
      <c r="N393" s="3"/>
      <c r="O393" s="3" t="str">
        <f>IFERROR(VLOOKUP(C393,Sheet4!A393:F1180,6,0),"")</f>
        <v/>
      </c>
      <c r="Q393" s="2" t="str">
        <f t="shared" si="1"/>
        <v>30</v>
      </c>
    </row>
    <row r="394">
      <c r="A394" s="3" t="str">
        <f>IFERROR(__xludf.DUMMYFUNCTION("""COMPUTED_VALUE"""),"Pengawalan Team telkom")</f>
        <v>Pengawalan Team telkom</v>
      </c>
      <c r="B394" s="3" t="str">
        <f>IFERROR(__xludf.DUMMYFUNCTION("""COMPUTED_VALUE"""),"P2")</f>
        <v>P2</v>
      </c>
      <c r="C394" s="3" t="str">
        <f>IFERROR(__xludf.DUMMYFUNCTION("""COMPUTED_VALUE"""),"KKP023")</f>
        <v>KKP023</v>
      </c>
      <c r="D394" s="3" t="str">
        <f>IFERROR(__xludf.DUMMYFUNCTION("""COMPUTED_VALUE"""),"Reynaldy Ricardo Putra")</f>
        <v>Reynaldy Ricardo Putra</v>
      </c>
      <c r="E394" s="3" t="str">
        <f>IFERROR(__xludf.DUMMYFUNCTION("""COMPUTED_VALUE"""),"TE")</f>
        <v>TE</v>
      </c>
      <c r="F394" s="3" t="str">
        <f>IFERROR(__xludf.DUMMYFUNCTION("""COMPUTED_VALUE"""),"Winda Sokenda")</f>
        <v>Winda Sokenda</v>
      </c>
      <c r="G394" s="3" t="str">
        <f>IFERROR(__xludf.DUMMYFUNCTION("""COMPUTED_VALUE"""),"Barito Raya")</f>
        <v>Barito Raya</v>
      </c>
      <c r="H394" s="3" t="str">
        <f>IFERROR(__xludf.DUMMYFUNCTION("""COMPUTED_VALUE"""),"Preventive")</f>
        <v>Preventive</v>
      </c>
      <c r="I394" s="3" t="str">
        <f>IFERROR(__xludf.DUMMYFUNCTION("""COMPUTED_VALUE"""),"Akses/Hub Site problem metro")</f>
        <v>Akses/Hub Site problem metro</v>
      </c>
      <c r="J394" s="3" t="str">
        <f>IFERROR(__xludf.DUMMYFUNCTION("""COMPUTED_VALUE"""),"On Progress")</f>
        <v>On Progress</v>
      </c>
      <c r="K394" s="27">
        <f>IFERROR(__xludf.DUMMYFUNCTION("""COMPUTED_VALUE"""),46021.0)</f>
        <v>46021</v>
      </c>
      <c r="L394" s="27">
        <f>IFERROR(__xludf.DUMMYFUNCTION("""COMPUTED_VALUE"""),46021.0)</f>
        <v>46021</v>
      </c>
      <c r="M394" s="3" t="str">
        <f>IFERROR(__xludf.DUMMYFUNCTION("""COMPUTED_VALUE"""),"Pending")</f>
        <v>Pending</v>
      </c>
      <c r="N394" s="3" t="str">
        <f>IFERROR(__xludf.DUMMYFUNCTION("""COMPUTED_VALUE"""),"LANJUT BESOK, CUACA HUJAN")</f>
        <v>LANJUT BESOK, CUACA HUJAN</v>
      </c>
      <c r="O394" s="3" t="str">
        <f>IFERROR(VLOOKUP(C394,Sheet4!A394:F1181,6,0),"")</f>
        <v/>
      </c>
      <c r="Q394" s="2" t="str">
        <f t="shared" si="1"/>
        <v>30</v>
      </c>
    </row>
    <row r="395">
      <c r="A395" s="3" t="str">
        <f>IFERROR(__xludf.DUMMYFUNCTION("""COMPUTED_VALUE"""),"Cell down")</f>
        <v>Cell down</v>
      </c>
      <c r="B395" s="3" t="str">
        <f>IFERROR(__xludf.DUMMYFUNCTION("""COMPUTED_VALUE"""),"P1")</f>
        <v>P1</v>
      </c>
      <c r="C395" s="3" t="str">
        <f>IFERROR(__xludf.DUMMYFUNCTION("""COMPUTED_VALUE"""),"KKP344")</f>
        <v>KKP344</v>
      </c>
      <c r="D395" s="3" t="str">
        <f>IFERROR(__xludf.DUMMYFUNCTION("""COMPUTED_VALUE"""),"Sahrul Saputra")</f>
        <v>Sahrul Saputra</v>
      </c>
      <c r="E395" s="3" t="str">
        <f>IFERROR(__xludf.DUMMYFUNCTION("""COMPUTED_VALUE"""),"TE")</f>
        <v>TE</v>
      </c>
      <c r="F395" s="3" t="str">
        <f>IFERROR(__xludf.DUMMYFUNCTION("""COMPUTED_VALUE"""),"Winda Sokenda")</f>
        <v>Winda Sokenda</v>
      </c>
      <c r="G395" s="3" t="str">
        <f>IFERROR(__xludf.DUMMYFUNCTION("""COMPUTED_VALUE"""),"Barito Raya")</f>
        <v>Barito Raya</v>
      </c>
      <c r="H395" s="3" t="str">
        <f>IFERROR(__xludf.DUMMYFUNCTION("""COMPUTED_VALUE"""),"Corrective")</f>
        <v>Corrective</v>
      </c>
      <c r="I395" s="3" t="str">
        <f>IFERROR(__xludf.DUMMYFUNCTION("""COMPUTED_VALUE"""),"Replace Optik,RRU/Soket Power/Replace GPS")</f>
        <v>Replace Optik,RRU/Soket Power/Replace GPS</v>
      </c>
      <c r="J395" s="3" t="str">
        <f>IFERROR(__xludf.DUMMYFUNCTION("""COMPUTED_VALUE"""),"On Progress")</f>
        <v>On Progress</v>
      </c>
      <c r="K395" s="27">
        <f>IFERROR(__xludf.DUMMYFUNCTION("""COMPUTED_VALUE"""),46021.0)</f>
        <v>46021</v>
      </c>
      <c r="L395" s="27">
        <f>IFERROR(__xludf.DUMMYFUNCTION("""COMPUTED_VALUE"""),46021.0)</f>
        <v>46021</v>
      </c>
      <c r="M395" s="3" t="str">
        <f>IFERROR(__xludf.DUMMYFUNCTION("""COMPUTED_VALUE"""),"Done")</f>
        <v>Done</v>
      </c>
      <c r="N395" s="3"/>
      <c r="O395" s="3">
        <f>IFERROR(VLOOKUP(C395,Sheet4!A395:F1182,6,0),"")</f>
        <v>11440778</v>
      </c>
      <c r="Q395" s="2" t="str">
        <f t="shared" si="1"/>
        <v>30</v>
      </c>
    </row>
    <row r="396">
      <c r="A396" s="3" t="str">
        <f>IFERROR(__xludf.DUMMYFUNCTION("""COMPUTED_VALUE"""),"Standby On Call")</f>
        <v>Standby On Call</v>
      </c>
      <c r="B396" s="3" t="str">
        <f>IFERROR(__xludf.DUMMYFUNCTION("""COMPUTED_VALUE"""),"P3")</f>
        <v>P3</v>
      </c>
      <c r="C396" s="3"/>
      <c r="D396" s="3" t="str">
        <f>IFERROR(__xludf.DUMMYFUNCTION("""COMPUTED_VALUE"""),"Nurhayat")</f>
        <v>Nurhayat</v>
      </c>
      <c r="E396" s="3" t="str">
        <f>IFERROR(__xludf.DUMMYFUNCTION("""COMPUTED_VALUE"""),"MBP")</f>
        <v>MBP</v>
      </c>
      <c r="F396" s="3" t="str">
        <f>IFERROR(__xludf.DUMMYFUNCTION("""COMPUTED_VALUE"""),"Winda Sokenda")</f>
        <v>Winda Sokenda</v>
      </c>
      <c r="G396" s="3" t="str">
        <f>IFERROR(__xludf.DUMMYFUNCTION("""COMPUTED_VALUE"""),"Barito Raya")</f>
        <v>Barito Raya</v>
      </c>
      <c r="H396" s="3" t="str">
        <f>IFERROR(__xludf.DUMMYFUNCTION("""COMPUTED_VALUE"""),"Standby")</f>
        <v>Standby</v>
      </c>
      <c r="I396" s="3" t="str">
        <f>IFERROR(__xludf.DUMMYFUNCTION("""COMPUTED_VALUE"""),"Standby On Call")</f>
        <v>Standby On Call</v>
      </c>
      <c r="J396" s="3"/>
      <c r="K396" s="27">
        <f>IFERROR(__xludf.DUMMYFUNCTION("""COMPUTED_VALUE"""),46021.0)</f>
        <v>46021</v>
      </c>
      <c r="L396" s="27">
        <f>IFERROR(__xludf.DUMMYFUNCTION("""COMPUTED_VALUE"""),46021.0)</f>
        <v>46021</v>
      </c>
      <c r="M396" s="3"/>
      <c r="N396" s="3"/>
      <c r="O396" s="3" t="str">
        <f>IFERROR(VLOOKUP(C396,Sheet4!A396:F1183,6,0),"")</f>
        <v/>
      </c>
      <c r="Q396" s="2" t="str">
        <f t="shared" si="1"/>
        <v>30</v>
      </c>
    </row>
    <row r="397">
      <c r="A397" s="3" t="str">
        <f>IFERROR(__xludf.DUMMYFUNCTION("""COMPUTED_VALUE"""),"Standby On Call")</f>
        <v>Standby On Call</v>
      </c>
      <c r="B397" s="3" t="str">
        <f>IFERROR(__xludf.DUMMYFUNCTION("""COMPUTED_VALUE"""),"P3")</f>
        <v>P3</v>
      </c>
      <c r="C397" s="3"/>
      <c r="D397" s="3" t="str">
        <f>IFERROR(__xludf.DUMMYFUNCTION("""COMPUTED_VALUE"""),"Harun Nurasyid")</f>
        <v>Harun Nurasyid</v>
      </c>
      <c r="E397" s="3" t="str">
        <f>IFERROR(__xludf.DUMMYFUNCTION("""COMPUTED_VALUE"""),"CME")</f>
        <v>CME</v>
      </c>
      <c r="F397" s="3" t="str">
        <f>IFERROR(__xludf.DUMMYFUNCTION("""COMPUTED_VALUE"""),"Winda Sokenda")</f>
        <v>Winda Sokenda</v>
      </c>
      <c r="G397" s="3" t="str">
        <f>IFERROR(__xludf.DUMMYFUNCTION("""COMPUTED_VALUE"""),"Barito Raya")</f>
        <v>Barito Raya</v>
      </c>
      <c r="H397" s="3" t="str">
        <f>IFERROR(__xludf.DUMMYFUNCTION("""COMPUTED_VALUE"""),"Standby")</f>
        <v>Standby</v>
      </c>
      <c r="I397" s="3" t="str">
        <f>IFERROR(__xludf.DUMMYFUNCTION("""COMPUTED_VALUE"""),"Standby On Call")</f>
        <v>Standby On Call</v>
      </c>
      <c r="J397" s="3"/>
      <c r="K397" s="27">
        <f>IFERROR(__xludf.DUMMYFUNCTION("""COMPUTED_VALUE"""),46021.0)</f>
        <v>46021</v>
      </c>
      <c r="L397" s="27">
        <f>IFERROR(__xludf.DUMMYFUNCTION("""COMPUTED_VALUE"""),46021.0)</f>
        <v>46021</v>
      </c>
      <c r="M397" s="3"/>
      <c r="N397" s="3"/>
      <c r="O397" s="3" t="str">
        <f>IFERROR(VLOOKUP(C397,Sheet4!A397:F1184,6,0),"")</f>
        <v/>
      </c>
      <c r="Q397" s="2" t="str">
        <f t="shared" si="1"/>
        <v>30</v>
      </c>
    </row>
    <row r="398">
      <c r="A398" s="3" t="str">
        <f>IFERROR(__xludf.DUMMYFUNCTION("""COMPUTED_VALUE"""),"Standby On Call")</f>
        <v>Standby On Call</v>
      </c>
      <c r="B398" s="3" t="str">
        <f>IFERROR(__xludf.DUMMYFUNCTION("""COMPUTED_VALUE"""),"P3")</f>
        <v>P3</v>
      </c>
      <c r="C398" s="3"/>
      <c r="D398" s="3" t="str">
        <f>IFERROR(__xludf.DUMMYFUNCTION("""COMPUTED_VALUE"""),"Taklim")</f>
        <v>Taklim</v>
      </c>
      <c r="E398" s="3" t="str">
        <f>IFERROR(__xludf.DUMMYFUNCTION("""COMPUTED_VALUE"""),"MBP")</f>
        <v>MBP</v>
      </c>
      <c r="F398" s="3" t="str">
        <f>IFERROR(__xludf.DUMMYFUNCTION("""COMPUTED_VALUE"""),"Winda Sokenda")</f>
        <v>Winda Sokenda</v>
      </c>
      <c r="G398" s="3" t="str">
        <f>IFERROR(__xludf.DUMMYFUNCTION("""COMPUTED_VALUE"""),"Barito Raya")</f>
        <v>Barito Raya</v>
      </c>
      <c r="H398" s="3" t="str">
        <f>IFERROR(__xludf.DUMMYFUNCTION("""COMPUTED_VALUE"""),"Standby")</f>
        <v>Standby</v>
      </c>
      <c r="I398" s="3" t="str">
        <f>IFERROR(__xludf.DUMMYFUNCTION("""COMPUTED_VALUE"""),"Standby On Call")</f>
        <v>Standby On Call</v>
      </c>
      <c r="J398" s="3"/>
      <c r="K398" s="27">
        <f>IFERROR(__xludf.DUMMYFUNCTION("""COMPUTED_VALUE"""),46021.0)</f>
        <v>46021</v>
      </c>
      <c r="L398" s="27">
        <f>IFERROR(__xludf.DUMMYFUNCTION("""COMPUTED_VALUE"""),46021.0)</f>
        <v>46021</v>
      </c>
      <c r="M398" s="3"/>
      <c r="N398" s="3"/>
      <c r="O398" s="3" t="str">
        <f>IFERROR(VLOOKUP(C398,Sheet4!A398:F1185,6,0),"")</f>
        <v/>
      </c>
      <c r="Q398" s="2" t="str">
        <f t="shared" si="1"/>
        <v>30</v>
      </c>
    </row>
    <row r="399">
      <c r="A399" s="3" t="str">
        <f>IFERROR(__xludf.DUMMYFUNCTION("""COMPUTED_VALUE"""),"Standby On Call")</f>
        <v>Standby On Call</v>
      </c>
      <c r="B399" s="3" t="str">
        <f>IFERROR(__xludf.DUMMYFUNCTION("""COMPUTED_VALUE"""),"P3")</f>
        <v>P3</v>
      </c>
      <c r="C399" s="3"/>
      <c r="D399" s="3" t="str">
        <f>IFERROR(__xludf.DUMMYFUNCTION("""COMPUTED_VALUE"""),"Rio ardinata")</f>
        <v>Rio ardinata</v>
      </c>
      <c r="E399" s="3" t="str">
        <f>IFERROR(__xludf.DUMMYFUNCTION("""COMPUTED_VALUE"""),"MBP")</f>
        <v>MBP</v>
      </c>
      <c r="F399" s="3" t="str">
        <f>IFERROR(__xludf.DUMMYFUNCTION("""COMPUTED_VALUE"""),"Winda Sokenda")</f>
        <v>Winda Sokenda</v>
      </c>
      <c r="G399" s="3" t="str">
        <f>IFERROR(__xludf.DUMMYFUNCTION("""COMPUTED_VALUE"""),"Barito Raya")</f>
        <v>Barito Raya</v>
      </c>
      <c r="H399" s="3" t="str">
        <f>IFERROR(__xludf.DUMMYFUNCTION("""COMPUTED_VALUE"""),"Standby")</f>
        <v>Standby</v>
      </c>
      <c r="I399" s="3" t="str">
        <f>IFERROR(__xludf.DUMMYFUNCTION("""COMPUTED_VALUE"""),"Standby On Call")</f>
        <v>Standby On Call</v>
      </c>
      <c r="J399" s="3"/>
      <c r="K399" s="27">
        <f>IFERROR(__xludf.DUMMYFUNCTION("""COMPUTED_VALUE"""),46021.0)</f>
        <v>46021</v>
      </c>
      <c r="L399" s="27">
        <f>IFERROR(__xludf.DUMMYFUNCTION("""COMPUTED_VALUE"""),46021.0)</f>
        <v>46021</v>
      </c>
      <c r="M399" s="3"/>
      <c r="N399" s="3"/>
      <c r="O399" s="3" t="str">
        <f>IFERROR(VLOOKUP(C399,Sheet4!A399:F1186,6,0),"")</f>
        <v/>
      </c>
      <c r="Q399" s="2" t="str">
        <f t="shared" si="1"/>
        <v>30</v>
      </c>
    </row>
    <row r="400">
      <c r="A400" s="3" t="str">
        <f>IFERROR(__xludf.DUMMYFUNCTION("""COMPUTED_VALUE"""),"On Leave")</f>
        <v>On Leave</v>
      </c>
      <c r="B400" s="3" t="str">
        <f>IFERROR(__xludf.DUMMYFUNCTION("""COMPUTED_VALUE"""),"P3")</f>
        <v>P3</v>
      </c>
      <c r="C400" s="3"/>
      <c r="D400" s="3" t="str">
        <f>IFERROR(__xludf.DUMMYFUNCTION("""COMPUTED_VALUE"""),"Ahmad Muzakir")</f>
        <v>Ahmad Muzakir</v>
      </c>
      <c r="E400" s="3" t="str">
        <f>IFERROR(__xludf.DUMMYFUNCTION("""COMPUTED_VALUE"""),"MBP")</f>
        <v>MBP</v>
      </c>
      <c r="F400" s="3" t="str">
        <f>IFERROR(__xludf.DUMMYFUNCTION("""COMPUTED_VALUE"""),"Winda Sokenda")</f>
        <v>Winda Sokenda</v>
      </c>
      <c r="G400" s="3" t="str">
        <f>IFERROR(__xludf.DUMMYFUNCTION("""COMPUTED_VALUE"""),"Barito Raya")</f>
        <v>Barito Raya</v>
      </c>
      <c r="H400" s="3" t="str">
        <f>IFERROR(__xludf.DUMMYFUNCTION("""COMPUTED_VALUE"""),"On Leave")</f>
        <v>On Leave</v>
      </c>
      <c r="I400" s="3" t="str">
        <f>IFERROR(__xludf.DUMMYFUNCTION("""COMPUTED_VALUE"""),"On Leave")</f>
        <v>On Leave</v>
      </c>
      <c r="J400" s="3"/>
      <c r="K400" s="27">
        <f>IFERROR(__xludf.DUMMYFUNCTION("""COMPUTED_VALUE"""),46021.0)</f>
        <v>46021</v>
      </c>
      <c r="L400" s="3"/>
      <c r="M400" s="3"/>
      <c r="N400" s="3"/>
      <c r="O400" s="3" t="str">
        <f>IFERROR(VLOOKUP(C400,Sheet4!A400:F1187,6,0),"")</f>
        <v/>
      </c>
      <c r="Q400" s="2" t="str">
        <f t="shared" si="1"/>
        <v>30</v>
      </c>
    </row>
    <row r="401">
      <c r="A401" s="3" t="str">
        <f>IFERROR(__xludf.DUMMYFUNCTION("""COMPUTED_VALUE"""),"Standby On Call")</f>
        <v>Standby On Call</v>
      </c>
      <c r="B401" s="3" t="str">
        <f>IFERROR(__xludf.DUMMYFUNCTION("""COMPUTED_VALUE"""),"P3")</f>
        <v>P3</v>
      </c>
      <c r="C401" s="3"/>
      <c r="D401" s="3" t="str">
        <f>IFERROR(__xludf.DUMMYFUNCTION("""COMPUTED_VALUE"""),"Alfi Syahri")</f>
        <v>Alfi Syahri</v>
      </c>
      <c r="E401" s="3" t="str">
        <f>IFERROR(__xludf.DUMMYFUNCTION("""COMPUTED_VALUE"""),"CME")</f>
        <v>CME</v>
      </c>
      <c r="F401" s="3" t="str">
        <f>IFERROR(__xludf.DUMMYFUNCTION("""COMPUTED_VALUE"""),"Winda Sokenda")</f>
        <v>Winda Sokenda</v>
      </c>
      <c r="G401" s="3" t="str">
        <f>IFERROR(__xludf.DUMMYFUNCTION("""COMPUTED_VALUE"""),"Barito Raya")</f>
        <v>Barito Raya</v>
      </c>
      <c r="H401" s="3" t="str">
        <f>IFERROR(__xludf.DUMMYFUNCTION("""COMPUTED_VALUE"""),"Standby")</f>
        <v>Standby</v>
      </c>
      <c r="I401" s="3" t="str">
        <f>IFERROR(__xludf.DUMMYFUNCTION("""COMPUTED_VALUE"""),"Standby On Call")</f>
        <v>Standby On Call</v>
      </c>
      <c r="J401" s="3"/>
      <c r="K401" s="27">
        <f>IFERROR(__xludf.DUMMYFUNCTION("""COMPUTED_VALUE"""),46021.0)</f>
        <v>46021</v>
      </c>
      <c r="L401" s="3"/>
      <c r="M401" s="3"/>
      <c r="N401" s="3"/>
      <c r="O401" s="3" t="str">
        <f>IFERROR(VLOOKUP(C401,Sheet4!A401:F1188,6,0),"")</f>
        <v/>
      </c>
      <c r="Q401" s="2" t="str">
        <f t="shared" si="1"/>
        <v>30</v>
      </c>
    </row>
    <row r="402">
      <c r="A402" s="3" t="str">
        <f>IFERROR(__xludf.DUMMYFUNCTION("""COMPUTED_VALUE"""),"Pengecekan Power")</f>
        <v>Pengecekan Power</v>
      </c>
      <c r="B402" s="3" t="str">
        <f>IFERROR(__xludf.DUMMYFUNCTION("""COMPUTED_VALUE"""),"P1")</f>
        <v>P1</v>
      </c>
      <c r="C402" s="3" t="str">
        <f>IFERROR(__xludf.DUMMYFUNCTION("""COMPUTED_VALUE"""),"KKP033")</f>
        <v>KKP033</v>
      </c>
      <c r="D402" s="3" t="str">
        <f>IFERROR(__xludf.DUMMYFUNCTION("""COMPUTED_VALUE"""),"Pujianto")</f>
        <v>Pujianto</v>
      </c>
      <c r="E402" s="3" t="str">
        <f>IFERROR(__xludf.DUMMYFUNCTION("""COMPUTED_VALUE"""),"MBP")</f>
        <v>MBP</v>
      </c>
      <c r="F402" s="3" t="str">
        <f>IFERROR(__xludf.DUMMYFUNCTION("""COMPUTED_VALUE"""),"Winda Sokenda")</f>
        <v>Winda Sokenda</v>
      </c>
      <c r="G402" s="3" t="str">
        <f>IFERROR(__xludf.DUMMYFUNCTION("""COMPUTED_VALUE"""),"Barito Raya")</f>
        <v>Barito Raya</v>
      </c>
      <c r="H402" s="3" t="str">
        <f>IFERROR(__xludf.DUMMYFUNCTION("""COMPUTED_VALUE"""),"Preventive")</f>
        <v>Preventive</v>
      </c>
      <c r="I402" s="3" t="str">
        <f>IFERROR(__xludf.DUMMYFUNCTION("""COMPUTED_VALUE"""),"MCB trip/Power upnormal")</f>
        <v>MCB trip/Power upnormal</v>
      </c>
      <c r="J402" s="3" t="str">
        <f>IFERROR(__xludf.DUMMYFUNCTION("""COMPUTED_VALUE"""),"On Progress")</f>
        <v>On Progress</v>
      </c>
      <c r="K402" s="27">
        <f>IFERROR(__xludf.DUMMYFUNCTION("""COMPUTED_VALUE"""),46021.0)</f>
        <v>46021</v>
      </c>
      <c r="L402" s="27">
        <f>IFERROR(__xludf.DUMMYFUNCTION("""COMPUTED_VALUE"""),46021.0)</f>
        <v>46021</v>
      </c>
      <c r="M402" s="3" t="str">
        <f>IFERROR(__xludf.DUMMYFUNCTION("""COMPUTED_VALUE"""),"Done")</f>
        <v>Done</v>
      </c>
      <c r="N402" s="3" t="str">
        <f>IFERROR(__xludf.DUMMYFUNCTION("""COMPUTED_VALUE"""),"Backup ")</f>
        <v>Backup </v>
      </c>
      <c r="O402" s="3" t="str">
        <f>IFERROR(VLOOKUP(C402,Sheet4!A402:F1189,6,0),"")</f>
        <v/>
      </c>
      <c r="Q402" s="2" t="str">
        <f t="shared" si="1"/>
        <v>30</v>
      </c>
    </row>
    <row r="403">
      <c r="A403" s="3" t="str">
        <f>IFERROR(__xludf.DUMMYFUNCTION("""COMPUTED_VALUE"""),"Standby On Call")</f>
        <v>Standby On Call</v>
      </c>
      <c r="B403" s="3" t="str">
        <f>IFERROR(__xludf.DUMMYFUNCTION("""COMPUTED_VALUE"""),"P3")</f>
        <v>P3</v>
      </c>
      <c r="C403" s="3"/>
      <c r="D403" s="3" t="str">
        <f>IFERROR(__xludf.DUMMYFUNCTION("""COMPUTED_VALUE"""),"Trisno Susanto")</f>
        <v>Trisno Susanto</v>
      </c>
      <c r="E403" s="3" t="str">
        <f>IFERROR(__xludf.DUMMYFUNCTION("""COMPUTED_VALUE"""),"PM")</f>
        <v>PM</v>
      </c>
      <c r="F403" s="3" t="str">
        <f>IFERROR(__xludf.DUMMYFUNCTION("""COMPUTED_VALUE"""),"Winda Sokenda")</f>
        <v>Winda Sokenda</v>
      </c>
      <c r="G403" s="3" t="str">
        <f>IFERROR(__xludf.DUMMYFUNCTION("""COMPUTED_VALUE"""),"Barito Raya")</f>
        <v>Barito Raya</v>
      </c>
      <c r="H403" s="3" t="str">
        <f>IFERROR(__xludf.DUMMYFUNCTION("""COMPUTED_VALUE"""),"Standby")</f>
        <v>Standby</v>
      </c>
      <c r="I403" s="3" t="str">
        <f>IFERROR(__xludf.DUMMYFUNCTION("""COMPUTED_VALUE"""),"Standby On Call")</f>
        <v>Standby On Call</v>
      </c>
      <c r="J403" s="3"/>
      <c r="K403" s="27">
        <f>IFERROR(__xludf.DUMMYFUNCTION("""COMPUTED_VALUE"""),46021.0)</f>
        <v>46021</v>
      </c>
      <c r="L403" s="3"/>
      <c r="M403" s="3"/>
      <c r="N403" s="3"/>
      <c r="O403" s="3" t="str">
        <f>IFERROR(VLOOKUP(C403,Sheet4!A403:F1190,6,0),"")</f>
        <v/>
      </c>
      <c r="Q403" s="2" t="str">
        <f t="shared" si="1"/>
        <v>30</v>
      </c>
    </row>
    <row r="404">
      <c r="A404" s="3" t="str">
        <f>IFERROR(__xludf.DUMMYFUNCTION("""COMPUTED_VALUE"""),"Standby On Call")</f>
        <v>Standby On Call</v>
      </c>
      <c r="B404" s="3" t="str">
        <f>IFERROR(__xludf.DUMMYFUNCTION("""COMPUTED_VALUE"""),"P3")</f>
        <v>P3</v>
      </c>
      <c r="C404" s="3"/>
      <c r="D404" s="3" t="str">
        <f>IFERROR(__xludf.DUMMYFUNCTION("""COMPUTED_VALUE"""),"Khilal dawai katiri")</f>
        <v>Khilal dawai katiri</v>
      </c>
      <c r="E404" s="3" t="str">
        <f>IFERROR(__xludf.DUMMYFUNCTION("""COMPUTED_VALUE"""),"MBP")</f>
        <v>MBP</v>
      </c>
      <c r="F404" s="3" t="str">
        <f>IFERROR(__xludf.DUMMYFUNCTION("""COMPUTED_VALUE"""),"Winda Sokenda")</f>
        <v>Winda Sokenda</v>
      </c>
      <c r="G404" s="3" t="str">
        <f>IFERROR(__xludf.DUMMYFUNCTION("""COMPUTED_VALUE"""),"Barito Raya")</f>
        <v>Barito Raya</v>
      </c>
      <c r="H404" s="3" t="str">
        <f>IFERROR(__xludf.DUMMYFUNCTION("""COMPUTED_VALUE"""),"Standby")</f>
        <v>Standby</v>
      </c>
      <c r="I404" s="3" t="str">
        <f>IFERROR(__xludf.DUMMYFUNCTION("""COMPUTED_VALUE"""),"Standby On Call")</f>
        <v>Standby On Call</v>
      </c>
      <c r="J404" s="3"/>
      <c r="K404" s="27">
        <f>IFERROR(__xludf.DUMMYFUNCTION("""COMPUTED_VALUE"""),46021.0)</f>
        <v>46021</v>
      </c>
      <c r="L404" s="3"/>
      <c r="M404" s="3"/>
      <c r="N404" s="3"/>
      <c r="O404" s="3" t="str">
        <f>IFERROR(VLOOKUP(C404,Sheet4!A404:F1191,6,0),"")</f>
        <v/>
      </c>
      <c r="Q404" s="2" t="str">
        <f t="shared" si="1"/>
        <v>30</v>
      </c>
    </row>
    <row r="405">
      <c r="A405" s="3" t="str">
        <f>IFERROR(__xludf.DUMMYFUNCTION("""COMPUTED_VALUE"""),"Standby On Call")</f>
        <v>Standby On Call</v>
      </c>
      <c r="B405" s="3" t="str">
        <f>IFERROR(__xludf.DUMMYFUNCTION("""COMPUTED_VALUE"""),"P3")</f>
        <v>P3</v>
      </c>
      <c r="C405" s="3"/>
      <c r="D405" s="3" t="str">
        <f>IFERROR(__xludf.DUMMYFUNCTION("""COMPUTED_VALUE"""),"Riko setiadi")</f>
        <v>Riko setiadi</v>
      </c>
      <c r="E405" s="3" t="str">
        <f>IFERROR(__xludf.DUMMYFUNCTION("""COMPUTED_VALUE"""),"PM")</f>
        <v>PM</v>
      </c>
      <c r="F405" s="3" t="str">
        <f>IFERROR(__xludf.DUMMYFUNCTION("""COMPUTED_VALUE"""),"Winda Sokenda")</f>
        <v>Winda Sokenda</v>
      </c>
      <c r="G405" s="3" t="str">
        <f>IFERROR(__xludf.DUMMYFUNCTION("""COMPUTED_VALUE"""),"Barito Raya")</f>
        <v>Barito Raya</v>
      </c>
      <c r="H405" s="3" t="str">
        <f>IFERROR(__xludf.DUMMYFUNCTION("""COMPUTED_VALUE"""),"Standby")</f>
        <v>Standby</v>
      </c>
      <c r="I405" s="3" t="str">
        <f>IFERROR(__xludf.DUMMYFUNCTION("""COMPUTED_VALUE"""),"Standby On Call")</f>
        <v>Standby On Call</v>
      </c>
      <c r="J405" s="3"/>
      <c r="K405" s="27">
        <f>IFERROR(__xludf.DUMMYFUNCTION("""COMPUTED_VALUE"""),46021.0)</f>
        <v>46021</v>
      </c>
      <c r="L405" s="3"/>
      <c r="M405" s="3"/>
      <c r="N405" s="3"/>
      <c r="O405" s="3" t="str">
        <f>IFERROR(VLOOKUP(C405,Sheet4!A405:F1192,6,0),"")</f>
        <v/>
      </c>
      <c r="Q405" s="2" t="str">
        <f t="shared" si="1"/>
        <v>30</v>
      </c>
    </row>
    <row r="406">
      <c r="A406" s="3" t="str">
        <f>IFERROR(__xludf.DUMMYFUNCTION("""COMPUTED_VALUE"""),"Site Down")</f>
        <v>Site Down</v>
      </c>
      <c r="B406" s="3" t="str">
        <f>IFERROR(__xludf.DUMMYFUNCTION("""COMPUTED_VALUE"""),"P1")</f>
        <v>P1</v>
      </c>
      <c r="C406" s="3" t="str">
        <f>IFERROR(__xludf.DUMMYFUNCTION("""COMPUTED_VALUE"""),"NTH082")</f>
        <v>NTH082</v>
      </c>
      <c r="D406" s="3" t="str">
        <f>IFERROR(__xludf.DUMMYFUNCTION("""COMPUTED_VALUE"""),"Aulia Rahman")</f>
        <v>Aulia Rahman</v>
      </c>
      <c r="E406" s="3" t="str">
        <f>IFERROR(__xludf.DUMMYFUNCTION("""COMPUTED_VALUE"""),"TE")</f>
        <v>TE</v>
      </c>
      <c r="F406" s="3" t="str">
        <f>IFERROR(__xludf.DUMMYFUNCTION("""COMPUTED_VALUE"""),"Winda Sokenda")</f>
        <v>Winda Sokenda</v>
      </c>
      <c r="G406" s="3" t="str">
        <f>IFERROR(__xludf.DUMMYFUNCTION("""COMPUTED_VALUE"""),"Barito Raya")</f>
        <v>Barito Raya</v>
      </c>
      <c r="H406" s="3" t="str">
        <f>IFERROR(__xludf.DUMMYFUNCTION("""COMPUTED_VALUE"""),"Corrective")</f>
        <v>Corrective</v>
      </c>
      <c r="I406" s="3" t="str">
        <f>IFERROR(__xludf.DUMMYFUNCTION("""COMPUTED_VALUE"""),"Pemadaman,MCB Trip,Transmisi problem")</f>
        <v>Pemadaman,MCB Trip,Transmisi problem</v>
      </c>
      <c r="J406" s="3"/>
      <c r="K406" s="27">
        <f>IFERROR(__xludf.DUMMYFUNCTION("""COMPUTED_VALUE"""),46021.0)</f>
        <v>46021</v>
      </c>
      <c r="L406" s="3"/>
      <c r="M406" s="3"/>
      <c r="N406" s="3"/>
      <c r="O406" s="3">
        <f>IFERROR(VLOOKUP(C406,Sheet4!A406:F1193,6,0),"")</f>
        <v>11381485</v>
      </c>
      <c r="Q406" s="2" t="str">
        <f t="shared" si="1"/>
        <v>30</v>
      </c>
    </row>
    <row r="407">
      <c r="A407" s="3" t="str">
        <f>IFERROR(__xludf.DUMMYFUNCTION("""COMPUTED_VALUE"""),"Cell down")</f>
        <v>Cell down</v>
      </c>
      <c r="B407" s="3" t="str">
        <f>IFERROR(__xludf.DUMMYFUNCTION("""COMPUTED_VALUE"""),"P1")</f>
        <v>P1</v>
      </c>
      <c r="C407" s="3" t="str">
        <f>IFERROR(__xludf.DUMMYFUNCTION("""COMPUTED_VALUE"""),"NTH250")</f>
        <v>NTH250</v>
      </c>
      <c r="D407" s="3" t="str">
        <f>IFERROR(__xludf.DUMMYFUNCTION("""COMPUTED_VALUE"""),"Oky Bangkit Pamungkas")</f>
        <v>Oky Bangkit Pamungkas</v>
      </c>
      <c r="E407" s="3" t="str">
        <f>IFERROR(__xludf.DUMMYFUNCTION("""COMPUTED_VALUE"""),"TE")</f>
        <v>TE</v>
      </c>
      <c r="F407" s="3" t="str">
        <f>IFERROR(__xludf.DUMMYFUNCTION("""COMPUTED_VALUE"""),"Doni Damara")</f>
        <v>Doni Damara</v>
      </c>
      <c r="G407" s="3" t="str">
        <f>IFERROR(__xludf.DUMMYFUNCTION("""COMPUTED_VALUE"""),"Palangkaraya")</f>
        <v>Palangkaraya</v>
      </c>
      <c r="H407" s="3" t="str">
        <f>IFERROR(__xludf.DUMMYFUNCTION("""COMPUTED_VALUE"""),"Corrective")</f>
        <v>Corrective</v>
      </c>
      <c r="I407" s="3" t="str">
        <f>IFERROR(__xludf.DUMMYFUNCTION("""COMPUTED_VALUE"""),"Replace Optik,RRU/Soket Power/Replace GPS")</f>
        <v>Replace Optik,RRU/Soket Power/Replace GPS</v>
      </c>
      <c r="J407" s="3" t="str">
        <f>IFERROR(__xludf.DUMMYFUNCTION("""COMPUTED_VALUE"""),"On Progress")</f>
        <v>On Progress</v>
      </c>
      <c r="K407" s="27">
        <f>IFERROR(__xludf.DUMMYFUNCTION("""COMPUTED_VALUE"""),46021.0)</f>
        <v>46021</v>
      </c>
      <c r="L407" s="3"/>
      <c r="M407" s="3" t="str">
        <f>IFERROR(__xludf.DUMMYFUNCTION("""COMPUTED_VALUE"""),"Waiting Update")</f>
        <v>Waiting Update</v>
      </c>
      <c r="N407" s="3"/>
      <c r="O407" s="3" t="str">
        <f>IFERROR(VLOOKUP(C407,Sheet4!A407:F1194,6,0),"")</f>
        <v/>
      </c>
      <c r="Q407" s="2" t="str">
        <f t="shared" si="1"/>
        <v>30</v>
      </c>
    </row>
    <row r="408">
      <c r="A408" s="3" t="str">
        <f>IFERROR(__xludf.DUMMYFUNCTION("""COMPUTED_VALUE"""),"Site Down")</f>
        <v>Site Down</v>
      </c>
      <c r="B408" s="3" t="str">
        <f>IFERROR(__xludf.DUMMYFUNCTION("""COMPUTED_VALUE"""),"P1")</f>
        <v>P1</v>
      </c>
      <c r="C408" s="3" t="str">
        <f>IFERROR(__xludf.DUMMYFUNCTION("""COMPUTED_VALUE"""),"KKN029")</f>
        <v>KKN029</v>
      </c>
      <c r="D408" s="3" t="str">
        <f>IFERROR(__xludf.DUMMYFUNCTION("""COMPUTED_VALUE"""),"Oky Bangkit Pamungkas")</f>
        <v>Oky Bangkit Pamungkas</v>
      </c>
      <c r="E408" s="3" t="str">
        <f>IFERROR(__xludf.DUMMYFUNCTION("""COMPUTED_VALUE"""),"TE")</f>
        <v>TE</v>
      </c>
      <c r="F408" s="3" t="str">
        <f>IFERROR(__xludf.DUMMYFUNCTION("""COMPUTED_VALUE"""),"Doni Damara")</f>
        <v>Doni Damara</v>
      </c>
      <c r="G408" s="3" t="str">
        <f>IFERROR(__xludf.DUMMYFUNCTION("""COMPUTED_VALUE"""),"Palangkaraya")</f>
        <v>Palangkaraya</v>
      </c>
      <c r="H408" s="3" t="str">
        <f>IFERROR(__xludf.DUMMYFUNCTION("""COMPUTED_VALUE"""),"Corrective")</f>
        <v>Corrective</v>
      </c>
      <c r="I408" s="3" t="str">
        <f>IFERROR(__xludf.DUMMYFUNCTION("""COMPUTED_VALUE"""),"Pemadaman,MCB Trip,Transmisi problem")</f>
        <v>Pemadaman,MCB Trip,Transmisi problem</v>
      </c>
      <c r="J408" s="3" t="str">
        <f>IFERROR(__xludf.DUMMYFUNCTION("""COMPUTED_VALUE"""),"On Progress")</f>
        <v>On Progress</v>
      </c>
      <c r="K408" s="27">
        <f>IFERROR(__xludf.DUMMYFUNCTION("""COMPUTED_VALUE"""),46021.0)</f>
        <v>46021</v>
      </c>
      <c r="L408" s="3"/>
      <c r="M408" s="3" t="str">
        <f>IFERROR(__xludf.DUMMYFUNCTION("""COMPUTED_VALUE"""),"Waiting Update")</f>
        <v>Waiting Update</v>
      </c>
      <c r="N408" s="3"/>
      <c r="O408" s="3" t="str">
        <f>IFERROR(VLOOKUP(C408,Sheet4!A408:F1195,6,0),"")</f>
        <v/>
      </c>
      <c r="Q408" s="2" t="str">
        <f t="shared" si="1"/>
        <v>30</v>
      </c>
    </row>
    <row r="409">
      <c r="A409" s="3" t="str">
        <f>IFERROR(__xludf.DUMMYFUNCTION("""COMPUTED_VALUE"""),"Cell down")</f>
        <v>Cell down</v>
      </c>
      <c r="B409" s="3" t="str">
        <f>IFERROR(__xludf.DUMMYFUNCTION("""COMPUTED_VALUE"""),"P1")</f>
        <v>P1</v>
      </c>
      <c r="C409" s="3" t="str">
        <f>IFERROR(__xludf.DUMMYFUNCTION("""COMPUTED_VALUE"""),"PLK240")</f>
        <v>PLK240</v>
      </c>
      <c r="D409" s="3" t="str">
        <f>IFERROR(__xludf.DUMMYFUNCTION("""COMPUTED_VALUE"""),"Adi Bowo Santoso")</f>
        <v>Adi Bowo Santoso</v>
      </c>
      <c r="E409" s="3" t="str">
        <f>IFERROR(__xludf.DUMMYFUNCTION("""COMPUTED_VALUE"""),"TE")</f>
        <v>TE</v>
      </c>
      <c r="F409" s="3" t="str">
        <f>IFERROR(__xludf.DUMMYFUNCTION("""COMPUTED_VALUE"""),"Doni Damara")</f>
        <v>Doni Damara</v>
      </c>
      <c r="G409" s="3" t="str">
        <f>IFERROR(__xludf.DUMMYFUNCTION("""COMPUTED_VALUE"""),"Palangkaraya")</f>
        <v>Palangkaraya</v>
      </c>
      <c r="H409" s="3" t="str">
        <f>IFERROR(__xludf.DUMMYFUNCTION("""COMPUTED_VALUE"""),"Corrective")</f>
        <v>Corrective</v>
      </c>
      <c r="I409" s="3" t="str">
        <f>IFERROR(__xludf.DUMMYFUNCTION("""COMPUTED_VALUE"""),"Replace Optik,RRU/Soket Power/Replace GPS")</f>
        <v>Replace Optik,RRU/Soket Power/Replace GPS</v>
      </c>
      <c r="J409" s="3" t="str">
        <f>IFERROR(__xludf.DUMMYFUNCTION("""COMPUTED_VALUE"""),"On Progress")</f>
        <v>On Progress</v>
      </c>
      <c r="K409" s="27">
        <f>IFERROR(__xludf.DUMMYFUNCTION("""COMPUTED_VALUE"""),46021.0)</f>
        <v>46021</v>
      </c>
      <c r="L409" s="3"/>
      <c r="M409" s="3" t="str">
        <f>IFERROR(__xludf.DUMMYFUNCTION("""COMPUTED_VALUE"""),"Waiting Update")</f>
        <v>Waiting Update</v>
      </c>
      <c r="N409" s="3"/>
      <c r="O409" s="3">
        <f>IFERROR(VLOOKUP(C409,Sheet4!A409:F1196,6,0),"")</f>
        <v>11390138</v>
      </c>
      <c r="Q409" s="2" t="str">
        <f t="shared" si="1"/>
        <v>30</v>
      </c>
    </row>
    <row r="410">
      <c r="A410" s="3" t="str">
        <f>IFERROR(__xludf.DUMMYFUNCTION("""COMPUTED_VALUE"""),"Cell down")</f>
        <v>Cell down</v>
      </c>
      <c r="B410" s="3" t="str">
        <f>IFERROR(__xludf.DUMMYFUNCTION("""COMPUTED_VALUE"""),"P1")</f>
        <v>P1</v>
      </c>
      <c r="C410" s="3" t="str">
        <f>IFERROR(__xludf.DUMMYFUNCTION("""COMPUTED_VALUE"""),"PLK240")</f>
        <v>PLK240</v>
      </c>
      <c r="D410" s="3" t="str">
        <f>IFERROR(__xludf.DUMMYFUNCTION("""COMPUTED_VALUE"""),"Ahmad")</f>
        <v>Ahmad</v>
      </c>
      <c r="E410" s="3" t="str">
        <f>IFERROR(__xludf.DUMMYFUNCTION("""COMPUTED_VALUE"""),"TE")</f>
        <v>TE</v>
      </c>
      <c r="F410" s="3" t="str">
        <f>IFERROR(__xludf.DUMMYFUNCTION("""COMPUTED_VALUE"""),"Doni Damara")</f>
        <v>Doni Damara</v>
      </c>
      <c r="G410" s="3" t="str">
        <f>IFERROR(__xludf.DUMMYFUNCTION("""COMPUTED_VALUE"""),"Palangkaraya")</f>
        <v>Palangkaraya</v>
      </c>
      <c r="H410" s="3" t="str">
        <f>IFERROR(__xludf.DUMMYFUNCTION("""COMPUTED_VALUE"""),"Corrective")</f>
        <v>Corrective</v>
      </c>
      <c r="I410" s="3" t="str">
        <f>IFERROR(__xludf.DUMMYFUNCTION("""COMPUTED_VALUE"""),"Replace Optik,RRU/Soket Power/Replace GPS")</f>
        <v>Replace Optik,RRU/Soket Power/Replace GPS</v>
      </c>
      <c r="J410" s="3" t="str">
        <f>IFERROR(__xludf.DUMMYFUNCTION("""COMPUTED_VALUE"""),"On Progress")</f>
        <v>On Progress</v>
      </c>
      <c r="K410" s="27">
        <f>IFERROR(__xludf.DUMMYFUNCTION("""COMPUTED_VALUE"""),46021.0)</f>
        <v>46021</v>
      </c>
      <c r="L410" s="3"/>
      <c r="M410" s="3" t="str">
        <f>IFERROR(__xludf.DUMMYFUNCTION("""COMPUTED_VALUE"""),"Waiting Update")</f>
        <v>Waiting Update</v>
      </c>
      <c r="N410" s="3"/>
      <c r="O410" s="3">
        <f>IFERROR(VLOOKUP(C410,Sheet4!A410:F1197,6,0),"")</f>
        <v>11390138</v>
      </c>
      <c r="Q410" s="2" t="str">
        <f t="shared" si="1"/>
        <v>30</v>
      </c>
    </row>
    <row r="411">
      <c r="A411" s="3" t="str">
        <f>IFERROR(__xludf.DUMMYFUNCTION("""COMPUTED_VALUE"""),"Site Down")</f>
        <v>Site Down</v>
      </c>
      <c r="B411" s="3" t="str">
        <f>IFERROR(__xludf.DUMMYFUNCTION("""COMPUTED_VALUE"""),"P1")</f>
        <v>P1</v>
      </c>
      <c r="C411" s="3" t="str">
        <f>IFERROR(__xludf.DUMMYFUNCTION("""COMPUTED_VALUE"""),"KSN722")</f>
        <v>KSN722</v>
      </c>
      <c r="D411" s="3" t="str">
        <f>IFERROR(__xludf.DUMMYFUNCTION("""COMPUTED_VALUE"""),"Ahmad Setiawan")</f>
        <v>Ahmad Setiawan</v>
      </c>
      <c r="E411" s="3" t="str">
        <f>IFERROR(__xludf.DUMMYFUNCTION("""COMPUTED_VALUE"""),"TE")</f>
        <v>TE</v>
      </c>
      <c r="F411" s="3" t="str">
        <f>IFERROR(__xludf.DUMMYFUNCTION("""COMPUTED_VALUE"""),"Doni Damara")</f>
        <v>Doni Damara</v>
      </c>
      <c r="G411" s="3" t="str">
        <f>IFERROR(__xludf.DUMMYFUNCTION("""COMPUTED_VALUE"""),"Palangkaraya")</f>
        <v>Palangkaraya</v>
      </c>
      <c r="H411" s="3" t="str">
        <f>IFERROR(__xludf.DUMMYFUNCTION("""COMPUTED_VALUE"""),"Corrective")</f>
        <v>Corrective</v>
      </c>
      <c r="I411" s="3" t="str">
        <f>IFERROR(__xludf.DUMMYFUNCTION("""COMPUTED_VALUE"""),"Pemadaman,MCB Trip,Transmisi problem")</f>
        <v>Pemadaman,MCB Trip,Transmisi problem</v>
      </c>
      <c r="J411" s="3" t="str">
        <f>IFERROR(__xludf.DUMMYFUNCTION("""COMPUTED_VALUE"""),"On Progress")</f>
        <v>On Progress</v>
      </c>
      <c r="K411" s="27">
        <f>IFERROR(__xludf.DUMMYFUNCTION("""COMPUTED_VALUE"""),46021.0)</f>
        <v>46021</v>
      </c>
      <c r="L411" s="3"/>
      <c r="M411" s="3" t="str">
        <f>IFERROR(__xludf.DUMMYFUNCTION("""COMPUTED_VALUE"""),"Waiting Update")</f>
        <v>Waiting Update</v>
      </c>
      <c r="N411" s="3"/>
      <c r="O411" s="3">
        <f>IFERROR(VLOOKUP(C411,Sheet4!A411:F1198,6,0),"")</f>
        <v>11360951</v>
      </c>
      <c r="Q411" s="2" t="str">
        <f t="shared" si="1"/>
        <v>30</v>
      </c>
    </row>
    <row r="412">
      <c r="A412" s="3" t="str">
        <f>IFERROR(__xludf.DUMMYFUNCTION("""COMPUTED_VALUE"""),"Tshoot Genset")</f>
        <v>Tshoot Genset</v>
      </c>
      <c r="B412" s="3" t="str">
        <f>IFERROR(__xludf.DUMMYFUNCTION("""COMPUTED_VALUE"""),"P1")</f>
        <v>P1</v>
      </c>
      <c r="C412" s="3" t="str">
        <f>IFERROR(__xludf.DUMMYFUNCTION("""COMPUTED_VALUE"""),"KKP044")</f>
        <v>KKP044</v>
      </c>
      <c r="D412" s="3" t="str">
        <f>IFERROR(__xludf.DUMMYFUNCTION("""COMPUTED_VALUE"""),"Fahmi")</f>
        <v>Fahmi</v>
      </c>
      <c r="E412" s="3" t="str">
        <f>IFERROR(__xludf.DUMMYFUNCTION("""COMPUTED_VALUE"""),"TE")</f>
        <v>TE</v>
      </c>
      <c r="F412" s="3" t="str">
        <f>IFERROR(__xludf.DUMMYFUNCTION("""COMPUTED_VALUE"""),"Winda Sokenda")</f>
        <v>Winda Sokenda</v>
      </c>
      <c r="G412" s="3" t="str">
        <f>IFERROR(__xludf.DUMMYFUNCTION("""COMPUTED_VALUE"""),"Barito Raya")</f>
        <v>Barito Raya</v>
      </c>
      <c r="H412" s="3" t="str">
        <f>IFERROR(__xludf.DUMMYFUNCTION("""COMPUTED_VALUE"""),"Corrective")</f>
        <v>Corrective</v>
      </c>
      <c r="I412" s="3" t="str">
        <f>IFERROR(__xludf.DUMMYFUNCTION("""COMPUTED_VALUE"""),"Perbaikan Auto,pergantian relay,timer, yang berhubungan genset")</f>
        <v>Perbaikan Auto,pergantian relay,timer, yang berhubungan genset</v>
      </c>
      <c r="J412" s="3" t="str">
        <f>IFERROR(__xludf.DUMMYFUNCTION("""COMPUTED_VALUE"""),"On Progress")</f>
        <v>On Progress</v>
      </c>
      <c r="K412" s="27">
        <f>IFERROR(__xludf.DUMMYFUNCTION("""COMPUTED_VALUE"""),46021.0)</f>
        <v>46021</v>
      </c>
      <c r="L412" s="3"/>
      <c r="M412" s="3" t="str">
        <f>IFERROR(__xludf.DUMMYFUNCTION("""COMPUTED_VALUE"""),"Waiting Update")</f>
        <v>Waiting Update</v>
      </c>
      <c r="N412" s="3"/>
      <c r="O412" s="3" t="str">
        <f>IFERROR(VLOOKUP(C412,Sheet4!A412:F1199,6,0),"")</f>
        <v/>
      </c>
      <c r="Q412" s="2" t="str">
        <f t="shared" si="1"/>
        <v>30</v>
      </c>
    </row>
    <row r="413">
      <c r="A413" s="3" t="str">
        <f>IFERROR(__xludf.DUMMYFUNCTION("""COMPUTED_VALUE"""),"Tshoot Genset")</f>
        <v>Tshoot Genset</v>
      </c>
      <c r="B413" s="3" t="str">
        <f>IFERROR(__xludf.DUMMYFUNCTION("""COMPUTED_VALUE"""),"P1")</f>
        <v>P1</v>
      </c>
      <c r="C413" s="3" t="str">
        <f>IFERROR(__xludf.DUMMYFUNCTION("""COMPUTED_VALUE"""),"KKP044")</f>
        <v>KKP044</v>
      </c>
      <c r="D413" s="3" t="str">
        <f>IFERROR(__xludf.DUMMYFUNCTION("""COMPUTED_VALUE"""),"Jumadi")</f>
        <v>Jumadi</v>
      </c>
      <c r="E413" s="3" t="str">
        <f>IFERROR(__xludf.DUMMYFUNCTION("""COMPUTED_VALUE"""),"TE")</f>
        <v>TE</v>
      </c>
      <c r="F413" s="3" t="str">
        <f>IFERROR(__xludf.DUMMYFUNCTION("""COMPUTED_VALUE"""),"Winda Sokenda")</f>
        <v>Winda Sokenda</v>
      </c>
      <c r="G413" s="3" t="str">
        <f>IFERROR(__xludf.DUMMYFUNCTION("""COMPUTED_VALUE"""),"Barito Raya")</f>
        <v>Barito Raya</v>
      </c>
      <c r="H413" s="3" t="str">
        <f>IFERROR(__xludf.DUMMYFUNCTION("""COMPUTED_VALUE"""),"Corrective")</f>
        <v>Corrective</v>
      </c>
      <c r="I413" s="3" t="str">
        <f>IFERROR(__xludf.DUMMYFUNCTION("""COMPUTED_VALUE"""),"Perbaikan Auto,pergantian relay,timer, yang berhubungan genset")</f>
        <v>Perbaikan Auto,pergantian relay,timer, yang berhubungan genset</v>
      </c>
      <c r="J413" s="3" t="str">
        <f>IFERROR(__xludf.DUMMYFUNCTION("""COMPUTED_VALUE"""),"On Progress")</f>
        <v>On Progress</v>
      </c>
      <c r="K413" s="27">
        <f>IFERROR(__xludf.DUMMYFUNCTION("""COMPUTED_VALUE"""),46021.0)</f>
        <v>46021</v>
      </c>
      <c r="L413" s="3"/>
      <c r="M413" s="3" t="str">
        <f>IFERROR(__xludf.DUMMYFUNCTION("""COMPUTED_VALUE"""),"Waiting Update")</f>
        <v>Waiting Update</v>
      </c>
      <c r="N413" s="3"/>
      <c r="O413" s="3" t="str">
        <f>IFERROR(VLOOKUP(C413,Sheet4!A413:F1200,6,0),"")</f>
        <v/>
      </c>
      <c r="Q413" s="2" t="str">
        <f t="shared" si="1"/>
        <v>30</v>
      </c>
    </row>
    <row r="414">
      <c r="A414" s="3" t="str">
        <f>IFERROR(__xludf.DUMMYFUNCTION("""COMPUTED_VALUE"""),"Site Down")</f>
        <v>Site Down</v>
      </c>
      <c r="B414" s="3" t="str">
        <f>IFERROR(__xludf.DUMMYFUNCTION("""COMPUTED_VALUE"""),"P1")</f>
        <v>P1</v>
      </c>
      <c r="C414" s="3" t="str">
        <f>IFERROR(__xludf.DUMMYFUNCTION("""COMPUTED_VALUE"""),"KSN188")</f>
        <v>KSN188</v>
      </c>
      <c r="D414" s="3" t="str">
        <f>IFERROR(__xludf.DUMMYFUNCTION("""COMPUTED_VALUE"""),"melky.O.Tulangow")</f>
        <v>melky.O.Tulangow</v>
      </c>
      <c r="E414" s="3" t="str">
        <f>IFERROR(__xludf.DUMMYFUNCTION("""COMPUTED_VALUE"""),"TE")</f>
        <v>TE</v>
      </c>
      <c r="F414" s="3" t="str">
        <f>IFERROR(__xludf.DUMMYFUNCTION("""COMPUTED_VALUE"""),"Doni Damara")</f>
        <v>Doni Damara</v>
      </c>
      <c r="G414" s="3" t="str">
        <f>IFERROR(__xludf.DUMMYFUNCTION("""COMPUTED_VALUE"""),"Palangkaraya")</f>
        <v>Palangkaraya</v>
      </c>
      <c r="H414" s="3" t="str">
        <f>IFERROR(__xludf.DUMMYFUNCTION("""COMPUTED_VALUE"""),"Corrective")</f>
        <v>Corrective</v>
      </c>
      <c r="I414" s="3" t="str">
        <f>IFERROR(__xludf.DUMMYFUNCTION("""COMPUTED_VALUE"""),"Pemadaman,MCB Trip,Transmisi problem")</f>
        <v>Pemadaman,MCB Trip,Transmisi problem</v>
      </c>
      <c r="J414" s="3" t="str">
        <f>IFERROR(__xludf.DUMMYFUNCTION("""COMPUTED_VALUE"""),"On Progress")</f>
        <v>On Progress</v>
      </c>
      <c r="K414" s="27">
        <f>IFERROR(__xludf.DUMMYFUNCTION("""COMPUTED_VALUE"""),46021.0)</f>
        <v>46021</v>
      </c>
      <c r="L414" s="3"/>
      <c r="M414" s="3" t="str">
        <f>IFERROR(__xludf.DUMMYFUNCTION("""COMPUTED_VALUE"""),"Waiting Update")</f>
        <v>Waiting Update</v>
      </c>
      <c r="N414" s="3"/>
      <c r="O414" s="3">
        <f>IFERROR(VLOOKUP(C414,Sheet4!A414:F1201,6,0),"")</f>
        <v>11260717</v>
      </c>
      <c r="Q414" s="2" t="str">
        <f t="shared" si="1"/>
        <v>30</v>
      </c>
    </row>
    <row r="415">
      <c r="A415" s="3" t="str">
        <f>IFERROR(__xludf.DUMMYFUNCTION("""COMPUTED_VALUE"""),"Site Down")</f>
        <v>Site Down</v>
      </c>
      <c r="B415" s="3" t="str">
        <f>IFERROR(__xludf.DUMMYFUNCTION("""COMPUTED_VALUE"""),"P1")</f>
        <v>P1</v>
      </c>
      <c r="C415" s="3" t="str">
        <f>IFERROR(__xludf.DUMMYFUNCTION("""COMPUTED_VALUE"""),"KSN721")</f>
        <v>KSN721</v>
      </c>
      <c r="D415" s="3" t="str">
        <f>IFERROR(__xludf.DUMMYFUNCTION("""COMPUTED_VALUE"""),"james jimbris")</f>
        <v>james jimbris</v>
      </c>
      <c r="E415" s="3" t="str">
        <f>IFERROR(__xludf.DUMMYFUNCTION("""COMPUTED_VALUE"""),"TE")</f>
        <v>TE</v>
      </c>
      <c r="F415" s="3" t="str">
        <f>IFERROR(__xludf.DUMMYFUNCTION("""COMPUTED_VALUE"""),"Doni Damara")</f>
        <v>Doni Damara</v>
      </c>
      <c r="G415" s="3" t="str">
        <f>IFERROR(__xludf.DUMMYFUNCTION("""COMPUTED_VALUE"""),"Palangkaraya")</f>
        <v>Palangkaraya</v>
      </c>
      <c r="H415" s="3" t="str">
        <f>IFERROR(__xludf.DUMMYFUNCTION("""COMPUTED_VALUE"""),"Corrective")</f>
        <v>Corrective</v>
      </c>
      <c r="I415" s="3" t="str">
        <f>IFERROR(__xludf.DUMMYFUNCTION("""COMPUTED_VALUE"""),"Pemadaman,MCB Trip,Transmisi problem")</f>
        <v>Pemadaman,MCB Trip,Transmisi problem</v>
      </c>
      <c r="J415" s="3" t="str">
        <f>IFERROR(__xludf.DUMMYFUNCTION("""COMPUTED_VALUE"""),"On Progress")</f>
        <v>On Progress</v>
      </c>
      <c r="K415" s="27">
        <f>IFERROR(__xludf.DUMMYFUNCTION("""COMPUTED_VALUE"""),46021.0)</f>
        <v>46021</v>
      </c>
      <c r="L415" s="3"/>
      <c r="M415" s="3" t="str">
        <f>IFERROR(__xludf.DUMMYFUNCTION("""COMPUTED_VALUE"""),"Waiting Update")</f>
        <v>Waiting Update</v>
      </c>
      <c r="N415" s="3"/>
      <c r="O415" s="3">
        <f>IFERROR(VLOOKUP(C415,Sheet4!A415:F1202,6,0),"")</f>
        <v>11334753</v>
      </c>
      <c r="Q415" s="2" t="str">
        <f t="shared" si="1"/>
        <v>30</v>
      </c>
    </row>
    <row r="416">
      <c r="A416" s="3" t="str">
        <f>IFERROR(__xludf.DUMMYFUNCTION("""COMPUTED_VALUE"""),"Cell down")</f>
        <v>Cell down</v>
      </c>
      <c r="B416" s="3" t="str">
        <f>IFERROR(__xludf.DUMMYFUNCTION("""COMPUTED_VALUE"""),"P1")</f>
        <v>P1</v>
      </c>
      <c r="C416" s="3" t="str">
        <f>IFERROR(__xludf.DUMMYFUNCTION("""COMPUTED_VALUE"""),"KSN021")</f>
        <v>KSN021</v>
      </c>
      <c r="D416" s="3" t="str">
        <f>IFERROR(__xludf.DUMMYFUNCTION("""COMPUTED_VALUE"""),"Muhammad Mukhlis")</f>
        <v>Muhammad Mukhlis</v>
      </c>
      <c r="E416" s="3" t="str">
        <f>IFERROR(__xludf.DUMMYFUNCTION("""COMPUTED_VALUE"""),"TE")</f>
        <v>TE</v>
      </c>
      <c r="F416" s="3" t="str">
        <f>IFERROR(__xludf.DUMMYFUNCTION("""COMPUTED_VALUE"""),"Doni Damara")</f>
        <v>Doni Damara</v>
      </c>
      <c r="G416" s="3" t="str">
        <f>IFERROR(__xludf.DUMMYFUNCTION("""COMPUTED_VALUE"""),"Palangkaraya")</f>
        <v>Palangkaraya</v>
      </c>
      <c r="H416" s="3" t="str">
        <f>IFERROR(__xludf.DUMMYFUNCTION("""COMPUTED_VALUE"""),"Corrective")</f>
        <v>Corrective</v>
      </c>
      <c r="I416" s="3" t="str">
        <f>IFERROR(__xludf.DUMMYFUNCTION("""COMPUTED_VALUE"""),"Replace Optik,RRU/Soket Power/Replace GPS")</f>
        <v>Replace Optik,RRU/Soket Power/Replace GPS</v>
      </c>
      <c r="J416" s="3" t="str">
        <f>IFERROR(__xludf.DUMMYFUNCTION("""COMPUTED_VALUE"""),"On Progress")</f>
        <v>On Progress</v>
      </c>
      <c r="K416" s="27">
        <f>IFERROR(__xludf.DUMMYFUNCTION("""COMPUTED_VALUE"""),46021.0)</f>
        <v>46021</v>
      </c>
      <c r="L416" s="3"/>
      <c r="M416" s="3" t="str">
        <f>IFERROR(__xludf.DUMMYFUNCTION("""COMPUTED_VALUE"""),"Waiting Update")</f>
        <v>Waiting Update</v>
      </c>
      <c r="N416" s="3"/>
      <c r="O416" s="3" t="str">
        <f>IFERROR(VLOOKUP(C416,Sheet4!A416:F1203,6,0),"")</f>
        <v/>
      </c>
      <c r="Q416" s="2" t="str">
        <f t="shared" si="1"/>
        <v>30</v>
      </c>
    </row>
    <row r="417">
      <c r="A417" s="3" t="str">
        <f>IFERROR(__xludf.DUMMYFUNCTION("""COMPUTED_VALUE"""),"Replace FAN Rectifier")</f>
        <v>Replace FAN Rectifier</v>
      </c>
      <c r="B417" s="3" t="str">
        <f>IFERROR(__xludf.DUMMYFUNCTION("""COMPUTED_VALUE"""),"P1")</f>
        <v>P1</v>
      </c>
      <c r="C417" s="3" t="str">
        <f>IFERROR(__xludf.DUMMYFUNCTION("""COMPUTED_VALUE"""),"KSN048")</f>
        <v>KSN048</v>
      </c>
      <c r="D417" s="3" t="str">
        <f>IFERROR(__xludf.DUMMYFUNCTION("""COMPUTED_VALUE"""),"Muhammad Mukti")</f>
        <v>Muhammad Mukti</v>
      </c>
      <c r="E417" s="3" t="str">
        <f>IFERROR(__xludf.DUMMYFUNCTION("""COMPUTED_VALUE"""),"TE")</f>
        <v>TE</v>
      </c>
      <c r="F417" s="3" t="str">
        <f>IFERROR(__xludf.DUMMYFUNCTION("""COMPUTED_VALUE"""),"Doni Damara")</f>
        <v>Doni Damara</v>
      </c>
      <c r="G417" s="3" t="str">
        <f>IFERROR(__xludf.DUMMYFUNCTION("""COMPUTED_VALUE"""),"Palangkaraya")</f>
        <v>Palangkaraya</v>
      </c>
      <c r="H417" s="3" t="str">
        <f>IFERROR(__xludf.DUMMYFUNCTION("""COMPUTED_VALUE"""),"Corrective")</f>
        <v>Corrective</v>
      </c>
      <c r="I417" s="3" t="str">
        <f>IFERROR(__xludf.DUMMYFUNCTION("""COMPUTED_VALUE"""),"Replace FAN Rectifier")</f>
        <v>Replace FAN Rectifier</v>
      </c>
      <c r="J417" s="3" t="str">
        <f>IFERROR(__xludf.DUMMYFUNCTION("""COMPUTED_VALUE"""),"On Progress")</f>
        <v>On Progress</v>
      </c>
      <c r="K417" s="27">
        <f>IFERROR(__xludf.DUMMYFUNCTION("""COMPUTED_VALUE"""),46021.0)</f>
        <v>46021</v>
      </c>
      <c r="L417" s="3"/>
      <c r="M417" s="3" t="str">
        <f>IFERROR(__xludf.DUMMYFUNCTION("""COMPUTED_VALUE"""),"Waiting Update")</f>
        <v>Waiting Update</v>
      </c>
      <c r="N417" s="3"/>
      <c r="O417" s="3" t="str">
        <f>IFERROR(VLOOKUP(C417,Sheet4!A417:F1204,6,0),"")</f>
        <v/>
      </c>
      <c r="Q417" s="2" t="str">
        <f t="shared" si="1"/>
        <v>30</v>
      </c>
    </row>
    <row r="418">
      <c r="A418" s="3" t="str">
        <f>IFERROR(__xludf.DUMMYFUNCTION("""COMPUTED_VALUE"""),"On Leave")</f>
        <v>On Leave</v>
      </c>
      <c r="B418" s="3" t="str">
        <f>IFERROR(__xludf.DUMMYFUNCTION("""COMPUTED_VALUE"""),"P3")</f>
        <v>P3</v>
      </c>
      <c r="C418" s="3"/>
      <c r="D418" s="3" t="str">
        <f>IFERROR(__xludf.DUMMYFUNCTION("""COMPUTED_VALUE"""),"Leonard")</f>
        <v>Leonard</v>
      </c>
      <c r="E418" s="3" t="str">
        <f>IFERROR(__xludf.DUMMYFUNCTION("""COMPUTED_VALUE"""),"TE")</f>
        <v>TE</v>
      </c>
      <c r="F418" s="3" t="str">
        <f>IFERROR(__xludf.DUMMYFUNCTION("""COMPUTED_VALUE"""),"Doni Damara")</f>
        <v>Doni Damara</v>
      </c>
      <c r="G418" s="3" t="str">
        <f>IFERROR(__xludf.DUMMYFUNCTION("""COMPUTED_VALUE"""),"Palangkaraya")</f>
        <v>Palangkaraya</v>
      </c>
      <c r="H418" s="3" t="str">
        <f>IFERROR(__xludf.DUMMYFUNCTION("""COMPUTED_VALUE"""),"On Leave")</f>
        <v>On Leave</v>
      </c>
      <c r="I418" s="3" t="str">
        <f>IFERROR(__xludf.DUMMYFUNCTION("""COMPUTED_VALUE"""),"On Leave")</f>
        <v>On Leave</v>
      </c>
      <c r="J418" s="3" t="str">
        <f>IFERROR(__xludf.DUMMYFUNCTION("""COMPUTED_VALUE"""),"Standby")</f>
        <v>Standby</v>
      </c>
      <c r="K418" s="27">
        <f>IFERROR(__xludf.DUMMYFUNCTION("""COMPUTED_VALUE"""),46021.0)</f>
        <v>46021</v>
      </c>
      <c r="L418" s="3"/>
      <c r="M418" s="3" t="str">
        <f>IFERROR(__xludf.DUMMYFUNCTION("""COMPUTED_VALUE"""),"Waiting Update")</f>
        <v>Waiting Update</v>
      </c>
      <c r="N418" s="3"/>
      <c r="O418" s="3" t="str">
        <f>IFERROR(VLOOKUP(C418,Sheet4!A418:F1205,6,0),"")</f>
        <v/>
      </c>
      <c r="Q418" s="2" t="str">
        <f t="shared" si="1"/>
        <v>30</v>
      </c>
    </row>
    <row r="419">
      <c r="A419" s="3" t="str">
        <f>IFERROR(__xludf.DUMMYFUNCTION("""COMPUTED_VALUE"""),"PM")</f>
        <v>PM</v>
      </c>
      <c r="B419" s="3" t="str">
        <f>IFERROR(__xludf.DUMMYFUNCTION("""COMPUTED_VALUE"""),"P2")</f>
        <v>P2</v>
      </c>
      <c r="C419" s="3" t="str">
        <f>IFERROR(__xludf.DUMMYFUNCTION("""COMPUTED_VALUE"""),"PLK202")</f>
        <v>PLK202</v>
      </c>
      <c r="D419" s="3" t="str">
        <f>IFERROR(__xludf.DUMMYFUNCTION("""COMPUTED_VALUE"""),"Indra")</f>
        <v>Indra</v>
      </c>
      <c r="E419" s="3" t="str">
        <f>IFERROR(__xludf.DUMMYFUNCTION("""COMPUTED_VALUE"""),"PM")</f>
        <v>PM</v>
      </c>
      <c r="F419" s="3" t="str">
        <f>IFERROR(__xludf.DUMMYFUNCTION("""COMPUTED_VALUE"""),"Doni Damara")</f>
        <v>Doni Damara</v>
      </c>
      <c r="G419" s="3" t="str">
        <f>IFERROR(__xludf.DUMMYFUNCTION("""COMPUTED_VALUE"""),"Palangkaraya")</f>
        <v>Palangkaraya</v>
      </c>
      <c r="H419" s="3" t="str">
        <f>IFERROR(__xludf.DUMMYFUNCTION("""COMPUTED_VALUE"""),"Preventive")</f>
        <v>Preventive</v>
      </c>
      <c r="I419" s="3" t="str">
        <f>IFERROR(__xludf.DUMMYFUNCTION("""COMPUTED_VALUE"""),"Preventive Maintenance")</f>
        <v>Preventive Maintenance</v>
      </c>
      <c r="J419" s="3" t="str">
        <f>IFERROR(__xludf.DUMMYFUNCTION("""COMPUTED_VALUE"""),"On Progress")</f>
        <v>On Progress</v>
      </c>
      <c r="K419" s="27">
        <f>IFERROR(__xludf.DUMMYFUNCTION("""COMPUTED_VALUE"""),46021.0)</f>
        <v>46021</v>
      </c>
      <c r="L419" s="3"/>
      <c r="M419" s="3" t="str">
        <f>IFERROR(__xludf.DUMMYFUNCTION("""COMPUTED_VALUE"""),"Waiting Update")</f>
        <v>Waiting Update</v>
      </c>
      <c r="N419" s="3"/>
      <c r="O419" s="3">
        <f>IFERROR(VLOOKUP(C419,Sheet4!A419:F1206,6,0),"")</f>
        <v>11393233</v>
      </c>
      <c r="Q419" s="2" t="str">
        <f t="shared" si="1"/>
        <v>30</v>
      </c>
    </row>
    <row r="420">
      <c r="A420" s="3" t="str">
        <f>IFERROR(__xludf.DUMMYFUNCTION("""COMPUTED_VALUE"""),"PM")</f>
        <v>PM</v>
      </c>
      <c r="B420" s="3" t="str">
        <f>IFERROR(__xludf.DUMMYFUNCTION("""COMPUTED_VALUE"""),"P2")</f>
        <v>P2</v>
      </c>
      <c r="C420" s="3" t="str">
        <f>IFERROR(__xludf.DUMMYFUNCTION("""COMPUTED_VALUE"""),"PLK011")</f>
        <v>PLK011</v>
      </c>
      <c r="D420" s="3" t="str">
        <f>IFERROR(__xludf.DUMMYFUNCTION("""COMPUTED_VALUE"""),"AHMAD ARDIANTO FIRMANSYAH")</f>
        <v>AHMAD ARDIANTO FIRMANSYAH</v>
      </c>
      <c r="E420" s="3" t="str">
        <f>IFERROR(__xludf.DUMMYFUNCTION("""COMPUTED_VALUE"""),"PM")</f>
        <v>PM</v>
      </c>
      <c r="F420" s="3" t="str">
        <f>IFERROR(__xludf.DUMMYFUNCTION("""COMPUTED_VALUE"""),"Doni Damara")</f>
        <v>Doni Damara</v>
      </c>
      <c r="G420" s="3" t="str">
        <f>IFERROR(__xludf.DUMMYFUNCTION("""COMPUTED_VALUE"""),"Palangkaraya")</f>
        <v>Palangkaraya</v>
      </c>
      <c r="H420" s="3" t="str">
        <f>IFERROR(__xludf.DUMMYFUNCTION("""COMPUTED_VALUE"""),"Preventive")</f>
        <v>Preventive</v>
      </c>
      <c r="I420" s="3" t="str">
        <f>IFERROR(__xludf.DUMMYFUNCTION("""COMPUTED_VALUE"""),"Preventive Maintenance")</f>
        <v>Preventive Maintenance</v>
      </c>
      <c r="J420" s="3" t="str">
        <f>IFERROR(__xludf.DUMMYFUNCTION("""COMPUTED_VALUE"""),"On Progress")</f>
        <v>On Progress</v>
      </c>
      <c r="K420" s="27">
        <f>IFERROR(__xludf.DUMMYFUNCTION("""COMPUTED_VALUE"""),46021.0)</f>
        <v>46021</v>
      </c>
      <c r="L420" s="3"/>
      <c r="M420" s="3" t="str">
        <f>IFERROR(__xludf.DUMMYFUNCTION("""COMPUTED_VALUE"""),"Waiting Update")</f>
        <v>Waiting Update</v>
      </c>
      <c r="N420" s="3"/>
      <c r="O420" s="3" t="str">
        <f>IFERROR(VLOOKUP(C420,Sheet4!A420:F1207,6,0),"")</f>
        <v/>
      </c>
      <c r="Q420" s="2" t="str">
        <f t="shared" si="1"/>
        <v>30</v>
      </c>
    </row>
    <row r="421">
      <c r="A421" s="3" t="str">
        <f>IFERROR(__xludf.DUMMYFUNCTION("""COMPUTED_VALUE"""),"PM")</f>
        <v>PM</v>
      </c>
      <c r="B421" s="3" t="str">
        <f>IFERROR(__xludf.DUMMYFUNCTION("""COMPUTED_VALUE"""),"P2")</f>
        <v>P2</v>
      </c>
      <c r="C421" s="3" t="str">
        <f>IFERROR(__xludf.DUMMYFUNCTION("""COMPUTED_VALUE"""),"KKN004")</f>
        <v>KKN004</v>
      </c>
      <c r="D421" s="3" t="str">
        <f>IFERROR(__xludf.DUMMYFUNCTION("""COMPUTED_VALUE"""),"Darli")</f>
        <v>Darli</v>
      </c>
      <c r="E421" s="3" t="str">
        <f>IFERROR(__xludf.DUMMYFUNCTION("""COMPUTED_VALUE"""),"PM")</f>
        <v>PM</v>
      </c>
      <c r="F421" s="3" t="str">
        <f>IFERROR(__xludf.DUMMYFUNCTION("""COMPUTED_VALUE"""),"Doni Damara")</f>
        <v>Doni Damara</v>
      </c>
      <c r="G421" s="3" t="str">
        <f>IFERROR(__xludf.DUMMYFUNCTION("""COMPUTED_VALUE"""),"Palangkaraya")</f>
        <v>Palangkaraya</v>
      </c>
      <c r="H421" s="3" t="str">
        <f>IFERROR(__xludf.DUMMYFUNCTION("""COMPUTED_VALUE"""),"Preventive")</f>
        <v>Preventive</v>
      </c>
      <c r="I421" s="3" t="str">
        <f>IFERROR(__xludf.DUMMYFUNCTION("""COMPUTED_VALUE"""),"Preventive Maintenance")</f>
        <v>Preventive Maintenance</v>
      </c>
      <c r="J421" s="3" t="str">
        <f>IFERROR(__xludf.DUMMYFUNCTION("""COMPUTED_VALUE"""),"On Progress")</f>
        <v>On Progress</v>
      </c>
      <c r="K421" s="27">
        <f>IFERROR(__xludf.DUMMYFUNCTION("""COMPUTED_VALUE"""),46021.0)</f>
        <v>46021</v>
      </c>
      <c r="L421" s="3"/>
      <c r="M421" s="3" t="str">
        <f>IFERROR(__xludf.DUMMYFUNCTION("""COMPUTED_VALUE"""),"Waiting Update")</f>
        <v>Waiting Update</v>
      </c>
      <c r="N421" s="3"/>
      <c r="O421" s="3" t="str">
        <f>IFERROR(VLOOKUP(C421,Sheet4!A421:F1208,6,0),"")</f>
        <v/>
      </c>
      <c r="Q421" s="2" t="str">
        <f t="shared" si="1"/>
        <v>30</v>
      </c>
    </row>
    <row r="422">
      <c r="A422" s="3" t="str">
        <f>IFERROR(__xludf.DUMMYFUNCTION("""COMPUTED_VALUE"""),"PM")</f>
        <v>PM</v>
      </c>
      <c r="B422" s="3" t="str">
        <f>IFERROR(__xludf.DUMMYFUNCTION("""COMPUTED_VALUE"""),"P2")</f>
        <v>P2</v>
      </c>
      <c r="C422" s="3" t="str">
        <f>IFERROR(__xludf.DUMMYFUNCTION("""COMPUTED_VALUE"""),"PPS101")</f>
        <v>PPS101</v>
      </c>
      <c r="D422" s="3" t="str">
        <f>IFERROR(__xludf.DUMMYFUNCTION("""COMPUTED_VALUE"""),"Purwanto")</f>
        <v>Purwanto</v>
      </c>
      <c r="E422" s="3" t="str">
        <f>IFERROR(__xludf.DUMMYFUNCTION("""COMPUTED_VALUE"""),"MBP")</f>
        <v>MBP</v>
      </c>
      <c r="F422" s="3" t="str">
        <f>IFERROR(__xludf.DUMMYFUNCTION("""COMPUTED_VALUE"""),"Doni Damara")</f>
        <v>Doni Damara</v>
      </c>
      <c r="G422" s="3" t="str">
        <f>IFERROR(__xludf.DUMMYFUNCTION("""COMPUTED_VALUE"""),"Palangkaraya")</f>
        <v>Palangkaraya</v>
      </c>
      <c r="H422" s="3" t="str">
        <f>IFERROR(__xludf.DUMMYFUNCTION("""COMPUTED_VALUE"""),"Preventive")</f>
        <v>Preventive</v>
      </c>
      <c r="I422" s="3" t="str">
        <f>IFERROR(__xludf.DUMMYFUNCTION("""COMPUTED_VALUE"""),"Preventive Maintenance")</f>
        <v>Preventive Maintenance</v>
      </c>
      <c r="J422" s="3" t="str">
        <f>IFERROR(__xludf.DUMMYFUNCTION("""COMPUTED_VALUE"""),"On Progress")</f>
        <v>On Progress</v>
      </c>
      <c r="K422" s="27">
        <f>IFERROR(__xludf.DUMMYFUNCTION("""COMPUTED_VALUE"""),46021.0)</f>
        <v>46021</v>
      </c>
      <c r="L422" s="3"/>
      <c r="M422" s="3" t="str">
        <f>IFERROR(__xludf.DUMMYFUNCTION("""COMPUTED_VALUE"""),"Waiting Update")</f>
        <v>Waiting Update</v>
      </c>
      <c r="N422" s="3"/>
      <c r="O422" s="3">
        <f>IFERROR(VLOOKUP(C422,Sheet4!A422:F1209,6,0),"")</f>
        <v>11412495</v>
      </c>
      <c r="Q422" s="2" t="str">
        <f t="shared" si="1"/>
        <v>30</v>
      </c>
    </row>
    <row r="423">
      <c r="A423" s="3" t="str">
        <f>IFERROR(__xludf.DUMMYFUNCTION("""COMPUTED_VALUE"""),"Standby On Call")</f>
        <v>Standby On Call</v>
      </c>
      <c r="B423" s="3" t="str">
        <f>IFERROR(__xludf.DUMMYFUNCTION("""COMPUTED_VALUE"""),"P3")</f>
        <v>P3</v>
      </c>
      <c r="C423" s="3"/>
      <c r="D423" s="3" t="str">
        <f>IFERROR(__xludf.DUMMYFUNCTION("""COMPUTED_VALUE"""),"Sairaji")</f>
        <v>Sairaji</v>
      </c>
      <c r="E423" s="3" t="str">
        <f>IFERROR(__xludf.DUMMYFUNCTION("""COMPUTED_VALUE"""),"MBP")</f>
        <v>MBP</v>
      </c>
      <c r="F423" s="3" t="str">
        <f>IFERROR(__xludf.DUMMYFUNCTION("""COMPUTED_VALUE"""),"Doni Damara")</f>
        <v>Doni Damara</v>
      </c>
      <c r="G423" s="3" t="str">
        <f>IFERROR(__xludf.DUMMYFUNCTION("""COMPUTED_VALUE"""),"Palangkaraya")</f>
        <v>Palangkaraya</v>
      </c>
      <c r="H423" s="3" t="str">
        <f>IFERROR(__xludf.DUMMYFUNCTION("""COMPUTED_VALUE"""),"Standby")</f>
        <v>Standby</v>
      </c>
      <c r="I423" s="3" t="str">
        <f>IFERROR(__xludf.DUMMYFUNCTION("""COMPUTED_VALUE"""),"Standby On Call")</f>
        <v>Standby On Call</v>
      </c>
      <c r="J423" s="3" t="str">
        <f>IFERROR(__xludf.DUMMYFUNCTION("""COMPUTED_VALUE"""),"Standby")</f>
        <v>Standby</v>
      </c>
      <c r="K423" s="27">
        <f>IFERROR(__xludf.DUMMYFUNCTION("""COMPUTED_VALUE"""),46021.0)</f>
        <v>46021</v>
      </c>
      <c r="L423" s="3"/>
      <c r="M423" s="3" t="str">
        <f>IFERROR(__xludf.DUMMYFUNCTION("""COMPUTED_VALUE"""),"Waiting Update")</f>
        <v>Waiting Update</v>
      </c>
      <c r="N423" s="3"/>
      <c r="O423" s="3" t="str">
        <f>IFERROR(VLOOKUP(C423,Sheet4!A423:F1210,6,0),"")</f>
        <v/>
      </c>
      <c r="Q423" s="2" t="str">
        <f t="shared" si="1"/>
        <v>30</v>
      </c>
    </row>
    <row r="424">
      <c r="A424" s="3" t="str">
        <f>IFERROR(__xludf.DUMMYFUNCTION("""COMPUTED_VALUE"""),"Standby On Call")</f>
        <v>Standby On Call</v>
      </c>
      <c r="B424" s="3" t="str">
        <f>IFERROR(__xludf.DUMMYFUNCTION("""COMPUTED_VALUE"""),"P3")</f>
        <v>P3</v>
      </c>
      <c r="C424" s="3"/>
      <c r="D424" s="3" t="str">
        <f>IFERROR(__xludf.DUMMYFUNCTION("""COMPUTED_VALUE"""),"Fajrianur wahid")</f>
        <v>Fajrianur wahid</v>
      </c>
      <c r="E424" s="3" t="str">
        <f>IFERROR(__xludf.DUMMYFUNCTION("""COMPUTED_VALUE"""),"MBP")</f>
        <v>MBP</v>
      </c>
      <c r="F424" s="3" t="str">
        <f>IFERROR(__xludf.DUMMYFUNCTION("""COMPUTED_VALUE"""),"Doni Damara")</f>
        <v>Doni Damara</v>
      </c>
      <c r="G424" s="3" t="str">
        <f>IFERROR(__xludf.DUMMYFUNCTION("""COMPUTED_VALUE"""),"Palangkaraya")</f>
        <v>Palangkaraya</v>
      </c>
      <c r="H424" s="3" t="str">
        <f>IFERROR(__xludf.DUMMYFUNCTION("""COMPUTED_VALUE"""),"Standby")</f>
        <v>Standby</v>
      </c>
      <c r="I424" s="3" t="str">
        <f>IFERROR(__xludf.DUMMYFUNCTION("""COMPUTED_VALUE"""),"Standby On Call")</f>
        <v>Standby On Call</v>
      </c>
      <c r="J424" s="3" t="str">
        <f>IFERROR(__xludf.DUMMYFUNCTION("""COMPUTED_VALUE"""),"Standby")</f>
        <v>Standby</v>
      </c>
      <c r="K424" s="27">
        <f>IFERROR(__xludf.DUMMYFUNCTION("""COMPUTED_VALUE"""),46021.0)</f>
        <v>46021</v>
      </c>
      <c r="L424" s="3"/>
      <c r="M424" s="3" t="str">
        <f>IFERROR(__xludf.DUMMYFUNCTION("""COMPUTED_VALUE"""),"Waiting Update")</f>
        <v>Waiting Update</v>
      </c>
      <c r="N424" s="3"/>
      <c r="O424" s="3" t="str">
        <f>IFERROR(VLOOKUP(C424,Sheet4!A424:F1211,6,0),"")</f>
        <v/>
      </c>
      <c r="Q424" s="2" t="str">
        <f t="shared" si="1"/>
        <v>30</v>
      </c>
    </row>
    <row r="425">
      <c r="A425" s="3" t="str">
        <f>IFERROR(__xludf.DUMMYFUNCTION("""COMPUTED_VALUE"""),"Standby On Call")</f>
        <v>Standby On Call</v>
      </c>
      <c r="B425" s="3" t="str">
        <f>IFERROR(__xludf.DUMMYFUNCTION("""COMPUTED_VALUE"""),"P3")</f>
        <v>P3</v>
      </c>
      <c r="C425" s="3"/>
      <c r="D425" s="3" t="str">
        <f>IFERROR(__xludf.DUMMYFUNCTION("""COMPUTED_VALUE"""),"Sarwono")</f>
        <v>Sarwono</v>
      </c>
      <c r="E425" s="3" t="str">
        <f>IFERROR(__xludf.DUMMYFUNCTION("""COMPUTED_VALUE"""),"CME")</f>
        <v>CME</v>
      </c>
      <c r="F425" s="3" t="str">
        <f>IFERROR(__xludf.DUMMYFUNCTION("""COMPUTED_VALUE"""),"Doni Damara")</f>
        <v>Doni Damara</v>
      </c>
      <c r="G425" s="3" t="str">
        <f>IFERROR(__xludf.DUMMYFUNCTION("""COMPUTED_VALUE"""),"Palangkaraya")</f>
        <v>Palangkaraya</v>
      </c>
      <c r="H425" s="3" t="str">
        <f>IFERROR(__xludf.DUMMYFUNCTION("""COMPUTED_VALUE"""),"Standby")</f>
        <v>Standby</v>
      </c>
      <c r="I425" s="3" t="str">
        <f>IFERROR(__xludf.DUMMYFUNCTION("""COMPUTED_VALUE"""),"Standby On Call")</f>
        <v>Standby On Call</v>
      </c>
      <c r="J425" s="3" t="str">
        <f>IFERROR(__xludf.DUMMYFUNCTION("""COMPUTED_VALUE"""),"Standby")</f>
        <v>Standby</v>
      </c>
      <c r="K425" s="27">
        <f>IFERROR(__xludf.DUMMYFUNCTION("""COMPUTED_VALUE"""),46021.0)</f>
        <v>46021</v>
      </c>
      <c r="L425" s="3"/>
      <c r="M425" s="3" t="str">
        <f>IFERROR(__xludf.DUMMYFUNCTION("""COMPUTED_VALUE"""),"Waiting Update")</f>
        <v>Waiting Update</v>
      </c>
      <c r="N425" s="3"/>
      <c r="O425" s="3" t="str">
        <f>IFERROR(VLOOKUP(C425,Sheet4!A425:F1212,6,0),"")</f>
        <v/>
      </c>
      <c r="Q425" s="2" t="str">
        <f t="shared" si="1"/>
        <v>30</v>
      </c>
    </row>
    <row r="426">
      <c r="A426" s="3" t="str">
        <f>IFERROR(__xludf.DUMMYFUNCTION("""COMPUTED_VALUE"""),"Standby On Call")</f>
        <v>Standby On Call</v>
      </c>
      <c r="B426" s="3" t="str">
        <f>IFERROR(__xludf.DUMMYFUNCTION("""COMPUTED_VALUE"""),"P3")</f>
        <v>P3</v>
      </c>
      <c r="C426" s="3"/>
      <c r="D426" s="3" t="str">
        <f>IFERROR(__xludf.DUMMYFUNCTION("""COMPUTED_VALUE"""),"hory yusmanto")</f>
        <v>hory yusmanto</v>
      </c>
      <c r="E426" s="3" t="str">
        <f>IFERROR(__xludf.DUMMYFUNCTION("""COMPUTED_VALUE"""),"MBP")</f>
        <v>MBP</v>
      </c>
      <c r="F426" s="3" t="str">
        <f>IFERROR(__xludf.DUMMYFUNCTION("""COMPUTED_VALUE"""),"Doni Damara")</f>
        <v>Doni Damara</v>
      </c>
      <c r="G426" s="3" t="str">
        <f>IFERROR(__xludf.DUMMYFUNCTION("""COMPUTED_VALUE"""),"Palangkaraya")</f>
        <v>Palangkaraya</v>
      </c>
      <c r="H426" s="3" t="str">
        <f>IFERROR(__xludf.DUMMYFUNCTION("""COMPUTED_VALUE"""),"Standby")</f>
        <v>Standby</v>
      </c>
      <c r="I426" s="3" t="str">
        <f>IFERROR(__xludf.DUMMYFUNCTION("""COMPUTED_VALUE"""),"Standby On Call")</f>
        <v>Standby On Call</v>
      </c>
      <c r="J426" s="3" t="str">
        <f>IFERROR(__xludf.DUMMYFUNCTION("""COMPUTED_VALUE"""),"Standby")</f>
        <v>Standby</v>
      </c>
      <c r="K426" s="27">
        <f>IFERROR(__xludf.DUMMYFUNCTION("""COMPUTED_VALUE"""),46021.0)</f>
        <v>46021</v>
      </c>
      <c r="L426" s="3"/>
      <c r="M426" s="3" t="str">
        <f>IFERROR(__xludf.DUMMYFUNCTION("""COMPUTED_VALUE"""),"Waiting Update")</f>
        <v>Waiting Update</v>
      </c>
      <c r="N426" s="3"/>
      <c r="O426" s="3" t="str">
        <f>IFERROR(VLOOKUP(C426,Sheet4!A426:F1213,6,0),"")</f>
        <v/>
      </c>
      <c r="Q426" s="2" t="str">
        <f t="shared" si="1"/>
        <v>30</v>
      </c>
    </row>
    <row r="427">
      <c r="A427" s="3" t="str">
        <f>IFERROR(__xludf.DUMMYFUNCTION("""COMPUTED_VALUE"""),"Standby On Call")</f>
        <v>Standby On Call</v>
      </c>
      <c r="B427" s="3" t="str">
        <f>IFERROR(__xludf.DUMMYFUNCTION("""COMPUTED_VALUE"""),"P3")</f>
        <v>P3</v>
      </c>
      <c r="C427" s="3"/>
      <c r="D427" s="3" t="str">
        <f>IFERROR(__xludf.DUMMYFUNCTION("""COMPUTED_VALUE"""),"Agus muliana pamungkas")</f>
        <v>Agus muliana pamungkas</v>
      </c>
      <c r="E427" s="3" t="str">
        <f>IFERROR(__xludf.DUMMYFUNCTION("""COMPUTED_VALUE"""),"MBP")</f>
        <v>MBP</v>
      </c>
      <c r="F427" s="3" t="str">
        <f>IFERROR(__xludf.DUMMYFUNCTION("""COMPUTED_VALUE"""),"Doni Damara")</f>
        <v>Doni Damara</v>
      </c>
      <c r="G427" s="3" t="str">
        <f>IFERROR(__xludf.DUMMYFUNCTION("""COMPUTED_VALUE"""),"Palangkaraya")</f>
        <v>Palangkaraya</v>
      </c>
      <c r="H427" s="3" t="str">
        <f>IFERROR(__xludf.DUMMYFUNCTION("""COMPUTED_VALUE"""),"Standby")</f>
        <v>Standby</v>
      </c>
      <c r="I427" s="3" t="str">
        <f>IFERROR(__xludf.DUMMYFUNCTION("""COMPUTED_VALUE"""),"Standby On Call")</f>
        <v>Standby On Call</v>
      </c>
      <c r="J427" s="3" t="str">
        <f>IFERROR(__xludf.DUMMYFUNCTION("""COMPUTED_VALUE"""),"Standby")</f>
        <v>Standby</v>
      </c>
      <c r="K427" s="27">
        <f>IFERROR(__xludf.DUMMYFUNCTION("""COMPUTED_VALUE"""),46021.0)</f>
        <v>46021</v>
      </c>
      <c r="L427" s="27">
        <f>IFERROR(__xludf.DUMMYFUNCTION("""COMPUTED_VALUE"""),46021.0)</f>
        <v>46021</v>
      </c>
      <c r="M427" s="3" t="str">
        <f>IFERROR(__xludf.DUMMYFUNCTION("""COMPUTED_VALUE"""),"Waiting Update")</f>
        <v>Waiting Update</v>
      </c>
      <c r="N427" s="3"/>
      <c r="O427" s="3" t="str">
        <f>IFERROR(VLOOKUP(C427,Sheet4!A427:F1214,6,0),"")</f>
        <v/>
      </c>
      <c r="Q427" s="2" t="str">
        <f t="shared" si="1"/>
        <v>30</v>
      </c>
    </row>
    <row r="428">
      <c r="A428" s="3" t="str">
        <f>IFERROR(__xludf.DUMMYFUNCTION("""COMPUTED_VALUE"""),"Support Event")</f>
        <v>Support Event</v>
      </c>
      <c r="B428" s="3" t="str">
        <f>IFERROR(__xludf.DUMMYFUNCTION("""COMPUTED_VALUE"""),"P2")</f>
        <v>P2</v>
      </c>
      <c r="C428" s="3" t="str">
        <f>IFERROR(__xludf.DUMMYFUNCTION("""COMPUTED_VALUE"""),"BNT002")</f>
        <v>BNT002</v>
      </c>
      <c r="D428" s="3" t="str">
        <f>IFERROR(__xludf.DUMMYFUNCTION("""COMPUTED_VALUE"""),"Putra wardana")</f>
        <v>Putra wardana</v>
      </c>
      <c r="E428" s="3" t="str">
        <f>IFERROR(__xludf.DUMMYFUNCTION("""COMPUTED_VALUE"""),"TE")</f>
        <v>TE</v>
      </c>
      <c r="F428" s="3" t="str">
        <f>IFERROR(__xludf.DUMMYFUNCTION("""COMPUTED_VALUE"""),"Winda Sokenda")</f>
        <v>Winda Sokenda</v>
      </c>
      <c r="G428" s="3" t="str">
        <f>IFERROR(__xludf.DUMMYFUNCTION("""COMPUTED_VALUE"""),"Barito Raya")</f>
        <v>Barito Raya</v>
      </c>
      <c r="H428" s="3" t="str">
        <f>IFERROR(__xludf.DUMMYFUNCTION("""COMPUTED_VALUE"""),"Corrective")</f>
        <v>Corrective</v>
      </c>
      <c r="I428" s="3" t="str">
        <f>IFERROR(__xludf.DUMMYFUNCTION("""COMPUTED_VALUE"""),"Support Event")</f>
        <v>Support Event</v>
      </c>
      <c r="J428" s="3" t="str">
        <f>IFERROR(__xludf.DUMMYFUNCTION("""COMPUTED_VALUE"""),"On Progress")</f>
        <v>On Progress</v>
      </c>
      <c r="K428" s="27">
        <f>IFERROR(__xludf.DUMMYFUNCTION("""COMPUTED_VALUE"""),46022.0)</f>
        <v>46022</v>
      </c>
      <c r="L428" s="27">
        <f>IFERROR(__xludf.DUMMYFUNCTION("""COMPUTED_VALUE"""),46022.0)</f>
        <v>46022</v>
      </c>
      <c r="M428" s="3" t="str">
        <f>IFERROR(__xludf.DUMMYFUNCTION("""COMPUTED_VALUE"""),"Done")</f>
        <v>Done</v>
      </c>
      <c r="N428" s="3"/>
      <c r="O428" s="3">
        <f>IFERROR(VLOOKUP(C428,Sheet4!A428:F1215,6,0),"")</f>
        <v>11483654</v>
      </c>
      <c r="Q428" s="2" t="str">
        <f t="shared" si="1"/>
        <v>31</v>
      </c>
    </row>
    <row r="429">
      <c r="A429" s="3" t="str">
        <f>IFERROR(__xludf.DUMMYFUNCTION("""COMPUTED_VALUE"""),"Pengecekan Power")</f>
        <v>Pengecekan Power</v>
      </c>
      <c r="B429" s="3" t="str">
        <f>IFERROR(__xludf.DUMMYFUNCTION("""COMPUTED_VALUE"""),"P1")</f>
        <v>P1</v>
      </c>
      <c r="C429" s="3" t="str">
        <f>IFERROR(__xludf.DUMMYFUNCTION("""COMPUTED_VALUE"""),"NTH147")</f>
        <v>NTH147</v>
      </c>
      <c r="D429" s="3" t="str">
        <f>IFERROR(__xludf.DUMMYFUNCTION("""COMPUTED_VALUE"""),"Sailillah")</f>
        <v>Sailillah</v>
      </c>
      <c r="E429" s="3" t="str">
        <f>IFERROR(__xludf.DUMMYFUNCTION("""COMPUTED_VALUE"""),"TE")</f>
        <v>TE</v>
      </c>
      <c r="F429" s="3" t="str">
        <f>IFERROR(__xludf.DUMMYFUNCTION("""COMPUTED_VALUE"""),"Winda Sokenda")</f>
        <v>Winda Sokenda</v>
      </c>
      <c r="G429" s="3" t="str">
        <f>IFERROR(__xludf.DUMMYFUNCTION("""COMPUTED_VALUE"""),"Barito Raya")</f>
        <v>Barito Raya</v>
      </c>
      <c r="H429" s="3" t="str">
        <f>IFERROR(__xludf.DUMMYFUNCTION("""COMPUTED_VALUE"""),"Preventive")</f>
        <v>Preventive</v>
      </c>
      <c r="I429" s="3" t="str">
        <f>IFERROR(__xludf.DUMMYFUNCTION("""COMPUTED_VALUE"""),"MCB trip/Power upnormal")</f>
        <v>MCB trip/Power upnormal</v>
      </c>
      <c r="J429" s="3" t="str">
        <f>IFERROR(__xludf.DUMMYFUNCTION("""COMPUTED_VALUE"""),"On Progress")</f>
        <v>On Progress</v>
      </c>
      <c r="K429" s="27">
        <f>IFERROR(__xludf.DUMMYFUNCTION("""COMPUTED_VALUE"""),46022.0)</f>
        <v>46022</v>
      </c>
      <c r="L429" s="27">
        <f>IFERROR(__xludf.DUMMYFUNCTION("""COMPUTED_VALUE"""),46022.0)</f>
        <v>46022</v>
      </c>
      <c r="M429" s="3" t="str">
        <f>IFERROR(__xludf.DUMMYFUNCTION("""COMPUTED_VALUE"""),"Done")</f>
        <v>Done</v>
      </c>
      <c r="N429" s="3"/>
      <c r="O429" s="3" t="str">
        <f>IFERROR(VLOOKUP(C429,Sheet4!A429:F1216,6,0),"")</f>
        <v/>
      </c>
      <c r="Q429" s="2" t="str">
        <f t="shared" si="1"/>
        <v>31</v>
      </c>
    </row>
    <row r="430">
      <c r="A430" s="3" t="str">
        <f>IFERROR(__xludf.DUMMYFUNCTION("""COMPUTED_VALUE"""),"Standby On Call")</f>
        <v>Standby On Call</v>
      </c>
      <c r="B430" s="3" t="str">
        <f>IFERROR(__xludf.DUMMYFUNCTION("""COMPUTED_VALUE"""),"P3")</f>
        <v>P3</v>
      </c>
      <c r="C430" s="3"/>
      <c r="D430" s="3" t="str">
        <f>IFERROR(__xludf.DUMMYFUNCTION("""COMPUTED_VALUE"""),"Tiviansyah")</f>
        <v>Tiviansyah</v>
      </c>
      <c r="E430" s="3" t="str">
        <f>IFERROR(__xludf.DUMMYFUNCTION("""COMPUTED_VALUE"""),"TE")</f>
        <v>TE</v>
      </c>
      <c r="F430" s="3" t="str">
        <f>IFERROR(__xludf.DUMMYFUNCTION("""COMPUTED_VALUE"""),"Winda Sokenda")</f>
        <v>Winda Sokenda</v>
      </c>
      <c r="G430" s="3" t="str">
        <f>IFERROR(__xludf.DUMMYFUNCTION("""COMPUTED_VALUE"""),"Barito Raya")</f>
        <v>Barito Raya</v>
      </c>
      <c r="H430" s="3" t="str">
        <f>IFERROR(__xludf.DUMMYFUNCTION("""COMPUTED_VALUE"""),"Standby")</f>
        <v>Standby</v>
      </c>
      <c r="I430" s="3" t="str">
        <f>IFERROR(__xludf.DUMMYFUNCTION("""COMPUTED_VALUE"""),"Standby On Call")</f>
        <v>Standby On Call</v>
      </c>
      <c r="J430" s="3"/>
      <c r="K430" s="27">
        <f>IFERROR(__xludf.DUMMYFUNCTION("""COMPUTED_VALUE"""),46022.0)</f>
        <v>46022</v>
      </c>
      <c r="L430" s="27">
        <f>IFERROR(__xludf.DUMMYFUNCTION("""COMPUTED_VALUE"""),46022.0)</f>
        <v>46022</v>
      </c>
      <c r="M430" s="3"/>
      <c r="N430" s="3"/>
      <c r="O430" s="3" t="str">
        <f>IFERROR(VLOOKUP(C430,Sheet4!A430:F1217,6,0),"")</f>
        <v/>
      </c>
      <c r="Q430" s="2" t="str">
        <f t="shared" si="1"/>
        <v>31</v>
      </c>
    </row>
    <row r="431">
      <c r="A431" s="3" t="str">
        <f>IFERROR(__xludf.DUMMYFUNCTION("""COMPUTED_VALUE"""),"Standby On Call")</f>
        <v>Standby On Call</v>
      </c>
      <c r="B431" s="3" t="str">
        <f>IFERROR(__xludf.DUMMYFUNCTION("""COMPUTED_VALUE"""),"P3")</f>
        <v>P3</v>
      </c>
      <c r="C431" s="3"/>
      <c r="D431" s="3" t="str">
        <f>IFERROR(__xludf.DUMMYFUNCTION("""COMPUTED_VALUE"""),"munawir akhmad")</f>
        <v>munawir akhmad</v>
      </c>
      <c r="E431" s="3" t="str">
        <f>IFERROR(__xludf.DUMMYFUNCTION("""COMPUTED_VALUE"""),"TE")</f>
        <v>TE</v>
      </c>
      <c r="F431" s="3" t="str">
        <f>IFERROR(__xludf.DUMMYFUNCTION("""COMPUTED_VALUE"""),"Winda Sokenda")</f>
        <v>Winda Sokenda</v>
      </c>
      <c r="G431" s="3" t="str">
        <f>IFERROR(__xludf.DUMMYFUNCTION("""COMPUTED_VALUE"""),"Barito Raya")</f>
        <v>Barito Raya</v>
      </c>
      <c r="H431" s="3" t="str">
        <f>IFERROR(__xludf.DUMMYFUNCTION("""COMPUTED_VALUE"""),"Standby")</f>
        <v>Standby</v>
      </c>
      <c r="I431" s="3" t="str">
        <f>IFERROR(__xludf.DUMMYFUNCTION("""COMPUTED_VALUE"""),"Standby On Call")</f>
        <v>Standby On Call</v>
      </c>
      <c r="J431" s="3"/>
      <c r="K431" s="27">
        <f>IFERROR(__xludf.DUMMYFUNCTION("""COMPUTED_VALUE"""),46022.0)</f>
        <v>46022</v>
      </c>
      <c r="L431" s="27">
        <f>IFERROR(__xludf.DUMMYFUNCTION("""COMPUTED_VALUE"""),46022.0)</f>
        <v>46022</v>
      </c>
      <c r="M431" s="3"/>
      <c r="N431" s="3"/>
      <c r="O431" s="3" t="str">
        <f>IFERROR(VLOOKUP(C431,Sheet4!A431:F1218,6,0),"")</f>
        <v/>
      </c>
      <c r="Q431" s="2" t="str">
        <f t="shared" si="1"/>
        <v>31</v>
      </c>
    </row>
    <row r="432">
      <c r="A432" s="3" t="str">
        <f>IFERROR(__xludf.DUMMYFUNCTION("""COMPUTED_VALUE"""),"Standby On Call")</f>
        <v>Standby On Call</v>
      </c>
      <c r="B432" s="3" t="str">
        <f>IFERROR(__xludf.DUMMYFUNCTION("""COMPUTED_VALUE"""),"P3")</f>
        <v>P3</v>
      </c>
      <c r="C432" s="3"/>
      <c r="D432" s="3" t="str">
        <f>IFERROR(__xludf.DUMMYFUNCTION("""COMPUTED_VALUE"""),"Riki Hidayat")</f>
        <v>Riki Hidayat</v>
      </c>
      <c r="E432" s="3" t="str">
        <f>IFERROR(__xludf.DUMMYFUNCTION("""COMPUTED_VALUE"""),"TE")</f>
        <v>TE</v>
      </c>
      <c r="F432" s="3" t="str">
        <f>IFERROR(__xludf.DUMMYFUNCTION("""COMPUTED_VALUE"""),"Winda Sokenda")</f>
        <v>Winda Sokenda</v>
      </c>
      <c r="G432" s="3" t="str">
        <f>IFERROR(__xludf.DUMMYFUNCTION("""COMPUTED_VALUE"""),"Barito Raya")</f>
        <v>Barito Raya</v>
      </c>
      <c r="H432" s="3" t="str">
        <f>IFERROR(__xludf.DUMMYFUNCTION("""COMPUTED_VALUE"""),"Standby")</f>
        <v>Standby</v>
      </c>
      <c r="I432" s="3" t="str">
        <f>IFERROR(__xludf.DUMMYFUNCTION("""COMPUTED_VALUE"""),"Standby On Call")</f>
        <v>Standby On Call</v>
      </c>
      <c r="J432" s="3"/>
      <c r="K432" s="27">
        <f>IFERROR(__xludf.DUMMYFUNCTION("""COMPUTED_VALUE"""),46022.0)</f>
        <v>46022</v>
      </c>
      <c r="L432" s="27">
        <f>IFERROR(__xludf.DUMMYFUNCTION("""COMPUTED_VALUE"""),46022.0)</f>
        <v>46022</v>
      </c>
      <c r="M432" s="3"/>
      <c r="N432" s="3"/>
      <c r="O432" s="3" t="str">
        <f>IFERROR(VLOOKUP(C432,Sheet4!A432:F1219,6,0),"")</f>
        <v/>
      </c>
      <c r="Q432" s="2" t="str">
        <f t="shared" si="1"/>
        <v>31</v>
      </c>
    </row>
    <row r="433">
      <c r="A433" s="3" t="str">
        <f>IFERROR(__xludf.DUMMYFUNCTION("""COMPUTED_VALUE"""),"Standby On Call")</f>
        <v>Standby On Call</v>
      </c>
      <c r="B433" s="3" t="str">
        <f>IFERROR(__xludf.DUMMYFUNCTION("""COMPUTED_VALUE"""),"P3")</f>
        <v>P3</v>
      </c>
      <c r="C433" s="3"/>
      <c r="D433" s="3" t="str">
        <f>IFERROR(__xludf.DUMMYFUNCTION("""COMPUTED_VALUE"""),"Murjani")</f>
        <v>Murjani</v>
      </c>
      <c r="E433" s="3" t="str">
        <f>IFERROR(__xludf.DUMMYFUNCTION("""COMPUTED_VALUE"""),"TE")</f>
        <v>TE</v>
      </c>
      <c r="F433" s="3" t="str">
        <f>IFERROR(__xludf.DUMMYFUNCTION("""COMPUTED_VALUE"""),"Winda Sokenda")</f>
        <v>Winda Sokenda</v>
      </c>
      <c r="G433" s="3" t="str">
        <f>IFERROR(__xludf.DUMMYFUNCTION("""COMPUTED_VALUE"""),"Barito Raya")</f>
        <v>Barito Raya</v>
      </c>
      <c r="H433" s="3" t="str">
        <f>IFERROR(__xludf.DUMMYFUNCTION("""COMPUTED_VALUE"""),"Standby")</f>
        <v>Standby</v>
      </c>
      <c r="I433" s="3" t="str">
        <f>IFERROR(__xludf.DUMMYFUNCTION("""COMPUTED_VALUE"""),"Standby On Call")</f>
        <v>Standby On Call</v>
      </c>
      <c r="J433" s="3"/>
      <c r="K433" s="27">
        <f>IFERROR(__xludf.DUMMYFUNCTION("""COMPUTED_VALUE"""),46022.0)</f>
        <v>46022</v>
      </c>
      <c r="L433" s="27">
        <f>IFERROR(__xludf.DUMMYFUNCTION("""COMPUTED_VALUE"""),46022.0)</f>
        <v>46022</v>
      </c>
      <c r="M433" s="3"/>
      <c r="N433" s="3"/>
      <c r="O433" s="3" t="str">
        <f>IFERROR(VLOOKUP(C433,Sheet4!A433:F1220,6,0),"")</f>
        <v/>
      </c>
      <c r="Q433" s="2" t="str">
        <f t="shared" si="1"/>
        <v>31</v>
      </c>
    </row>
    <row r="434">
      <c r="A434" s="3" t="str">
        <f>IFERROR(__xludf.DUMMYFUNCTION("""COMPUTED_VALUE"""),"Standby On Call")</f>
        <v>Standby On Call</v>
      </c>
      <c r="B434" s="3" t="str">
        <f>IFERROR(__xludf.DUMMYFUNCTION("""COMPUTED_VALUE"""),"P3")</f>
        <v>P3</v>
      </c>
      <c r="C434" s="3"/>
      <c r="D434" s="3" t="str">
        <f>IFERROR(__xludf.DUMMYFUNCTION("""COMPUTED_VALUE"""),"Armadi")</f>
        <v>Armadi</v>
      </c>
      <c r="E434" s="3" t="str">
        <f>IFERROR(__xludf.DUMMYFUNCTION("""COMPUTED_VALUE"""),"TE")</f>
        <v>TE</v>
      </c>
      <c r="F434" s="3" t="str">
        <f>IFERROR(__xludf.DUMMYFUNCTION("""COMPUTED_VALUE"""),"Winda Sokenda")</f>
        <v>Winda Sokenda</v>
      </c>
      <c r="G434" s="3" t="str">
        <f>IFERROR(__xludf.DUMMYFUNCTION("""COMPUTED_VALUE"""),"Barito Raya")</f>
        <v>Barito Raya</v>
      </c>
      <c r="H434" s="3" t="str">
        <f>IFERROR(__xludf.DUMMYFUNCTION("""COMPUTED_VALUE"""),"Standby")</f>
        <v>Standby</v>
      </c>
      <c r="I434" s="3" t="str">
        <f>IFERROR(__xludf.DUMMYFUNCTION("""COMPUTED_VALUE"""),"Standby On Call")</f>
        <v>Standby On Call</v>
      </c>
      <c r="J434" s="3"/>
      <c r="K434" s="27">
        <f>IFERROR(__xludf.DUMMYFUNCTION("""COMPUTED_VALUE"""),46022.0)</f>
        <v>46022</v>
      </c>
      <c r="L434" s="27">
        <f>IFERROR(__xludf.DUMMYFUNCTION("""COMPUTED_VALUE"""),46022.0)</f>
        <v>46022</v>
      </c>
      <c r="M434" s="3"/>
      <c r="N434" s="3"/>
      <c r="O434" s="3" t="str">
        <f>IFERROR(VLOOKUP(C434,Sheet4!A434:F1221,6,0),"")</f>
        <v/>
      </c>
      <c r="Q434" s="2" t="str">
        <f t="shared" si="1"/>
        <v>31</v>
      </c>
    </row>
    <row r="435">
      <c r="A435" s="3" t="str">
        <f>IFERROR(__xludf.DUMMYFUNCTION("""COMPUTED_VALUE"""),"Site Down")</f>
        <v>Site Down</v>
      </c>
      <c r="B435" s="3" t="str">
        <f>IFERROR(__xludf.DUMMYFUNCTION("""COMPUTED_VALUE"""),"P1")</f>
        <v>P1</v>
      </c>
      <c r="C435" s="3" t="str">
        <f>IFERROR(__xludf.DUMMYFUNCTION("""COMPUTED_VALUE"""),"KKP087")</f>
        <v>KKP087</v>
      </c>
      <c r="D435" s="3" t="str">
        <f>IFERROR(__xludf.DUMMYFUNCTION("""COMPUTED_VALUE"""),"Reynaldy Ricardo Putra")</f>
        <v>Reynaldy Ricardo Putra</v>
      </c>
      <c r="E435" s="3" t="str">
        <f>IFERROR(__xludf.DUMMYFUNCTION("""COMPUTED_VALUE"""),"TE")</f>
        <v>TE</v>
      </c>
      <c r="F435" s="3" t="str">
        <f>IFERROR(__xludf.DUMMYFUNCTION("""COMPUTED_VALUE"""),"Winda Sokenda")</f>
        <v>Winda Sokenda</v>
      </c>
      <c r="G435" s="3" t="str">
        <f>IFERROR(__xludf.DUMMYFUNCTION("""COMPUTED_VALUE"""),"Barito Raya")</f>
        <v>Barito Raya</v>
      </c>
      <c r="H435" s="3" t="str">
        <f>IFERROR(__xludf.DUMMYFUNCTION("""COMPUTED_VALUE"""),"Corrective")</f>
        <v>Corrective</v>
      </c>
      <c r="I435" s="3" t="str">
        <f>IFERROR(__xludf.DUMMYFUNCTION("""COMPUTED_VALUE"""),"Pemadaman,MCB Trip,Transmisi problem")</f>
        <v>Pemadaman,MCB Trip,Transmisi problem</v>
      </c>
      <c r="J435" s="3" t="str">
        <f>IFERROR(__xludf.DUMMYFUNCTION("""COMPUTED_VALUE"""),"On Progress")</f>
        <v>On Progress</v>
      </c>
      <c r="K435" s="27">
        <f>IFERROR(__xludf.DUMMYFUNCTION("""COMPUTED_VALUE"""),46022.0)</f>
        <v>46022</v>
      </c>
      <c r="L435" s="27">
        <f>IFERROR(__xludf.DUMMYFUNCTION("""COMPUTED_VALUE"""),46022.0)</f>
        <v>46022</v>
      </c>
      <c r="M435" s="3" t="str">
        <f>IFERROR(__xludf.DUMMYFUNCTION("""COMPUTED_VALUE"""),"Done")</f>
        <v>Done</v>
      </c>
      <c r="N435" s="3"/>
      <c r="O435" s="3" t="str">
        <f>IFERROR(VLOOKUP(C435,Sheet4!A435:F1222,6,0),"")</f>
        <v/>
      </c>
      <c r="Q435" s="2" t="str">
        <f t="shared" si="1"/>
        <v>31</v>
      </c>
    </row>
    <row r="436">
      <c r="A436" s="3" t="str">
        <f>IFERROR(__xludf.DUMMYFUNCTION("""COMPUTED_VALUE"""),"PM")</f>
        <v>PM</v>
      </c>
      <c r="B436" s="3" t="str">
        <f>IFERROR(__xludf.DUMMYFUNCTION("""COMPUTED_VALUE"""),"P2")</f>
        <v>P2</v>
      </c>
      <c r="C436" s="3" t="str">
        <f>IFERROR(__xludf.DUMMYFUNCTION("""COMPUTED_VALUE"""),"KKP023, KKP321, PLK814")</f>
        <v>KKP023, KKP321, PLK814</v>
      </c>
      <c r="D436" s="3" t="str">
        <f>IFERROR(__xludf.DUMMYFUNCTION("""COMPUTED_VALUE"""),"Sahrul Saputra")</f>
        <v>Sahrul Saputra</v>
      </c>
      <c r="E436" s="3" t="str">
        <f>IFERROR(__xludf.DUMMYFUNCTION("""COMPUTED_VALUE"""),"TE")</f>
        <v>TE</v>
      </c>
      <c r="F436" s="3" t="str">
        <f>IFERROR(__xludf.DUMMYFUNCTION("""COMPUTED_VALUE"""),"Winda Sokenda")</f>
        <v>Winda Sokenda</v>
      </c>
      <c r="G436" s="3" t="str">
        <f>IFERROR(__xludf.DUMMYFUNCTION("""COMPUTED_VALUE"""),"Barito Raya")</f>
        <v>Barito Raya</v>
      </c>
      <c r="H436" s="3" t="str">
        <f>IFERROR(__xludf.DUMMYFUNCTION("""COMPUTED_VALUE"""),"Preventive")</f>
        <v>Preventive</v>
      </c>
      <c r="I436" s="3" t="str">
        <f>IFERROR(__xludf.DUMMYFUNCTION("""COMPUTED_VALUE"""),"Preventive Maintenance")</f>
        <v>Preventive Maintenance</v>
      </c>
      <c r="J436" s="3" t="str">
        <f>IFERROR(__xludf.DUMMYFUNCTION("""COMPUTED_VALUE"""),"On Progress")</f>
        <v>On Progress</v>
      </c>
      <c r="K436" s="27">
        <f>IFERROR(__xludf.DUMMYFUNCTION("""COMPUTED_VALUE"""),46022.0)</f>
        <v>46022</v>
      </c>
      <c r="L436" s="27">
        <f>IFERROR(__xludf.DUMMYFUNCTION("""COMPUTED_VALUE"""),46022.0)</f>
        <v>46022</v>
      </c>
      <c r="M436" s="3" t="str">
        <f>IFERROR(__xludf.DUMMYFUNCTION("""COMPUTED_VALUE"""),"Done")</f>
        <v>Done</v>
      </c>
      <c r="N436" s="3"/>
      <c r="O436" s="3" t="str">
        <f>IFERROR(VLOOKUP(C436,Sheet4!A436:F1223,6,0),"")</f>
        <v/>
      </c>
      <c r="Q436" s="2" t="str">
        <f t="shared" si="1"/>
        <v>31</v>
      </c>
    </row>
    <row r="437">
      <c r="A437" s="3" t="str">
        <f>IFERROR(__xludf.DUMMYFUNCTION("""COMPUTED_VALUE"""),"Site Down")</f>
        <v>Site Down</v>
      </c>
      <c r="B437" s="3" t="str">
        <f>IFERROR(__xludf.DUMMYFUNCTION("""COMPUTED_VALUE"""),"P1")</f>
        <v>P1</v>
      </c>
      <c r="C437" s="3" t="str">
        <f>IFERROR(__xludf.DUMMYFUNCTION("""COMPUTED_VALUE"""),"NTH082")</f>
        <v>NTH082</v>
      </c>
      <c r="D437" s="3" t="str">
        <f>IFERROR(__xludf.DUMMYFUNCTION("""COMPUTED_VALUE"""),"Aulia Rahman")</f>
        <v>Aulia Rahman</v>
      </c>
      <c r="E437" s="3" t="str">
        <f>IFERROR(__xludf.DUMMYFUNCTION("""COMPUTED_VALUE"""),"TE")</f>
        <v>TE</v>
      </c>
      <c r="F437" s="3" t="str">
        <f>IFERROR(__xludf.DUMMYFUNCTION("""COMPUTED_VALUE"""),"Winda Sokenda")</f>
        <v>Winda Sokenda</v>
      </c>
      <c r="G437" s="3" t="str">
        <f>IFERROR(__xludf.DUMMYFUNCTION("""COMPUTED_VALUE"""),"Barito Raya")</f>
        <v>Barito Raya</v>
      </c>
      <c r="H437" s="3" t="str">
        <f>IFERROR(__xludf.DUMMYFUNCTION("""COMPUTED_VALUE"""),"Corrective")</f>
        <v>Corrective</v>
      </c>
      <c r="I437" s="3" t="str">
        <f>IFERROR(__xludf.DUMMYFUNCTION("""COMPUTED_VALUE"""),"Pemadaman,MCB Trip,Transmisi problem")</f>
        <v>Pemadaman,MCB Trip,Transmisi problem</v>
      </c>
      <c r="J437" s="3" t="str">
        <f>IFERROR(__xludf.DUMMYFUNCTION("""COMPUTED_VALUE"""),"On Progress")</f>
        <v>On Progress</v>
      </c>
      <c r="K437" s="27">
        <f>IFERROR(__xludf.DUMMYFUNCTION("""COMPUTED_VALUE"""),46022.0)</f>
        <v>46022</v>
      </c>
      <c r="L437" s="27">
        <f>IFERROR(__xludf.DUMMYFUNCTION("""COMPUTED_VALUE"""),46022.0)</f>
        <v>46022</v>
      </c>
      <c r="M437" s="3" t="str">
        <f>IFERROR(__xludf.DUMMYFUNCTION("""COMPUTED_VALUE"""),"Done")</f>
        <v>Done</v>
      </c>
      <c r="N437" s="3" t="str">
        <f>IFERROR(__xludf.DUMMYFUNCTION("""COMPUTED_VALUE"""),"LANJUT REPLACE ODU")</f>
        <v>LANJUT REPLACE ODU</v>
      </c>
      <c r="O437" s="3">
        <f>IFERROR(VLOOKUP(C437,Sheet4!A437:F1224,6,0),"")</f>
        <v>11381485</v>
      </c>
      <c r="Q437" s="2" t="str">
        <f t="shared" si="1"/>
        <v>31</v>
      </c>
    </row>
    <row r="438">
      <c r="A438" s="3" t="str">
        <f>IFERROR(__xludf.DUMMYFUNCTION("""COMPUTED_VALUE"""),"Standby On Call")</f>
        <v>Standby On Call</v>
      </c>
      <c r="B438" s="3" t="str">
        <f>IFERROR(__xludf.DUMMYFUNCTION("""COMPUTED_VALUE"""),"P3")</f>
        <v>P3</v>
      </c>
      <c r="C438" s="3"/>
      <c r="D438" s="3" t="str">
        <f>IFERROR(__xludf.DUMMYFUNCTION("""COMPUTED_VALUE"""),"Nurhayat")</f>
        <v>Nurhayat</v>
      </c>
      <c r="E438" s="3" t="str">
        <f>IFERROR(__xludf.DUMMYFUNCTION("""COMPUTED_VALUE"""),"MBP")</f>
        <v>MBP</v>
      </c>
      <c r="F438" s="3" t="str">
        <f>IFERROR(__xludf.DUMMYFUNCTION("""COMPUTED_VALUE"""),"Winda Sokenda")</f>
        <v>Winda Sokenda</v>
      </c>
      <c r="G438" s="3" t="str">
        <f>IFERROR(__xludf.DUMMYFUNCTION("""COMPUTED_VALUE"""),"Barito Raya")</f>
        <v>Barito Raya</v>
      </c>
      <c r="H438" s="3" t="str">
        <f>IFERROR(__xludf.DUMMYFUNCTION("""COMPUTED_VALUE"""),"Standby")</f>
        <v>Standby</v>
      </c>
      <c r="I438" s="3" t="str">
        <f>IFERROR(__xludf.DUMMYFUNCTION("""COMPUTED_VALUE"""),"Standby On Call")</f>
        <v>Standby On Call</v>
      </c>
      <c r="J438" s="3"/>
      <c r="K438" s="27">
        <f>IFERROR(__xludf.DUMMYFUNCTION("""COMPUTED_VALUE"""),46022.0)</f>
        <v>46022</v>
      </c>
      <c r="L438" s="27">
        <f>IFERROR(__xludf.DUMMYFUNCTION("""COMPUTED_VALUE"""),46022.0)</f>
        <v>46022</v>
      </c>
      <c r="M438" s="3"/>
      <c r="N438" s="3"/>
      <c r="O438" s="3" t="str">
        <f>IFERROR(VLOOKUP(C438,Sheet4!A438:F1225,6,0),"")</f>
        <v/>
      </c>
      <c r="Q438" s="2" t="str">
        <f t="shared" si="1"/>
        <v>31</v>
      </c>
    </row>
    <row r="439">
      <c r="A439" s="3" t="str">
        <f>IFERROR(__xludf.DUMMYFUNCTION("""COMPUTED_VALUE"""),"Standby On Call")</f>
        <v>Standby On Call</v>
      </c>
      <c r="B439" s="3" t="str">
        <f>IFERROR(__xludf.DUMMYFUNCTION("""COMPUTED_VALUE"""),"P3")</f>
        <v>P3</v>
      </c>
      <c r="C439" s="3"/>
      <c r="D439" s="3" t="str">
        <f>IFERROR(__xludf.DUMMYFUNCTION("""COMPUTED_VALUE"""),"Harun Nurasyid")</f>
        <v>Harun Nurasyid</v>
      </c>
      <c r="E439" s="3" t="str">
        <f>IFERROR(__xludf.DUMMYFUNCTION("""COMPUTED_VALUE"""),"CME")</f>
        <v>CME</v>
      </c>
      <c r="F439" s="3" t="str">
        <f>IFERROR(__xludf.DUMMYFUNCTION("""COMPUTED_VALUE"""),"Winda Sokenda")</f>
        <v>Winda Sokenda</v>
      </c>
      <c r="G439" s="3" t="str">
        <f>IFERROR(__xludf.DUMMYFUNCTION("""COMPUTED_VALUE"""),"Barito Raya")</f>
        <v>Barito Raya</v>
      </c>
      <c r="H439" s="3" t="str">
        <f>IFERROR(__xludf.DUMMYFUNCTION("""COMPUTED_VALUE"""),"Standby")</f>
        <v>Standby</v>
      </c>
      <c r="I439" s="3" t="str">
        <f>IFERROR(__xludf.DUMMYFUNCTION("""COMPUTED_VALUE"""),"Standby On Call")</f>
        <v>Standby On Call</v>
      </c>
      <c r="J439" s="3"/>
      <c r="K439" s="27">
        <f>IFERROR(__xludf.DUMMYFUNCTION("""COMPUTED_VALUE"""),46022.0)</f>
        <v>46022</v>
      </c>
      <c r="L439" s="27">
        <f>IFERROR(__xludf.DUMMYFUNCTION("""COMPUTED_VALUE"""),46022.0)</f>
        <v>46022</v>
      </c>
      <c r="M439" s="3"/>
      <c r="N439" s="3"/>
      <c r="O439" s="3" t="str">
        <f>IFERROR(VLOOKUP(C439,Sheet4!A439:F1226,6,0),"")</f>
        <v/>
      </c>
      <c r="Q439" s="2" t="str">
        <f t="shared" si="1"/>
        <v>31</v>
      </c>
    </row>
    <row r="440">
      <c r="A440" s="3" t="str">
        <f>IFERROR(__xludf.DUMMYFUNCTION("""COMPUTED_VALUE"""),"Standby On Call")</f>
        <v>Standby On Call</v>
      </c>
      <c r="B440" s="3" t="str">
        <f>IFERROR(__xludf.DUMMYFUNCTION("""COMPUTED_VALUE"""),"P3")</f>
        <v>P3</v>
      </c>
      <c r="C440" s="3"/>
      <c r="D440" s="3" t="str">
        <f>IFERROR(__xludf.DUMMYFUNCTION("""COMPUTED_VALUE"""),"Taklim")</f>
        <v>Taklim</v>
      </c>
      <c r="E440" s="3" t="str">
        <f>IFERROR(__xludf.DUMMYFUNCTION("""COMPUTED_VALUE"""),"MBP")</f>
        <v>MBP</v>
      </c>
      <c r="F440" s="3" t="str">
        <f>IFERROR(__xludf.DUMMYFUNCTION("""COMPUTED_VALUE"""),"Winda Sokenda")</f>
        <v>Winda Sokenda</v>
      </c>
      <c r="G440" s="3" t="str">
        <f>IFERROR(__xludf.DUMMYFUNCTION("""COMPUTED_VALUE"""),"Barito Raya")</f>
        <v>Barito Raya</v>
      </c>
      <c r="H440" s="3" t="str">
        <f>IFERROR(__xludf.DUMMYFUNCTION("""COMPUTED_VALUE"""),"Standby")</f>
        <v>Standby</v>
      </c>
      <c r="I440" s="3" t="str">
        <f>IFERROR(__xludf.DUMMYFUNCTION("""COMPUTED_VALUE"""),"Standby On Call")</f>
        <v>Standby On Call</v>
      </c>
      <c r="J440" s="3"/>
      <c r="K440" s="27">
        <f>IFERROR(__xludf.DUMMYFUNCTION("""COMPUTED_VALUE"""),46022.0)</f>
        <v>46022</v>
      </c>
      <c r="L440" s="27">
        <f>IFERROR(__xludf.DUMMYFUNCTION("""COMPUTED_VALUE"""),46022.0)</f>
        <v>46022</v>
      </c>
      <c r="M440" s="3"/>
      <c r="N440" s="3"/>
      <c r="O440" s="3" t="str">
        <f>IFERROR(VLOOKUP(C440,Sheet4!A440:F1227,6,0),"")</f>
        <v/>
      </c>
      <c r="Q440" s="2" t="str">
        <f t="shared" si="1"/>
        <v>31</v>
      </c>
    </row>
    <row r="441">
      <c r="A441" s="3" t="str">
        <f>IFERROR(__xludf.DUMMYFUNCTION("""COMPUTED_VALUE"""),"Standby On Call")</f>
        <v>Standby On Call</v>
      </c>
      <c r="B441" s="3" t="str">
        <f>IFERROR(__xludf.DUMMYFUNCTION("""COMPUTED_VALUE"""),"P3")</f>
        <v>P3</v>
      </c>
      <c r="C441" s="3"/>
      <c r="D441" s="3" t="str">
        <f>IFERROR(__xludf.DUMMYFUNCTION("""COMPUTED_VALUE"""),"Rio ardinata")</f>
        <v>Rio ardinata</v>
      </c>
      <c r="E441" s="3" t="str">
        <f>IFERROR(__xludf.DUMMYFUNCTION("""COMPUTED_VALUE"""),"MBP")</f>
        <v>MBP</v>
      </c>
      <c r="F441" s="3" t="str">
        <f>IFERROR(__xludf.DUMMYFUNCTION("""COMPUTED_VALUE"""),"Winda Sokenda")</f>
        <v>Winda Sokenda</v>
      </c>
      <c r="G441" s="3" t="str">
        <f>IFERROR(__xludf.DUMMYFUNCTION("""COMPUTED_VALUE"""),"Barito Raya")</f>
        <v>Barito Raya</v>
      </c>
      <c r="H441" s="3" t="str">
        <f>IFERROR(__xludf.DUMMYFUNCTION("""COMPUTED_VALUE"""),"Standby")</f>
        <v>Standby</v>
      </c>
      <c r="I441" s="3" t="str">
        <f>IFERROR(__xludf.DUMMYFUNCTION("""COMPUTED_VALUE"""),"Standby On Call")</f>
        <v>Standby On Call</v>
      </c>
      <c r="J441" s="3"/>
      <c r="K441" s="27">
        <f>IFERROR(__xludf.DUMMYFUNCTION("""COMPUTED_VALUE"""),46022.0)</f>
        <v>46022</v>
      </c>
      <c r="L441" s="27">
        <f>IFERROR(__xludf.DUMMYFUNCTION("""COMPUTED_VALUE"""),46022.0)</f>
        <v>46022</v>
      </c>
      <c r="M441" s="3"/>
      <c r="N441" s="3"/>
      <c r="O441" s="3" t="str">
        <f>IFERROR(VLOOKUP(C441,Sheet4!A441:F1228,6,0),"")</f>
        <v/>
      </c>
      <c r="Q441" s="2" t="str">
        <f t="shared" si="1"/>
        <v>31</v>
      </c>
    </row>
    <row r="442">
      <c r="A442" s="3" t="str">
        <f>IFERROR(__xludf.DUMMYFUNCTION("""COMPUTED_VALUE"""),"Standby On Call")</f>
        <v>Standby On Call</v>
      </c>
      <c r="B442" s="3" t="str">
        <f>IFERROR(__xludf.DUMMYFUNCTION("""COMPUTED_VALUE"""),"P3")</f>
        <v>P3</v>
      </c>
      <c r="C442" s="3"/>
      <c r="D442" s="3" t="str">
        <f>IFERROR(__xludf.DUMMYFUNCTION("""COMPUTED_VALUE"""),"Ahmad Muzakir")</f>
        <v>Ahmad Muzakir</v>
      </c>
      <c r="E442" s="3" t="str">
        <f>IFERROR(__xludf.DUMMYFUNCTION("""COMPUTED_VALUE"""),"MBP")</f>
        <v>MBP</v>
      </c>
      <c r="F442" s="3" t="str">
        <f>IFERROR(__xludf.DUMMYFUNCTION("""COMPUTED_VALUE"""),"Winda Sokenda")</f>
        <v>Winda Sokenda</v>
      </c>
      <c r="G442" s="3" t="str">
        <f>IFERROR(__xludf.DUMMYFUNCTION("""COMPUTED_VALUE"""),"Barito Raya")</f>
        <v>Barito Raya</v>
      </c>
      <c r="H442" s="3" t="str">
        <f>IFERROR(__xludf.DUMMYFUNCTION("""COMPUTED_VALUE"""),"Standby")</f>
        <v>Standby</v>
      </c>
      <c r="I442" s="3" t="str">
        <f>IFERROR(__xludf.DUMMYFUNCTION("""COMPUTED_VALUE"""),"Standby On Call")</f>
        <v>Standby On Call</v>
      </c>
      <c r="J442" s="3"/>
      <c r="K442" s="27">
        <f>IFERROR(__xludf.DUMMYFUNCTION("""COMPUTED_VALUE"""),46022.0)</f>
        <v>46022</v>
      </c>
      <c r="L442" s="27">
        <f>IFERROR(__xludf.DUMMYFUNCTION("""COMPUTED_VALUE"""),46022.0)</f>
        <v>46022</v>
      </c>
      <c r="M442" s="3"/>
      <c r="N442" s="3"/>
      <c r="O442" s="3" t="str">
        <f>IFERROR(VLOOKUP(C442,Sheet4!A442:F1229,6,0),"")</f>
        <v/>
      </c>
      <c r="Q442" s="2" t="str">
        <f t="shared" si="1"/>
        <v>31</v>
      </c>
    </row>
    <row r="443">
      <c r="A443" s="3" t="str">
        <f>IFERROR(__xludf.DUMMYFUNCTION("""COMPUTED_VALUE"""),"Standby On Call")</f>
        <v>Standby On Call</v>
      </c>
      <c r="B443" s="3" t="str">
        <f>IFERROR(__xludf.DUMMYFUNCTION("""COMPUTED_VALUE"""),"P3")</f>
        <v>P3</v>
      </c>
      <c r="C443" s="3"/>
      <c r="D443" s="3" t="str">
        <f>IFERROR(__xludf.DUMMYFUNCTION("""COMPUTED_VALUE"""),"Alfi Syahri")</f>
        <v>Alfi Syahri</v>
      </c>
      <c r="E443" s="3" t="str">
        <f>IFERROR(__xludf.DUMMYFUNCTION("""COMPUTED_VALUE"""),"CME")</f>
        <v>CME</v>
      </c>
      <c r="F443" s="3" t="str">
        <f>IFERROR(__xludf.DUMMYFUNCTION("""COMPUTED_VALUE"""),"Winda Sokenda")</f>
        <v>Winda Sokenda</v>
      </c>
      <c r="G443" s="3" t="str">
        <f>IFERROR(__xludf.DUMMYFUNCTION("""COMPUTED_VALUE"""),"Barito Raya")</f>
        <v>Barito Raya</v>
      </c>
      <c r="H443" s="3" t="str">
        <f>IFERROR(__xludf.DUMMYFUNCTION("""COMPUTED_VALUE"""),"Standby")</f>
        <v>Standby</v>
      </c>
      <c r="I443" s="3" t="str">
        <f>IFERROR(__xludf.DUMMYFUNCTION("""COMPUTED_VALUE"""),"Standby On Call")</f>
        <v>Standby On Call</v>
      </c>
      <c r="J443" s="3"/>
      <c r="K443" s="27">
        <f>IFERROR(__xludf.DUMMYFUNCTION("""COMPUTED_VALUE"""),46022.0)</f>
        <v>46022</v>
      </c>
      <c r="L443" s="27">
        <f>IFERROR(__xludf.DUMMYFUNCTION("""COMPUTED_VALUE"""),46022.0)</f>
        <v>46022</v>
      </c>
      <c r="M443" s="3"/>
      <c r="N443" s="3"/>
      <c r="O443" s="3" t="str">
        <f>IFERROR(VLOOKUP(C443,Sheet4!A443:F1230,6,0),"")</f>
        <v/>
      </c>
      <c r="Q443" s="2" t="str">
        <f t="shared" si="1"/>
        <v>31</v>
      </c>
    </row>
    <row r="444">
      <c r="A444" s="3" t="str">
        <f>IFERROR(__xludf.DUMMYFUNCTION("""COMPUTED_VALUE"""),"Pengawalan Team telkom")</f>
        <v>Pengawalan Team telkom</v>
      </c>
      <c r="B444" s="3" t="str">
        <f>IFERROR(__xludf.DUMMYFUNCTION("""COMPUTED_VALUE"""),"P2")</f>
        <v>P2</v>
      </c>
      <c r="C444" s="3" t="str">
        <f>IFERROR(__xludf.DUMMYFUNCTION("""COMPUTED_VALUE"""),"KKP023")</f>
        <v>KKP023</v>
      </c>
      <c r="D444" s="3" t="str">
        <f>IFERROR(__xludf.DUMMYFUNCTION("""COMPUTED_VALUE"""),"Pujianto")</f>
        <v>Pujianto</v>
      </c>
      <c r="E444" s="3" t="str">
        <f>IFERROR(__xludf.DUMMYFUNCTION("""COMPUTED_VALUE"""),"MBP")</f>
        <v>MBP</v>
      </c>
      <c r="F444" s="3" t="str">
        <f>IFERROR(__xludf.DUMMYFUNCTION("""COMPUTED_VALUE"""),"Winda Sokenda")</f>
        <v>Winda Sokenda</v>
      </c>
      <c r="G444" s="3" t="str">
        <f>IFERROR(__xludf.DUMMYFUNCTION("""COMPUTED_VALUE"""),"Barito Raya")</f>
        <v>Barito Raya</v>
      </c>
      <c r="H444" s="3" t="str">
        <f>IFERROR(__xludf.DUMMYFUNCTION("""COMPUTED_VALUE"""),"Preventive")</f>
        <v>Preventive</v>
      </c>
      <c r="I444" s="3" t="str">
        <f>IFERROR(__xludf.DUMMYFUNCTION("""COMPUTED_VALUE"""),"Akses/Hub Site problem metro")</f>
        <v>Akses/Hub Site problem metro</v>
      </c>
      <c r="J444" s="3" t="str">
        <f>IFERROR(__xludf.DUMMYFUNCTION("""COMPUTED_VALUE"""),"On Progress")</f>
        <v>On Progress</v>
      </c>
      <c r="K444" s="27">
        <f>IFERROR(__xludf.DUMMYFUNCTION("""COMPUTED_VALUE"""),46022.0)</f>
        <v>46022</v>
      </c>
      <c r="L444" s="27">
        <f>IFERROR(__xludf.DUMMYFUNCTION("""COMPUTED_VALUE"""),46022.0)</f>
        <v>46022</v>
      </c>
      <c r="M444" s="3" t="str">
        <f>IFERROR(__xludf.DUMMYFUNCTION("""COMPUTED_VALUE"""),"Done")</f>
        <v>Done</v>
      </c>
      <c r="N444" s="3" t="str">
        <f>IFERROR(__xludf.DUMMYFUNCTION("""COMPUTED_VALUE"""),"PATROLI")</f>
        <v>PATROLI</v>
      </c>
      <c r="O444" s="3" t="str">
        <f>IFERROR(VLOOKUP(C444,Sheet4!A444:F1231,6,0),"")</f>
        <v/>
      </c>
      <c r="Q444" s="2" t="str">
        <f t="shared" si="1"/>
        <v>31</v>
      </c>
    </row>
    <row r="445">
      <c r="A445" s="3" t="str">
        <f>IFERROR(__xludf.DUMMYFUNCTION("""COMPUTED_VALUE"""),"Standby On Call")</f>
        <v>Standby On Call</v>
      </c>
      <c r="B445" s="3" t="str">
        <f>IFERROR(__xludf.DUMMYFUNCTION("""COMPUTED_VALUE"""),"P3")</f>
        <v>P3</v>
      </c>
      <c r="C445" s="3"/>
      <c r="D445" s="3" t="str">
        <f>IFERROR(__xludf.DUMMYFUNCTION("""COMPUTED_VALUE"""),"Trisno Susanto")</f>
        <v>Trisno Susanto</v>
      </c>
      <c r="E445" s="3" t="str">
        <f>IFERROR(__xludf.DUMMYFUNCTION("""COMPUTED_VALUE"""),"PM")</f>
        <v>PM</v>
      </c>
      <c r="F445" s="3" t="str">
        <f>IFERROR(__xludf.DUMMYFUNCTION("""COMPUTED_VALUE"""),"Winda Sokenda")</f>
        <v>Winda Sokenda</v>
      </c>
      <c r="G445" s="3" t="str">
        <f>IFERROR(__xludf.DUMMYFUNCTION("""COMPUTED_VALUE"""),"Barito Raya")</f>
        <v>Barito Raya</v>
      </c>
      <c r="H445" s="3" t="str">
        <f>IFERROR(__xludf.DUMMYFUNCTION("""COMPUTED_VALUE"""),"Standby")</f>
        <v>Standby</v>
      </c>
      <c r="I445" s="3" t="str">
        <f>IFERROR(__xludf.DUMMYFUNCTION("""COMPUTED_VALUE"""),"Standby On Call")</f>
        <v>Standby On Call</v>
      </c>
      <c r="J445" s="3"/>
      <c r="K445" s="27">
        <f>IFERROR(__xludf.DUMMYFUNCTION("""COMPUTED_VALUE"""),46022.0)</f>
        <v>46022</v>
      </c>
      <c r="L445" s="27">
        <f>IFERROR(__xludf.DUMMYFUNCTION("""COMPUTED_VALUE"""),46022.0)</f>
        <v>46022</v>
      </c>
      <c r="M445" s="3"/>
      <c r="N445" s="3"/>
      <c r="O445" s="3" t="str">
        <f>IFERROR(VLOOKUP(C445,Sheet4!A445:F1232,6,0),"")</f>
        <v/>
      </c>
      <c r="Q445" s="2" t="str">
        <f t="shared" si="1"/>
        <v>31</v>
      </c>
    </row>
    <row r="446">
      <c r="A446" s="3" t="str">
        <f>IFERROR(__xludf.DUMMYFUNCTION("""COMPUTED_VALUE"""),"Standby On Call")</f>
        <v>Standby On Call</v>
      </c>
      <c r="B446" s="3" t="str">
        <f>IFERROR(__xludf.DUMMYFUNCTION("""COMPUTED_VALUE"""),"P3")</f>
        <v>P3</v>
      </c>
      <c r="C446" s="3"/>
      <c r="D446" s="3" t="str">
        <f>IFERROR(__xludf.DUMMYFUNCTION("""COMPUTED_VALUE"""),"Khilal dawai katiri")</f>
        <v>Khilal dawai katiri</v>
      </c>
      <c r="E446" s="3" t="str">
        <f>IFERROR(__xludf.DUMMYFUNCTION("""COMPUTED_VALUE"""),"MBP")</f>
        <v>MBP</v>
      </c>
      <c r="F446" s="3" t="str">
        <f>IFERROR(__xludf.DUMMYFUNCTION("""COMPUTED_VALUE"""),"Winda Sokenda")</f>
        <v>Winda Sokenda</v>
      </c>
      <c r="G446" s="3" t="str">
        <f>IFERROR(__xludf.DUMMYFUNCTION("""COMPUTED_VALUE"""),"Barito Raya")</f>
        <v>Barito Raya</v>
      </c>
      <c r="H446" s="3" t="str">
        <f>IFERROR(__xludf.DUMMYFUNCTION("""COMPUTED_VALUE"""),"Standby")</f>
        <v>Standby</v>
      </c>
      <c r="I446" s="3" t="str">
        <f>IFERROR(__xludf.DUMMYFUNCTION("""COMPUTED_VALUE"""),"Standby On Call")</f>
        <v>Standby On Call</v>
      </c>
      <c r="J446" s="3"/>
      <c r="K446" s="27">
        <f>IFERROR(__xludf.DUMMYFUNCTION("""COMPUTED_VALUE"""),46022.0)</f>
        <v>46022</v>
      </c>
      <c r="L446" s="27">
        <f>IFERROR(__xludf.DUMMYFUNCTION("""COMPUTED_VALUE"""),46022.0)</f>
        <v>46022</v>
      </c>
      <c r="M446" s="3"/>
      <c r="N446" s="3"/>
      <c r="O446" s="3" t="str">
        <f>IFERROR(VLOOKUP(C446,Sheet4!A446:F1233,6,0),"")</f>
        <v/>
      </c>
      <c r="Q446" s="2" t="str">
        <f t="shared" si="1"/>
        <v>31</v>
      </c>
    </row>
    <row r="447">
      <c r="A447" s="3" t="str">
        <f>IFERROR(__xludf.DUMMYFUNCTION("""COMPUTED_VALUE"""),"Standby On Call")</f>
        <v>Standby On Call</v>
      </c>
      <c r="B447" s="3" t="str">
        <f>IFERROR(__xludf.DUMMYFUNCTION("""COMPUTED_VALUE"""),"P3")</f>
        <v>P3</v>
      </c>
      <c r="C447" s="3"/>
      <c r="D447" s="3" t="str">
        <f>IFERROR(__xludf.DUMMYFUNCTION("""COMPUTED_VALUE"""),"Riko setiadi")</f>
        <v>Riko setiadi</v>
      </c>
      <c r="E447" s="3" t="str">
        <f>IFERROR(__xludf.DUMMYFUNCTION("""COMPUTED_VALUE"""),"PM")</f>
        <v>PM</v>
      </c>
      <c r="F447" s="3" t="str">
        <f>IFERROR(__xludf.DUMMYFUNCTION("""COMPUTED_VALUE"""),"Winda Sokenda")</f>
        <v>Winda Sokenda</v>
      </c>
      <c r="G447" s="3" t="str">
        <f>IFERROR(__xludf.DUMMYFUNCTION("""COMPUTED_VALUE"""),"Barito Raya")</f>
        <v>Barito Raya</v>
      </c>
      <c r="H447" s="3" t="str">
        <f>IFERROR(__xludf.DUMMYFUNCTION("""COMPUTED_VALUE"""),"Standby")</f>
        <v>Standby</v>
      </c>
      <c r="I447" s="3" t="str">
        <f>IFERROR(__xludf.DUMMYFUNCTION("""COMPUTED_VALUE"""),"Standby On Call")</f>
        <v>Standby On Call</v>
      </c>
      <c r="J447" s="3"/>
      <c r="K447" s="27">
        <f>IFERROR(__xludf.DUMMYFUNCTION("""COMPUTED_VALUE"""),46022.0)</f>
        <v>46022</v>
      </c>
      <c r="L447" s="27">
        <f>IFERROR(__xludf.DUMMYFUNCTION("""COMPUTED_VALUE"""),46022.0)</f>
        <v>46022</v>
      </c>
      <c r="M447" s="3"/>
      <c r="N447" s="3"/>
      <c r="O447" s="3" t="str">
        <f>IFERROR(VLOOKUP(C447,Sheet4!A447:F1234,6,0),"")</f>
        <v/>
      </c>
      <c r="Q447" s="2" t="str">
        <f t="shared" si="1"/>
        <v>31</v>
      </c>
    </row>
    <row r="448">
      <c r="A448" s="3" t="str">
        <f>IFERROR(__xludf.DUMMYFUNCTION("""COMPUTED_VALUE"""),"Pengecekan Power")</f>
        <v>Pengecekan Power</v>
      </c>
      <c r="B448" s="3" t="str">
        <f>IFERROR(__xludf.DUMMYFUNCTION("""COMPUTED_VALUE"""),"P1")</f>
        <v>P1</v>
      </c>
      <c r="C448" s="3" t="str">
        <f>IFERROR(__xludf.DUMMYFUNCTION("""COMPUTED_VALUE"""),"NTH245")</f>
        <v>NTH245</v>
      </c>
      <c r="D448" s="3" t="str">
        <f>IFERROR(__xludf.DUMMYFUNCTION("""COMPUTED_VALUE"""),"Putra wardana")</f>
        <v>Putra wardana</v>
      </c>
      <c r="E448" s="3" t="str">
        <f>IFERROR(__xludf.DUMMYFUNCTION("""COMPUTED_VALUE"""),"TE")</f>
        <v>TE</v>
      </c>
      <c r="F448" s="3" t="str">
        <f>IFERROR(__xludf.DUMMYFUNCTION("""COMPUTED_VALUE"""),"Winda Sokenda")</f>
        <v>Winda Sokenda</v>
      </c>
      <c r="G448" s="3" t="str">
        <f>IFERROR(__xludf.DUMMYFUNCTION("""COMPUTED_VALUE"""),"Barito Raya")</f>
        <v>Barito Raya</v>
      </c>
      <c r="H448" s="3" t="str">
        <f>IFERROR(__xludf.DUMMYFUNCTION("""COMPUTED_VALUE"""),"Preventive")</f>
        <v>Preventive</v>
      </c>
      <c r="I448" s="3" t="str">
        <f>IFERROR(__xludf.DUMMYFUNCTION("""COMPUTED_VALUE"""),"MCB trip/Power upnormal")</f>
        <v>MCB trip/Power upnormal</v>
      </c>
      <c r="J448" s="3" t="str">
        <f>IFERROR(__xludf.DUMMYFUNCTION("""COMPUTED_VALUE"""),"On Progress")</f>
        <v>On Progress</v>
      </c>
      <c r="K448" s="27">
        <f>IFERROR(__xludf.DUMMYFUNCTION("""COMPUTED_VALUE"""),46024.0)</f>
        <v>46024</v>
      </c>
      <c r="L448" s="3"/>
      <c r="M448" s="3" t="str">
        <f>IFERROR(__xludf.DUMMYFUNCTION("""COMPUTED_VALUE"""),"Waiting Update")</f>
        <v>Waiting Update</v>
      </c>
      <c r="N448" s="3"/>
      <c r="O448" s="3" t="str">
        <f>IFERROR(VLOOKUP(C448,Sheet4!A448:F1235,6,0),"")</f>
        <v/>
      </c>
      <c r="Q448" s="2" t="str">
        <f t="shared" si="1"/>
        <v>02</v>
      </c>
    </row>
    <row r="449">
      <c r="A449" s="3" t="str">
        <f>IFERROR(__xludf.DUMMYFUNCTION("""COMPUTED_VALUE"""),"Pengecekan Power")</f>
        <v>Pengecekan Power</v>
      </c>
      <c r="B449" s="3" t="str">
        <f>IFERROR(__xludf.DUMMYFUNCTION("""COMPUTED_VALUE"""),"P1")</f>
        <v>P1</v>
      </c>
      <c r="C449" s="3" t="str">
        <f>IFERROR(__xludf.DUMMYFUNCTION("""COMPUTED_VALUE"""),"NTH115")</f>
        <v>NTH115</v>
      </c>
      <c r="D449" s="3" t="str">
        <f>IFERROR(__xludf.DUMMYFUNCTION("""COMPUTED_VALUE"""),"Sailillah")</f>
        <v>Sailillah</v>
      </c>
      <c r="E449" s="3" t="str">
        <f>IFERROR(__xludf.DUMMYFUNCTION("""COMPUTED_VALUE"""),"TE")</f>
        <v>TE</v>
      </c>
      <c r="F449" s="3" t="str">
        <f>IFERROR(__xludf.DUMMYFUNCTION("""COMPUTED_VALUE"""),"Winda Sokenda")</f>
        <v>Winda Sokenda</v>
      </c>
      <c r="G449" s="3" t="str">
        <f>IFERROR(__xludf.DUMMYFUNCTION("""COMPUTED_VALUE"""),"Barito Raya")</f>
        <v>Barito Raya</v>
      </c>
      <c r="H449" s="3" t="str">
        <f>IFERROR(__xludf.DUMMYFUNCTION("""COMPUTED_VALUE"""),"Preventive")</f>
        <v>Preventive</v>
      </c>
      <c r="I449" s="3" t="str">
        <f>IFERROR(__xludf.DUMMYFUNCTION("""COMPUTED_VALUE"""),"MCB trip/Power upnormal")</f>
        <v>MCB trip/Power upnormal</v>
      </c>
      <c r="J449" s="3" t="str">
        <f>IFERROR(__xludf.DUMMYFUNCTION("""COMPUTED_VALUE"""),"On Progress")</f>
        <v>On Progress</v>
      </c>
      <c r="K449" s="27">
        <f>IFERROR(__xludf.DUMMYFUNCTION("""COMPUTED_VALUE"""),46024.0)</f>
        <v>46024</v>
      </c>
      <c r="L449" s="3"/>
      <c r="M449" s="3" t="str">
        <f>IFERROR(__xludf.DUMMYFUNCTION("""COMPUTED_VALUE"""),"Waiting Update")</f>
        <v>Waiting Update</v>
      </c>
      <c r="N449" s="3"/>
      <c r="O449" s="3" t="str">
        <f>IFERROR(VLOOKUP(C449,Sheet4!A449:F1236,6,0),"")</f>
        <v/>
      </c>
      <c r="Q449" s="2" t="str">
        <f t="shared" si="1"/>
        <v>02</v>
      </c>
    </row>
    <row r="450">
      <c r="A450" s="3" t="str">
        <f>IFERROR(__xludf.DUMMYFUNCTION("""COMPUTED_VALUE"""),"Cell down")</f>
        <v>Cell down</v>
      </c>
      <c r="B450" s="3" t="str">
        <f>IFERROR(__xludf.DUMMYFUNCTION("""COMPUTED_VALUE"""),"P1")</f>
        <v>P1</v>
      </c>
      <c r="C450" s="3" t="str">
        <f>IFERROR(__xludf.DUMMYFUNCTION("""COMPUTED_VALUE"""),"TML237")</f>
        <v>TML237</v>
      </c>
      <c r="D450" s="3" t="str">
        <f>IFERROR(__xludf.DUMMYFUNCTION("""COMPUTED_VALUE"""),"Tiviansyah")</f>
        <v>Tiviansyah</v>
      </c>
      <c r="E450" s="3" t="str">
        <f>IFERROR(__xludf.DUMMYFUNCTION("""COMPUTED_VALUE"""),"TE")</f>
        <v>TE</v>
      </c>
      <c r="F450" s="3" t="str">
        <f>IFERROR(__xludf.DUMMYFUNCTION("""COMPUTED_VALUE"""),"Winda Sokenda")</f>
        <v>Winda Sokenda</v>
      </c>
      <c r="G450" s="3" t="str">
        <f>IFERROR(__xludf.DUMMYFUNCTION("""COMPUTED_VALUE"""),"Barito Raya")</f>
        <v>Barito Raya</v>
      </c>
      <c r="H450" s="3" t="str">
        <f>IFERROR(__xludf.DUMMYFUNCTION("""COMPUTED_VALUE"""),"Corrective")</f>
        <v>Corrective</v>
      </c>
      <c r="I450" s="3" t="str">
        <f>IFERROR(__xludf.DUMMYFUNCTION("""COMPUTED_VALUE"""),"Replace Optik,RRU/Soket Power/Replace GPS")</f>
        <v>Replace Optik,RRU/Soket Power/Replace GPS</v>
      </c>
      <c r="J450" s="3" t="str">
        <f>IFERROR(__xludf.DUMMYFUNCTION("""COMPUTED_VALUE"""),"On Progress")</f>
        <v>On Progress</v>
      </c>
      <c r="K450" s="27">
        <f>IFERROR(__xludf.DUMMYFUNCTION("""COMPUTED_VALUE"""),46024.0)</f>
        <v>46024</v>
      </c>
      <c r="L450" s="3"/>
      <c r="M450" s="3"/>
      <c r="N450" s="3"/>
      <c r="O450" s="3" t="str">
        <f>IFERROR(VLOOKUP(C450,Sheet4!A450:F1237,6,0),"")</f>
        <v/>
      </c>
      <c r="Q450" s="2" t="str">
        <f t="shared" si="1"/>
        <v>02</v>
      </c>
    </row>
    <row r="451">
      <c r="A451" s="3" t="str">
        <f>IFERROR(__xludf.DUMMYFUNCTION("""COMPUTED_VALUE"""),"Standby On Call")</f>
        <v>Standby On Call</v>
      </c>
      <c r="B451" s="3" t="str">
        <f>IFERROR(__xludf.DUMMYFUNCTION("""COMPUTED_VALUE"""),"P3")</f>
        <v>P3</v>
      </c>
      <c r="C451" s="3"/>
      <c r="D451" s="3" t="str">
        <f>IFERROR(__xludf.DUMMYFUNCTION("""COMPUTED_VALUE"""),"munawir akhmad")</f>
        <v>munawir akhmad</v>
      </c>
      <c r="E451" s="3" t="str">
        <f>IFERROR(__xludf.DUMMYFUNCTION("""COMPUTED_VALUE"""),"TE")</f>
        <v>TE</v>
      </c>
      <c r="F451" s="3" t="str">
        <f>IFERROR(__xludf.DUMMYFUNCTION("""COMPUTED_VALUE"""),"Winda Sokenda")</f>
        <v>Winda Sokenda</v>
      </c>
      <c r="G451" s="3" t="str">
        <f>IFERROR(__xludf.DUMMYFUNCTION("""COMPUTED_VALUE"""),"Barito Raya")</f>
        <v>Barito Raya</v>
      </c>
      <c r="H451" s="3" t="str">
        <f>IFERROR(__xludf.DUMMYFUNCTION("""COMPUTED_VALUE"""),"Standby")</f>
        <v>Standby</v>
      </c>
      <c r="I451" s="3" t="str">
        <f>IFERROR(__xludf.DUMMYFUNCTION("""COMPUTED_VALUE"""),"Standby On Call")</f>
        <v>Standby On Call</v>
      </c>
      <c r="J451" s="3"/>
      <c r="K451" s="27">
        <f>IFERROR(__xludf.DUMMYFUNCTION("""COMPUTED_VALUE"""),46024.0)</f>
        <v>46024</v>
      </c>
      <c r="L451" s="3"/>
      <c r="M451" s="3"/>
      <c r="N451" s="3"/>
      <c r="O451" s="3" t="str">
        <f>IFERROR(VLOOKUP(C451,Sheet4!A451:F1238,6,0),"")</f>
        <v/>
      </c>
      <c r="Q451" s="2" t="str">
        <f t="shared" si="1"/>
        <v>02</v>
      </c>
    </row>
    <row r="452">
      <c r="A452" s="3" t="str">
        <f>IFERROR(__xludf.DUMMYFUNCTION("""COMPUTED_VALUE"""),"Standby On Call")</f>
        <v>Standby On Call</v>
      </c>
      <c r="B452" s="3" t="str">
        <f>IFERROR(__xludf.DUMMYFUNCTION("""COMPUTED_VALUE"""),"P3")</f>
        <v>P3</v>
      </c>
      <c r="C452" s="3"/>
      <c r="D452" s="3" t="str">
        <f>IFERROR(__xludf.DUMMYFUNCTION("""COMPUTED_VALUE"""),"Riki Hidayat")</f>
        <v>Riki Hidayat</v>
      </c>
      <c r="E452" s="3" t="str">
        <f>IFERROR(__xludf.DUMMYFUNCTION("""COMPUTED_VALUE"""),"TE")</f>
        <v>TE</v>
      </c>
      <c r="F452" s="3" t="str">
        <f>IFERROR(__xludf.DUMMYFUNCTION("""COMPUTED_VALUE"""),"Winda Sokenda")</f>
        <v>Winda Sokenda</v>
      </c>
      <c r="G452" s="3" t="str">
        <f>IFERROR(__xludf.DUMMYFUNCTION("""COMPUTED_VALUE"""),"Barito Raya")</f>
        <v>Barito Raya</v>
      </c>
      <c r="H452" s="3" t="str">
        <f>IFERROR(__xludf.DUMMYFUNCTION("""COMPUTED_VALUE"""),"Standby")</f>
        <v>Standby</v>
      </c>
      <c r="I452" s="3" t="str">
        <f>IFERROR(__xludf.DUMMYFUNCTION("""COMPUTED_VALUE"""),"Standby On Call")</f>
        <v>Standby On Call</v>
      </c>
      <c r="J452" s="3"/>
      <c r="K452" s="27">
        <f>IFERROR(__xludf.DUMMYFUNCTION("""COMPUTED_VALUE"""),46024.0)</f>
        <v>46024</v>
      </c>
      <c r="L452" s="3"/>
      <c r="M452" s="3"/>
      <c r="N452" s="3"/>
      <c r="O452" s="3" t="str">
        <f>IFERROR(VLOOKUP(C452,Sheet4!A452:F1239,6,0),"")</f>
        <v/>
      </c>
      <c r="Q452" s="2" t="str">
        <f t="shared" si="1"/>
        <v>02</v>
      </c>
    </row>
    <row r="453">
      <c r="A453" s="3" t="str">
        <f>IFERROR(__xludf.DUMMYFUNCTION("""COMPUTED_VALUE"""),"Standby On Call")</f>
        <v>Standby On Call</v>
      </c>
      <c r="B453" s="3" t="str">
        <f>IFERROR(__xludf.DUMMYFUNCTION("""COMPUTED_VALUE"""),"P3")</f>
        <v>P3</v>
      </c>
      <c r="C453" s="3"/>
      <c r="D453" s="3" t="str">
        <f>IFERROR(__xludf.DUMMYFUNCTION("""COMPUTED_VALUE"""),"Murjani")</f>
        <v>Murjani</v>
      </c>
      <c r="E453" s="3" t="str">
        <f>IFERROR(__xludf.DUMMYFUNCTION("""COMPUTED_VALUE"""),"TE")</f>
        <v>TE</v>
      </c>
      <c r="F453" s="3" t="str">
        <f>IFERROR(__xludf.DUMMYFUNCTION("""COMPUTED_VALUE"""),"Winda Sokenda")</f>
        <v>Winda Sokenda</v>
      </c>
      <c r="G453" s="3" t="str">
        <f>IFERROR(__xludf.DUMMYFUNCTION("""COMPUTED_VALUE"""),"Barito Raya")</f>
        <v>Barito Raya</v>
      </c>
      <c r="H453" s="3" t="str">
        <f>IFERROR(__xludf.DUMMYFUNCTION("""COMPUTED_VALUE"""),"Standby")</f>
        <v>Standby</v>
      </c>
      <c r="I453" s="3" t="str">
        <f>IFERROR(__xludf.DUMMYFUNCTION("""COMPUTED_VALUE"""),"Standby On Call")</f>
        <v>Standby On Call</v>
      </c>
      <c r="J453" s="3"/>
      <c r="K453" s="27">
        <f>IFERROR(__xludf.DUMMYFUNCTION("""COMPUTED_VALUE"""),46024.0)</f>
        <v>46024</v>
      </c>
      <c r="L453" s="3"/>
      <c r="M453" s="3"/>
      <c r="N453" s="3"/>
      <c r="O453" s="3" t="str">
        <f>IFERROR(VLOOKUP(C453,Sheet4!A453:F1240,6,0),"")</f>
        <v/>
      </c>
      <c r="Q453" s="2" t="str">
        <f t="shared" si="1"/>
        <v>02</v>
      </c>
    </row>
    <row r="454">
      <c r="A454" s="3" t="str">
        <f>IFERROR(__xludf.DUMMYFUNCTION("""COMPUTED_VALUE"""),"Standby On Call")</f>
        <v>Standby On Call</v>
      </c>
      <c r="B454" s="3" t="str">
        <f>IFERROR(__xludf.DUMMYFUNCTION("""COMPUTED_VALUE"""),"P3")</f>
        <v>P3</v>
      </c>
      <c r="C454" s="3"/>
      <c r="D454" s="3" t="str">
        <f>IFERROR(__xludf.DUMMYFUNCTION("""COMPUTED_VALUE"""),"Armadi")</f>
        <v>Armadi</v>
      </c>
      <c r="E454" s="3" t="str">
        <f>IFERROR(__xludf.DUMMYFUNCTION("""COMPUTED_VALUE"""),"TE")</f>
        <v>TE</v>
      </c>
      <c r="F454" s="3" t="str">
        <f>IFERROR(__xludf.DUMMYFUNCTION("""COMPUTED_VALUE"""),"Winda Sokenda")</f>
        <v>Winda Sokenda</v>
      </c>
      <c r="G454" s="3" t="str">
        <f>IFERROR(__xludf.DUMMYFUNCTION("""COMPUTED_VALUE"""),"Barito Raya")</f>
        <v>Barito Raya</v>
      </c>
      <c r="H454" s="3" t="str">
        <f>IFERROR(__xludf.DUMMYFUNCTION("""COMPUTED_VALUE"""),"Standby")</f>
        <v>Standby</v>
      </c>
      <c r="I454" s="3" t="str">
        <f>IFERROR(__xludf.DUMMYFUNCTION("""COMPUTED_VALUE"""),"Standby On Call")</f>
        <v>Standby On Call</v>
      </c>
      <c r="J454" s="3"/>
      <c r="K454" s="27">
        <f>IFERROR(__xludf.DUMMYFUNCTION("""COMPUTED_VALUE"""),46024.0)</f>
        <v>46024</v>
      </c>
      <c r="L454" s="3"/>
      <c r="M454" s="3"/>
      <c r="N454" s="3"/>
      <c r="O454" s="3" t="str">
        <f>IFERROR(VLOOKUP(C454,Sheet4!A454:F1241,6,0),"")</f>
        <v/>
      </c>
      <c r="Q454" s="2" t="str">
        <f t="shared" si="1"/>
        <v>02</v>
      </c>
    </row>
    <row r="455">
      <c r="A455" s="3" t="str">
        <f>IFERROR(__xludf.DUMMYFUNCTION("""COMPUTED_VALUE"""),"Cell down")</f>
        <v>Cell down</v>
      </c>
      <c r="B455" s="3" t="str">
        <f>IFERROR(__xludf.DUMMYFUNCTION("""COMPUTED_VALUE"""),"P1")</f>
        <v>P1</v>
      </c>
      <c r="C455" s="3" t="str">
        <f>IFERROR(__xludf.DUMMYFUNCTION("""COMPUTED_VALUE"""),"KKP045")</f>
        <v>KKP045</v>
      </c>
      <c r="D455" s="3" t="str">
        <f>IFERROR(__xludf.DUMMYFUNCTION("""COMPUTED_VALUE"""),"Reynaldy Ricardo Putra")</f>
        <v>Reynaldy Ricardo Putra</v>
      </c>
      <c r="E455" s="3" t="str">
        <f>IFERROR(__xludf.DUMMYFUNCTION("""COMPUTED_VALUE"""),"TE")</f>
        <v>TE</v>
      </c>
      <c r="F455" s="3" t="str">
        <f>IFERROR(__xludf.DUMMYFUNCTION("""COMPUTED_VALUE"""),"Winda Sokenda")</f>
        <v>Winda Sokenda</v>
      </c>
      <c r="G455" s="3" t="str">
        <f>IFERROR(__xludf.DUMMYFUNCTION("""COMPUTED_VALUE"""),"Barito Raya")</f>
        <v>Barito Raya</v>
      </c>
      <c r="H455" s="3" t="str">
        <f>IFERROR(__xludf.DUMMYFUNCTION("""COMPUTED_VALUE"""),"Corrective")</f>
        <v>Corrective</v>
      </c>
      <c r="I455" s="3" t="str">
        <f>IFERROR(__xludf.DUMMYFUNCTION("""COMPUTED_VALUE"""),"Replace Optik,RRU/Soket Power/Replace GPS")</f>
        <v>Replace Optik,RRU/Soket Power/Replace GPS</v>
      </c>
      <c r="J455" s="3" t="str">
        <f>IFERROR(__xludf.DUMMYFUNCTION("""COMPUTED_VALUE"""),"On Progress")</f>
        <v>On Progress</v>
      </c>
      <c r="K455" s="27">
        <f>IFERROR(__xludf.DUMMYFUNCTION("""COMPUTED_VALUE"""),46024.0)</f>
        <v>46024</v>
      </c>
      <c r="L455" s="27">
        <f>IFERROR(__xludf.DUMMYFUNCTION("""COMPUTED_VALUE"""),46024.0)</f>
        <v>46024</v>
      </c>
      <c r="M455" s="3" t="str">
        <f>IFERROR(__xludf.DUMMYFUNCTION("""COMPUTED_VALUE"""),"Waiting Update")</f>
        <v>Waiting Update</v>
      </c>
      <c r="N455" s="3"/>
      <c r="O455" s="3" t="str">
        <f>IFERROR(VLOOKUP(C455,Sheet4!A455:F1242,6,0),"")</f>
        <v/>
      </c>
      <c r="Q455" s="2" t="str">
        <f t="shared" si="1"/>
        <v>02</v>
      </c>
    </row>
    <row r="456">
      <c r="A456" s="3" t="str">
        <f>IFERROR(__xludf.DUMMYFUNCTION("""COMPUTED_VALUE"""),"Cell down")</f>
        <v>Cell down</v>
      </c>
      <c r="B456" s="3" t="str">
        <f>IFERROR(__xludf.DUMMYFUNCTION("""COMPUTED_VALUE"""),"P1")</f>
        <v>P1</v>
      </c>
      <c r="C456" s="3" t="str">
        <f>IFERROR(__xludf.DUMMYFUNCTION("""COMPUTED_VALUE"""),"KKP045")</f>
        <v>KKP045</v>
      </c>
      <c r="D456" s="3" t="str">
        <f>IFERROR(__xludf.DUMMYFUNCTION("""COMPUTED_VALUE"""),"Sahrul Saputra")</f>
        <v>Sahrul Saputra</v>
      </c>
      <c r="E456" s="3" t="str">
        <f>IFERROR(__xludf.DUMMYFUNCTION("""COMPUTED_VALUE"""),"TE")</f>
        <v>TE</v>
      </c>
      <c r="F456" s="3" t="str">
        <f>IFERROR(__xludf.DUMMYFUNCTION("""COMPUTED_VALUE"""),"Winda Sokenda")</f>
        <v>Winda Sokenda</v>
      </c>
      <c r="G456" s="3" t="str">
        <f>IFERROR(__xludf.DUMMYFUNCTION("""COMPUTED_VALUE"""),"Barito Raya")</f>
        <v>Barito Raya</v>
      </c>
      <c r="H456" s="3" t="str">
        <f>IFERROR(__xludf.DUMMYFUNCTION("""COMPUTED_VALUE"""),"Corrective")</f>
        <v>Corrective</v>
      </c>
      <c r="I456" s="3" t="str">
        <f>IFERROR(__xludf.DUMMYFUNCTION("""COMPUTED_VALUE"""),"Replace Optik,RRU/Soket Power/Replace GPS")</f>
        <v>Replace Optik,RRU/Soket Power/Replace GPS</v>
      </c>
      <c r="J456" s="3" t="str">
        <f>IFERROR(__xludf.DUMMYFUNCTION("""COMPUTED_VALUE"""),"On Progress")</f>
        <v>On Progress</v>
      </c>
      <c r="K456" s="27">
        <f>IFERROR(__xludf.DUMMYFUNCTION("""COMPUTED_VALUE"""),46024.0)</f>
        <v>46024</v>
      </c>
      <c r="L456" s="27">
        <f>IFERROR(__xludf.DUMMYFUNCTION("""COMPUTED_VALUE"""),46024.0)</f>
        <v>46024</v>
      </c>
      <c r="M456" s="3" t="str">
        <f>IFERROR(__xludf.DUMMYFUNCTION("""COMPUTED_VALUE"""),"Waiting Update")</f>
        <v>Waiting Update</v>
      </c>
      <c r="N456" s="3"/>
      <c r="O456" s="3" t="str">
        <f>IFERROR(VLOOKUP(C456,Sheet4!A456:F1243,6,0),"")</f>
        <v/>
      </c>
      <c r="Q456" s="2" t="str">
        <f t="shared" si="1"/>
        <v>02</v>
      </c>
    </row>
    <row r="457">
      <c r="A457" s="3" t="str">
        <f>IFERROR(__xludf.DUMMYFUNCTION("""COMPUTED_VALUE"""),"Standby On Call")</f>
        <v>Standby On Call</v>
      </c>
      <c r="B457" s="3" t="str">
        <f>IFERROR(__xludf.DUMMYFUNCTION("""COMPUTED_VALUE"""),"P3")</f>
        <v>P3</v>
      </c>
      <c r="C457" s="3"/>
      <c r="D457" s="3" t="str">
        <f>IFERROR(__xludf.DUMMYFUNCTION("""COMPUTED_VALUE"""),"Nurhayat")</f>
        <v>Nurhayat</v>
      </c>
      <c r="E457" s="3" t="str">
        <f>IFERROR(__xludf.DUMMYFUNCTION("""COMPUTED_VALUE"""),"MBP")</f>
        <v>MBP</v>
      </c>
      <c r="F457" s="3" t="str">
        <f>IFERROR(__xludf.DUMMYFUNCTION("""COMPUTED_VALUE"""),"Winda Sokenda")</f>
        <v>Winda Sokenda</v>
      </c>
      <c r="G457" s="3" t="str">
        <f>IFERROR(__xludf.DUMMYFUNCTION("""COMPUTED_VALUE"""),"Barito Raya")</f>
        <v>Barito Raya</v>
      </c>
      <c r="H457" s="3" t="str">
        <f>IFERROR(__xludf.DUMMYFUNCTION("""COMPUTED_VALUE"""),"Standby")</f>
        <v>Standby</v>
      </c>
      <c r="I457" s="3" t="str">
        <f>IFERROR(__xludf.DUMMYFUNCTION("""COMPUTED_VALUE"""),"Standby On Call")</f>
        <v>Standby On Call</v>
      </c>
      <c r="J457" s="3"/>
      <c r="K457" s="27">
        <f>IFERROR(__xludf.DUMMYFUNCTION("""COMPUTED_VALUE"""),46024.0)</f>
        <v>46024</v>
      </c>
      <c r="L457" s="3"/>
      <c r="M457" s="3"/>
      <c r="N457" s="3"/>
      <c r="O457" s="3" t="str">
        <f>IFERROR(VLOOKUP(C457,Sheet4!A457:F1244,6,0),"")</f>
        <v/>
      </c>
      <c r="Q457" s="2" t="str">
        <f t="shared" si="1"/>
        <v>02</v>
      </c>
    </row>
    <row r="458">
      <c r="A458" s="3" t="str">
        <f>IFERROR(__xludf.DUMMYFUNCTION("""COMPUTED_VALUE"""),"Standby On Call")</f>
        <v>Standby On Call</v>
      </c>
      <c r="B458" s="3" t="str">
        <f>IFERROR(__xludf.DUMMYFUNCTION("""COMPUTED_VALUE"""),"P3")</f>
        <v>P3</v>
      </c>
      <c r="C458" s="3"/>
      <c r="D458" s="3" t="str">
        <f>IFERROR(__xludf.DUMMYFUNCTION("""COMPUTED_VALUE"""),"Harun Nurasyid")</f>
        <v>Harun Nurasyid</v>
      </c>
      <c r="E458" s="3" t="str">
        <f>IFERROR(__xludf.DUMMYFUNCTION("""COMPUTED_VALUE"""),"CME")</f>
        <v>CME</v>
      </c>
      <c r="F458" s="3" t="str">
        <f>IFERROR(__xludf.DUMMYFUNCTION("""COMPUTED_VALUE"""),"Winda Sokenda")</f>
        <v>Winda Sokenda</v>
      </c>
      <c r="G458" s="3" t="str">
        <f>IFERROR(__xludf.DUMMYFUNCTION("""COMPUTED_VALUE"""),"Barito Raya")</f>
        <v>Barito Raya</v>
      </c>
      <c r="H458" s="3" t="str">
        <f>IFERROR(__xludf.DUMMYFUNCTION("""COMPUTED_VALUE"""),"Standby")</f>
        <v>Standby</v>
      </c>
      <c r="I458" s="3" t="str">
        <f>IFERROR(__xludf.DUMMYFUNCTION("""COMPUTED_VALUE"""),"Standby On Call")</f>
        <v>Standby On Call</v>
      </c>
      <c r="J458" s="3"/>
      <c r="K458" s="27">
        <f>IFERROR(__xludf.DUMMYFUNCTION("""COMPUTED_VALUE"""),46024.0)</f>
        <v>46024</v>
      </c>
      <c r="L458" s="3"/>
      <c r="M458" s="3"/>
      <c r="N458" s="3"/>
      <c r="O458" s="3" t="str">
        <f>IFERROR(VLOOKUP(C458,Sheet4!A458:F1245,6,0),"")</f>
        <v/>
      </c>
      <c r="Q458" s="2" t="str">
        <f t="shared" si="1"/>
        <v>02</v>
      </c>
    </row>
    <row r="459">
      <c r="A459" s="3" t="str">
        <f>IFERROR(__xludf.DUMMYFUNCTION("""COMPUTED_VALUE"""),"Standby On Call")</f>
        <v>Standby On Call</v>
      </c>
      <c r="B459" s="3" t="str">
        <f>IFERROR(__xludf.DUMMYFUNCTION("""COMPUTED_VALUE"""),"P3")</f>
        <v>P3</v>
      </c>
      <c r="C459" s="3"/>
      <c r="D459" s="3" t="str">
        <f>IFERROR(__xludf.DUMMYFUNCTION("""COMPUTED_VALUE"""),"Taklim")</f>
        <v>Taklim</v>
      </c>
      <c r="E459" s="3" t="str">
        <f>IFERROR(__xludf.DUMMYFUNCTION("""COMPUTED_VALUE"""),"MBP")</f>
        <v>MBP</v>
      </c>
      <c r="F459" s="3" t="str">
        <f>IFERROR(__xludf.DUMMYFUNCTION("""COMPUTED_VALUE"""),"Winda Sokenda")</f>
        <v>Winda Sokenda</v>
      </c>
      <c r="G459" s="3" t="str">
        <f>IFERROR(__xludf.DUMMYFUNCTION("""COMPUTED_VALUE"""),"Barito Raya")</f>
        <v>Barito Raya</v>
      </c>
      <c r="H459" s="3" t="str">
        <f>IFERROR(__xludf.DUMMYFUNCTION("""COMPUTED_VALUE"""),"Standby")</f>
        <v>Standby</v>
      </c>
      <c r="I459" s="3" t="str">
        <f>IFERROR(__xludf.DUMMYFUNCTION("""COMPUTED_VALUE"""),"Standby On Call")</f>
        <v>Standby On Call</v>
      </c>
      <c r="J459" s="3"/>
      <c r="K459" s="27">
        <f>IFERROR(__xludf.DUMMYFUNCTION("""COMPUTED_VALUE"""),46024.0)</f>
        <v>46024</v>
      </c>
      <c r="L459" s="3"/>
      <c r="M459" s="3"/>
      <c r="N459" s="3"/>
      <c r="O459" s="3" t="str">
        <f>IFERROR(VLOOKUP(C459,Sheet4!A459:F1246,6,0),"")</f>
        <v/>
      </c>
      <c r="Q459" s="2" t="str">
        <f t="shared" si="1"/>
        <v>02</v>
      </c>
    </row>
    <row r="460">
      <c r="A460" s="3" t="str">
        <f>IFERROR(__xludf.DUMMYFUNCTION("""COMPUTED_VALUE"""),"Standby On Call")</f>
        <v>Standby On Call</v>
      </c>
      <c r="B460" s="3" t="str">
        <f>IFERROR(__xludf.DUMMYFUNCTION("""COMPUTED_VALUE"""),"P3")</f>
        <v>P3</v>
      </c>
      <c r="C460" s="3"/>
      <c r="D460" s="3" t="str">
        <f>IFERROR(__xludf.DUMMYFUNCTION("""COMPUTED_VALUE"""),"Rio ardinata")</f>
        <v>Rio ardinata</v>
      </c>
      <c r="E460" s="3" t="str">
        <f>IFERROR(__xludf.DUMMYFUNCTION("""COMPUTED_VALUE"""),"MBP")</f>
        <v>MBP</v>
      </c>
      <c r="F460" s="3" t="str">
        <f>IFERROR(__xludf.DUMMYFUNCTION("""COMPUTED_VALUE"""),"Winda Sokenda")</f>
        <v>Winda Sokenda</v>
      </c>
      <c r="G460" s="3" t="str">
        <f>IFERROR(__xludf.DUMMYFUNCTION("""COMPUTED_VALUE"""),"Barito Raya")</f>
        <v>Barito Raya</v>
      </c>
      <c r="H460" s="3" t="str">
        <f>IFERROR(__xludf.DUMMYFUNCTION("""COMPUTED_VALUE"""),"Standby")</f>
        <v>Standby</v>
      </c>
      <c r="I460" s="3" t="str">
        <f>IFERROR(__xludf.DUMMYFUNCTION("""COMPUTED_VALUE"""),"Standby On Call")</f>
        <v>Standby On Call</v>
      </c>
      <c r="J460" s="3"/>
      <c r="K460" s="27">
        <f>IFERROR(__xludf.DUMMYFUNCTION("""COMPUTED_VALUE"""),46024.0)</f>
        <v>46024</v>
      </c>
      <c r="L460" s="3"/>
      <c r="M460" s="3"/>
      <c r="N460" s="3"/>
      <c r="O460" s="3" t="str">
        <f>IFERROR(VLOOKUP(C460,Sheet4!A460:F1247,6,0),"")</f>
        <v/>
      </c>
      <c r="Q460" s="2" t="str">
        <f t="shared" si="1"/>
        <v>02</v>
      </c>
    </row>
    <row r="461">
      <c r="A461" s="3" t="str">
        <f>IFERROR(__xludf.DUMMYFUNCTION("""COMPUTED_VALUE"""),"Site Down")</f>
        <v>Site Down</v>
      </c>
      <c r="B461" s="3" t="str">
        <f>IFERROR(__xludf.DUMMYFUNCTION("""COMPUTED_VALUE"""),"P1")</f>
        <v>P1</v>
      </c>
      <c r="C461" s="3" t="str">
        <f>IFERROR(__xludf.DUMMYFUNCTION("""COMPUTED_VALUE"""),"MTW005")</f>
        <v>MTW005</v>
      </c>
      <c r="D461" s="3" t="str">
        <f>IFERROR(__xludf.DUMMYFUNCTION("""COMPUTED_VALUE"""),"Ahmad Muzakir")</f>
        <v>Ahmad Muzakir</v>
      </c>
      <c r="E461" s="3" t="str">
        <f>IFERROR(__xludf.DUMMYFUNCTION("""COMPUTED_VALUE"""),"MBP")</f>
        <v>MBP</v>
      </c>
      <c r="F461" s="3" t="str">
        <f>IFERROR(__xludf.DUMMYFUNCTION("""COMPUTED_VALUE"""),"Winda Sokenda")</f>
        <v>Winda Sokenda</v>
      </c>
      <c r="G461" s="3" t="str">
        <f>IFERROR(__xludf.DUMMYFUNCTION("""COMPUTED_VALUE"""),"Barito Raya")</f>
        <v>Barito Raya</v>
      </c>
      <c r="H461" s="3" t="str">
        <f>IFERROR(__xludf.DUMMYFUNCTION("""COMPUTED_VALUE"""),"Corrective")</f>
        <v>Corrective</v>
      </c>
      <c r="I461" s="3" t="str">
        <f>IFERROR(__xludf.DUMMYFUNCTION("""COMPUTED_VALUE"""),"Pemadaman,MCB Trip,Transmisi problem")</f>
        <v>Pemadaman,MCB Trip,Transmisi problem</v>
      </c>
      <c r="J461" s="3" t="str">
        <f>IFERROR(__xludf.DUMMYFUNCTION("""COMPUTED_VALUE"""),"On Progress")</f>
        <v>On Progress</v>
      </c>
      <c r="K461" s="27">
        <f>IFERROR(__xludf.DUMMYFUNCTION("""COMPUTED_VALUE"""),46024.0)</f>
        <v>46024</v>
      </c>
      <c r="L461" s="27">
        <f>IFERROR(__xludf.DUMMYFUNCTION("""COMPUTED_VALUE"""),46024.0)</f>
        <v>46024</v>
      </c>
      <c r="M461" s="3" t="str">
        <f>IFERROR(__xludf.DUMMYFUNCTION("""COMPUTED_VALUE"""),"Done")</f>
        <v>Done</v>
      </c>
      <c r="N461" s="3"/>
      <c r="O461" s="3">
        <f>IFERROR(VLOOKUP(C461,Sheet4!A461:F1248,6,0),"")</f>
        <v>11463015</v>
      </c>
      <c r="Q461" s="2" t="str">
        <f t="shared" si="1"/>
        <v>02</v>
      </c>
    </row>
    <row r="462">
      <c r="A462" s="3" t="str">
        <f>IFERROR(__xludf.DUMMYFUNCTION("""COMPUTED_VALUE"""),"Standby On Call")</f>
        <v>Standby On Call</v>
      </c>
      <c r="B462" s="3" t="str">
        <f>IFERROR(__xludf.DUMMYFUNCTION("""COMPUTED_VALUE"""),"P3")</f>
        <v>P3</v>
      </c>
      <c r="C462" s="3"/>
      <c r="D462" s="3" t="str">
        <f>IFERROR(__xludf.DUMMYFUNCTION("""COMPUTED_VALUE"""),"Alfi Syahri")</f>
        <v>Alfi Syahri</v>
      </c>
      <c r="E462" s="3" t="str">
        <f>IFERROR(__xludf.DUMMYFUNCTION("""COMPUTED_VALUE"""),"CME")</f>
        <v>CME</v>
      </c>
      <c r="F462" s="3" t="str">
        <f>IFERROR(__xludf.DUMMYFUNCTION("""COMPUTED_VALUE"""),"Winda Sokenda")</f>
        <v>Winda Sokenda</v>
      </c>
      <c r="G462" s="3" t="str">
        <f>IFERROR(__xludf.DUMMYFUNCTION("""COMPUTED_VALUE"""),"Barito Raya")</f>
        <v>Barito Raya</v>
      </c>
      <c r="H462" s="3" t="str">
        <f>IFERROR(__xludf.DUMMYFUNCTION("""COMPUTED_VALUE"""),"Standby")</f>
        <v>Standby</v>
      </c>
      <c r="I462" s="3" t="str">
        <f>IFERROR(__xludf.DUMMYFUNCTION("""COMPUTED_VALUE"""),"Standby On Call")</f>
        <v>Standby On Call</v>
      </c>
      <c r="J462" s="3"/>
      <c r="K462" s="27">
        <f>IFERROR(__xludf.DUMMYFUNCTION("""COMPUTED_VALUE"""),46024.0)</f>
        <v>46024</v>
      </c>
      <c r="L462" s="3"/>
      <c r="M462" s="3"/>
      <c r="N462" s="3"/>
      <c r="O462" s="3" t="str">
        <f>IFERROR(VLOOKUP(C462,Sheet4!A462:F1249,6,0),"")</f>
        <v/>
      </c>
      <c r="Q462" s="2" t="str">
        <f t="shared" si="1"/>
        <v>02</v>
      </c>
    </row>
    <row r="463">
      <c r="A463" s="3" t="str">
        <f>IFERROR(__xludf.DUMMYFUNCTION("""COMPUTED_VALUE"""),"Pengawalan Team telkom")</f>
        <v>Pengawalan Team telkom</v>
      </c>
      <c r="B463" s="3" t="str">
        <f>IFERROR(__xludf.DUMMYFUNCTION("""COMPUTED_VALUE"""),"P2")</f>
        <v>P2</v>
      </c>
      <c r="C463" s="3" t="str">
        <f>IFERROR(__xludf.DUMMYFUNCTION("""COMPUTED_VALUE"""),"KKP093")</f>
        <v>KKP093</v>
      </c>
      <c r="D463" s="3" t="str">
        <f>IFERROR(__xludf.DUMMYFUNCTION("""COMPUTED_VALUE"""),"Pujianto")</f>
        <v>Pujianto</v>
      </c>
      <c r="E463" s="3" t="str">
        <f>IFERROR(__xludf.DUMMYFUNCTION("""COMPUTED_VALUE"""),"MBP")</f>
        <v>MBP</v>
      </c>
      <c r="F463" s="3" t="str">
        <f>IFERROR(__xludf.DUMMYFUNCTION("""COMPUTED_VALUE"""),"Winda Sokenda")</f>
        <v>Winda Sokenda</v>
      </c>
      <c r="G463" s="3" t="str">
        <f>IFERROR(__xludf.DUMMYFUNCTION("""COMPUTED_VALUE"""),"Barito Raya")</f>
        <v>Barito Raya</v>
      </c>
      <c r="H463" s="3" t="str">
        <f>IFERROR(__xludf.DUMMYFUNCTION("""COMPUTED_VALUE"""),"Preventive")</f>
        <v>Preventive</v>
      </c>
      <c r="I463" s="3" t="str">
        <f>IFERROR(__xludf.DUMMYFUNCTION("""COMPUTED_VALUE"""),"Akses/Hub Site problem metro")</f>
        <v>Akses/Hub Site problem metro</v>
      </c>
      <c r="J463" s="3" t="str">
        <f>IFERROR(__xludf.DUMMYFUNCTION("""COMPUTED_VALUE"""),"On Progress")</f>
        <v>On Progress</v>
      </c>
      <c r="K463" s="27">
        <f>IFERROR(__xludf.DUMMYFUNCTION("""COMPUTED_VALUE"""),46024.0)</f>
        <v>46024</v>
      </c>
      <c r="L463" s="27">
        <f>IFERROR(__xludf.DUMMYFUNCTION("""COMPUTED_VALUE"""),46024.0)</f>
        <v>46024</v>
      </c>
      <c r="M463" s="3" t="str">
        <f>IFERROR(__xludf.DUMMYFUNCTION("""COMPUTED_VALUE"""),"Waiting Update")</f>
        <v>Waiting Update</v>
      </c>
      <c r="N463" s="3"/>
      <c r="O463" s="3" t="str">
        <f>IFERROR(VLOOKUP(C463,Sheet4!A463:F1250,6,0),"")</f>
        <v/>
      </c>
      <c r="Q463" s="2" t="str">
        <f t="shared" si="1"/>
        <v>02</v>
      </c>
    </row>
    <row r="464">
      <c r="A464" s="3" t="str">
        <f>IFERROR(__xludf.DUMMYFUNCTION("""COMPUTED_VALUE"""),"PM")</f>
        <v>PM</v>
      </c>
      <c r="B464" s="3" t="str">
        <f>IFERROR(__xludf.DUMMYFUNCTION("""COMPUTED_VALUE"""),"P2")</f>
        <v>P2</v>
      </c>
      <c r="C464" s="3"/>
      <c r="D464" s="3" t="str">
        <f>IFERROR(__xludf.DUMMYFUNCTION("""COMPUTED_VALUE"""),"Trisno Susanto")</f>
        <v>Trisno Susanto</v>
      </c>
      <c r="E464" s="3" t="str">
        <f>IFERROR(__xludf.DUMMYFUNCTION("""COMPUTED_VALUE"""),"PM")</f>
        <v>PM</v>
      </c>
      <c r="F464" s="3" t="str">
        <f>IFERROR(__xludf.DUMMYFUNCTION("""COMPUTED_VALUE"""),"Winda Sokenda")</f>
        <v>Winda Sokenda</v>
      </c>
      <c r="G464" s="3" t="str">
        <f>IFERROR(__xludf.DUMMYFUNCTION("""COMPUTED_VALUE"""),"Barito Raya")</f>
        <v>Barito Raya</v>
      </c>
      <c r="H464" s="3" t="str">
        <f>IFERROR(__xludf.DUMMYFUNCTION("""COMPUTED_VALUE"""),"Preventive")</f>
        <v>Preventive</v>
      </c>
      <c r="I464" s="3" t="str">
        <f>IFERROR(__xludf.DUMMYFUNCTION("""COMPUTED_VALUE"""),"Preventive Maintenance")</f>
        <v>Preventive Maintenance</v>
      </c>
      <c r="J464" s="3" t="str">
        <f>IFERROR(__xludf.DUMMYFUNCTION("""COMPUTED_VALUE"""),"Waiting Material")</f>
        <v>Waiting Material</v>
      </c>
      <c r="K464" s="27">
        <f>IFERROR(__xludf.DUMMYFUNCTION("""COMPUTED_VALUE"""),46024.0)</f>
        <v>46024</v>
      </c>
      <c r="L464" s="3"/>
      <c r="M464" s="3"/>
      <c r="N464" s="3"/>
      <c r="O464" s="3" t="str">
        <f>IFERROR(VLOOKUP(C464,Sheet4!A464:F1251,6,0),"")</f>
        <v/>
      </c>
      <c r="Q464" s="2" t="str">
        <f t="shared" si="1"/>
        <v>02</v>
      </c>
    </row>
    <row r="465">
      <c r="A465" s="3" t="str">
        <f>IFERROR(__xludf.DUMMYFUNCTION("""COMPUTED_VALUE"""),"PM")</f>
        <v>PM</v>
      </c>
      <c r="B465" s="3" t="str">
        <f>IFERROR(__xludf.DUMMYFUNCTION("""COMPUTED_VALUE"""),"P2")</f>
        <v>P2</v>
      </c>
      <c r="C465" s="3"/>
      <c r="D465" s="3" t="str">
        <f>IFERROR(__xludf.DUMMYFUNCTION("""COMPUTED_VALUE"""),"Khilal dawai katiri")</f>
        <v>Khilal dawai katiri</v>
      </c>
      <c r="E465" s="3" t="str">
        <f>IFERROR(__xludf.DUMMYFUNCTION("""COMPUTED_VALUE"""),"MBP")</f>
        <v>MBP</v>
      </c>
      <c r="F465" s="3" t="str">
        <f>IFERROR(__xludf.DUMMYFUNCTION("""COMPUTED_VALUE"""),"Winda Sokenda")</f>
        <v>Winda Sokenda</v>
      </c>
      <c r="G465" s="3" t="str">
        <f>IFERROR(__xludf.DUMMYFUNCTION("""COMPUTED_VALUE"""),"Barito Raya")</f>
        <v>Barito Raya</v>
      </c>
      <c r="H465" s="3" t="str">
        <f>IFERROR(__xludf.DUMMYFUNCTION("""COMPUTED_VALUE"""),"Preventive")</f>
        <v>Preventive</v>
      </c>
      <c r="I465" s="3" t="str">
        <f>IFERROR(__xludf.DUMMYFUNCTION("""COMPUTED_VALUE"""),"Preventive Maintenance")</f>
        <v>Preventive Maintenance</v>
      </c>
      <c r="J465" s="3" t="str">
        <f>IFERROR(__xludf.DUMMYFUNCTION("""COMPUTED_VALUE"""),"Waiting Material")</f>
        <v>Waiting Material</v>
      </c>
      <c r="K465" s="27">
        <f>IFERROR(__xludf.DUMMYFUNCTION("""COMPUTED_VALUE"""),46024.0)</f>
        <v>46024</v>
      </c>
      <c r="L465" s="3"/>
      <c r="M465" s="3"/>
      <c r="N465" s="3"/>
      <c r="O465" s="3" t="str">
        <f>IFERROR(VLOOKUP(C465,Sheet4!A465:F1252,6,0),"")</f>
        <v/>
      </c>
      <c r="Q465" s="2" t="str">
        <f t="shared" si="1"/>
        <v>02</v>
      </c>
    </row>
    <row r="466">
      <c r="A466" s="3" t="str">
        <f>IFERROR(__xludf.DUMMYFUNCTION("""COMPUTED_VALUE"""),"PM")</f>
        <v>PM</v>
      </c>
      <c r="B466" s="3" t="str">
        <f>IFERROR(__xludf.DUMMYFUNCTION("""COMPUTED_VALUE"""),"P2")</f>
        <v>P2</v>
      </c>
      <c r="C466" s="3"/>
      <c r="D466" s="3" t="str">
        <f>IFERROR(__xludf.DUMMYFUNCTION("""COMPUTED_VALUE"""),"Riko setiadi")</f>
        <v>Riko setiadi</v>
      </c>
      <c r="E466" s="3" t="str">
        <f>IFERROR(__xludf.DUMMYFUNCTION("""COMPUTED_VALUE"""),"PM")</f>
        <v>PM</v>
      </c>
      <c r="F466" s="3" t="str">
        <f>IFERROR(__xludf.DUMMYFUNCTION("""COMPUTED_VALUE"""),"Winda Sokenda")</f>
        <v>Winda Sokenda</v>
      </c>
      <c r="G466" s="3" t="str">
        <f>IFERROR(__xludf.DUMMYFUNCTION("""COMPUTED_VALUE"""),"Barito Raya")</f>
        <v>Barito Raya</v>
      </c>
      <c r="H466" s="3" t="str">
        <f>IFERROR(__xludf.DUMMYFUNCTION("""COMPUTED_VALUE"""),"Preventive")</f>
        <v>Preventive</v>
      </c>
      <c r="I466" s="3" t="str">
        <f>IFERROR(__xludf.DUMMYFUNCTION("""COMPUTED_VALUE"""),"Preventive Maintenance")</f>
        <v>Preventive Maintenance</v>
      </c>
      <c r="J466" s="3" t="str">
        <f>IFERROR(__xludf.DUMMYFUNCTION("""COMPUTED_VALUE"""),"Waiting Material")</f>
        <v>Waiting Material</v>
      </c>
      <c r="K466" s="27">
        <f>IFERROR(__xludf.DUMMYFUNCTION("""COMPUTED_VALUE"""),46024.0)</f>
        <v>46024</v>
      </c>
      <c r="L466" s="3"/>
      <c r="M466" s="3"/>
      <c r="N466" s="3"/>
      <c r="O466" s="3" t="str">
        <f>IFERROR(VLOOKUP(C466,Sheet4!A466:F1253,6,0),"")</f>
        <v/>
      </c>
      <c r="Q466" s="2" t="str">
        <f t="shared" si="1"/>
        <v>02</v>
      </c>
    </row>
    <row r="467">
      <c r="A467" s="3" t="str">
        <f>IFERROR(__xludf.DUMMYFUNCTION("""COMPUTED_VALUE"""),"Site Down")</f>
        <v>Site Down</v>
      </c>
      <c r="B467" s="3" t="str">
        <f>IFERROR(__xludf.DUMMYFUNCTION("""COMPUTED_VALUE"""),"P1")</f>
        <v>P1</v>
      </c>
      <c r="C467" s="3" t="str">
        <f>IFERROR(__xludf.DUMMYFUNCTION("""COMPUTED_VALUE"""),"KSN722")</f>
        <v>KSN722</v>
      </c>
      <c r="D467" s="3" t="str">
        <f>IFERROR(__xludf.DUMMYFUNCTION("""COMPUTED_VALUE"""),"Ahmad Setiawan")</f>
        <v>Ahmad Setiawan</v>
      </c>
      <c r="E467" s="3" t="str">
        <f>IFERROR(__xludf.DUMMYFUNCTION("""COMPUTED_VALUE"""),"TE")</f>
        <v>TE</v>
      </c>
      <c r="F467" s="3" t="str">
        <f>IFERROR(__xludf.DUMMYFUNCTION("""COMPUTED_VALUE"""),"Doni Damara")</f>
        <v>Doni Damara</v>
      </c>
      <c r="G467" s="3" t="str">
        <f>IFERROR(__xludf.DUMMYFUNCTION("""COMPUTED_VALUE"""),"Palangkaraya")</f>
        <v>Palangkaraya</v>
      </c>
      <c r="H467" s="3" t="str">
        <f>IFERROR(__xludf.DUMMYFUNCTION("""COMPUTED_VALUE"""),"Corrective")</f>
        <v>Corrective</v>
      </c>
      <c r="I467" s="3" t="str">
        <f>IFERROR(__xludf.DUMMYFUNCTION("""COMPUTED_VALUE"""),"Pemadaman,MCB Trip,Transmisi problem")</f>
        <v>Pemadaman,MCB Trip,Transmisi problem</v>
      </c>
      <c r="J467" s="3" t="str">
        <f>IFERROR(__xludf.DUMMYFUNCTION("""COMPUTED_VALUE"""),"On Progress")</f>
        <v>On Progress</v>
      </c>
      <c r="K467" s="27">
        <f>IFERROR(__xludf.DUMMYFUNCTION("""COMPUTED_VALUE"""),46024.0)</f>
        <v>46024</v>
      </c>
      <c r="L467" s="27">
        <f>IFERROR(__xludf.DUMMYFUNCTION("""COMPUTED_VALUE"""),46024.0)</f>
        <v>46024</v>
      </c>
      <c r="M467" s="3" t="str">
        <f>IFERROR(__xludf.DUMMYFUNCTION("""COMPUTED_VALUE"""),"Done")</f>
        <v>Done</v>
      </c>
      <c r="N467" s="3"/>
      <c r="O467" s="3">
        <f>IFERROR(VLOOKUP(C467,Sheet4!A467:F1254,6,0),"")</f>
        <v>11360951</v>
      </c>
      <c r="Q467" s="2" t="str">
        <f t="shared" si="1"/>
        <v>02</v>
      </c>
    </row>
    <row r="468">
      <c r="A468" s="3" t="str">
        <f>IFERROR(__xludf.DUMMYFUNCTION("""COMPUTED_VALUE"""),"Site Down")</f>
        <v>Site Down</v>
      </c>
      <c r="B468" s="3" t="str">
        <f>IFERROR(__xludf.DUMMYFUNCTION("""COMPUTED_VALUE"""),"P1")</f>
        <v>P1</v>
      </c>
      <c r="C468" s="3" t="str">
        <f>IFERROR(__xludf.DUMMYFUNCTION("""COMPUTED_VALUE"""),"KSN722")</f>
        <v>KSN722</v>
      </c>
      <c r="D468" s="3" t="str">
        <f>IFERROR(__xludf.DUMMYFUNCTION("""COMPUTED_VALUE"""),"Ahmad")</f>
        <v>Ahmad</v>
      </c>
      <c r="E468" s="3" t="str">
        <f>IFERROR(__xludf.DUMMYFUNCTION("""COMPUTED_VALUE"""),"TE")</f>
        <v>TE</v>
      </c>
      <c r="F468" s="3" t="str">
        <f>IFERROR(__xludf.DUMMYFUNCTION("""COMPUTED_VALUE"""),"Doni Damara")</f>
        <v>Doni Damara</v>
      </c>
      <c r="G468" s="3" t="str">
        <f>IFERROR(__xludf.DUMMYFUNCTION("""COMPUTED_VALUE"""),"Palangkaraya")</f>
        <v>Palangkaraya</v>
      </c>
      <c r="H468" s="3" t="str">
        <f>IFERROR(__xludf.DUMMYFUNCTION("""COMPUTED_VALUE"""),"Corrective")</f>
        <v>Corrective</v>
      </c>
      <c r="I468" s="3" t="str">
        <f>IFERROR(__xludf.DUMMYFUNCTION("""COMPUTED_VALUE"""),"Pemadaman,MCB Trip,Transmisi problem")</f>
        <v>Pemadaman,MCB Trip,Transmisi problem</v>
      </c>
      <c r="J468" s="3" t="str">
        <f>IFERROR(__xludf.DUMMYFUNCTION("""COMPUTED_VALUE"""),"On Progress")</f>
        <v>On Progress</v>
      </c>
      <c r="K468" s="27">
        <f>IFERROR(__xludf.DUMMYFUNCTION("""COMPUTED_VALUE"""),46024.0)</f>
        <v>46024</v>
      </c>
      <c r="L468" s="27">
        <f>IFERROR(__xludf.DUMMYFUNCTION("""COMPUTED_VALUE"""),46024.0)</f>
        <v>46024</v>
      </c>
      <c r="M468" s="3" t="str">
        <f>IFERROR(__xludf.DUMMYFUNCTION("""COMPUTED_VALUE"""),"Done")</f>
        <v>Done</v>
      </c>
      <c r="N468" s="3"/>
      <c r="O468" s="3">
        <f>IFERROR(VLOOKUP(C468,Sheet4!A468:F1255,6,0),"")</f>
        <v>11360951</v>
      </c>
      <c r="Q468" s="2" t="str">
        <f t="shared" si="1"/>
        <v>02</v>
      </c>
    </row>
    <row r="469">
      <c r="A469" s="3" t="str">
        <f>IFERROR(__xludf.DUMMYFUNCTION("""COMPUTED_VALUE"""),"Cell down")</f>
        <v>Cell down</v>
      </c>
      <c r="B469" s="3" t="str">
        <f>IFERROR(__xludf.DUMMYFUNCTION("""COMPUTED_VALUE"""),"P1")</f>
        <v>P1</v>
      </c>
      <c r="C469" s="3" t="str">
        <f>IFERROR(__xludf.DUMMYFUNCTION("""COMPUTED_VALUE"""),"PLK240")</f>
        <v>PLK240</v>
      </c>
      <c r="D469" s="3" t="str">
        <f>IFERROR(__xludf.DUMMYFUNCTION("""COMPUTED_VALUE"""),"james jimbris")</f>
        <v>james jimbris</v>
      </c>
      <c r="E469" s="3" t="str">
        <f>IFERROR(__xludf.DUMMYFUNCTION("""COMPUTED_VALUE"""),"TE")</f>
        <v>TE</v>
      </c>
      <c r="F469" s="3" t="str">
        <f>IFERROR(__xludf.DUMMYFUNCTION("""COMPUTED_VALUE"""),"Doni Damara")</f>
        <v>Doni Damara</v>
      </c>
      <c r="G469" s="3" t="str">
        <f>IFERROR(__xludf.DUMMYFUNCTION("""COMPUTED_VALUE"""),"Palangkaraya")</f>
        <v>Palangkaraya</v>
      </c>
      <c r="H469" s="3" t="str">
        <f>IFERROR(__xludf.DUMMYFUNCTION("""COMPUTED_VALUE"""),"Corrective")</f>
        <v>Corrective</v>
      </c>
      <c r="I469" s="3" t="str">
        <f>IFERROR(__xludf.DUMMYFUNCTION("""COMPUTED_VALUE"""),"Replace Optik,RRU/Soket Power/Replace GPS")</f>
        <v>Replace Optik,RRU/Soket Power/Replace GPS</v>
      </c>
      <c r="J469" s="3" t="str">
        <f>IFERROR(__xludf.DUMMYFUNCTION("""COMPUTED_VALUE"""),"On Progress")</f>
        <v>On Progress</v>
      </c>
      <c r="K469" s="27">
        <f>IFERROR(__xludf.DUMMYFUNCTION("""COMPUTED_VALUE"""),46024.0)</f>
        <v>46024</v>
      </c>
      <c r="L469" s="3"/>
      <c r="M469" s="3" t="str">
        <f>IFERROR(__xludf.DUMMYFUNCTION("""COMPUTED_VALUE"""),"Pending")</f>
        <v>Pending</v>
      </c>
      <c r="N469" s="3"/>
      <c r="O469" s="3">
        <f>IFERROR(VLOOKUP(C469,Sheet4!A469:F1256,6,0),"")</f>
        <v>11390138</v>
      </c>
      <c r="Q469" s="2" t="str">
        <f t="shared" si="1"/>
        <v>02</v>
      </c>
    </row>
    <row r="470">
      <c r="A470" s="3" t="str">
        <f>IFERROR(__xludf.DUMMYFUNCTION("""COMPUTED_VALUE"""),"On Leave")</f>
        <v>On Leave</v>
      </c>
      <c r="B470" s="3" t="str">
        <f>IFERROR(__xludf.DUMMYFUNCTION("""COMPUTED_VALUE"""),"P3")</f>
        <v>P3</v>
      </c>
      <c r="C470" s="3"/>
      <c r="D470" s="3" t="str">
        <f>IFERROR(__xludf.DUMMYFUNCTION("""COMPUTED_VALUE"""),"Fahmi")</f>
        <v>Fahmi</v>
      </c>
      <c r="E470" s="3" t="str">
        <f>IFERROR(__xludf.DUMMYFUNCTION("""COMPUTED_VALUE"""),"TE")</f>
        <v>TE</v>
      </c>
      <c r="F470" s="3" t="str">
        <f>IFERROR(__xludf.DUMMYFUNCTION("""COMPUTED_VALUE"""),"Doni Damara")</f>
        <v>Doni Damara</v>
      </c>
      <c r="G470" s="3" t="str">
        <f>IFERROR(__xludf.DUMMYFUNCTION("""COMPUTED_VALUE"""),"Palangkaraya")</f>
        <v>Palangkaraya</v>
      </c>
      <c r="H470" s="3" t="str">
        <f>IFERROR(__xludf.DUMMYFUNCTION("""COMPUTED_VALUE"""),"On Leave")</f>
        <v>On Leave</v>
      </c>
      <c r="I470" s="3" t="str">
        <f>IFERROR(__xludf.DUMMYFUNCTION("""COMPUTED_VALUE"""),"On Leave")</f>
        <v>On Leave</v>
      </c>
      <c r="J470" s="3" t="str">
        <f>IFERROR(__xludf.DUMMYFUNCTION("""COMPUTED_VALUE"""),"Standby")</f>
        <v>Standby</v>
      </c>
      <c r="K470" s="27">
        <f>IFERROR(__xludf.DUMMYFUNCTION("""COMPUTED_VALUE"""),46024.0)</f>
        <v>46024</v>
      </c>
      <c r="L470" s="3"/>
      <c r="M470" s="3" t="str">
        <f>IFERROR(__xludf.DUMMYFUNCTION("""COMPUTED_VALUE"""),"Waiting Update")</f>
        <v>Waiting Update</v>
      </c>
      <c r="N470" s="3"/>
      <c r="O470" s="3" t="str">
        <f>IFERROR(VLOOKUP(C470,Sheet4!A470:F1257,6,0),"")</f>
        <v/>
      </c>
      <c r="Q470" s="2" t="str">
        <f t="shared" si="1"/>
        <v>02</v>
      </c>
    </row>
    <row r="471">
      <c r="A471" s="3" t="str">
        <f>IFERROR(__xludf.DUMMYFUNCTION("""COMPUTED_VALUE"""),"Site Down")</f>
        <v>Site Down</v>
      </c>
      <c r="B471" s="3" t="str">
        <f>IFERROR(__xludf.DUMMYFUNCTION("""COMPUTED_VALUE"""),"P1")</f>
        <v>P1</v>
      </c>
      <c r="C471" s="3" t="str">
        <f>IFERROR(__xludf.DUMMYFUNCTION("""COMPUTED_VALUE"""),"KSN722")</f>
        <v>KSN722</v>
      </c>
      <c r="D471" s="3" t="str">
        <f>IFERROR(__xludf.DUMMYFUNCTION("""COMPUTED_VALUE"""),"Jumadi")</f>
        <v>Jumadi</v>
      </c>
      <c r="E471" s="3" t="str">
        <f>IFERROR(__xludf.DUMMYFUNCTION("""COMPUTED_VALUE"""),"TE")</f>
        <v>TE</v>
      </c>
      <c r="F471" s="3" t="str">
        <f>IFERROR(__xludf.DUMMYFUNCTION("""COMPUTED_VALUE"""),"Doni Damara")</f>
        <v>Doni Damara</v>
      </c>
      <c r="G471" s="3" t="str">
        <f>IFERROR(__xludf.DUMMYFUNCTION("""COMPUTED_VALUE"""),"Palangkaraya")</f>
        <v>Palangkaraya</v>
      </c>
      <c r="H471" s="3" t="str">
        <f>IFERROR(__xludf.DUMMYFUNCTION("""COMPUTED_VALUE"""),"Corrective")</f>
        <v>Corrective</v>
      </c>
      <c r="I471" s="3" t="str">
        <f>IFERROR(__xludf.DUMMYFUNCTION("""COMPUTED_VALUE"""),"Pemadaman,MCB Trip,Transmisi problem")</f>
        <v>Pemadaman,MCB Trip,Transmisi problem</v>
      </c>
      <c r="J471" s="3" t="str">
        <f>IFERROR(__xludf.DUMMYFUNCTION("""COMPUTED_VALUE"""),"On Progress")</f>
        <v>On Progress</v>
      </c>
      <c r="K471" s="27">
        <f>IFERROR(__xludf.DUMMYFUNCTION("""COMPUTED_VALUE"""),46024.0)</f>
        <v>46024</v>
      </c>
      <c r="L471" s="27">
        <f>IFERROR(__xludf.DUMMYFUNCTION("""COMPUTED_VALUE"""),46024.0)</f>
        <v>46024</v>
      </c>
      <c r="M471" s="3" t="str">
        <f>IFERROR(__xludf.DUMMYFUNCTION("""COMPUTED_VALUE"""),"Done")</f>
        <v>Done</v>
      </c>
      <c r="N471" s="3"/>
      <c r="O471" s="3">
        <f>IFERROR(VLOOKUP(C471,Sheet4!A471:F1258,6,0),"")</f>
        <v>11360951</v>
      </c>
      <c r="Q471" s="2" t="str">
        <f t="shared" si="1"/>
        <v>02</v>
      </c>
    </row>
    <row r="472">
      <c r="A472" s="3" t="str">
        <f>IFERROR(__xludf.DUMMYFUNCTION("""COMPUTED_VALUE"""),"Sick")</f>
        <v>Sick</v>
      </c>
      <c r="B472" s="3" t="str">
        <f>IFERROR(__xludf.DUMMYFUNCTION("""COMPUTED_VALUE"""),"P3")</f>
        <v>P3</v>
      </c>
      <c r="C472" s="3"/>
      <c r="D472" s="3" t="str">
        <f>IFERROR(__xludf.DUMMYFUNCTION("""COMPUTED_VALUE"""),"Adi Bowo Santoso")</f>
        <v>Adi Bowo Santoso</v>
      </c>
      <c r="E472" s="3" t="str">
        <f>IFERROR(__xludf.DUMMYFUNCTION("""COMPUTED_VALUE"""),"TE")</f>
        <v>TE</v>
      </c>
      <c r="F472" s="3" t="str">
        <f>IFERROR(__xludf.DUMMYFUNCTION("""COMPUTED_VALUE"""),"Doni Damara")</f>
        <v>Doni Damara</v>
      </c>
      <c r="G472" s="3" t="str">
        <f>IFERROR(__xludf.DUMMYFUNCTION("""COMPUTED_VALUE"""),"Palangkaraya")</f>
        <v>Palangkaraya</v>
      </c>
      <c r="H472" s="3" t="str">
        <f>IFERROR(__xludf.DUMMYFUNCTION("""COMPUTED_VALUE"""),"Sick")</f>
        <v>Sick</v>
      </c>
      <c r="I472" s="3" t="str">
        <f>IFERROR(__xludf.DUMMYFUNCTION("""COMPUTED_VALUE"""),"Sick")</f>
        <v>Sick</v>
      </c>
      <c r="J472" s="3" t="str">
        <f>IFERROR(__xludf.DUMMYFUNCTION("""COMPUTED_VALUE"""),"Standby")</f>
        <v>Standby</v>
      </c>
      <c r="K472" s="27">
        <f>IFERROR(__xludf.DUMMYFUNCTION("""COMPUTED_VALUE"""),46024.0)</f>
        <v>46024</v>
      </c>
      <c r="L472" s="3"/>
      <c r="M472" s="3" t="str">
        <f>IFERROR(__xludf.DUMMYFUNCTION("""COMPUTED_VALUE"""),"Waiting Update")</f>
        <v>Waiting Update</v>
      </c>
      <c r="N472" s="3"/>
      <c r="O472" s="3" t="str">
        <f>IFERROR(VLOOKUP(C472,Sheet4!A472:F1259,6,0),"")</f>
        <v/>
      </c>
      <c r="Q472" s="2" t="str">
        <f t="shared" si="1"/>
        <v>02</v>
      </c>
    </row>
    <row r="473">
      <c r="A473" s="3" t="str">
        <f>IFERROR(__xludf.DUMMYFUNCTION("""COMPUTED_VALUE"""),"Standby On Call")</f>
        <v>Standby On Call</v>
      </c>
      <c r="B473" s="3" t="str">
        <f>IFERROR(__xludf.DUMMYFUNCTION("""COMPUTED_VALUE"""),"P3")</f>
        <v>P3</v>
      </c>
      <c r="C473" s="3"/>
      <c r="D473" s="3" t="str">
        <f>IFERROR(__xludf.DUMMYFUNCTION("""COMPUTED_VALUE"""),"Oky Bangkit Pamungkas")</f>
        <v>Oky Bangkit Pamungkas</v>
      </c>
      <c r="E473" s="3" t="str">
        <f>IFERROR(__xludf.DUMMYFUNCTION("""COMPUTED_VALUE"""),"TE")</f>
        <v>TE</v>
      </c>
      <c r="F473" s="3" t="str">
        <f>IFERROR(__xludf.DUMMYFUNCTION("""COMPUTED_VALUE"""),"Doni Damara")</f>
        <v>Doni Damara</v>
      </c>
      <c r="G473" s="3" t="str">
        <f>IFERROR(__xludf.DUMMYFUNCTION("""COMPUTED_VALUE"""),"Palangkaraya")</f>
        <v>Palangkaraya</v>
      </c>
      <c r="H473" s="3" t="str">
        <f>IFERROR(__xludf.DUMMYFUNCTION("""COMPUTED_VALUE"""),"Standby")</f>
        <v>Standby</v>
      </c>
      <c r="I473" s="3" t="str">
        <f>IFERROR(__xludf.DUMMYFUNCTION("""COMPUTED_VALUE"""),"Standby On Call")</f>
        <v>Standby On Call</v>
      </c>
      <c r="J473" s="3" t="str">
        <f>IFERROR(__xludf.DUMMYFUNCTION("""COMPUTED_VALUE"""),"Standby")</f>
        <v>Standby</v>
      </c>
      <c r="K473" s="27">
        <f>IFERROR(__xludf.DUMMYFUNCTION("""COMPUTED_VALUE"""),46024.0)</f>
        <v>46024</v>
      </c>
      <c r="L473" s="3"/>
      <c r="M473" s="3" t="str">
        <f>IFERROR(__xludf.DUMMYFUNCTION("""COMPUTED_VALUE"""),"Waiting Update")</f>
        <v>Waiting Update</v>
      </c>
      <c r="N473" s="3"/>
      <c r="O473" s="3" t="str">
        <f>IFERROR(VLOOKUP(C473,Sheet4!A473:F1260,6,0),"")</f>
        <v/>
      </c>
      <c r="Q473" s="2" t="str">
        <f t="shared" si="1"/>
        <v>02</v>
      </c>
    </row>
    <row r="474">
      <c r="A474" s="3" t="str">
        <f>IFERROR(__xludf.DUMMYFUNCTION("""COMPUTED_VALUE"""),"Cell down")</f>
        <v>Cell down</v>
      </c>
      <c r="B474" s="3" t="str">
        <f>IFERROR(__xludf.DUMMYFUNCTION("""COMPUTED_VALUE"""),"P1")</f>
        <v>P1</v>
      </c>
      <c r="C474" s="3" t="str">
        <f>IFERROR(__xludf.DUMMYFUNCTION("""COMPUTED_VALUE"""),"KSN021")</f>
        <v>KSN021</v>
      </c>
      <c r="D474" s="3" t="str">
        <f>IFERROR(__xludf.DUMMYFUNCTION("""COMPUTED_VALUE"""),"Muhammad Mukhlis")</f>
        <v>Muhammad Mukhlis</v>
      </c>
      <c r="E474" s="3" t="str">
        <f>IFERROR(__xludf.DUMMYFUNCTION("""COMPUTED_VALUE"""),"TE")</f>
        <v>TE</v>
      </c>
      <c r="F474" s="3" t="str">
        <f>IFERROR(__xludf.DUMMYFUNCTION("""COMPUTED_VALUE"""),"Doni Damara")</f>
        <v>Doni Damara</v>
      </c>
      <c r="G474" s="3" t="str">
        <f>IFERROR(__xludf.DUMMYFUNCTION("""COMPUTED_VALUE"""),"Palangkaraya")</f>
        <v>Palangkaraya</v>
      </c>
      <c r="H474" s="3" t="str">
        <f>IFERROR(__xludf.DUMMYFUNCTION("""COMPUTED_VALUE"""),"Corrective")</f>
        <v>Corrective</v>
      </c>
      <c r="I474" s="3" t="str">
        <f>IFERROR(__xludf.DUMMYFUNCTION("""COMPUTED_VALUE"""),"Replace Optik,RRU/Soket Power/Replace GPS")</f>
        <v>Replace Optik,RRU/Soket Power/Replace GPS</v>
      </c>
      <c r="J474" s="3" t="str">
        <f>IFERROR(__xludf.DUMMYFUNCTION("""COMPUTED_VALUE"""),"On Progress")</f>
        <v>On Progress</v>
      </c>
      <c r="K474" s="27">
        <f>IFERROR(__xludf.DUMMYFUNCTION("""COMPUTED_VALUE"""),46024.0)</f>
        <v>46024</v>
      </c>
      <c r="L474" s="3"/>
      <c r="M474" s="3" t="str">
        <f>IFERROR(__xludf.DUMMYFUNCTION("""COMPUTED_VALUE"""),"Pending")</f>
        <v>Pending</v>
      </c>
      <c r="N474" s="3"/>
      <c r="O474" s="3" t="str">
        <f>IFERROR(VLOOKUP(C474,Sheet4!A474:F1261,6,0),"")</f>
        <v/>
      </c>
      <c r="Q474" s="2" t="str">
        <f t="shared" si="1"/>
        <v>02</v>
      </c>
    </row>
    <row r="475">
      <c r="A475" s="3" t="str">
        <f>IFERROR(__xludf.DUMMYFUNCTION("""COMPUTED_VALUE"""),"Cell down")</f>
        <v>Cell down</v>
      </c>
      <c r="B475" s="3" t="str">
        <f>IFERROR(__xludf.DUMMYFUNCTION("""COMPUTED_VALUE"""),"P1")</f>
        <v>P1</v>
      </c>
      <c r="C475" s="3" t="str">
        <f>IFERROR(__xludf.DUMMYFUNCTION("""COMPUTED_VALUE"""),"KSN036")</f>
        <v>KSN036</v>
      </c>
      <c r="D475" s="3" t="str">
        <f>IFERROR(__xludf.DUMMYFUNCTION("""COMPUTED_VALUE"""),"Muhammad Mukti")</f>
        <v>Muhammad Mukti</v>
      </c>
      <c r="E475" s="3" t="str">
        <f>IFERROR(__xludf.DUMMYFUNCTION("""COMPUTED_VALUE"""),"TE")</f>
        <v>TE</v>
      </c>
      <c r="F475" s="3" t="str">
        <f>IFERROR(__xludf.DUMMYFUNCTION("""COMPUTED_VALUE"""),"Doni Damara")</f>
        <v>Doni Damara</v>
      </c>
      <c r="G475" s="3" t="str">
        <f>IFERROR(__xludf.DUMMYFUNCTION("""COMPUTED_VALUE"""),"Palangkaraya")</f>
        <v>Palangkaraya</v>
      </c>
      <c r="H475" s="3" t="str">
        <f>IFERROR(__xludf.DUMMYFUNCTION("""COMPUTED_VALUE"""),"Corrective")</f>
        <v>Corrective</v>
      </c>
      <c r="I475" s="3" t="str">
        <f>IFERROR(__xludf.DUMMYFUNCTION("""COMPUTED_VALUE"""),"Replace Optik,RRU/Soket Power/Replace GPS")</f>
        <v>Replace Optik,RRU/Soket Power/Replace GPS</v>
      </c>
      <c r="J475" s="3" t="str">
        <f>IFERROR(__xludf.DUMMYFUNCTION("""COMPUTED_VALUE"""),"Waiting Material")</f>
        <v>Waiting Material</v>
      </c>
      <c r="K475" s="27">
        <f>IFERROR(__xludf.DUMMYFUNCTION("""COMPUTED_VALUE"""),46024.0)</f>
        <v>46024</v>
      </c>
      <c r="L475" s="3"/>
      <c r="M475" s="3" t="str">
        <f>IFERROR(__xludf.DUMMYFUNCTION("""COMPUTED_VALUE"""),"Pending")</f>
        <v>Pending</v>
      </c>
      <c r="N475" s="3"/>
      <c r="O475" s="3" t="str">
        <f>IFERROR(VLOOKUP(C475,Sheet4!A475:F1262,6,0),"")</f>
        <v/>
      </c>
      <c r="Q475" s="2" t="str">
        <f t="shared" si="1"/>
        <v>02</v>
      </c>
    </row>
    <row r="476">
      <c r="A476" s="3" t="str">
        <f>IFERROR(__xludf.DUMMYFUNCTION("""COMPUTED_VALUE"""),"Site Down")</f>
        <v>Site Down</v>
      </c>
      <c r="B476" s="3" t="str">
        <f>IFERROR(__xludf.DUMMYFUNCTION("""COMPUTED_VALUE"""),"P1")</f>
        <v>P1</v>
      </c>
      <c r="C476" s="3" t="str">
        <f>IFERROR(__xludf.DUMMYFUNCTION("""COMPUTED_VALUE"""),"PPS065")</f>
        <v>PPS065</v>
      </c>
      <c r="D476" s="3" t="str">
        <f>IFERROR(__xludf.DUMMYFUNCTION("""COMPUTED_VALUE"""),"Muhamad Rayhan")</f>
        <v>Muhamad Rayhan</v>
      </c>
      <c r="E476" s="3" t="str">
        <f>IFERROR(__xludf.DUMMYFUNCTION("""COMPUTED_VALUE"""),"TE")</f>
        <v>TE</v>
      </c>
      <c r="F476" s="3" t="str">
        <f>IFERROR(__xludf.DUMMYFUNCTION("""COMPUTED_VALUE"""),"Doni Damara")</f>
        <v>Doni Damara</v>
      </c>
      <c r="G476" s="3" t="str">
        <f>IFERROR(__xludf.DUMMYFUNCTION("""COMPUTED_VALUE"""),"Palangkaraya")</f>
        <v>Palangkaraya</v>
      </c>
      <c r="H476" s="3" t="str">
        <f>IFERROR(__xludf.DUMMYFUNCTION("""COMPUTED_VALUE"""),"Corrective")</f>
        <v>Corrective</v>
      </c>
      <c r="I476" s="3" t="str">
        <f>IFERROR(__xludf.DUMMYFUNCTION("""COMPUTED_VALUE"""),"Pemadaman,MCB Trip,Transmisi problem")</f>
        <v>Pemadaman,MCB Trip,Transmisi problem</v>
      </c>
      <c r="J476" s="3" t="str">
        <f>IFERROR(__xludf.DUMMYFUNCTION("""COMPUTED_VALUE"""),"On Progress")</f>
        <v>On Progress</v>
      </c>
      <c r="K476" s="27">
        <f>IFERROR(__xludf.DUMMYFUNCTION("""COMPUTED_VALUE"""),46024.0)</f>
        <v>46024</v>
      </c>
      <c r="L476" s="27">
        <f>IFERROR(__xludf.DUMMYFUNCTION("""COMPUTED_VALUE"""),46024.0)</f>
        <v>46024</v>
      </c>
      <c r="M476" s="3" t="str">
        <f>IFERROR(__xludf.DUMMYFUNCTION("""COMPUTED_VALUE"""),"Done")</f>
        <v>Done</v>
      </c>
      <c r="N476" s="3"/>
      <c r="O476" s="3" t="str">
        <f>IFERROR(VLOOKUP(C476,Sheet4!A476:F1263,6,0),"")</f>
        <v/>
      </c>
      <c r="Q476" s="2" t="str">
        <f t="shared" si="1"/>
        <v>02</v>
      </c>
    </row>
    <row r="477">
      <c r="A477" s="3" t="str">
        <f>IFERROR(__xludf.DUMMYFUNCTION("""COMPUTED_VALUE"""),"Standby On Call")</f>
        <v>Standby On Call</v>
      </c>
      <c r="B477" s="3" t="str">
        <f>IFERROR(__xludf.DUMMYFUNCTION("""COMPUTED_VALUE"""),"P3")</f>
        <v>P3</v>
      </c>
      <c r="C477" s="3"/>
      <c r="D477" s="3" t="str">
        <f>IFERROR(__xludf.DUMMYFUNCTION("""COMPUTED_VALUE"""),"Yahya Muhamad")</f>
        <v>Yahya Muhamad</v>
      </c>
      <c r="E477" s="3" t="str">
        <f>IFERROR(__xludf.DUMMYFUNCTION("""COMPUTED_VALUE"""),"TE")</f>
        <v>TE</v>
      </c>
      <c r="F477" s="3" t="str">
        <f>IFERROR(__xludf.DUMMYFUNCTION("""COMPUTED_VALUE"""),"Doni Damara")</f>
        <v>Doni Damara</v>
      </c>
      <c r="G477" s="3" t="str">
        <f>IFERROR(__xludf.DUMMYFUNCTION("""COMPUTED_VALUE"""),"Palangkaraya")</f>
        <v>Palangkaraya</v>
      </c>
      <c r="H477" s="3" t="str">
        <f>IFERROR(__xludf.DUMMYFUNCTION("""COMPUTED_VALUE"""),"Standby")</f>
        <v>Standby</v>
      </c>
      <c r="I477" s="3" t="str">
        <f>IFERROR(__xludf.DUMMYFUNCTION("""COMPUTED_VALUE"""),"Standby On Call")</f>
        <v>Standby On Call</v>
      </c>
      <c r="J477" s="3" t="str">
        <f>IFERROR(__xludf.DUMMYFUNCTION("""COMPUTED_VALUE"""),"Standby")</f>
        <v>Standby</v>
      </c>
      <c r="K477" s="27">
        <f>IFERROR(__xludf.DUMMYFUNCTION("""COMPUTED_VALUE"""),46024.0)</f>
        <v>46024</v>
      </c>
      <c r="L477" s="3"/>
      <c r="M477" s="3" t="str">
        <f>IFERROR(__xludf.DUMMYFUNCTION("""COMPUTED_VALUE"""),"Waiting Update")</f>
        <v>Waiting Update</v>
      </c>
      <c r="N477" s="3"/>
      <c r="O477" s="3" t="str">
        <f>IFERROR(VLOOKUP(C477,Sheet4!A477:F1264,6,0),"")</f>
        <v/>
      </c>
      <c r="Q477" s="2" t="str">
        <f t="shared" si="1"/>
        <v>02</v>
      </c>
    </row>
    <row r="478">
      <c r="A478" s="3" t="str">
        <f>IFERROR(__xludf.DUMMYFUNCTION("""COMPUTED_VALUE"""),"Standby On Call")</f>
        <v>Standby On Call</v>
      </c>
      <c r="B478" s="3" t="str">
        <f>IFERROR(__xludf.DUMMYFUNCTION("""COMPUTED_VALUE"""),"P3")</f>
        <v>P3</v>
      </c>
      <c r="C478" s="3"/>
      <c r="D478" s="3" t="str">
        <f>IFERROR(__xludf.DUMMYFUNCTION("""COMPUTED_VALUE"""),"melky.O.Tulangow")</f>
        <v>melky.O.Tulangow</v>
      </c>
      <c r="E478" s="3" t="str">
        <f>IFERROR(__xludf.DUMMYFUNCTION("""COMPUTED_VALUE"""),"TE")</f>
        <v>TE</v>
      </c>
      <c r="F478" s="3" t="str">
        <f>IFERROR(__xludf.DUMMYFUNCTION("""COMPUTED_VALUE"""),"Doni Damara")</f>
        <v>Doni Damara</v>
      </c>
      <c r="G478" s="3" t="str">
        <f>IFERROR(__xludf.DUMMYFUNCTION("""COMPUTED_VALUE"""),"Palangkaraya")</f>
        <v>Palangkaraya</v>
      </c>
      <c r="H478" s="3" t="str">
        <f>IFERROR(__xludf.DUMMYFUNCTION("""COMPUTED_VALUE"""),"Standby")</f>
        <v>Standby</v>
      </c>
      <c r="I478" s="3" t="str">
        <f>IFERROR(__xludf.DUMMYFUNCTION("""COMPUTED_VALUE"""),"Standby On Call")</f>
        <v>Standby On Call</v>
      </c>
      <c r="J478" s="3" t="str">
        <f>IFERROR(__xludf.DUMMYFUNCTION("""COMPUTED_VALUE"""),"Standby")</f>
        <v>Standby</v>
      </c>
      <c r="K478" s="27">
        <f>IFERROR(__xludf.DUMMYFUNCTION("""COMPUTED_VALUE"""),46024.0)</f>
        <v>46024</v>
      </c>
      <c r="L478" s="3"/>
      <c r="M478" s="3" t="str">
        <f>IFERROR(__xludf.DUMMYFUNCTION("""COMPUTED_VALUE"""),"Waiting Update")</f>
        <v>Waiting Update</v>
      </c>
      <c r="N478" s="3"/>
      <c r="O478" s="3" t="str">
        <f>IFERROR(VLOOKUP(C478,Sheet4!A478:F1265,6,0),"")</f>
        <v/>
      </c>
      <c r="Q478" s="2" t="str">
        <f t="shared" si="1"/>
        <v>02</v>
      </c>
    </row>
    <row r="479">
      <c r="A479" s="3" t="str">
        <f>IFERROR(__xludf.DUMMYFUNCTION("""COMPUTED_VALUE"""),"Site Down")</f>
        <v>Site Down</v>
      </c>
      <c r="B479" s="3" t="str">
        <f>IFERROR(__xludf.DUMMYFUNCTION("""COMPUTED_VALUE"""),"P1")</f>
        <v>P1</v>
      </c>
      <c r="C479" s="3" t="str">
        <f>IFERROR(__xludf.DUMMYFUNCTION("""COMPUTED_VALUE"""),"KKN025")</f>
        <v>KKN025</v>
      </c>
      <c r="D479" s="3" t="str">
        <f>IFERROR(__xludf.DUMMYFUNCTION("""COMPUTED_VALUE"""),"Aulia Rahman")</f>
        <v>Aulia Rahman</v>
      </c>
      <c r="E479" s="3" t="str">
        <f>IFERROR(__xludf.DUMMYFUNCTION("""COMPUTED_VALUE"""),"TE")</f>
        <v>TE</v>
      </c>
      <c r="F479" s="3" t="str">
        <f>IFERROR(__xludf.DUMMYFUNCTION("""COMPUTED_VALUE"""),"Doni Damara")</f>
        <v>Doni Damara</v>
      </c>
      <c r="G479" s="3" t="str">
        <f>IFERROR(__xludf.DUMMYFUNCTION("""COMPUTED_VALUE"""),"Palangkaraya")</f>
        <v>Palangkaraya</v>
      </c>
      <c r="H479" s="3" t="str">
        <f>IFERROR(__xludf.DUMMYFUNCTION("""COMPUTED_VALUE"""),"Corrective")</f>
        <v>Corrective</v>
      </c>
      <c r="I479" s="3" t="str">
        <f>IFERROR(__xludf.DUMMYFUNCTION("""COMPUTED_VALUE"""),"Pemadaman,MCB Trip,Transmisi problem")</f>
        <v>Pemadaman,MCB Trip,Transmisi problem</v>
      </c>
      <c r="J479" s="3" t="str">
        <f>IFERROR(__xludf.DUMMYFUNCTION("""COMPUTED_VALUE"""),"On Progress")</f>
        <v>On Progress</v>
      </c>
      <c r="K479" s="27">
        <f>IFERROR(__xludf.DUMMYFUNCTION("""COMPUTED_VALUE"""),46024.0)</f>
        <v>46024</v>
      </c>
      <c r="L479" s="27">
        <f>IFERROR(__xludf.DUMMYFUNCTION("""COMPUTED_VALUE"""),46024.0)</f>
        <v>46024</v>
      </c>
      <c r="M479" s="3" t="str">
        <f>IFERROR(__xludf.DUMMYFUNCTION("""COMPUTED_VALUE"""),"Pending")</f>
        <v>Pending</v>
      </c>
      <c r="N479" s="3"/>
      <c r="O479" s="3" t="str">
        <f>IFERROR(VLOOKUP(C479,Sheet4!A479:F1266,6,0),"")</f>
        <v/>
      </c>
      <c r="Q479" s="2" t="str">
        <f t="shared" si="1"/>
        <v>02</v>
      </c>
    </row>
    <row r="480">
      <c r="A480" s="3" t="str">
        <f>IFERROR(__xludf.DUMMYFUNCTION("""COMPUTED_VALUE"""),"On Leave")</f>
        <v>On Leave</v>
      </c>
      <c r="B480" s="3" t="str">
        <f>IFERROR(__xludf.DUMMYFUNCTION("""COMPUTED_VALUE"""),"P3")</f>
        <v>P3</v>
      </c>
      <c r="C480" s="3"/>
      <c r="D480" s="3" t="str">
        <f>IFERROR(__xludf.DUMMYFUNCTION("""COMPUTED_VALUE"""),"Leonard")</f>
        <v>Leonard</v>
      </c>
      <c r="E480" s="3" t="str">
        <f>IFERROR(__xludf.DUMMYFUNCTION("""COMPUTED_VALUE"""),"TE")</f>
        <v>TE</v>
      </c>
      <c r="F480" s="3" t="str">
        <f>IFERROR(__xludf.DUMMYFUNCTION("""COMPUTED_VALUE"""),"Doni Damara")</f>
        <v>Doni Damara</v>
      </c>
      <c r="G480" s="3" t="str">
        <f>IFERROR(__xludf.DUMMYFUNCTION("""COMPUTED_VALUE"""),"Palangkaraya")</f>
        <v>Palangkaraya</v>
      </c>
      <c r="H480" s="3" t="str">
        <f>IFERROR(__xludf.DUMMYFUNCTION("""COMPUTED_VALUE"""),"On Leave")</f>
        <v>On Leave</v>
      </c>
      <c r="I480" s="3" t="str">
        <f>IFERROR(__xludf.DUMMYFUNCTION("""COMPUTED_VALUE"""),"On Leave")</f>
        <v>On Leave</v>
      </c>
      <c r="J480" s="3" t="str">
        <f>IFERROR(__xludf.DUMMYFUNCTION("""COMPUTED_VALUE"""),"Standby")</f>
        <v>Standby</v>
      </c>
      <c r="K480" s="27">
        <f>IFERROR(__xludf.DUMMYFUNCTION("""COMPUTED_VALUE"""),46024.0)</f>
        <v>46024</v>
      </c>
      <c r="L480" s="3"/>
      <c r="M480" s="3" t="str">
        <f>IFERROR(__xludf.DUMMYFUNCTION("""COMPUTED_VALUE"""),"Waiting Update")</f>
        <v>Waiting Update</v>
      </c>
      <c r="N480" s="3"/>
      <c r="O480" s="3" t="str">
        <f>IFERROR(VLOOKUP(C480,Sheet4!A480:F1267,6,0),"")</f>
        <v/>
      </c>
      <c r="Q480" s="2" t="str">
        <f t="shared" si="1"/>
        <v>02</v>
      </c>
    </row>
    <row r="481">
      <c r="A481" s="3" t="str">
        <f>IFERROR(__xludf.DUMMYFUNCTION("""COMPUTED_VALUE"""),"Cell down")</f>
        <v>Cell down</v>
      </c>
      <c r="B481" s="3" t="str">
        <f>IFERROR(__xludf.DUMMYFUNCTION("""COMPUTED_VALUE"""),"P1")</f>
        <v>P1</v>
      </c>
      <c r="C481" s="3" t="str">
        <f>IFERROR(__xludf.DUMMYFUNCTION("""COMPUTED_VALUE"""),"PLK240")</f>
        <v>PLK240</v>
      </c>
      <c r="D481" s="3" t="str">
        <f>IFERROR(__xludf.DUMMYFUNCTION("""COMPUTED_VALUE"""),"Sarwono")</f>
        <v>Sarwono</v>
      </c>
      <c r="E481" s="3" t="str">
        <f>IFERROR(__xludf.DUMMYFUNCTION("""COMPUTED_VALUE"""),"CME")</f>
        <v>CME</v>
      </c>
      <c r="F481" s="3" t="str">
        <f>IFERROR(__xludf.DUMMYFUNCTION("""COMPUTED_VALUE"""),"Doni Damara")</f>
        <v>Doni Damara</v>
      </c>
      <c r="G481" s="3" t="str">
        <f>IFERROR(__xludf.DUMMYFUNCTION("""COMPUTED_VALUE"""),"Palangkaraya")</f>
        <v>Palangkaraya</v>
      </c>
      <c r="H481" s="3" t="str">
        <f>IFERROR(__xludf.DUMMYFUNCTION("""COMPUTED_VALUE"""),"Corrective")</f>
        <v>Corrective</v>
      </c>
      <c r="I481" s="3" t="str">
        <f>IFERROR(__xludf.DUMMYFUNCTION("""COMPUTED_VALUE"""),"Replace Optik,RRU/Soket Power/Replace GPS")</f>
        <v>Replace Optik,RRU/Soket Power/Replace GPS</v>
      </c>
      <c r="J481" s="3" t="str">
        <f>IFERROR(__xludf.DUMMYFUNCTION("""COMPUTED_VALUE"""),"On Progress")</f>
        <v>On Progress</v>
      </c>
      <c r="K481" s="27">
        <f>IFERROR(__xludf.DUMMYFUNCTION("""COMPUTED_VALUE"""),46024.0)</f>
        <v>46024</v>
      </c>
      <c r="L481" s="3"/>
      <c r="M481" s="3" t="str">
        <f>IFERROR(__xludf.DUMMYFUNCTION("""COMPUTED_VALUE"""),"Pending")</f>
        <v>Pending</v>
      </c>
      <c r="N481" s="3"/>
      <c r="O481" s="3" t="str">
        <f>IFERROR(VLOOKUP(C481,Sheet4!A481:F1268,6,0),"")</f>
        <v/>
      </c>
      <c r="Q481" s="2" t="str">
        <f t="shared" si="1"/>
        <v>02</v>
      </c>
    </row>
    <row r="482">
      <c r="A482" s="3" t="str">
        <f>IFERROR(__xludf.DUMMYFUNCTION("""COMPUTED_VALUE"""),"Standby On Call")</f>
        <v>Standby On Call</v>
      </c>
      <c r="B482" s="3" t="str">
        <f>IFERROR(__xludf.DUMMYFUNCTION("""COMPUTED_VALUE"""),"P3")</f>
        <v>P3</v>
      </c>
      <c r="C482" s="3"/>
      <c r="D482" s="3" t="str">
        <f>IFERROR(__xludf.DUMMYFUNCTION("""COMPUTED_VALUE"""),"Sairaji")</f>
        <v>Sairaji</v>
      </c>
      <c r="E482" s="3" t="str">
        <f>IFERROR(__xludf.DUMMYFUNCTION("""COMPUTED_VALUE"""),"MBP")</f>
        <v>MBP</v>
      </c>
      <c r="F482" s="3" t="str">
        <f>IFERROR(__xludf.DUMMYFUNCTION("""COMPUTED_VALUE"""),"Doni Damara")</f>
        <v>Doni Damara</v>
      </c>
      <c r="G482" s="3" t="str">
        <f>IFERROR(__xludf.DUMMYFUNCTION("""COMPUTED_VALUE"""),"Palangkaraya")</f>
        <v>Palangkaraya</v>
      </c>
      <c r="H482" s="3" t="str">
        <f>IFERROR(__xludf.DUMMYFUNCTION("""COMPUTED_VALUE"""),"Standby")</f>
        <v>Standby</v>
      </c>
      <c r="I482" s="3" t="str">
        <f>IFERROR(__xludf.DUMMYFUNCTION("""COMPUTED_VALUE"""),"Standby On Call")</f>
        <v>Standby On Call</v>
      </c>
      <c r="J482" s="3" t="str">
        <f>IFERROR(__xludf.DUMMYFUNCTION("""COMPUTED_VALUE"""),"Standby")</f>
        <v>Standby</v>
      </c>
      <c r="K482" s="27">
        <f>IFERROR(__xludf.DUMMYFUNCTION("""COMPUTED_VALUE"""),46024.0)</f>
        <v>46024</v>
      </c>
      <c r="L482" s="3"/>
      <c r="M482" s="3" t="str">
        <f>IFERROR(__xludf.DUMMYFUNCTION("""COMPUTED_VALUE"""),"Waiting Update")</f>
        <v>Waiting Update</v>
      </c>
      <c r="N482" s="3"/>
      <c r="O482" s="3" t="str">
        <f>IFERROR(VLOOKUP(C482,Sheet4!A482:F1269,6,0),"")</f>
        <v/>
      </c>
      <c r="Q482" s="2" t="str">
        <f t="shared" si="1"/>
        <v>02</v>
      </c>
    </row>
    <row r="483">
      <c r="A483" s="3" t="str">
        <f>IFERROR(__xludf.DUMMYFUNCTION("""COMPUTED_VALUE"""),"Standby On Call")</f>
        <v>Standby On Call</v>
      </c>
      <c r="B483" s="3" t="str">
        <f>IFERROR(__xludf.DUMMYFUNCTION("""COMPUTED_VALUE"""),"P3")</f>
        <v>P3</v>
      </c>
      <c r="C483" s="3"/>
      <c r="D483" s="3" t="str">
        <f>IFERROR(__xludf.DUMMYFUNCTION("""COMPUTED_VALUE"""),"Purwanto")</f>
        <v>Purwanto</v>
      </c>
      <c r="E483" s="3" t="str">
        <f>IFERROR(__xludf.DUMMYFUNCTION("""COMPUTED_VALUE"""),"MBP")</f>
        <v>MBP</v>
      </c>
      <c r="F483" s="3" t="str">
        <f>IFERROR(__xludf.DUMMYFUNCTION("""COMPUTED_VALUE"""),"Doni Damara")</f>
        <v>Doni Damara</v>
      </c>
      <c r="G483" s="3" t="str">
        <f>IFERROR(__xludf.DUMMYFUNCTION("""COMPUTED_VALUE"""),"Palangkaraya")</f>
        <v>Palangkaraya</v>
      </c>
      <c r="H483" s="3" t="str">
        <f>IFERROR(__xludf.DUMMYFUNCTION("""COMPUTED_VALUE"""),"Standby")</f>
        <v>Standby</v>
      </c>
      <c r="I483" s="3" t="str">
        <f>IFERROR(__xludf.DUMMYFUNCTION("""COMPUTED_VALUE"""),"Standby On Call")</f>
        <v>Standby On Call</v>
      </c>
      <c r="J483" s="3" t="str">
        <f>IFERROR(__xludf.DUMMYFUNCTION("""COMPUTED_VALUE"""),"Standby")</f>
        <v>Standby</v>
      </c>
      <c r="K483" s="27">
        <f>IFERROR(__xludf.DUMMYFUNCTION("""COMPUTED_VALUE"""),46024.0)</f>
        <v>46024</v>
      </c>
      <c r="L483" s="3"/>
      <c r="M483" s="3" t="str">
        <f>IFERROR(__xludf.DUMMYFUNCTION("""COMPUTED_VALUE"""),"Waiting Update")</f>
        <v>Waiting Update</v>
      </c>
      <c r="N483" s="3"/>
      <c r="O483" s="3" t="str">
        <f>IFERROR(VLOOKUP(C483,Sheet4!A483:F1270,6,0),"")</f>
        <v/>
      </c>
      <c r="Q483" s="2" t="str">
        <f t="shared" si="1"/>
        <v>02</v>
      </c>
    </row>
    <row r="484">
      <c r="A484" s="3" t="str">
        <f>IFERROR(__xludf.DUMMYFUNCTION("""COMPUTED_VALUE"""),"Standby On Call")</f>
        <v>Standby On Call</v>
      </c>
      <c r="B484" s="3" t="str">
        <f>IFERROR(__xludf.DUMMYFUNCTION("""COMPUTED_VALUE"""),"P3")</f>
        <v>P3</v>
      </c>
      <c r="C484" s="3"/>
      <c r="D484" s="3" t="str">
        <f>IFERROR(__xludf.DUMMYFUNCTION("""COMPUTED_VALUE"""),"Fajrianur wahid")</f>
        <v>Fajrianur wahid</v>
      </c>
      <c r="E484" s="3" t="str">
        <f>IFERROR(__xludf.DUMMYFUNCTION("""COMPUTED_VALUE"""),"TE")</f>
        <v>TE</v>
      </c>
      <c r="F484" s="3" t="str">
        <f>IFERROR(__xludf.DUMMYFUNCTION("""COMPUTED_VALUE"""),"Doni Damara")</f>
        <v>Doni Damara</v>
      </c>
      <c r="G484" s="3" t="str">
        <f>IFERROR(__xludf.DUMMYFUNCTION("""COMPUTED_VALUE"""),"Palangkaraya")</f>
        <v>Palangkaraya</v>
      </c>
      <c r="H484" s="3" t="str">
        <f>IFERROR(__xludf.DUMMYFUNCTION("""COMPUTED_VALUE"""),"Standby")</f>
        <v>Standby</v>
      </c>
      <c r="I484" s="3" t="str">
        <f>IFERROR(__xludf.DUMMYFUNCTION("""COMPUTED_VALUE"""),"Standby On Call")</f>
        <v>Standby On Call</v>
      </c>
      <c r="J484" s="3" t="str">
        <f>IFERROR(__xludf.DUMMYFUNCTION("""COMPUTED_VALUE"""),"Standby")</f>
        <v>Standby</v>
      </c>
      <c r="K484" s="27">
        <f>IFERROR(__xludf.DUMMYFUNCTION("""COMPUTED_VALUE"""),46024.0)</f>
        <v>46024</v>
      </c>
      <c r="L484" s="3"/>
      <c r="M484" s="3" t="str">
        <f>IFERROR(__xludf.DUMMYFUNCTION("""COMPUTED_VALUE"""),"Waiting Update")</f>
        <v>Waiting Update</v>
      </c>
      <c r="N484" s="3"/>
      <c r="O484" s="3" t="str">
        <f>IFERROR(VLOOKUP(C484,Sheet4!A484:F1271,6,0),"")</f>
        <v/>
      </c>
      <c r="Q484" s="2" t="str">
        <f t="shared" si="1"/>
        <v>02</v>
      </c>
    </row>
    <row r="485">
      <c r="A485" s="3" t="str">
        <f>IFERROR(__xludf.DUMMYFUNCTION("""COMPUTED_VALUE"""),"Standby On Call")</f>
        <v>Standby On Call</v>
      </c>
      <c r="B485" s="3" t="str">
        <f>IFERROR(__xludf.DUMMYFUNCTION("""COMPUTED_VALUE"""),"P3")</f>
        <v>P3</v>
      </c>
      <c r="C485" s="3"/>
      <c r="D485" s="3" t="str">
        <f>IFERROR(__xludf.DUMMYFUNCTION("""COMPUTED_VALUE"""),"hory yusmanto")</f>
        <v>hory yusmanto</v>
      </c>
      <c r="E485" s="3" t="str">
        <f>IFERROR(__xludf.DUMMYFUNCTION("""COMPUTED_VALUE"""),"MBP")</f>
        <v>MBP</v>
      </c>
      <c r="F485" s="3" t="str">
        <f>IFERROR(__xludf.DUMMYFUNCTION("""COMPUTED_VALUE"""),"Doni Damara")</f>
        <v>Doni Damara</v>
      </c>
      <c r="G485" s="3" t="str">
        <f>IFERROR(__xludf.DUMMYFUNCTION("""COMPUTED_VALUE"""),"Palangkaraya")</f>
        <v>Palangkaraya</v>
      </c>
      <c r="H485" s="3" t="str">
        <f>IFERROR(__xludf.DUMMYFUNCTION("""COMPUTED_VALUE"""),"Standby")</f>
        <v>Standby</v>
      </c>
      <c r="I485" s="3" t="str">
        <f>IFERROR(__xludf.DUMMYFUNCTION("""COMPUTED_VALUE"""),"Standby On Call")</f>
        <v>Standby On Call</v>
      </c>
      <c r="J485" s="3" t="str">
        <f>IFERROR(__xludf.DUMMYFUNCTION("""COMPUTED_VALUE"""),"Standby")</f>
        <v>Standby</v>
      </c>
      <c r="K485" s="27">
        <f>IFERROR(__xludf.DUMMYFUNCTION("""COMPUTED_VALUE"""),46024.0)</f>
        <v>46024</v>
      </c>
      <c r="L485" s="3"/>
      <c r="M485" s="3" t="str">
        <f>IFERROR(__xludf.DUMMYFUNCTION("""COMPUTED_VALUE"""),"Waiting Update")</f>
        <v>Waiting Update</v>
      </c>
      <c r="N485" s="3"/>
      <c r="O485" s="3" t="str">
        <f>IFERROR(VLOOKUP(C485,Sheet4!A485:F1272,6,0),"")</f>
        <v/>
      </c>
      <c r="Q485" s="2" t="str">
        <f t="shared" si="1"/>
        <v>02</v>
      </c>
    </row>
    <row r="486">
      <c r="A486" s="3" t="str">
        <f>IFERROR(__xludf.DUMMYFUNCTION("""COMPUTED_VALUE"""),"Standby On Call")</f>
        <v>Standby On Call</v>
      </c>
      <c r="B486" s="3" t="str">
        <f>IFERROR(__xludf.DUMMYFUNCTION("""COMPUTED_VALUE"""),"P3")</f>
        <v>P3</v>
      </c>
      <c r="C486" s="3"/>
      <c r="D486" s="3" t="str">
        <f>IFERROR(__xludf.DUMMYFUNCTION("""COMPUTED_VALUE"""),"Indra")</f>
        <v>Indra</v>
      </c>
      <c r="E486" s="3" t="str">
        <f>IFERROR(__xludf.DUMMYFUNCTION("""COMPUTED_VALUE"""),"PM")</f>
        <v>PM</v>
      </c>
      <c r="F486" s="3" t="str">
        <f>IFERROR(__xludf.DUMMYFUNCTION("""COMPUTED_VALUE"""),"Doni Damara")</f>
        <v>Doni Damara</v>
      </c>
      <c r="G486" s="3" t="str">
        <f>IFERROR(__xludf.DUMMYFUNCTION("""COMPUTED_VALUE"""),"Palangkaraya")</f>
        <v>Palangkaraya</v>
      </c>
      <c r="H486" s="3" t="str">
        <f>IFERROR(__xludf.DUMMYFUNCTION("""COMPUTED_VALUE"""),"Standby")</f>
        <v>Standby</v>
      </c>
      <c r="I486" s="3" t="str">
        <f>IFERROR(__xludf.DUMMYFUNCTION("""COMPUTED_VALUE"""),"Standby On Call")</f>
        <v>Standby On Call</v>
      </c>
      <c r="J486" s="3" t="str">
        <f>IFERROR(__xludf.DUMMYFUNCTION("""COMPUTED_VALUE"""),"Standby")</f>
        <v>Standby</v>
      </c>
      <c r="K486" s="27">
        <f>IFERROR(__xludf.DUMMYFUNCTION("""COMPUTED_VALUE"""),46024.0)</f>
        <v>46024</v>
      </c>
      <c r="L486" s="3"/>
      <c r="M486" s="3" t="str">
        <f>IFERROR(__xludf.DUMMYFUNCTION("""COMPUTED_VALUE"""),"Waiting Update")</f>
        <v>Waiting Update</v>
      </c>
      <c r="N486" s="3"/>
      <c r="O486" s="3" t="str">
        <f>IFERROR(VLOOKUP(C486,Sheet4!A486:F1273,6,0),"")</f>
        <v/>
      </c>
      <c r="Q486" s="2" t="str">
        <f t="shared" si="1"/>
        <v>02</v>
      </c>
    </row>
    <row r="487">
      <c r="A487" s="3" t="str">
        <f>IFERROR(__xludf.DUMMYFUNCTION("""COMPUTED_VALUE"""),"Standby On Call")</f>
        <v>Standby On Call</v>
      </c>
      <c r="B487" s="3" t="str">
        <f>IFERROR(__xludf.DUMMYFUNCTION("""COMPUTED_VALUE"""),"P3")</f>
        <v>P3</v>
      </c>
      <c r="C487" s="3"/>
      <c r="D487" s="3" t="str">
        <f>IFERROR(__xludf.DUMMYFUNCTION("""COMPUTED_VALUE"""),"Darli")</f>
        <v>Darli</v>
      </c>
      <c r="E487" s="3" t="str">
        <f>IFERROR(__xludf.DUMMYFUNCTION("""COMPUTED_VALUE"""),"PM")</f>
        <v>PM</v>
      </c>
      <c r="F487" s="3" t="str">
        <f>IFERROR(__xludf.DUMMYFUNCTION("""COMPUTED_VALUE"""),"Doni Damara")</f>
        <v>Doni Damara</v>
      </c>
      <c r="G487" s="3" t="str">
        <f>IFERROR(__xludf.DUMMYFUNCTION("""COMPUTED_VALUE"""),"Palangkaraya")</f>
        <v>Palangkaraya</v>
      </c>
      <c r="H487" s="3" t="str">
        <f>IFERROR(__xludf.DUMMYFUNCTION("""COMPUTED_VALUE"""),"Standby")</f>
        <v>Standby</v>
      </c>
      <c r="I487" s="3" t="str">
        <f>IFERROR(__xludf.DUMMYFUNCTION("""COMPUTED_VALUE"""),"Standby On Call")</f>
        <v>Standby On Call</v>
      </c>
      <c r="J487" s="3" t="str">
        <f>IFERROR(__xludf.DUMMYFUNCTION("""COMPUTED_VALUE"""),"Standby")</f>
        <v>Standby</v>
      </c>
      <c r="K487" s="27">
        <f>IFERROR(__xludf.DUMMYFUNCTION("""COMPUTED_VALUE"""),46024.0)</f>
        <v>46024</v>
      </c>
      <c r="L487" s="3"/>
      <c r="M487" s="3" t="str">
        <f>IFERROR(__xludf.DUMMYFUNCTION("""COMPUTED_VALUE"""),"Waiting Update")</f>
        <v>Waiting Update</v>
      </c>
      <c r="N487" s="3"/>
      <c r="O487" s="3" t="str">
        <f>IFERROR(VLOOKUP(C487,Sheet4!A487:F1274,6,0),"")</f>
        <v/>
      </c>
      <c r="Q487" s="2" t="str">
        <f t="shared" si="1"/>
        <v>02</v>
      </c>
    </row>
    <row r="488">
      <c r="A488" s="3" t="str">
        <f>IFERROR(__xludf.DUMMYFUNCTION("""COMPUTED_VALUE"""),"Standby On Call")</f>
        <v>Standby On Call</v>
      </c>
      <c r="B488" s="3" t="str">
        <f>IFERROR(__xludf.DUMMYFUNCTION("""COMPUTED_VALUE"""),"P3")</f>
        <v>P3</v>
      </c>
      <c r="C488" s="3"/>
      <c r="D488" s="3" t="str">
        <f>IFERROR(__xludf.DUMMYFUNCTION("""COMPUTED_VALUE"""),"AHMAD ARDIANTO FIRMANSYAH")</f>
        <v>AHMAD ARDIANTO FIRMANSYAH</v>
      </c>
      <c r="E488" s="3" t="str">
        <f>IFERROR(__xludf.DUMMYFUNCTION("""COMPUTED_VALUE"""),"PM")</f>
        <v>PM</v>
      </c>
      <c r="F488" s="3" t="str">
        <f>IFERROR(__xludf.DUMMYFUNCTION("""COMPUTED_VALUE"""),"Doni Damara")</f>
        <v>Doni Damara</v>
      </c>
      <c r="G488" s="3" t="str">
        <f>IFERROR(__xludf.DUMMYFUNCTION("""COMPUTED_VALUE"""),"Palangkaraya")</f>
        <v>Palangkaraya</v>
      </c>
      <c r="H488" s="3" t="str">
        <f>IFERROR(__xludf.DUMMYFUNCTION("""COMPUTED_VALUE"""),"Standby")</f>
        <v>Standby</v>
      </c>
      <c r="I488" s="3" t="str">
        <f>IFERROR(__xludf.DUMMYFUNCTION("""COMPUTED_VALUE"""),"Standby On Call")</f>
        <v>Standby On Call</v>
      </c>
      <c r="J488" s="3" t="str">
        <f>IFERROR(__xludf.DUMMYFUNCTION("""COMPUTED_VALUE"""),"Standby")</f>
        <v>Standby</v>
      </c>
      <c r="K488" s="27">
        <f>IFERROR(__xludf.DUMMYFUNCTION("""COMPUTED_VALUE"""),46024.0)</f>
        <v>46024</v>
      </c>
      <c r="L488" s="3"/>
      <c r="M488" s="3" t="str">
        <f>IFERROR(__xludf.DUMMYFUNCTION("""COMPUTED_VALUE"""),"Waiting Update")</f>
        <v>Waiting Update</v>
      </c>
      <c r="N488" s="3"/>
      <c r="O488" s="3" t="str">
        <f>IFERROR(VLOOKUP(C488,Sheet4!A488:F1275,6,0),"")</f>
        <v/>
      </c>
      <c r="Q488" s="2" t="str">
        <f t="shared" si="1"/>
        <v>02</v>
      </c>
    </row>
    <row r="489">
      <c r="A489" s="3" t="str">
        <f>IFERROR(__xludf.DUMMYFUNCTION("""COMPUTED_VALUE"""),"Cell down")</f>
        <v>Cell down</v>
      </c>
      <c r="B489" s="3" t="str">
        <f>IFERROR(__xludf.DUMMYFUNCTION("""COMPUTED_VALUE"""),"P1")</f>
        <v>P1</v>
      </c>
      <c r="C489" s="3" t="str">
        <f>IFERROR(__xludf.DUMMYFUNCTION("""COMPUTED_VALUE"""),"KKN034")</f>
        <v>KKN034</v>
      </c>
      <c r="D489" s="3" t="str">
        <f>IFERROR(__xludf.DUMMYFUNCTION("""COMPUTED_VALUE"""),"Ahmad")</f>
        <v>Ahmad</v>
      </c>
      <c r="E489" s="3" t="str">
        <f>IFERROR(__xludf.DUMMYFUNCTION("""COMPUTED_VALUE"""),"TE")</f>
        <v>TE</v>
      </c>
      <c r="F489" s="3" t="str">
        <f>IFERROR(__xludf.DUMMYFUNCTION("""COMPUTED_VALUE"""),"Doni Damara")</f>
        <v>Doni Damara</v>
      </c>
      <c r="G489" s="3" t="str">
        <f>IFERROR(__xludf.DUMMYFUNCTION("""COMPUTED_VALUE"""),"Palangkaraya")</f>
        <v>Palangkaraya</v>
      </c>
      <c r="H489" s="3" t="str">
        <f>IFERROR(__xludf.DUMMYFUNCTION("""COMPUTED_VALUE"""),"Corrective")</f>
        <v>Corrective</v>
      </c>
      <c r="I489" s="3" t="str">
        <f>IFERROR(__xludf.DUMMYFUNCTION("""COMPUTED_VALUE"""),"Replace Optik,RRU/Soket Power/Replace GPS")</f>
        <v>Replace Optik,RRU/Soket Power/Replace GPS</v>
      </c>
      <c r="J489" s="3" t="str">
        <f>IFERROR(__xludf.DUMMYFUNCTION("""COMPUTED_VALUE"""),"On Progress")</f>
        <v>On Progress</v>
      </c>
      <c r="K489" s="27">
        <f>IFERROR(__xludf.DUMMYFUNCTION("""COMPUTED_VALUE"""),46027.0)</f>
        <v>46027</v>
      </c>
      <c r="L489" s="3"/>
      <c r="M489" s="3" t="str">
        <f>IFERROR(__xludf.DUMMYFUNCTION("""COMPUTED_VALUE"""),"Waiting Update")</f>
        <v>Waiting Update</v>
      </c>
      <c r="N489" s="3"/>
      <c r="O489" s="3" t="str">
        <f>IFERROR(VLOOKUP(C489,Sheet4!A489:F1276,6,0),"")</f>
        <v/>
      </c>
      <c r="Q489" s="2" t="str">
        <f t="shared" si="1"/>
        <v>05</v>
      </c>
    </row>
    <row r="490">
      <c r="A490" s="3" t="str">
        <f>IFERROR(__xludf.DUMMYFUNCTION("""COMPUTED_VALUE"""),"Cell down")</f>
        <v>Cell down</v>
      </c>
      <c r="B490" s="3" t="str">
        <f>IFERROR(__xludf.DUMMYFUNCTION("""COMPUTED_VALUE"""),"P1")</f>
        <v>P1</v>
      </c>
      <c r="C490" s="3" t="str">
        <f>IFERROR(__xludf.DUMMYFUNCTION("""COMPUTED_VALUE"""),"KKN004")</f>
        <v>KKN004</v>
      </c>
      <c r="D490" s="3" t="str">
        <f>IFERROR(__xludf.DUMMYFUNCTION("""COMPUTED_VALUE"""),"Ahmad Setiawan")</f>
        <v>Ahmad Setiawan</v>
      </c>
      <c r="E490" s="3" t="str">
        <f>IFERROR(__xludf.DUMMYFUNCTION("""COMPUTED_VALUE"""),"TE")</f>
        <v>TE</v>
      </c>
      <c r="F490" s="3" t="str">
        <f>IFERROR(__xludf.DUMMYFUNCTION("""COMPUTED_VALUE"""),"Doni Damara")</f>
        <v>Doni Damara</v>
      </c>
      <c r="G490" s="3" t="str">
        <f>IFERROR(__xludf.DUMMYFUNCTION("""COMPUTED_VALUE"""),"Palangkaraya")</f>
        <v>Palangkaraya</v>
      </c>
      <c r="H490" s="3" t="str">
        <f>IFERROR(__xludf.DUMMYFUNCTION("""COMPUTED_VALUE"""),"Corrective")</f>
        <v>Corrective</v>
      </c>
      <c r="I490" s="3" t="str">
        <f>IFERROR(__xludf.DUMMYFUNCTION("""COMPUTED_VALUE"""),"Replace Optik,RRU/Soket Power/Replace GPS")</f>
        <v>Replace Optik,RRU/Soket Power/Replace GPS</v>
      </c>
      <c r="J490" s="3" t="str">
        <f>IFERROR(__xludf.DUMMYFUNCTION("""COMPUTED_VALUE"""),"On Progress")</f>
        <v>On Progress</v>
      </c>
      <c r="K490" s="27">
        <f>IFERROR(__xludf.DUMMYFUNCTION("""COMPUTED_VALUE"""),46027.0)</f>
        <v>46027</v>
      </c>
      <c r="L490" s="3"/>
      <c r="M490" s="3" t="str">
        <f>IFERROR(__xludf.DUMMYFUNCTION("""COMPUTED_VALUE"""),"Waiting Update")</f>
        <v>Waiting Update</v>
      </c>
      <c r="N490" s="3"/>
      <c r="O490" s="3" t="str">
        <f>IFERROR(VLOOKUP(C490,Sheet4!A490:F1277,6,0),"")</f>
        <v/>
      </c>
      <c r="Q490" s="2" t="str">
        <f t="shared" si="1"/>
        <v>05</v>
      </c>
    </row>
    <row r="491">
      <c r="A491" s="3" t="str">
        <f>IFERROR(__xludf.DUMMYFUNCTION("""COMPUTED_VALUE"""),"Cell down")</f>
        <v>Cell down</v>
      </c>
      <c r="B491" s="3" t="str">
        <f>IFERROR(__xludf.DUMMYFUNCTION("""COMPUTED_VALUE"""),"P1")</f>
        <v>P1</v>
      </c>
      <c r="C491" s="3" t="str">
        <f>IFERROR(__xludf.DUMMYFUNCTION("""COMPUTED_VALUE"""),"KKN004")</f>
        <v>KKN004</v>
      </c>
      <c r="D491" s="3" t="str">
        <f>IFERROR(__xludf.DUMMYFUNCTION("""COMPUTED_VALUE"""),"Oky Bangkit Pamungkas")</f>
        <v>Oky Bangkit Pamungkas</v>
      </c>
      <c r="E491" s="3" t="str">
        <f>IFERROR(__xludf.DUMMYFUNCTION("""COMPUTED_VALUE"""),"TE")</f>
        <v>TE</v>
      </c>
      <c r="F491" s="3" t="str">
        <f>IFERROR(__xludf.DUMMYFUNCTION("""COMPUTED_VALUE"""),"Doni Damara")</f>
        <v>Doni Damara</v>
      </c>
      <c r="G491" s="3" t="str">
        <f>IFERROR(__xludf.DUMMYFUNCTION("""COMPUTED_VALUE"""),"Palangkaraya")</f>
        <v>Palangkaraya</v>
      </c>
      <c r="H491" s="3" t="str">
        <f>IFERROR(__xludf.DUMMYFUNCTION("""COMPUTED_VALUE"""),"Corrective")</f>
        <v>Corrective</v>
      </c>
      <c r="I491" s="3" t="str">
        <f>IFERROR(__xludf.DUMMYFUNCTION("""COMPUTED_VALUE"""),"Replace Optik,RRU/Soket Power/Replace GPS")</f>
        <v>Replace Optik,RRU/Soket Power/Replace GPS</v>
      </c>
      <c r="J491" s="3" t="str">
        <f>IFERROR(__xludf.DUMMYFUNCTION("""COMPUTED_VALUE"""),"On Progress")</f>
        <v>On Progress</v>
      </c>
      <c r="K491" s="27">
        <f>IFERROR(__xludf.DUMMYFUNCTION("""COMPUTED_VALUE"""),46027.0)</f>
        <v>46027</v>
      </c>
      <c r="L491" s="3"/>
      <c r="M491" s="3" t="str">
        <f>IFERROR(__xludf.DUMMYFUNCTION("""COMPUTED_VALUE"""),"Waiting Update")</f>
        <v>Waiting Update</v>
      </c>
      <c r="N491" s="3"/>
      <c r="O491" s="3" t="str">
        <f>IFERROR(VLOOKUP(C491,Sheet4!A491:F1278,6,0),"")</f>
        <v/>
      </c>
      <c r="Q491" s="2" t="str">
        <f t="shared" si="1"/>
        <v>05</v>
      </c>
    </row>
    <row r="492">
      <c r="A492" s="3" t="str">
        <f>IFERROR(__xludf.DUMMYFUNCTION("""COMPUTED_VALUE"""),"Site Down")</f>
        <v>Site Down</v>
      </c>
      <c r="B492" s="3" t="str">
        <f>IFERROR(__xludf.DUMMYFUNCTION("""COMPUTED_VALUE"""),"P1")</f>
        <v>P1</v>
      </c>
      <c r="C492" s="3" t="str">
        <f>IFERROR(__xludf.DUMMYFUNCTION("""COMPUTED_VALUE"""),"PPS020")</f>
        <v>PPS020</v>
      </c>
      <c r="D492" s="3" t="str">
        <f>IFERROR(__xludf.DUMMYFUNCTION("""COMPUTED_VALUE"""),"Fahmi")</f>
        <v>Fahmi</v>
      </c>
      <c r="E492" s="3" t="str">
        <f>IFERROR(__xludf.DUMMYFUNCTION("""COMPUTED_VALUE"""),"TE")</f>
        <v>TE</v>
      </c>
      <c r="F492" s="3" t="str">
        <f>IFERROR(__xludf.DUMMYFUNCTION("""COMPUTED_VALUE"""),"Doni Damara")</f>
        <v>Doni Damara</v>
      </c>
      <c r="G492" s="3" t="str">
        <f>IFERROR(__xludf.DUMMYFUNCTION("""COMPUTED_VALUE"""),"Palangkaraya")</f>
        <v>Palangkaraya</v>
      </c>
      <c r="H492" s="3" t="str">
        <f>IFERROR(__xludf.DUMMYFUNCTION("""COMPUTED_VALUE"""),"Corrective")</f>
        <v>Corrective</v>
      </c>
      <c r="I492" s="3" t="str">
        <f>IFERROR(__xludf.DUMMYFUNCTION("""COMPUTED_VALUE"""),"Pemadaman,MCB Trip,Transmisi problem")</f>
        <v>Pemadaman,MCB Trip,Transmisi problem</v>
      </c>
      <c r="J492" s="3" t="str">
        <f>IFERROR(__xludf.DUMMYFUNCTION("""COMPUTED_VALUE"""),"On Progress")</f>
        <v>On Progress</v>
      </c>
      <c r="K492" s="27">
        <f>IFERROR(__xludf.DUMMYFUNCTION("""COMPUTED_VALUE"""),46027.0)</f>
        <v>46027</v>
      </c>
      <c r="L492" s="3"/>
      <c r="M492" s="3" t="str">
        <f>IFERROR(__xludf.DUMMYFUNCTION("""COMPUTED_VALUE"""),"Waiting Update")</f>
        <v>Waiting Update</v>
      </c>
      <c r="N492" s="3"/>
      <c r="O492" s="3" t="str">
        <f>IFERROR(VLOOKUP(C492,Sheet4!A492:F1279,6,0),"")</f>
        <v/>
      </c>
      <c r="Q492" s="2" t="str">
        <f t="shared" si="1"/>
        <v>05</v>
      </c>
    </row>
    <row r="493">
      <c r="A493" s="3" t="str">
        <f>IFERROR(__xludf.DUMMYFUNCTION("""COMPUTED_VALUE"""),"Cell down")</f>
        <v>Cell down</v>
      </c>
      <c r="B493" s="3" t="str">
        <f>IFERROR(__xludf.DUMMYFUNCTION("""COMPUTED_VALUE"""),"P1")</f>
        <v>P1</v>
      </c>
      <c r="C493" s="3" t="str">
        <f>IFERROR(__xludf.DUMMYFUNCTION("""COMPUTED_VALUE"""),"PLK272")</f>
        <v>PLK272</v>
      </c>
      <c r="D493" s="3" t="str">
        <f>IFERROR(__xludf.DUMMYFUNCTION("""COMPUTED_VALUE"""),"Jumadi")</f>
        <v>Jumadi</v>
      </c>
      <c r="E493" s="3" t="str">
        <f>IFERROR(__xludf.DUMMYFUNCTION("""COMPUTED_VALUE"""),"TE")</f>
        <v>TE</v>
      </c>
      <c r="F493" s="3" t="str">
        <f>IFERROR(__xludf.DUMMYFUNCTION("""COMPUTED_VALUE"""),"Doni Damara")</f>
        <v>Doni Damara</v>
      </c>
      <c r="G493" s="3" t="str">
        <f>IFERROR(__xludf.DUMMYFUNCTION("""COMPUTED_VALUE"""),"Palangkaraya")</f>
        <v>Palangkaraya</v>
      </c>
      <c r="H493" s="3" t="str">
        <f>IFERROR(__xludf.DUMMYFUNCTION("""COMPUTED_VALUE"""),"Corrective")</f>
        <v>Corrective</v>
      </c>
      <c r="I493" s="3" t="str">
        <f>IFERROR(__xludf.DUMMYFUNCTION("""COMPUTED_VALUE"""),"Replace Optik,RRU/Soket Power/Replace GPS")</f>
        <v>Replace Optik,RRU/Soket Power/Replace GPS</v>
      </c>
      <c r="J493" s="3" t="str">
        <f>IFERROR(__xludf.DUMMYFUNCTION("""COMPUTED_VALUE"""),"On Progress")</f>
        <v>On Progress</v>
      </c>
      <c r="K493" s="27">
        <f>IFERROR(__xludf.DUMMYFUNCTION("""COMPUTED_VALUE"""),46027.0)</f>
        <v>46027</v>
      </c>
      <c r="L493" s="3"/>
      <c r="M493" s="3" t="str">
        <f>IFERROR(__xludf.DUMMYFUNCTION("""COMPUTED_VALUE"""),"Waiting Update")</f>
        <v>Waiting Update</v>
      </c>
      <c r="N493" s="3"/>
      <c r="O493" s="3">
        <f>IFERROR(VLOOKUP(C493,Sheet4!A493:F1280,6,0),"")</f>
        <v>1138836</v>
      </c>
      <c r="Q493" s="2" t="str">
        <f t="shared" si="1"/>
        <v>05</v>
      </c>
    </row>
    <row r="494">
      <c r="A494" s="3" t="str">
        <f>IFERROR(__xludf.DUMMYFUNCTION("""COMPUTED_VALUE"""),"Cell down")</f>
        <v>Cell down</v>
      </c>
      <c r="B494" s="3" t="str">
        <f>IFERROR(__xludf.DUMMYFUNCTION("""COMPUTED_VALUE"""),"P1")</f>
        <v>P1</v>
      </c>
      <c r="C494" s="3" t="str">
        <f>IFERROR(__xludf.DUMMYFUNCTION("""COMPUTED_VALUE"""),"PLK002")</f>
        <v>PLK002</v>
      </c>
      <c r="D494" s="3" t="str">
        <f>IFERROR(__xludf.DUMMYFUNCTION("""COMPUTED_VALUE"""),"james jimbris")</f>
        <v>james jimbris</v>
      </c>
      <c r="E494" s="3" t="str">
        <f>IFERROR(__xludf.DUMMYFUNCTION("""COMPUTED_VALUE"""),"TE")</f>
        <v>TE</v>
      </c>
      <c r="F494" s="3" t="str">
        <f>IFERROR(__xludf.DUMMYFUNCTION("""COMPUTED_VALUE"""),"Doni Damara")</f>
        <v>Doni Damara</v>
      </c>
      <c r="G494" s="3" t="str">
        <f>IFERROR(__xludf.DUMMYFUNCTION("""COMPUTED_VALUE"""),"Palangkaraya")</f>
        <v>Palangkaraya</v>
      </c>
      <c r="H494" s="3" t="str">
        <f>IFERROR(__xludf.DUMMYFUNCTION("""COMPUTED_VALUE"""),"Corrective")</f>
        <v>Corrective</v>
      </c>
      <c r="I494" s="3" t="str">
        <f>IFERROR(__xludf.DUMMYFUNCTION("""COMPUTED_VALUE"""),"Replace Optik,RRU/Soket Power/Replace GPS")</f>
        <v>Replace Optik,RRU/Soket Power/Replace GPS</v>
      </c>
      <c r="J494" s="3" t="str">
        <f>IFERROR(__xludf.DUMMYFUNCTION("""COMPUTED_VALUE"""),"On Progress")</f>
        <v>On Progress</v>
      </c>
      <c r="K494" s="27">
        <f>IFERROR(__xludf.DUMMYFUNCTION("""COMPUTED_VALUE"""),46027.0)</f>
        <v>46027</v>
      </c>
      <c r="L494" s="3"/>
      <c r="M494" s="3" t="str">
        <f>IFERROR(__xludf.DUMMYFUNCTION("""COMPUTED_VALUE"""),"Waiting Update")</f>
        <v>Waiting Update</v>
      </c>
      <c r="N494" s="3"/>
      <c r="O494" s="3">
        <f>IFERROR(VLOOKUP(C494,Sheet4!A494:F1281,6,0),"")</f>
        <v>11388602</v>
      </c>
      <c r="Q494" s="2" t="str">
        <f t="shared" si="1"/>
        <v>05</v>
      </c>
    </row>
    <row r="495">
      <c r="A495" s="3" t="str">
        <f>IFERROR(__xludf.DUMMYFUNCTION("""COMPUTED_VALUE"""),"Standby On Call")</f>
        <v>Standby On Call</v>
      </c>
      <c r="B495" s="3" t="str">
        <f>IFERROR(__xludf.DUMMYFUNCTION("""COMPUTED_VALUE"""),"P3")</f>
        <v>P3</v>
      </c>
      <c r="C495" s="3"/>
      <c r="D495" s="3" t="str">
        <f>IFERROR(__xludf.DUMMYFUNCTION("""COMPUTED_VALUE"""),"Adi Bowo Santoso")</f>
        <v>Adi Bowo Santoso</v>
      </c>
      <c r="E495" s="3" t="str">
        <f>IFERROR(__xludf.DUMMYFUNCTION("""COMPUTED_VALUE"""),"TE")</f>
        <v>TE</v>
      </c>
      <c r="F495" s="3" t="str">
        <f>IFERROR(__xludf.DUMMYFUNCTION("""COMPUTED_VALUE"""),"Doni Damara")</f>
        <v>Doni Damara</v>
      </c>
      <c r="G495" s="3" t="str">
        <f>IFERROR(__xludf.DUMMYFUNCTION("""COMPUTED_VALUE"""),"Palangkaraya")</f>
        <v>Palangkaraya</v>
      </c>
      <c r="H495" s="3" t="str">
        <f>IFERROR(__xludf.DUMMYFUNCTION("""COMPUTED_VALUE"""),"Standby")</f>
        <v>Standby</v>
      </c>
      <c r="I495" s="3" t="str">
        <f>IFERROR(__xludf.DUMMYFUNCTION("""COMPUTED_VALUE"""),"Standby On Call")</f>
        <v>Standby On Call</v>
      </c>
      <c r="J495" s="3" t="str">
        <f>IFERROR(__xludf.DUMMYFUNCTION("""COMPUTED_VALUE"""),"Standby")</f>
        <v>Standby</v>
      </c>
      <c r="K495" s="27">
        <f>IFERROR(__xludf.DUMMYFUNCTION("""COMPUTED_VALUE"""),46027.0)</f>
        <v>46027</v>
      </c>
      <c r="L495" s="3"/>
      <c r="M495" s="3" t="str">
        <f>IFERROR(__xludf.DUMMYFUNCTION("""COMPUTED_VALUE"""),"Waiting Update")</f>
        <v>Waiting Update</v>
      </c>
      <c r="N495" s="3"/>
      <c r="O495" s="3" t="str">
        <f>IFERROR(VLOOKUP(C495,Sheet4!A495:F1282,6,0),"")</f>
        <v/>
      </c>
      <c r="Q495" s="2" t="str">
        <f t="shared" si="1"/>
        <v>05</v>
      </c>
    </row>
    <row r="496">
      <c r="A496" s="3" t="str">
        <f>IFERROR(__xludf.DUMMYFUNCTION("""COMPUTED_VALUE"""),"Cell down")</f>
        <v>Cell down</v>
      </c>
      <c r="B496" s="3" t="str">
        <f>IFERROR(__xludf.DUMMYFUNCTION("""COMPUTED_VALUE"""),"P1")</f>
        <v>P1</v>
      </c>
      <c r="C496" s="3" t="str">
        <f>IFERROR(__xludf.DUMMYFUNCTION("""COMPUTED_VALUE"""),"PPS250")</f>
        <v>PPS250</v>
      </c>
      <c r="D496" s="3" t="str">
        <f>IFERROR(__xludf.DUMMYFUNCTION("""COMPUTED_VALUE"""),"Yahya Muhamad")</f>
        <v>Yahya Muhamad</v>
      </c>
      <c r="E496" s="3" t="str">
        <f>IFERROR(__xludf.DUMMYFUNCTION("""COMPUTED_VALUE"""),"TE")</f>
        <v>TE</v>
      </c>
      <c r="F496" s="3" t="str">
        <f>IFERROR(__xludf.DUMMYFUNCTION("""COMPUTED_VALUE"""),"Doni Damara")</f>
        <v>Doni Damara</v>
      </c>
      <c r="G496" s="3" t="str">
        <f>IFERROR(__xludf.DUMMYFUNCTION("""COMPUTED_VALUE"""),"Palangkaraya")</f>
        <v>Palangkaraya</v>
      </c>
      <c r="H496" s="3" t="str">
        <f>IFERROR(__xludf.DUMMYFUNCTION("""COMPUTED_VALUE"""),"Corrective")</f>
        <v>Corrective</v>
      </c>
      <c r="I496" s="3" t="str">
        <f>IFERROR(__xludf.DUMMYFUNCTION("""COMPUTED_VALUE"""),"Replace Optik,RRU/Soket Power/Replace GPS")</f>
        <v>Replace Optik,RRU/Soket Power/Replace GPS</v>
      </c>
      <c r="J496" s="3" t="str">
        <f>IFERROR(__xludf.DUMMYFUNCTION("""COMPUTED_VALUE"""),"On Progress")</f>
        <v>On Progress</v>
      </c>
      <c r="K496" s="27">
        <f>IFERROR(__xludf.DUMMYFUNCTION("""COMPUTED_VALUE"""),46027.0)</f>
        <v>46027</v>
      </c>
      <c r="L496" s="3"/>
      <c r="M496" s="3" t="str">
        <f>IFERROR(__xludf.DUMMYFUNCTION("""COMPUTED_VALUE"""),"Waiting Update")</f>
        <v>Waiting Update</v>
      </c>
      <c r="N496" s="3"/>
      <c r="O496" s="3" t="str">
        <f>IFERROR(VLOOKUP(C496,Sheet4!A496:F1283,6,0),"")</f>
        <v/>
      </c>
      <c r="Q496" s="2" t="str">
        <f t="shared" si="1"/>
        <v>05</v>
      </c>
    </row>
    <row r="497">
      <c r="A497" s="3" t="str">
        <f>IFERROR(__xludf.DUMMYFUNCTION("""COMPUTED_VALUE"""),"Cell down")</f>
        <v>Cell down</v>
      </c>
      <c r="B497" s="3" t="str">
        <f>IFERROR(__xludf.DUMMYFUNCTION("""COMPUTED_VALUE"""),"P1")</f>
        <v>P1</v>
      </c>
      <c r="C497" s="3" t="str">
        <f>IFERROR(__xludf.DUMMYFUNCTION("""COMPUTED_VALUE"""),"PPS250")</f>
        <v>PPS250</v>
      </c>
      <c r="D497" s="3" t="str">
        <f>IFERROR(__xludf.DUMMYFUNCTION("""COMPUTED_VALUE"""),"Muhamad Rayhan")</f>
        <v>Muhamad Rayhan</v>
      </c>
      <c r="E497" s="3" t="str">
        <f>IFERROR(__xludf.DUMMYFUNCTION("""COMPUTED_VALUE"""),"TE")</f>
        <v>TE</v>
      </c>
      <c r="F497" s="3" t="str">
        <f>IFERROR(__xludf.DUMMYFUNCTION("""COMPUTED_VALUE"""),"Doni Damara")</f>
        <v>Doni Damara</v>
      </c>
      <c r="G497" s="3" t="str">
        <f>IFERROR(__xludf.DUMMYFUNCTION("""COMPUTED_VALUE"""),"Palangkaraya")</f>
        <v>Palangkaraya</v>
      </c>
      <c r="H497" s="3" t="str">
        <f>IFERROR(__xludf.DUMMYFUNCTION("""COMPUTED_VALUE"""),"Corrective")</f>
        <v>Corrective</v>
      </c>
      <c r="I497" s="3" t="str">
        <f>IFERROR(__xludf.DUMMYFUNCTION("""COMPUTED_VALUE"""),"Replace Optik,RRU/Soket Power/Replace GPS")</f>
        <v>Replace Optik,RRU/Soket Power/Replace GPS</v>
      </c>
      <c r="J497" s="3" t="str">
        <f>IFERROR(__xludf.DUMMYFUNCTION("""COMPUTED_VALUE"""),"On Progress")</f>
        <v>On Progress</v>
      </c>
      <c r="K497" s="27">
        <f>IFERROR(__xludf.DUMMYFUNCTION("""COMPUTED_VALUE"""),46027.0)</f>
        <v>46027</v>
      </c>
      <c r="L497" s="3"/>
      <c r="M497" s="3" t="str">
        <f>IFERROR(__xludf.DUMMYFUNCTION("""COMPUTED_VALUE"""),"Waiting Update")</f>
        <v>Waiting Update</v>
      </c>
      <c r="N497" s="3"/>
      <c r="O497" s="3" t="str">
        <f>IFERROR(VLOOKUP(C497,Sheet4!A497:F1284,6,0),"")</f>
        <v/>
      </c>
      <c r="Q497" s="2" t="str">
        <f t="shared" si="1"/>
        <v>05</v>
      </c>
    </row>
    <row r="498">
      <c r="A498" s="3" t="str">
        <f>IFERROR(__xludf.DUMMYFUNCTION("""COMPUTED_VALUE"""),"Cell down")</f>
        <v>Cell down</v>
      </c>
      <c r="B498" s="3" t="str">
        <f>IFERROR(__xludf.DUMMYFUNCTION("""COMPUTED_VALUE"""),"P1")</f>
        <v>P1</v>
      </c>
      <c r="C498" s="3" t="str">
        <f>IFERROR(__xludf.DUMMYFUNCTION("""COMPUTED_VALUE"""),"KKN151")</f>
        <v>KKN151</v>
      </c>
      <c r="D498" s="3" t="str">
        <f>IFERROR(__xludf.DUMMYFUNCTION("""COMPUTED_VALUE"""),"Leonard")</f>
        <v>Leonard</v>
      </c>
      <c r="E498" s="3" t="str">
        <f>IFERROR(__xludf.DUMMYFUNCTION("""COMPUTED_VALUE"""),"TE")</f>
        <v>TE</v>
      </c>
      <c r="F498" s="3" t="str">
        <f>IFERROR(__xludf.DUMMYFUNCTION("""COMPUTED_VALUE"""),"Doni Damara")</f>
        <v>Doni Damara</v>
      </c>
      <c r="G498" s="3" t="str">
        <f>IFERROR(__xludf.DUMMYFUNCTION("""COMPUTED_VALUE"""),"Palangkaraya")</f>
        <v>Palangkaraya</v>
      </c>
      <c r="H498" s="3" t="str">
        <f>IFERROR(__xludf.DUMMYFUNCTION("""COMPUTED_VALUE"""),"Corrective")</f>
        <v>Corrective</v>
      </c>
      <c r="I498" s="3" t="str">
        <f>IFERROR(__xludf.DUMMYFUNCTION("""COMPUTED_VALUE"""),"Replace Optik,RRU/Soket Power/Replace GPS")</f>
        <v>Replace Optik,RRU/Soket Power/Replace GPS</v>
      </c>
      <c r="J498" s="3" t="str">
        <f>IFERROR(__xludf.DUMMYFUNCTION("""COMPUTED_VALUE"""),"On Progress")</f>
        <v>On Progress</v>
      </c>
      <c r="K498" s="27">
        <f>IFERROR(__xludf.DUMMYFUNCTION("""COMPUTED_VALUE"""),46027.0)</f>
        <v>46027</v>
      </c>
      <c r="L498" s="3"/>
      <c r="M498" s="3" t="str">
        <f>IFERROR(__xludf.DUMMYFUNCTION("""COMPUTED_VALUE"""),"Waiting Update")</f>
        <v>Waiting Update</v>
      </c>
      <c r="N498" s="3"/>
      <c r="O498" s="3" t="str">
        <f>IFERROR(VLOOKUP(C498,Sheet4!A498:F1285,6,0),"")</f>
        <v/>
      </c>
      <c r="Q498" s="2" t="str">
        <f t="shared" si="1"/>
        <v>05</v>
      </c>
    </row>
    <row r="499">
      <c r="A499" s="3" t="str">
        <f>IFERROR(__xludf.DUMMYFUNCTION("""COMPUTED_VALUE"""),"Cell down")</f>
        <v>Cell down</v>
      </c>
      <c r="B499" s="3" t="str">
        <f>IFERROR(__xludf.DUMMYFUNCTION("""COMPUTED_VALUE"""),"P1")</f>
        <v>P1</v>
      </c>
      <c r="C499" s="3" t="str">
        <f>IFERROR(__xludf.DUMMYFUNCTION("""COMPUTED_VALUE"""),"KKN151")</f>
        <v>KKN151</v>
      </c>
      <c r="D499" s="3" t="str">
        <f>IFERROR(__xludf.DUMMYFUNCTION("""COMPUTED_VALUE"""),"Aulia Rahman")</f>
        <v>Aulia Rahman</v>
      </c>
      <c r="E499" s="3" t="str">
        <f>IFERROR(__xludf.DUMMYFUNCTION("""COMPUTED_VALUE"""),"TE")</f>
        <v>TE</v>
      </c>
      <c r="F499" s="3" t="str">
        <f>IFERROR(__xludf.DUMMYFUNCTION("""COMPUTED_VALUE"""),"Doni Damara")</f>
        <v>Doni Damara</v>
      </c>
      <c r="G499" s="3" t="str">
        <f>IFERROR(__xludf.DUMMYFUNCTION("""COMPUTED_VALUE"""),"Palangkaraya")</f>
        <v>Palangkaraya</v>
      </c>
      <c r="H499" s="3" t="str">
        <f>IFERROR(__xludf.DUMMYFUNCTION("""COMPUTED_VALUE"""),"Corrective")</f>
        <v>Corrective</v>
      </c>
      <c r="I499" s="3" t="str">
        <f>IFERROR(__xludf.DUMMYFUNCTION("""COMPUTED_VALUE"""),"Replace Optik,RRU/Soket Power/Replace GPS")</f>
        <v>Replace Optik,RRU/Soket Power/Replace GPS</v>
      </c>
      <c r="J499" s="3" t="str">
        <f>IFERROR(__xludf.DUMMYFUNCTION("""COMPUTED_VALUE"""),"On Progress")</f>
        <v>On Progress</v>
      </c>
      <c r="K499" s="27">
        <f>IFERROR(__xludf.DUMMYFUNCTION("""COMPUTED_VALUE"""),46027.0)</f>
        <v>46027</v>
      </c>
      <c r="L499" s="3"/>
      <c r="M499" s="3" t="str">
        <f>IFERROR(__xludf.DUMMYFUNCTION("""COMPUTED_VALUE"""),"Waiting Update")</f>
        <v>Waiting Update</v>
      </c>
      <c r="N499" s="3"/>
      <c r="O499" s="3" t="str">
        <f>IFERROR(VLOOKUP(C499,Sheet4!A499:F1286,6,0),"")</f>
        <v/>
      </c>
      <c r="Q499" s="2" t="str">
        <f t="shared" si="1"/>
        <v>05</v>
      </c>
    </row>
    <row r="500">
      <c r="A500" s="3" t="str">
        <f>IFERROR(__xludf.DUMMYFUNCTION("""COMPUTED_VALUE"""),"Cell down")</f>
        <v>Cell down</v>
      </c>
      <c r="B500" s="3" t="str">
        <f>IFERROR(__xludf.DUMMYFUNCTION("""COMPUTED_VALUE"""),"P1")</f>
        <v>P1</v>
      </c>
      <c r="C500" s="3" t="str">
        <f>IFERROR(__xludf.DUMMYFUNCTION("""COMPUTED_VALUE"""),"KSN021")</f>
        <v>KSN021</v>
      </c>
      <c r="D500" s="3" t="str">
        <f>IFERROR(__xludf.DUMMYFUNCTION("""COMPUTED_VALUE"""),"Muhammad Mukhlis")</f>
        <v>Muhammad Mukhlis</v>
      </c>
      <c r="E500" s="3" t="str">
        <f>IFERROR(__xludf.DUMMYFUNCTION("""COMPUTED_VALUE"""),"TE")</f>
        <v>TE</v>
      </c>
      <c r="F500" s="3" t="str">
        <f>IFERROR(__xludf.DUMMYFUNCTION("""COMPUTED_VALUE"""),"Doni Damara")</f>
        <v>Doni Damara</v>
      </c>
      <c r="G500" s="3" t="str">
        <f>IFERROR(__xludf.DUMMYFUNCTION("""COMPUTED_VALUE"""),"Palangkaraya")</f>
        <v>Palangkaraya</v>
      </c>
      <c r="H500" s="3" t="str">
        <f>IFERROR(__xludf.DUMMYFUNCTION("""COMPUTED_VALUE"""),"Corrective")</f>
        <v>Corrective</v>
      </c>
      <c r="I500" s="3" t="str">
        <f>IFERROR(__xludf.DUMMYFUNCTION("""COMPUTED_VALUE"""),"Replace Optik,RRU/Soket Power/Replace GPS")</f>
        <v>Replace Optik,RRU/Soket Power/Replace GPS</v>
      </c>
      <c r="J500" s="3" t="str">
        <f>IFERROR(__xludf.DUMMYFUNCTION("""COMPUTED_VALUE"""),"On Progress")</f>
        <v>On Progress</v>
      </c>
      <c r="K500" s="27">
        <f>IFERROR(__xludf.DUMMYFUNCTION("""COMPUTED_VALUE"""),46027.0)</f>
        <v>46027</v>
      </c>
      <c r="L500" s="3"/>
      <c r="M500" s="3" t="str">
        <f>IFERROR(__xludf.DUMMYFUNCTION("""COMPUTED_VALUE"""),"Waiting Update")</f>
        <v>Waiting Update</v>
      </c>
      <c r="N500" s="3"/>
      <c r="O500" s="3" t="str">
        <f>IFERROR(VLOOKUP(C500,Sheet4!A500:F1287,6,0),"")</f>
        <v/>
      </c>
      <c r="Q500" s="2" t="str">
        <f t="shared" si="1"/>
        <v>05</v>
      </c>
    </row>
    <row r="501">
      <c r="A501" s="3" t="str">
        <f>IFERROR(__xludf.DUMMYFUNCTION("""COMPUTED_VALUE"""),"Standby On Call")</f>
        <v>Standby On Call</v>
      </c>
      <c r="B501" s="3" t="str">
        <f>IFERROR(__xludf.DUMMYFUNCTION("""COMPUTED_VALUE"""),"P3")</f>
        <v>P3</v>
      </c>
      <c r="C501" s="3"/>
      <c r="D501" s="3" t="str">
        <f>IFERROR(__xludf.DUMMYFUNCTION("""COMPUTED_VALUE"""),"Muhammad Mukti")</f>
        <v>Muhammad Mukti</v>
      </c>
      <c r="E501" s="3" t="str">
        <f>IFERROR(__xludf.DUMMYFUNCTION("""COMPUTED_VALUE"""),"TE")</f>
        <v>TE</v>
      </c>
      <c r="F501" s="3" t="str">
        <f>IFERROR(__xludf.DUMMYFUNCTION("""COMPUTED_VALUE"""),"Doni Damara")</f>
        <v>Doni Damara</v>
      </c>
      <c r="G501" s="3" t="str">
        <f>IFERROR(__xludf.DUMMYFUNCTION("""COMPUTED_VALUE"""),"Palangkaraya")</f>
        <v>Palangkaraya</v>
      </c>
      <c r="H501" s="3" t="str">
        <f>IFERROR(__xludf.DUMMYFUNCTION("""COMPUTED_VALUE"""),"Standby")</f>
        <v>Standby</v>
      </c>
      <c r="I501" s="3" t="str">
        <f>IFERROR(__xludf.DUMMYFUNCTION("""COMPUTED_VALUE"""),"Standby On Call")</f>
        <v>Standby On Call</v>
      </c>
      <c r="J501" s="3" t="str">
        <f>IFERROR(__xludf.DUMMYFUNCTION("""COMPUTED_VALUE"""),"Standby")</f>
        <v>Standby</v>
      </c>
      <c r="K501" s="27">
        <f>IFERROR(__xludf.DUMMYFUNCTION("""COMPUTED_VALUE"""),46027.0)</f>
        <v>46027</v>
      </c>
      <c r="L501" s="3"/>
      <c r="M501" s="3" t="str">
        <f>IFERROR(__xludf.DUMMYFUNCTION("""COMPUTED_VALUE"""),"Pending")</f>
        <v>Pending</v>
      </c>
      <c r="N501" s="3"/>
      <c r="O501" s="3" t="str">
        <f>IFERROR(VLOOKUP(C501,Sheet4!A501:F1288,6,0),"")</f>
        <v/>
      </c>
      <c r="Q501" s="2" t="str">
        <f t="shared" si="1"/>
        <v>05</v>
      </c>
    </row>
    <row r="502">
      <c r="A502" s="3" t="str">
        <f>IFERROR(__xludf.DUMMYFUNCTION("""COMPUTED_VALUE"""),"Site Down")</f>
        <v>Site Down</v>
      </c>
      <c r="B502" s="3" t="str">
        <f>IFERROR(__xludf.DUMMYFUNCTION("""COMPUTED_VALUE"""),"P1")</f>
        <v>P1</v>
      </c>
      <c r="C502" s="3" t="str">
        <f>IFERROR(__xludf.DUMMYFUNCTION("""COMPUTED_VALUE"""),"NTH076")</f>
        <v>NTH076</v>
      </c>
      <c r="D502" s="3" t="str">
        <f>IFERROR(__xludf.DUMMYFUNCTION("""COMPUTED_VALUE"""),"melky.O.Tulangow")</f>
        <v>melky.O.Tulangow</v>
      </c>
      <c r="E502" s="3" t="str">
        <f>IFERROR(__xludf.DUMMYFUNCTION("""COMPUTED_VALUE"""),"TE")</f>
        <v>TE</v>
      </c>
      <c r="F502" s="3" t="str">
        <f>IFERROR(__xludf.DUMMYFUNCTION("""COMPUTED_VALUE"""),"Doni Damara")</f>
        <v>Doni Damara</v>
      </c>
      <c r="G502" s="3" t="str">
        <f>IFERROR(__xludf.DUMMYFUNCTION("""COMPUTED_VALUE"""),"Palangkaraya")</f>
        <v>Palangkaraya</v>
      </c>
      <c r="H502" s="3" t="str">
        <f>IFERROR(__xludf.DUMMYFUNCTION("""COMPUTED_VALUE"""),"Corrective")</f>
        <v>Corrective</v>
      </c>
      <c r="I502" s="3" t="str">
        <f>IFERROR(__xludf.DUMMYFUNCTION("""COMPUTED_VALUE"""),"Pemadaman,MCB Trip,Transmisi problem")</f>
        <v>Pemadaman,MCB Trip,Transmisi problem</v>
      </c>
      <c r="J502" s="3" t="str">
        <f>IFERROR(__xludf.DUMMYFUNCTION("""COMPUTED_VALUE"""),"On Progress")</f>
        <v>On Progress</v>
      </c>
      <c r="K502" s="27">
        <f>IFERROR(__xludf.DUMMYFUNCTION("""COMPUTED_VALUE"""),46027.0)</f>
        <v>46027</v>
      </c>
      <c r="L502" s="27">
        <f>IFERROR(__xludf.DUMMYFUNCTION("""COMPUTED_VALUE"""),46027.0)</f>
        <v>46027</v>
      </c>
      <c r="M502" s="3" t="str">
        <f>IFERROR(__xludf.DUMMYFUNCTION("""COMPUTED_VALUE"""),"Done")</f>
        <v>Done</v>
      </c>
      <c r="N502" s="3" t="str">
        <f>IFERROR(__xludf.DUMMYFUNCTION("""COMPUTED_VALUE"""),"Site UP")</f>
        <v>Site UP</v>
      </c>
      <c r="O502" s="3">
        <f>IFERROR(VLOOKUP(C502,Sheet4!A502:F1289,6,0),"")</f>
        <v>11275382</v>
      </c>
      <c r="Q502" s="2" t="str">
        <f t="shared" si="1"/>
        <v>05</v>
      </c>
    </row>
    <row r="503">
      <c r="A503" s="3" t="str">
        <f>IFERROR(__xludf.DUMMYFUNCTION("""COMPUTED_VALUE"""),"Standby On Call")</f>
        <v>Standby On Call</v>
      </c>
      <c r="B503" s="3" t="str">
        <f>IFERROR(__xludf.DUMMYFUNCTION("""COMPUTED_VALUE"""),"P3")</f>
        <v>P3</v>
      </c>
      <c r="C503" s="3"/>
      <c r="D503" s="3" t="str">
        <f>IFERROR(__xludf.DUMMYFUNCTION("""COMPUTED_VALUE"""),"Indra")</f>
        <v>Indra</v>
      </c>
      <c r="E503" s="3" t="str">
        <f>IFERROR(__xludf.DUMMYFUNCTION("""COMPUTED_VALUE"""),"PM")</f>
        <v>PM</v>
      </c>
      <c r="F503" s="3" t="str">
        <f>IFERROR(__xludf.DUMMYFUNCTION("""COMPUTED_VALUE"""),"Doni Damara")</f>
        <v>Doni Damara</v>
      </c>
      <c r="G503" s="3" t="str">
        <f>IFERROR(__xludf.DUMMYFUNCTION("""COMPUTED_VALUE"""),"Palangkaraya")</f>
        <v>Palangkaraya</v>
      </c>
      <c r="H503" s="3" t="str">
        <f>IFERROR(__xludf.DUMMYFUNCTION("""COMPUTED_VALUE"""),"Standby")</f>
        <v>Standby</v>
      </c>
      <c r="I503" s="3" t="str">
        <f>IFERROR(__xludf.DUMMYFUNCTION("""COMPUTED_VALUE"""),"Standby On Call")</f>
        <v>Standby On Call</v>
      </c>
      <c r="J503" s="3" t="str">
        <f>IFERROR(__xludf.DUMMYFUNCTION("""COMPUTED_VALUE"""),"Standby")</f>
        <v>Standby</v>
      </c>
      <c r="K503" s="27">
        <f>IFERROR(__xludf.DUMMYFUNCTION("""COMPUTED_VALUE"""),46027.0)</f>
        <v>46027</v>
      </c>
      <c r="L503" s="3"/>
      <c r="M503" s="3" t="str">
        <f>IFERROR(__xludf.DUMMYFUNCTION("""COMPUTED_VALUE"""),"Waiting Update")</f>
        <v>Waiting Update</v>
      </c>
      <c r="N503" s="3"/>
      <c r="O503" s="3" t="str">
        <f>IFERROR(VLOOKUP(C503,Sheet4!A503:F1290,6,0),"")</f>
        <v/>
      </c>
      <c r="Q503" s="2" t="str">
        <f t="shared" si="1"/>
        <v>05</v>
      </c>
    </row>
    <row r="504">
      <c r="A504" s="3" t="str">
        <f>IFERROR(__xludf.DUMMYFUNCTION("""COMPUTED_VALUE"""),"Standby On Call")</f>
        <v>Standby On Call</v>
      </c>
      <c r="B504" s="3" t="str">
        <f>IFERROR(__xludf.DUMMYFUNCTION("""COMPUTED_VALUE"""),"P3")</f>
        <v>P3</v>
      </c>
      <c r="C504" s="3"/>
      <c r="D504" s="3" t="str">
        <f>IFERROR(__xludf.DUMMYFUNCTION("""COMPUTED_VALUE"""),"Darli")</f>
        <v>Darli</v>
      </c>
      <c r="E504" s="3" t="str">
        <f>IFERROR(__xludf.DUMMYFUNCTION("""COMPUTED_VALUE"""),"PM")</f>
        <v>PM</v>
      </c>
      <c r="F504" s="3" t="str">
        <f>IFERROR(__xludf.DUMMYFUNCTION("""COMPUTED_VALUE"""),"Doni Damara")</f>
        <v>Doni Damara</v>
      </c>
      <c r="G504" s="3" t="str">
        <f>IFERROR(__xludf.DUMMYFUNCTION("""COMPUTED_VALUE"""),"Palangkaraya")</f>
        <v>Palangkaraya</v>
      </c>
      <c r="H504" s="3" t="str">
        <f>IFERROR(__xludf.DUMMYFUNCTION("""COMPUTED_VALUE"""),"Standby")</f>
        <v>Standby</v>
      </c>
      <c r="I504" s="3" t="str">
        <f>IFERROR(__xludf.DUMMYFUNCTION("""COMPUTED_VALUE"""),"Standby On Call")</f>
        <v>Standby On Call</v>
      </c>
      <c r="J504" s="3" t="str">
        <f>IFERROR(__xludf.DUMMYFUNCTION("""COMPUTED_VALUE"""),"Standby")</f>
        <v>Standby</v>
      </c>
      <c r="K504" s="27">
        <f>IFERROR(__xludf.DUMMYFUNCTION("""COMPUTED_VALUE"""),46027.0)</f>
        <v>46027</v>
      </c>
      <c r="L504" s="3"/>
      <c r="M504" s="3" t="str">
        <f>IFERROR(__xludf.DUMMYFUNCTION("""COMPUTED_VALUE"""),"Waiting Update")</f>
        <v>Waiting Update</v>
      </c>
      <c r="N504" s="3"/>
      <c r="O504" s="3" t="str">
        <f>IFERROR(VLOOKUP(C504,Sheet4!A504:F1291,6,0),"")</f>
        <v/>
      </c>
      <c r="Q504" s="2" t="str">
        <f t="shared" si="1"/>
        <v>05</v>
      </c>
    </row>
    <row r="505">
      <c r="A505" s="3" t="str">
        <f>IFERROR(__xludf.DUMMYFUNCTION("""COMPUTED_VALUE"""),"Standby On Call")</f>
        <v>Standby On Call</v>
      </c>
      <c r="B505" s="3" t="str">
        <f>IFERROR(__xludf.DUMMYFUNCTION("""COMPUTED_VALUE"""),"P3")</f>
        <v>P3</v>
      </c>
      <c r="C505" s="3"/>
      <c r="D505" s="3" t="str">
        <f>IFERROR(__xludf.DUMMYFUNCTION("""COMPUTED_VALUE"""),"Sarwono")</f>
        <v>Sarwono</v>
      </c>
      <c r="E505" s="3" t="str">
        <f>IFERROR(__xludf.DUMMYFUNCTION("""COMPUTED_VALUE"""),"CME")</f>
        <v>CME</v>
      </c>
      <c r="F505" s="3" t="str">
        <f>IFERROR(__xludf.DUMMYFUNCTION("""COMPUTED_VALUE"""),"Doni Damara")</f>
        <v>Doni Damara</v>
      </c>
      <c r="G505" s="3" t="str">
        <f>IFERROR(__xludf.DUMMYFUNCTION("""COMPUTED_VALUE"""),"Palangkaraya")</f>
        <v>Palangkaraya</v>
      </c>
      <c r="H505" s="3" t="str">
        <f>IFERROR(__xludf.DUMMYFUNCTION("""COMPUTED_VALUE"""),"Standby")</f>
        <v>Standby</v>
      </c>
      <c r="I505" s="3" t="str">
        <f>IFERROR(__xludf.DUMMYFUNCTION("""COMPUTED_VALUE"""),"Standby On Call")</f>
        <v>Standby On Call</v>
      </c>
      <c r="J505" s="3" t="str">
        <f>IFERROR(__xludf.DUMMYFUNCTION("""COMPUTED_VALUE"""),"Standby")</f>
        <v>Standby</v>
      </c>
      <c r="K505" s="27">
        <f>IFERROR(__xludf.DUMMYFUNCTION("""COMPUTED_VALUE"""),46027.0)</f>
        <v>46027</v>
      </c>
      <c r="L505" s="3"/>
      <c r="M505" s="3" t="str">
        <f>IFERROR(__xludf.DUMMYFUNCTION("""COMPUTED_VALUE"""),"Waiting Update")</f>
        <v>Waiting Update</v>
      </c>
      <c r="N505" s="3"/>
      <c r="O505" s="3" t="str">
        <f>IFERROR(VLOOKUP(C505,Sheet4!A505:F1292,6,0),"")</f>
        <v/>
      </c>
      <c r="Q505" s="2" t="str">
        <f t="shared" si="1"/>
        <v>05</v>
      </c>
    </row>
    <row r="506">
      <c r="A506" s="3" t="str">
        <f>IFERROR(__xludf.DUMMYFUNCTION("""COMPUTED_VALUE"""),"Standby On Call")</f>
        <v>Standby On Call</v>
      </c>
      <c r="B506" s="3" t="str">
        <f>IFERROR(__xludf.DUMMYFUNCTION("""COMPUTED_VALUE"""),"P3")</f>
        <v>P3</v>
      </c>
      <c r="C506" s="3"/>
      <c r="D506" s="3" t="str">
        <f>IFERROR(__xludf.DUMMYFUNCTION("""COMPUTED_VALUE"""),"Purwanto")</f>
        <v>Purwanto</v>
      </c>
      <c r="E506" s="3" t="str">
        <f>IFERROR(__xludf.DUMMYFUNCTION("""COMPUTED_VALUE"""),"MBP")</f>
        <v>MBP</v>
      </c>
      <c r="F506" s="3" t="str">
        <f>IFERROR(__xludf.DUMMYFUNCTION("""COMPUTED_VALUE"""),"Doni Damara")</f>
        <v>Doni Damara</v>
      </c>
      <c r="G506" s="3" t="str">
        <f>IFERROR(__xludf.DUMMYFUNCTION("""COMPUTED_VALUE"""),"Palangkaraya")</f>
        <v>Palangkaraya</v>
      </c>
      <c r="H506" s="3" t="str">
        <f>IFERROR(__xludf.DUMMYFUNCTION("""COMPUTED_VALUE"""),"Standby")</f>
        <v>Standby</v>
      </c>
      <c r="I506" s="3" t="str">
        <f>IFERROR(__xludf.DUMMYFUNCTION("""COMPUTED_VALUE"""),"Standby On Call")</f>
        <v>Standby On Call</v>
      </c>
      <c r="J506" s="3" t="str">
        <f>IFERROR(__xludf.DUMMYFUNCTION("""COMPUTED_VALUE"""),"Standby")</f>
        <v>Standby</v>
      </c>
      <c r="K506" s="27">
        <f>IFERROR(__xludf.DUMMYFUNCTION("""COMPUTED_VALUE"""),46027.0)</f>
        <v>46027</v>
      </c>
      <c r="L506" s="3"/>
      <c r="M506" s="3" t="str">
        <f>IFERROR(__xludf.DUMMYFUNCTION("""COMPUTED_VALUE"""),"Waiting Update")</f>
        <v>Waiting Update</v>
      </c>
      <c r="N506" s="3"/>
      <c r="O506" s="3" t="str">
        <f>IFERROR(VLOOKUP(C506,Sheet4!A506:F1293,6,0),"")</f>
        <v/>
      </c>
      <c r="Q506" s="2" t="str">
        <f t="shared" si="1"/>
        <v>05</v>
      </c>
    </row>
    <row r="507">
      <c r="A507" s="3" t="str">
        <f>IFERROR(__xludf.DUMMYFUNCTION("""COMPUTED_VALUE"""),"Site Down")</f>
        <v>Site Down</v>
      </c>
      <c r="B507" s="3" t="str">
        <f>IFERROR(__xludf.DUMMYFUNCTION("""COMPUTED_VALUE"""),"P1")</f>
        <v>P1</v>
      </c>
      <c r="C507" s="3" t="str">
        <f>IFERROR(__xludf.DUMMYFUNCTION("""COMPUTED_VALUE"""),"PPS013")</f>
        <v>PPS013</v>
      </c>
      <c r="D507" s="3" t="str">
        <f>IFERROR(__xludf.DUMMYFUNCTION("""COMPUTED_VALUE"""),"Sairaji")</f>
        <v>Sairaji</v>
      </c>
      <c r="E507" s="3" t="str">
        <f>IFERROR(__xludf.DUMMYFUNCTION("""COMPUTED_VALUE"""),"MBP")</f>
        <v>MBP</v>
      </c>
      <c r="F507" s="3" t="str">
        <f>IFERROR(__xludf.DUMMYFUNCTION("""COMPUTED_VALUE"""),"Doni Damara")</f>
        <v>Doni Damara</v>
      </c>
      <c r="G507" s="3" t="str">
        <f>IFERROR(__xludf.DUMMYFUNCTION("""COMPUTED_VALUE"""),"Palangkaraya")</f>
        <v>Palangkaraya</v>
      </c>
      <c r="H507" s="3" t="str">
        <f>IFERROR(__xludf.DUMMYFUNCTION("""COMPUTED_VALUE"""),"Corrective")</f>
        <v>Corrective</v>
      </c>
      <c r="I507" s="3" t="str">
        <f>IFERROR(__xludf.DUMMYFUNCTION("""COMPUTED_VALUE"""),"Pemadaman,MCB Trip,Transmisi problem")</f>
        <v>Pemadaman,MCB Trip,Transmisi problem</v>
      </c>
      <c r="J507" s="3" t="str">
        <f>IFERROR(__xludf.DUMMYFUNCTION("""COMPUTED_VALUE"""),"On Progress")</f>
        <v>On Progress</v>
      </c>
      <c r="K507" s="27">
        <f>IFERROR(__xludf.DUMMYFUNCTION("""COMPUTED_VALUE"""),46027.0)</f>
        <v>46027</v>
      </c>
      <c r="L507" s="27">
        <f>IFERROR(__xludf.DUMMYFUNCTION("""COMPUTED_VALUE"""),46027.0)</f>
        <v>46027</v>
      </c>
      <c r="M507" s="3" t="str">
        <f>IFERROR(__xludf.DUMMYFUNCTION("""COMPUTED_VALUE"""),"Done")</f>
        <v>Done</v>
      </c>
      <c r="N507" s="3" t="str">
        <f>IFERROR(__xludf.DUMMYFUNCTION("""COMPUTED_VALUE"""),"Site UP")</f>
        <v>Site UP</v>
      </c>
      <c r="O507" s="3">
        <f>IFERROR(VLOOKUP(C507,Sheet4!A507:F1294,6,0),"")</f>
        <v>1142576</v>
      </c>
      <c r="Q507" s="2" t="str">
        <f t="shared" si="1"/>
        <v>05</v>
      </c>
    </row>
    <row r="508">
      <c r="A508" s="3" t="str">
        <f>IFERROR(__xludf.DUMMYFUNCTION("""COMPUTED_VALUE"""),"Standby On Call")</f>
        <v>Standby On Call</v>
      </c>
      <c r="B508" s="3" t="str">
        <f>IFERROR(__xludf.DUMMYFUNCTION("""COMPUTED_VALUE"""),"P3")</f>
        <v>P3</v>
      </c>
      <c r="C508" s="3"/>
      <c r="D508" s="3" t="str">
        <f>IFERROR(__xludf.DUMMYFUNCTION("""COMPUTED_VALUE"""),"hory yusmanto")</f>
        <v>hory yusmanto</v>
      </c>
      <c r="E508" s="3" t="str">
        <f>IFERROR(__xludf.DUMMYFUNCTION("""COMPUTED_VALUE"""),"MBP")</f>
        <v>MBP</v>
      </c>
      <c r="F508" s="3" t="str">
        <f>IFERROR(__xludf.DUMMYFUNCTION("""COMPUTED_VALUE"""),"Doni Damara")</f>
        <v>Doni Damara</v>
      </c>
      <c r="G508" s="3" t="str">
        <f>IFERROR(__xludf.DUMMYFUNCTION("""COMPUTED_VALUE"""),"Palangkaraya")</f>
        <v>Palangkaraya</v>
      </c>
      <c r="H508" s="3" t="str">
        <f>IFERROR(__xludf.DUMMYFUNCTION("""COMPUTED_VALUE"""),"Standby")</f>
        <v>Standby</v>
      </c>
      <c r="I508" s="3" t="str">
        <f>IFERROR(__xludf.DUMMYFUNCTION("""COMPUTED_VALUE"""),"Standby On Call")</f>
        <v>Standby On Call</v>
      </c>
      <c r="J508" s="3" t="str">
        <f>IFERROR(__xludf.DUMMYFUNCTION("""COMPUTED_VALUE"""),"Standby")</f>
        <v>Standby</v>
      </c>
      <c r="K508" s="27">
        <f>IFERROR(__xludf.DUMMYFUNCTION("""COMPUTED_VALUE"""),46027.0)</f>
        <v>46027</v>
      </c>
      <c r="L508" s="3"/>
      <c r="M508" s="3"/>
      <c r="N508" s="3"/>
      <c r="O508" s="3" t="str">
        <f>IFERROR(VLOOKUP(C508,Sheet4!A508:F1295,6,0),"")</f>
        <v/>
      </c>
      <c r="Q508" s="2" t="str">
        <f t="shared" si="1"/>
        <v>05</v>
      </c>
    </row>
    <row r="509">
      <c r="A509" s="3" t="str">
        <f>IFERROR(__xludf.DUMMYFUNCTION("""COMPUTED_VALUE"""),"Standby On Call")</f>
        <v>Standby On Call</v>
      </c>
      <c r="B509" s="3" t="str">
        <f>IFERROR(__xludf.DUMMYFUNCTION("""COMPUTED_VALUE"""),"P3")</f>
        <v>P3</v>
      </c>
      <c r="C509" s="3"/>
      <c r="D509" s="3" t="str">
        <f>IFERROR(__xludf.DUMMYFUNCTION("""COMPUTED_VALUE"""),"Agus muliana pamungkas")</f>
        <v>Agus muliana pamungkas</v>
      </c>
      <c r="E509" s="3" t="str">
        <f>IFERROR(__xludf.DUMMYFUNCTION("""COMPUTED_VALUE"""),"MBP")</f>
        <v>MBP</v>
      </c>
      <c r="F509" s="3" t="str">
        <f>IFERROR(__xludf.DUMMYFUNCTION("""COMPUTED_VALUE"""),"Doni Damara")</f>
        <v>Doni Damara</v>
      </c>
      <c r="G509" s="3" t="str">
        <f>IFERROR(__xludf.DUMMYFUNCTION("""COMPUTED_VALUE"""),"Palangkaraya")</f>
        <v>Palangkaraya</v>
      </c>
      <c r="H509" s="3" t="str">
        <f>IFERROR(__xludf.DUMMYFUNCTION("""COMPUTED_VALUE"""),"Standby")</f>
        <v>Standby</v>
      </c>
      <c r="I509" s="3" t="str">
        <f>IFERROR(__xludf.DUMMYFUNCTION("""COMPUTED_VALUE"""),"Standby On Call")</f>
        <v>Standby On Call</v>
      </c>
      <c r="J509" s="3" t="str">
        <f>IFERROR(__xludf.DUMMYFUNCTION("""COMPUTED_VALUE"""),"Standby")</f>
        <v>Standby</v>
      </c>
      <c r="K509" s="27">
        <f>IFERROR(__xludf.DUMMYFUNCTION("""COMPUTED_VALUE"""),46027.0)</f>
        <v>46027</v>
      </c>
      <c r="L509" s="3"/>
      <c r="M509" s="3" t="str">
        <f>IFERROR(__xludf.DUMMYFUNCTION("""COMPUTED_VALUE"""),"Waiting Update")</f>
        <v>Waiting Update</v>
      </c>
      <c r="N509" s="3"/>
      <c r="O509" s="3" t="str">
        <f>IFERROR(VLOOKUP(C509,Sheet4!A509:F1296,6,0),"")</f>
        <v/>
      </c>
      <c r="Q509" s="2" t="str">
        <f t="shared" si="1"/>
        <v>05</v>
      </c>
    </row>
    <row r="510">
      <c r="A510" s="3" t="str">
        <f>IFERROR(__xludf.DUMMYFUNCTION("""COMPUTED_VALUE"""),"Cell down")</f>
        <v>Cell down</v>
      </c>
      <c r="B510" s="3" t="str">
        <f>IFERROR(__xludf.DUMMYFUNCTION("""COMPUTED_VALUE"""),"P1")</f>
        <v>P1</v>
      </c>
      <c r="C510" s="3" t="str">
        <f>IFERROR(__xludf.DUMMYFUNCTION("""COMPUTED_VALUE"""),"KKP072")</f>
        <v>KKP072</v>
      </c>
      <c r="D510" s="3" t="str">
        <f>IFERROR(__xludf.DUMMYFUNCTION("""COMPUTED_VALUE"""),"Putra wardana")</f>
        <v>Putra wardana</v>
      </c>
      <c r="E510" s="3" t="str">
        <f>IFERROR(__xludf.DUMMYFUNCTION("""COMPUTED_VALUE"""),"TE")</f>
        <v>TE</v>
      </c>
      <c r="F510" s="3" t="str">
        <f>IFERROR(__xludf.DUMMYFUNCTION("""COMPUTED_VALUE"""),"Winda Sokenda")</f>
        <v>Winda Sokenda</v>
      </c>
      <c r="G510" s="3" t="str">
        <f>IFERROR(__xludf.DUMMYFUNCTION("""COMPUTED_VALUE"""),"Barito Raya")</f>
        <v>Barito Raya</v>
      </c>
      <c r="H510" s="3" t="str">
        <f>IFERROR(__xludf.DUMMYFUNCTION("""COMPUTED_VALUE"""),"Corrective")</f>
        <v>Corrective</v>
      </c>
      <c r="I510" s="3" t="str">
        <f>IFERROR(__xludf.DUMMYFUNCTION("""COMPUTED_VALUE"""),"Replace Optik,RRU/Soket Power/Replace GPS")</f>
        <v>Replace Optik,RRU/Soket Power/Replace GPS</v>
      </c>
      <c r="J510" s="3" t="str">
        <f>IFERROR(__xludf.DUMMYFUNCTION("""COMPUTED_VALUE"""),"On Progress")</f>
        <v>On Progress</v>
      </c>
      <c r="K510" s="27">
        <f>IFERROR(__xludf.DUMMYFUNCTION("""COMPUTED_VALUE"""),46027.0)</f>
        <v>46027</v>
      </c>
      <c r="L510" s="3"/>
      <c r="M510" s="3" t="str">
        <f>IFERROR(__xludf.DUMMYFUNCTION("""COMPUTED_VALUE"""),"Pending")</f>
        <v>Pending</v>
      </c>
      <c r="N510" s="3" t="str">
        <f>IFERROR(__xludf.DUMMYFUNCTION("""COMPUTED_VALUE"""),"Part di tempat TE yg lg sakit, team TE loss kontak")</f>
        <v>Part di tempat TE yg lg sakit, team TE loss kontak</v>
      </c>
      <c r="O510" s="3" t="str">
        <f>IFERROR(VLOOKUP(C510,Sheet4!A510:F1297,6,0),"")</f>
        <v/>
      </c>
      <c r="Q510" s="2" t="str">
        <f t="shared" si="1"/>
        <v>05</v>
      </c>
    </row>
    <row r="511">
      <c r="A511" s="3" t="str">
        <f>IFERROR(__xludf.DUMMYFUNCTION("""COMPUTED_VALUE"""),"Standby On Call")</f>
        <v>Standby On Call</v>
      </c>
      <c r="B511" s="3" t="str">
        <f>IFERROR(__xludf.DUMMYFUNCTION("""COMPUTED_VALUE"""),"P3")</f>
        <v>P3</v>
      </c>
      <c r="C511" s="3"/>
      <c r="D511" s="3" t="str">
        <f>IFERROR(__xludf.DUMMYFUNCTION("""COMPUTED_VALUE"""),"Sailillah")</f>
        <v>Sailillah</v>
      </c>
      <c r="E511" s="3" t="str">
        <f>IFERROR(__xludf.DUMMYFUNCTION("""COMPUTED_VALUE"""),"TE")</f>
        <v>TE</v>
      </c>
      <c r="F511" s="3" t="str">
        <f>IFERROR(__xludf.DUMMYFUNCTION("""COMPUTED_VALUE"""),"Winda Sokenda")</f>
        <v>Winda Sokenda</v>
      </c>
      <c r="G511" s="3" t="str">
        <f>IFERROR(__xludf.DUMMYFUNCTION("""COMPUTED_VALUE"""),"Barito Raya")</f>
        <v>Barito Raya</v>
      </c>
      <c r="H511" s="3" t="str">
        <f>IFERROR(__xludf.DUMMYFUNCTION("""COMPUTED_VALUE"""),"Standby")</f>
        <v>Standby</v>
      </c>
      <c r="I511" s="3" t="str">
        <f>IFERROR(__xludf.DUMMYFUNCTION("""COMPUTED_VALUE"""),"Standby On Call")</f>
        <v>Standby On Call</v>
      </c>
      <c r="J511" s="3"/>
      <c r="K511" s="27">
        <f>IFERROR(__xludf.DUMMYFUNCTION("""COMPUTED_VALUE"""),46027.0)</f>
        <v>46027</v>
      </c>
      <c r="L511" s="3"/>
      <c r="M511" s="3"/>
      <c r="N511" s="3"/>
      <c r="O511" s="3" t="str">
        <f>IFERROR(VLOOKUP(C511,Sheet4!A511:F1298,6,0),"")</f>
        <v/>
      </c>
      <c r="Q511" s="2" t="str">
        <f t="shared" si="1"/>
        <v>05</v>
      </c>
    </row>
    <row r="512">
      <c r="A512" s="3" t="str">
        <f>IFERROR(__xludf.DUMMYFUNCTION("""COMPUTED_VALUE"""),"Standby On Call")</f>
        <v>Standby On Call</v>
      </c>
      <c r="B512" s="3" t="str">
        <f>IFERROR(__xludf.DUMMYFUNCTION("""COMPUTED_VALUE"""),"P3")</f>
        <v>P3</v>
      </c>
      <c r="C512" s="3"/>
      <c r="D512" s="3" t="str">
        <f>IFERROR(__xludf.DUMMYFUNCTION("""COMPUTED_VALUE"""),"Tiviansyah")</f>
        <v>Tiviansyah</v>
      </c>
      <c r="E512" s="3" t="str">
        <f>IFERROR(__xludf.DUMMYFUNCTION("""COMPUTED_VALUE"""),"TE")</f>
        <v>TE</v>
      </c>
      <c r="F512" s="3" t="str">
        <f>IFERROR(__xludf.DUMMYFUNCTION("""COMPUTED_VALUE"""),"Winda Sokenda")</f>
        <v>Winda Sokenda</v>
      </c>
      <c r="G512" s="3" t="str">
        <f>IFERROR(__xludf.DUMMYFUNCTION("""COMPUTED_VALUE"""),"Barito Raya")</f>
        <v>Barito Raya</v>
      </c>
      <c r="H512" s="3" t="str">
        <f>IFERROR(__xludf.DUMMYFUNCTION("""COMPUTED_VALUE"""),"Standby")</f>
        <v>Standby</v>
      </c>
      <c r="I512" s="3" t="str">
        <f>IFERROR(__xludf.DUMMYFUNCTION("""COMPUTED_VALUE"""),"Standby On Call")</f>
        <v>Standby On Call</v>
      </c>
      <c r="J512" s="3"/>
      <c r="K512" s="27">
        <f>IFERROR(__xludf.DUMMYFUNCTION("""COMPUTED_VALUE"""),46027.0)</f>
        <v>46027</v>
      </c>
      <c r="L512" s="3"/>
      <c r="M512" s="3"/>
      <c r="N512" s="3"/>
      <c r="O512" s="3" t="str">
        <f>IFERROR(VLOOKUP(C512,Sheet4!A512:F1299,6,0),"")</f>
        <v/>
      </c>
      <c r="Q512" s="2" t="str">
        <f t="shared" si="1"/>
        <v>05</v>
      </c>
    </row>
    <row r="513">
      <c r="A513" s="3" t="str">
        <f>IFERROR(__xludf.DUMMYFUNCTION("""COMPUTED_VALUE"""),"Standby On Call")</f>
        <v>Standby On Call</v>
      </c>
      <c r="B513" s="3" t="str">
        <f>IFERROR(__xludf.DUMMYFUNCTION("""COMPUTED_VALUE"""),"P3")</f>
        <v>P3</v>
      </c>
      <c r="C513" s="3"/>
      <c r="D513" s="3" t="str">
        <f>IFERROR(__xludf.DUMMYFUNCTION("""COMPUTED_VALUE"""),"munawir akhmad")</f>
        <v>munawir akhmad</v>
      </c>
      <c r="E513" s="3" t="str">
        <f>IFERROR(__xludf.DUMMYFUNCTION("""COMPUTED_VALUE"""),"TE")</f>
        <v>TE</v>
      </c>
      <c r="F513" s="3" t="str">
        <f>IFERROR(__xludf.DUMMYFUNCTION("""COMPUTED_VALUE"""),"Winda Sokenda")</f>
        <v>Winda Sokenda</v>
      </c>
      <c r="G513" s="3" t="str">
        <f>IFERROR(__xludf.DUMMYFUNCTION("""COMPUTED_VALUE"""),"Barito Raya")</f>
        <v>Barito Raya</v>
      </c>
      <c r="H513" s="3" t="str">
        <f>IFERROR(__xludf.DUMMYFUNCTION("""COMPUTED_VALUE"""),"Standby")</f>
        <v>Standby</v>
      </c>
      <c r="I513" s="3" t="str">
        <f>IFERROR(__xludf.DUMMYFUNCTION("""COMPUTED_VALUE"""),"Standby On Call")</f>
        <v>Standby On Call</v>
      </c>
      <c r="J513" s="3"/>
      <c r="K513" s="27">
        <f>IFERROR(__xludf.DUMMYFUNCTION("""COMPUTED_VALUE"""),46027.0)</f>
        <v>46027</v>
      </c>
      <c r="L513" s="3"/>
      <c r="M513" s="3"/>
      <c r="N513" s="3"/>
      <c r="O513" s="3" t="str">
        <f>IFERROR(VLOOKUP(C513,Sheet4!A513:F1300,6,0),"")</f>
        <v/>
      </c>
      <c r="Q513" s="2" t="str">
        <f t="shared" si="1"/>
        <v>05</v>
      </c>
    </row>
    <row r="514">
      <c r="A514" s="3" t="str">
        <f>IFERROR(__xludf.DUMMYFUNCTION("""COMPUTED_VALUE"""),"Standby On Call")</f>
        <v>Standby On Call</v>
      </c>
      <c r="B514" s="3" t="str">
        <f>IFERROR(__xludf.DUMMYFUNCTION("""COMPUTED_VALUE"""),"P3")</f>
        <v>P3</v>
      </c>
      <c r="C514" s="3"/>
      <c r="D514" s="3" t="str">
        <f>IFERROR(__xludf.DUMMYFUNCTION("""COMPUTED_VALUE"""),"Riki Hidayat")</f>
        <v>Riki Hidayat</v>
      </c>
      <c r="E514" s="3" t="str">
        <f>IFERROR(__xludf.DUMMYFUNCTION("""COMPUTED_VALUE"""),"TE")</f>
        <v>TE</v>
      </c>
      <c r="F514" s="3" t="str">
        <f>IFERROR(__xludf.DUMMYFUNCTION("""COMPUTED_VALUE"""),"Winda Sokenda")</f>
        <v>Winda Sokenda</v>
      </c>
      <c r="G514" s="3" t="str">
        <f>IFERROR(__xludf.DUMMYFUNCTION("""COMPUTED_VALUE"""),"Barito Raya")</f>
        <v>Barito Raya</v>
      </c>
      <c r="H514" s="3" t="str">
        <f>IFERROR(__xludf.DUMMYFUNCTION("""COMPUTED_VALUE"""),"Standby")</f>
        <v>Standby</v>
      </c>
      <c r="I514" s="3" t="str">
        <f>IFERROR(__xludf.DUMMYFUNCTION("""COMPUTED_VALUE"""),"Standby On Call")</f>
        <v>Standby On Call</v>
      </c>
      <c r="J514" s="3"/>
      <c r="K514" s="27">
        <f>IFERROR(__xludf.DUMMYFUNCTION("""COMPUTED_VALUE"""),46027.0)</f>
        <v>46027</v>
      </c>
      <c r="L514" s="3"/>
      <c r="M514" s="3"/>
      <c r="N514" s="3"/>
      <c r="O514" s="3" t="str">
        <f>IFERROR(VLOOKUP(C514,Sheet4!A514:F1301,6,0),"")</f>
        <v/>
      </c>
      <c r="Q514" s="2" t="str">
        <f t="shared" si="1"/>
        <v>05</v>
      </c>
    </row>
    <row r="515">
      <c r="A515" s="3" t="str">
        <f>IFERROR(__xludf.DUMMYFUNCTION("""COMPUTED_VALUE"""),"Site Down")</f>
        <v>Site Down</v>
      </c>
      <c r="B515" s="3" t="str">
        <f>IFERROR(__xludf.DUMMYFUNCTION("""COMPUTED_VALUE"""),"P1")</f>
        <v>P1</v>
      </c>
      <c r="C515" s="3" t="str">
        <f>IFERROR(__xludf.DUMMYFUNCTION("""COMPUTED_VALUE"""),"COH049")</f>
        <v>COH049</v>
      </c>
      <c r="D515" s="3" t="str">
        <f>IFERROR(__xludf.DUMMYFUNCTION("""COMPUTED_VALUE"""),"Murjani")</f>
        <v>Murjani</v>
      </c>
      <c r="E515" s="3" t="str">
        <f>IFERROR(__xludf.DUMMYFUNCTION("""COMPUTED_VALUE"""),"TE")</f>
        <v>TE</v>
      </c>
      <c r="F515" s="3" t="str">
        <f>IFERROR(__xludf.DUMMYFUNCTION("""COMPUTED_VALUE"""),"Winda Sokenda")</f>
        <v>Winda Sokenda</v>
      </c>
      <c r="G515" s="3" t="str">
        <f>IFERROR(__xludf.DUMMYFUNCTION("""COMPUTED_VALUE"""),"Barito Raya")</f>
        <v>Barito Raya</v>
      </c>
      <c r="H515" s="3" t="str">
        <f>IFERROR(__xludf.DUMMYFUNCTION("""COMPUTED_VALUE"""),"Corrective")</f>
        <v>Corrective</v>
      </c>
      <c r="I515" s="3" t="str">
        <f>IFERROR(__xludf.DUMMYFUNCTION("""COMPUTED_VALUE"""),"Pemadaman,MCB Trip,Transmisi problem")</f>
        <v>Pemadaman,MCB Trip,Transmisi problem</v>
      </c>
      <c r="J515" s="3"/>
      <c r="K515" s="27">
        <f>IFERROR(__xludf.DUMMYFUNCTION("""COMPUTED_VALUE"""),46027.0)</f>
        <v>46027</v>
      </c>
      <c r="L515" s="3"/>
      <c r="M515" s="3"/>
      <c r="N515" s="3"/>
      <c r="O515" s="3" t="str">
        <f>IFERROR(VLOOKUP(C515,Sheet4!A515:F1302,6,0),"")</f>
        <v/>
      </c>
      <c r="Q515" s="2" t="str">
        <f t="shared" si="1"/>
        <v>05</v>
      </c>
    </row>
    <row r="516">
      <c r="A516" s="3" t="str">
        <f>IFERROR(__xludf.DUMMYFUNCTION("""COMPUTED_VALUE"""),"Cell down")</f>
        <v>Cell down</v>
      </c>
      <c r="B516" s="3" t="str">
        <f>IFERROR(__xludf.DUMMYFUNCTION("""COMPUTED_VALUE"""),"P1")</f>
        <v>P1</v>
      </c>
      <c r="C516" s="3" t="str">
        <f>IFERROR(__xludf.DUMMYFUNCTION("""COMPUTED_VALUE"""),"KKP054")</f>
        <v>KKP054</v>
      </c>
      <c r="D516" s="3" t="str">
        <f>IFERROR(__xludf.DUMMYFUNCTION("""COMPUTED_VALUE"""),"Reynaldy Ricardo Putra")</f>
        <v>Reynaldy Ricardo Putra</v>
      </c>
      <c r="E516" s="3" t="str">
        <f>IFERROR(__xludf.DUMMYFUNCTION("""COMPUTED_VALUE"""),"TE")</f>
        <v>TE</v>
      </c>
      <c r="F516" s="3" t="str">
        <f>IFERROR(__xludf.DUMMYFUNCTION("""COMPUTED_VALUE"""),"Winda Sokenda")</f>
        <v>Winda Sokenda</v>
      </c>
      <c r="G516" s="3" t="str">
        <f>IFERROR(__xludf.DUMMYFUNCTION("""COMPUTED_VALUE"""),"Barito Raya")</f>
        <v>Barito Raya</v>
      </c>
      <c r="H516" s="3" t="str">
        <f>IFERROR(__xludf.DUMMYFUNCTION("""COMPUTED_VALUE"""),"Corrective")</f>
        <v>Corrective</v>
      </c>
      <c r="I516" s="3" t="str">
        <f>IFERROR(__xludf.DUMMYFUNCTION("""COMPUTED_VALUE"""),"Replace Optik,RRU/Soket Power/Replace GPS")</f>
        <v>Replace Optik,RRU/Soket Power/Replace GPS</v>
      </c>
      <c r="J516" s="3" t="str">
        <f>IFERROR(__xludf.DUMMYFUNCTION("""COMPUTED_VALUE"""),"Waiting Material")</f>
        <v>Waiting Material</v>
      </c>
      <c r="K516" s="27">
        <f>IFERROR(__xludf.DUMMYFUNCTION("""COMPUTED_VALUE"""),46027.0)</f>
        <v>46027</v>
      </c>
      <c r="L516" s="3"/>
      <c r="M516" s="3" t="str">
        <f>IFERROR(__xludf.DUMMYFUNCTION("""COMPUTED_VALUE"""),"Pending")</f>
        <v>Pending</v>
      </c>
      <c r="N516" s="3"/>
      <c r="O516" s="3" t="str">
        <f>IFERROR(VLOOKUP(C516,Sheet4!A516:F1303,6,0),"")</f>
        <v/>
      </c>
      <c r="Q516" s="2" t="str">
        <f t="shared" si="1"/>
        <v>05</v>
      </c>
    </row>
    <row r="517">
      <c r="A517" s="3" t="str">
        <f>IFERROR(__xludf.DUMMYFUNCTION("""COMPUTED_VALUE"""),"Cell down")</f>
        <v>Cell down</v>
      </c>
      <c r="B517" s="3" t="str">
        <f>IFERROR(__xludf.DUMMYFUNCTION("""COMPUTED_VALUE"""),"P1")</f>
        <v>P1</v>
      </c>
      <c r="C517" s="3" t="str">
        <f>IFERROR(__xludf.DUMMYFUNCTION("""COMPUTED_VALUE"""),"KKP074")</f>
        <v>KKP074</v>
      </c>
      <c r="D517" s="3" t="str">
        <f>IFERROR(__xludf.DUMMYFUNCTION("""COMPUTED_VALUE"""),"Sahrul Saputra")</f>
        <v>Sahrul Saputra</v>
      </c>
      <c r="E517" s="3" t="str">
        <f>IFERROR(__xludf.DUMMYFUNCTION("""COMPUTED_VALUE"""),"TE")</f>
        <v>TE</v>
      </c>
      <c r="F517" s="3" t="str">
        <f>IFERROR(__xludf.DUMMYFUNCTION("""COMPUTED_VALUE"""),"Winda Sokenda")</f>
        <v>Winda Sokenda</v>
      </c>
      <c r="G517" s="3" t="str">
        <f>IFERROR(__xludf.DUMMYFUNCTION("""COMPUTED_VALUE"""),"Barito Raya")</f>
        <v>Barito Raya</v>
      </c>
      <c r="H517" s="3" t="str">
        <f>IFERROR(__xludf.DUMMYFUNCTION("""COMPUTED_VALUE"""),"Corrective")</f>
        <v>Corrective</v>
      </c>
      <c r="I517" s="3" t="str">
        <f>IFERROR(__xludf.DUMMYFUNCTION("""COMPUTED_VALUE"""),"Replace Optik,RRU/Soket Power/Replace GPS")</f>
        <v>Replace Optik,RRU/Soket Power/Replace GPS</v>
      </c>
      <c r="J517" s="3" t="str">
        <f>IFERROR(__xludf.DUMMYFUNCTION("""COMPUTED_VALUE"""),"Waiting Material")</f>
        <v>Waiting Material</v>
      </c>
      <c r="K517" s="27">
        <f>IFERROR(__xludf.DUMMYFUNCTION("""COMPUTED_VALUE"""),46027.0)</f>
        <v>46027</v>
      </c>
      <c r="L517" s="3"/>
      <c r="M517" s="3" t="str">
        <f>IFERROR(__xludf.DUMMYFUNCTION("""COMPUTED_VALUE"""),"Pending")</f>
        <v>Pending</v>
      </c>
      <c r="N517" s="3"/>
      <c r="O517" s="3" t="str">
        <f>IFERROR(VLOOKUP(C517,Sheet4!A517:F1304,6,0),"")</f>
        <v/>
      </c>
      <c r="Q517" s="2" t="str">
        <f t="shared" si="1"/>
        <v>05</v>
      </c>
    </row>
    <row r="518">
      <c r="A518" s="3" t="str">
        <f>IFERROR(__xludf.DUMMYFUNCTION("""COMPUTED_VALUE"""),"Sick")</f>
        <v>Sick</v>
      </c>
      <c r="B518" s="3" t="str">
        <f>IFERROR(__xludf.DUMMYFUNCTION("""COMPUTED_VALUE"""),"P3")</f>
        <v>P3</v>
      </c>
      <c r="C518" s="3"/>
      <c r="D518" s="3" t="str">
        <f>IFERROR(__xludf.DUMMYFUNCTION("""COMPUTED_VALUE"""),"Armadi")</f>
        <v>Armadi</v>
      </c>
      <c r="E518" s="3" t="str">
        <f>IFERROR(__xludf.DUMMYFUNCTION("""COMPUTED_VALUE"""),"TE")</f>
        <v>TE</v>
      </c>
      <c r="F518" s="3" t="str">
        <f>IFERROR(__xludf.DUMMYFUNCTION("""COMPUTED_VALUE"""),"Winda Sokenda")</f>
        <v>Winda Sokenda</v>
      </c>
      <c r="G518" s="3" t="str">
        <f>IFERROR(__xludf.DUMMYFUNCTION("""COMPUTED_VALUE"""),"Barito Raya")</f>
        <v>Barito Raya</v>
      </c>
      <c r="H518" s="3" t="str">
        <f>IFERROR(__xludf.DUMMYFUNCTION("""COMPUTED_VALUE"""),"Sick")</f>
        <v>Sick</v>
      </c>
      <c r="I518" s="3" t="str">
        <f>IFERROR(__xludf.DUMMYFUNCTION("""COMPUTED_VALUE"""),"Sick")</f>
        <v>Sick</v>
      </c>
      <c r="J518" s="3" t="str">
        <f>IFERROR(__xludf.DUMMYFUNCTION("""COMPUTED_VALUE"""),"Standby")</f>
        <v>Standby</v>
      </c>
      <c r="K518" s="27">
        <f>IFERROR(__xludf.DUMMYFUNCTION("""COMPUTED_VALUE"""),46027.0)</f>
        <v>46027</v>
      </c>
      <c r="L518" s="3"/>
      <c r="M518" s="3"/>
      <c r="N518" s="3"/>
      <c r="O518" s="3" t="str">
        <f>IFERROR(VLOOKUP(C518,Sheet4!A518:F1305,6,0),"")</f>
        <v/>
      </c>
      <c r="Q518" s="2" t="str">
        <f t="shared" si="1"/>
        <v>05</v>
      </c>
    </row>
    <row r="519">
      <c r="A519" s="3" t="str">
        <f>IFERROR(__xludf.DUMMYFUNCTION("""COMPUTED_VALUE"""),"Standby On Call")</f>
        <v>Standby On Call</v>
      </c>
      <c r="B519" s="3" t="str">
        <f>IFERROR(__xludf.DUMMYFUNCTION("""COMPUTED_VALUE"""),"P3")</f>
        <v>P3</v>
      </c>
      <c r="C519" s="3"/>
      <c r="D519" s="3" t="str">
        <f>IFERROR(__xludf.DUMMYFUNCTION("""COMPUTED_VALUE"""),"Nurhayat")</f>
        <v>Nurhayat</v>
      </c>
      <c r="E519" s="3" t="str">
        <f>IFERROR(__xludf.DUMMYFUNCTION("""COMPUTED_VALUE"""),"MBP")</f>
        <v>MBP</v>
      </c>
      <c r="F519" s="3" t="str">
        <f>IFERROR(__xludf.DUMMYFUNCTION("""COMPUTED_VALUE"""),"Winda Sokenda")</f>
        <v>Winda Sokenda</v>
      </c>
      <c r="G519" s="3" t="str">
        <f>IFERROR(__xludf.DUMMYFUNCTION("""COMPUTED_VALUE"""),"Barito Raya")</f>
        <v>Barito Raya</v>
      </c>
      <c r="H519" s="3" t="str">
        <f>IFERROR(__xludf.DUMMYFUNCTION("""COMPUTED_VALUE"""),"Standby")</f>
        <v>Standby</v>
      </c>
      <c r="I519" s="3" t="str">
        <f>IFERROR(__xludf.DUMMYFUNCTION("""COMPUTED_VALUE"""),"Standby On Call")</f>
        <v>Standby On Call</v>
      </c>
      <c r="J519" s="3"/>
      <c r="K519" s="27">
        <f>IFERROR(__xludf.DUMMYFUNCTION("""COMPUTED_VALUE"""),46027.0)</f>
        <v>46027</v>
      </c>
      <c r="L519" s="3"/>
      <c r="M519" s="3"/>
      <c r="N519" s="3"/>
      <c r="O519" s="3" t="str">
        <f>IFERROR(VLOOKUP(C519,Sheet4!A519:F1306,6,0),"")</f>
        <v/>
      </c>
      <c r="Q519" s="2" t="str">
        <f t="shared" si="1"/>
        <v>05</v>
      </c>
    </row>
    <row r="520">
      <c r="A520" s="3" t="str">
        <f>IFERROR(__xludf.DUMMYFUNCTION("""COMPUTED_VALUE"""),"Standby On Call")</f>
        <v>Standby On Call</v>
      </c>
      <c r="B520" s="3" t="str">
        <f>IFERROR(__xludf.DUMMYFUNCTION("""COMPUTED_VALUE"""),"P3")</f>
        <v>P3</v>
      </c>
      <c r="C520" s="3"/>
      <c r="D520" s="3" t="str">
        <f>IFERROR(__xludf.DUMMYFUNCTION("""COMPUTED_VALUE"""),"Harun Nurasyid")</f>
        <v>Harun Nurasyid</v>
      </c>
      <c r="E520" s="3" t="str">
        <f>IFERROR(__xludf.DUMMYFUNCTION("""COMPUTED_VALUE"""),"CME")</f>
        <v>CME</v>
      </c>
      <c r="F520" s="3" t="str">
        <f>IFERROR(__xludf.DUMMYFUNCTION("""COMPUTED_VALUE"""),"Winda Sokenda")</f>
        <v>Winda Sokenda</v>
      </c>
      <c r="G520" s="3" t="str">
        <f>IFERROR(__xludf.DUMMYFUNCTION("""COMPUTED_VALUE"""),"Barito Raya")</f>
        <v>Barito Raya</v>
      </c>
      <c r="H520" s="3" t="str">
        <f>IFERROR(__xludf.DUMMYFUNCTION("""COMPUTED_VALUE"""),"Standby")</f>
        <v>Standby</v>
      </c>
      <c r="I520" s="3" t="str">
        <f>IFERROR(__xludf.DUMMYFUNCTION("""COMPUTED_VALUE"""),"Standby On Call")</f>
        <v>Standby On Call</v>
      </c>
      <c r="J520" s="3"/>
      <c r="K520" s="27">
        <f>IFERROR(__xludf.DUMMYFUNCTION("""COMPUTED_VALUE"""),46027.0)</f>
        <v>46027</v>
      </c>
      <c r="L520" s="3"/>
      <c r="M520" s="3"/>
      <c r="N520" s="3"/>
      <c r="O520" s="3" t="str">
        <f>IFERROR(VLOOKUP(C520,Sheet4!A520:F1307,6,0),"")</f>
        <v/>
      </c>
      <c r="Q520" s="2" t="str">
        <f t="shared" si="1"/>
        <v>05</v>
      </c>
    </row>
    <row r="521">
      <c r="A521" s="3" t="str">
        <f>IFERROR(__xludf.DUMMYFUNCTION("""COMPUTED_VALUE"""),"Standby On Call")</f>
        <v>Standby On Call</v>
      </c>
      <c r="B521" s="3" t="str">
        <f>IFERROR(__xludf.DUMMYFUNCTION("""COMPUTED_VALUE"""),"P3")</f>
        <v>P3</v>
      </c>
      <c r="C521" s="3"/>
      <c r="D521" s="3" t="str">
        <f>IFERROR(__xludf.DUMMYFUNCTION("""COMPUTED_VALUE"""),"Taklim")</f>
        <v>Taklim</v>
      </c>
      <c r="E521" s="3" t="str">
        <f>IFERROR(__xludf.DUMMYFUNCTION("""COMPUTED_VALUE"""),"MBP")</f>
        <v>MBP</v>
      </c>
      <c r="F521" s="3" t="str">
        <f>IFERROR(__xludf.DUMMYFUNCTION("""COMPUTED_VALUE"""),"Winda Sokenda")</f>
        <v>Winda Sokenda</v>
      </c>
      <c r="G521" s="3" t="str">
        <f>IFERROR(__xludf.DUMMYFUNCTION("""COMPUTED_VALUE"""),"Barito Raya")</f>
        <v>Barito Raya</v>
      </c>
      <c r="H521" s="3" t="str">
        <f>IFERROR(__xludf.DUMMYFUNCTION("""COMPUTED_VALUE"""),"Standby")</f>
        <v>Standby</v>
      </c>
      <c r="I521" s="3" t="str">
        <f>IFERROR(__xludf.DUMMYFUNCTION("""COMPUTED_VALUE"""),"Standby On Call")</f>
        <v>Standby On Call</v>
      </c>
      <c r="J521" s="3"/>
      <c r="K521" s="27">
        <f>IFERROR(__xludf.DUMMYFUNCTION("""COMPUTED_VALUE"""),46027.0)</f>
        <v>46027</v>
      </c>
      <c r="L521" s="27">
        <f>IFERROR(__xludf.DUMMYFUNCTION("""COMPUTED_VALUE"""),46027.0)</f>
        <v>46027</v>
      </c>
      <c r="M521" s="3"/>
      <c r="N521" s="3"/>
      <c r="O521" s="3" t="str">
        <f>IFERROR(VLOOKUP(C521,Sheet4!A521:F1308,6,0),"")</f>
        <v/>
      </c>
      <c r="Q521" s="2" t="str">
        <f t="shared" si="1"/>
        <v>05</v>
      </c>
    </row>
    <row r="522">
      <c r="A522" s="3" t="str">
        <f>IFERROR(__xludf.DUMMYFUNCTION("""COMPUTED_VALUE"""),"Standby On Call")</f>
        <v>Standby On Call</v>
      </c>
      <c r="B522" s="3" t="str">
        <f>IFERROR(__xludf.DUMMYFUNCTION("""COMPUTED_VALUE"""),"P3")</f>
        <v>P3</v>
      </c>
      <c r="C522" s="3"/>
      <c r="D522" s="3" t="str">
        <f>IFERROR(__xludf.DUMMYFUNCTION("""COMPUTED_VALUE"""),"Rio ardinata")</f>
        <v>Rio ardinata</v>
      </c>
      <c r="E522" s="3" t="str">
        <f>IFERROR(__xludf.DUMMYFUNCTION("""COMPUTED_VALUE"""),"MBP")</f>
        <v>MBP</v>
      </c>
      <c r="F522" s="3" t="str">
        <f>IFERROR(__xludf.DUMMYFUNCTION("""COMPUTED_VALUE"""),"Winda Sokenda")</f>
        <v>Winda Sokenda</v>
      </c>
      <c r="G522" s="3" t="str">
        <f>IFERROR(__xludf.DUMMYFUNCTION("""COMPUTED_VALUE"""),"Barito Raya")</f>
        <v>Barito Raya</v>
      </c>
      <c r="H522" s="3" t="str">
        <f>IFERROR(__xludf.DUMMYFUNCTION("""COMPUTED_VALUE"""),"Standby")</f>
        <v>Standby</v>
      </c>
      <c r="I522" s="3" t="str">
        <f>IFERROR(__xludf.DUMMYFUNCTION("""COMPUTED_VALUE"""),"Standby On Call")</f>
        <v>Standby On Call</v>
      </c>
      <c r="J522" s="3" t="str">
        <f>IFERROR(__xludf.DUMMYFUNCTION("""COMPUTED_VALUE"""),"Standby")</f>
        <v>Standby</v>
      </c>
      <c r="K522" s="27">
        <f>IFERROR(__xludf.DUMMYFUNCTION("""COMPUTED_VALUE"""),46027.0)</f>
        <v>46027</v>
      </c>
      <c r="L522" s="27">
        <f>IFERROR(__xludf.DUMMYFUNCTION("""COMPUTED_VALUE"""),46027.0)</f>
        <v>46027</v>
      </c>
      <c r="M522" s="3"/>
      <c r="N522" s="3"/>
      <c r="O522" s="3" t="str">
        <f>IFERROR(VLOOKUP(C522,Sheet4!A522:F1309,6,0),"")</f>
        <v/>
      </c>
      <c r="Q522" s="2" t="str">
        <f t="shared" si="1"/>
        <v>05</v>
      </c>
    </row>
    <row r="523">
      <c r="A523" s="3" t="str">
        <f>IFERROR(__xludf.DUMMYFUNCTION("""COMPUTED_VALUE"""),"Standby On Call")</f>
        <v>Standby On Call</v>
      </c>
      <c r="B523" s="3" t="str">
        <f>IFERROR(__xludf.DUMMYFUNCTION("""COMPUTED_VALUE"""),"P3")</f>
        <v>P3</v>
      </c>
      <c r="C523" s="3"/>
      <c r="D523" s="3" t="str">
        <f>IFERROR(__xludf.DUMMYFUNCTION("""COMPUTED_VALUE"""),"Ahmad Muzakir")</f>
        <v>Ahmad Muzakir</v>
      </c>
      <c r="E523" s="3" t="str">
        <f>IFERROR(__xludf.DUMMYFUNCTION("""COMPUTED_VALUE"""),"MBP")</f>
        <v>MBP</v>
      </c>
      <c r="F523" s="3" t="str">
        <f>IFERROR(__xludf.DUMMYFUNCTION("""COMPUTED_VALUE"""),"Winda Sokenda")</f>
        <v>Winda Sokenda</v>
      </c>
      <c r="G523" s="3" t="str">
        <f>IFERROR(__xludf.DUMMYFUNCTION("""COMPUTED_VALUE"""),"Barito Raya")</f>
        <v>Barito Raya</v>
      </c>
      <c r="H523" s="3" t="str">
        <f>IFERROR(__xludf.DUMMYFUNCTION("""COMPUTED_VALUE"""),"Standby")</f>
        <v>Standby</v>
      </c>
      <c r="I523" s="3" t="str">
        <f>IFERROR(__xludf.DUMMYFUNCTION("""COMPUTED_VALUE"""),"Standby On Call")</f>
        <v>Standby On Call</v>
      </c>
      <c r="J523" s="3" t="str">
        <f>IFERROR(__xludf.DUMMYFUNCTION("""COMPUTED_VALUE"""),"Standby")</f>
        <v>Standby</v>
      </c>
      <c r="K523" s="27">
        <f>IFERROR(__xludf.DUMMYFUNCTION("""COMPUTED_VALUE"""),46027.0)</f>
        <v>46027</v>
      </c>
      <c r="L523" s="27">
        <f>IFERROR(__xludf.DUMMYFUNCTION("""COMPUTED_VALUE"""),46027.0)</f>
        <v>46027</v>
      </c>
      <c r="M523" s="3"/>
      <c r="N523" s="3"/>
      <c r="O523" s="3" t="str">
        <f>IFERROR(VLOOKUP(C523,Sheet4!A523:F1310,6,0),"")</f>
        <v/>
      </c>
      <c r="Q523" s="2" t="str">
        <f t="shared" si="1"/>
        <v>05</v>
      </c>
    </row>
    <row r="524">
      <c r="A524" s="3" t="str">
        <f>IFERROR(__xludf.DUMMYFUNCTION("""COMPUTED_VALUE"""),"Site Down")</f>
        <v>Site Down</v>
      </c>
      <c r="B524" s="3" t="str">
        <f>IFERROR(__xludf.DUMMYFUNCTION("""COMPUTED_VALUE"""),"P1")</f>
        <v>P1</v>
      </c>
      <c r="C524" s="3" t="str">
        <f>IFERROR(__xludf.DUMMYFUNCTION("""COMPUTED_VALUE"""),"KKP220")</f>
        <v>KKP220</v>
      </c>
      <c r="D524" s="3" t="str">
        <f>IFERROR(__xludf.DUMMYFUNCTION("""COMPUTED_VALUE"""),"Alfi Syahri")</f>
        <v>Alfi Syahri</v>
      </c>
      <c r="E524" s="3" t="str">
        <f>IFERROR(__xludf.DUMMYFUNCTION("""COMPUTED_VALUE"""),"CME")</f>
        <v>CME</v>
      </c>
      <c r="F524" s="3" t="str">
        <f>IFERROR(__xludf.DUMMYFUNCTION("""COMPUTED_VALUE"""),"Winda Sokenda")</f>
        <v>Winda Sokenda</v>
      </c>
      <c r="G524" s="3" t="str">
        <f>IFERROR(__xludf.DUMMYFUNCTION("""COMPUTED_VALUE"""),"Barito Raya")</f>
        <v>Barito Raya</v>
      </c>
      <c r="H524" s="3" t="str">
        <f>IFERROR(__xludf.DUMMYFUNCTION("""COMPUTED_VALUE"""),"Corrective")</f>
        <v>Corrective</v>
      </c>
      <c r="I524" s="3" t="str">
        <f>IFERROR(__xludf.DUMMYFUNCTION("""COMPUTED_VALUE"""),"Pemadaman,MCB Trip,Transmisi problem")</f>
        <v>Pemadaman,MCB Trip,Transmisi problem</v>
      </c>
      <c r="J524" s="3" t="str">
        <f>IFERROR(__xludf.DUMMYFUNCTION("""COMPUTED_VALUE"""),"On Progress")</f>
        <v>On Progress</v>
      </c>
      <c r="K524" s="27">
        <f>IFERROR(__xludf.DUMMYFUNCTION("""COMPUTED_VALUE"""),46027.0)</f>
        <v>46027</v>
      </c>
      <c r="L524" s="27">
        <f>IFERROR(__xludf.DUMMYFUNCTION("""COMPUTED_VALUE"""),46027.0)</f>
        <v>46027</v>
      </c>
      <c r="M524" s="3" t="str">
        <f>IFERROR(__xludf.DUMMYFUNCTION("""COMPUTED_VALUE"""),"Done")</f>
        <v>Done</v>
      </c>
      <c r="N524" s="3"/>
      <c r="O524" s="3">
        <f>IFERROR(VLOOKUP(C524,Sheet4!A524:F1311,6,0),"")</f>
        <v>1141726</v>
      </c>
      <c r="Q524" s="2" t="str">
        <f t="shared" si="1"/>
        <v>05</v>
      </c>
    </row>
    <row r="525">
      <c r="A525" s="3" t="str">
        <f>IFERROR(__xludf.DUMMYFUNCTION("""COMPUTED_VALUE"""),"Standby On Call")</f>
        <v>Standby On Call</v>
      </c>
      <c r="B525" s="3" t="str">
        <f>IFERROR(__xludf.DUMMYFUNCTION("""COMPUTED_VALUE"""),"P3")</f>
        <v>P3</v>
      </c>
      <c r="C525" s="3"/>
      <c r="D525" s="3" t="str">
        <f>IFERROR(__xludf.DUMMYFUNCTION("""COMPUTED_VALUE"""),"Pujianto")</f>
        <v>Pujianto</v>
      </c>
      <c r="E525" s="3" t="str">
        <f>IFERROR(__xludf.DUMMYFUNCTION("""COMPUTED_VALUE"""),"MBP")</f>
        <v>MBP</v>
      </c>
      <c r="F525" s="3" t="str">
        <f>IFERROR(__xludf.DUMMYFUNCTION("""COMPUTED_VALUE"""),"Winda Sokenda")</f>
        <v>Winda Sokenda</v>
      </c>
      <c r="G525" s="3" t="str">
        <f>IFERROR(__xludf.DUMMYFUNCTION("""COMPUTED_VALUE"""),"Barito Raya")</f>
        <v>Barito Raya</v>
      </c>
      <c r="H525" s="3" t="str">
        <f>IFERROR(__xludf.DUMMYFUNCTION("""COMPUTED_VALUE"""),"Standby")</f>
        <v>Standby</v>
      </c>
      <c r="I525" s="3" t="str">
        <f>IFERROR(__xludf.DUMMYFUNCTION("""COMPUTED_VALUE"""),"Standby On Call")</f>
        <v>Standby On Call</v>
      </c>
      <c r="J525" s="3" t="str">
        <f>IFERROR(__xludf.DUMMYFUNCTION("""COMPUTED_VALUE"""),"Standby")</f>
        <v>Standby</v>
      </c>
      <c r="K525" s="27">
        <f>IFERROR(__xludf.DUMMYFUNCTION("""COMPUTED_VALUE"""),46027.0)</f>
        <v>46027</v>
      </c>
      <c r="L525" s="27">
        <f>IFERROR(__xludf.DUMMYFUNCTION("""COMPUTED_VALUE"""),46027.0)</f>
        <v>46027</v>
      </c>
      <c r="M525" s="3"/>
      <c r="N525" s="3"/>
      <c r="O525" s="3" t="str">
        <f>IFERROR(VLOOKUP(C525,Sheet4!A525:F1312,6,0),"")</f>
        <v/>
      </c>
      <c r="Q525" s="2" t="str">
        <f t="shared" si="1"/>
        <v>05</v>
      </c>
    </row>
    <row r="526">
      <c r="A526" s="3" t="str">
        <f>IFERROR(__xludf.DUMMYFUNCTION("""COMPUTED_VALUE"""),"Cell down")</f>
        <v>Cell down</v>
      </c>
      <c r="B526" s="3" t="str">
        <f>IFERROR(__xludf.DUMMYFUNCTION("""COMPUTED_VALUE"""),"P1")</f>
        <v>P1</v>
      </c>
      <c r="C526" s="3" t="str">
        <f>IFERROR(__xludf.DUMMYFUNCTION("""COMPUTED_VALUE"""),"KKP072")</f>
        <v>KKP072</v>
      </c>
      <c r="D526" s="3" t="str">
        <f>IFERROR(__xludf.DUMMYFUNCTION("""COMPUTED_VALUE"""),"Trisno Susanto")</f>
        <v>Trisno Susanto</v>
      </c>
      <c r="E526" s="3" t="str">
        <f>IFERROR(__xludf.DUMMYFUNCTION("""COMPUTED_VALUE"""),"PM")</f>
        <v>PM</v>
      </c>
      <c r="F526" s="3" t="str">
        <f>IFERROR(__xludf.DUMMYFUNCTION("""COMPUTED_VALUE"""),"Winda Sokenda")</f>
        <v>Winda Sokenda</v>
      </c>
      <c r="G526" s="3" t="str">
        <f>IFERROR(__xludf.DUMMYFUNCTION("""COMPUTED_VALUE"""),"Barito Raya")</f>
        <v>Barito Raya</v>
      </c>
      <c r="H526" s="3" t="str">
        <f>IFERROR(__xludf.DUMMYFUNCTION("""COMPUTED_VALUE"""),"Corrective")</f>
        <v>Corrective</v>
      </c>
      <c r="I526" s="3" t="str">
        <f>IFERROR(__xludf.DUMMYFUNCTION("""COMPUTED_VALUE"""),"Replace Optik,RRU/Soket Power/Replace GPS")</f>
        <v>Replace Optik,RRU/Soket Power/Replace GPS</v>
      </c>
      <c r="J526" s="3" t="str">
        <f>IFERROR(__xludf.DUMMYFUNCTION("""COMPUTED_VALUE"""),"On Progress")</f>
        <v>On Progress</v>
      </c>
      <c r="K526" s="27">
        <f>IFERROR(__xludf.DUMMYFUNCTION("""COMPUTED_VALUE"""),46027.0)</f>
        <v>46027</v>
      </c>
      <c r="L526" s="27">
        <f>IFERROR(__xludf.DUMMYFUNCTION("""COMPUTED_VALUE"""),46027.0)</f>
        <v>46027</v>
      </c>
      <c r="M526" s="3" t="str">
        <f>IFERROR(__xludf.DUMMYFUNCTION("""COMPUTED_VALUE"""),"Done")</f>
        <v>Done</v>
      </c>
      <c r="N526" s="3"/>
      <c r="O526" s="3" t="str">
        <f>IFERROR(VLOOKUP(C526,Sheet4!A526:F1313,6,0),"")</f>
        <v/>
      </c>
      <c r="Q526" s="2" t="str">
        <f t="shared" si="1"/>
        <v>05</v>
      </c>
    </row>
    <row r="527">
      <c r="A527" s="3" t="str">
        <f>IFERROR(__xludf.DUMMYFUNCTION("""COMPUTED_VALUE"""),"PM")</f>
        <v>PM</v>
      </c>
      <c r="B527" s="3" t="str">
        <f>IFERROR(__xludf.DUMMYFUNCTION("""COMPUTED_VALUE"""),"P2")</f>
        <v>P2</v>
      </c>
      <c r="C527" s="3"/>
      <c r="D527" s="3" t="str">
        <f>IFERROR(__xludf.DUMMYFUNCTION("""COMPUTED_VALUE"""),"Khilal dawai katiri")</f>
        <v>Khilal dawai katiri</v>
      </c>
      <c r="E527" s="3" t="str">
        <f>IFERROR(__xludf.DUMMYFUNCTION("""COMPUTED_VALUE"""),"MBP")</f>
        <v>MBP</v>
      </c>
      <c r="F527" s="3" t="str">
        <f>IFERROR(__xludf.DUMMYFUNCTION("""COMPUTED_VALUE"""),"Winda Sokenda")</f>
        <v>Winda Sokenda</v>
      </c>
      <c r="G527" s="3" t="str">
        <f>IFERROR(__xludf.DUMMYFUNCTION("""COMPUTED_VALUE"""),"Barito Raya")</f>
        <v>Barito Raya</v>
      </c>
      <c r="H527" s="3" t="str">
        <f>IFERROR(__xludf.DUMMYFUNCTION("""COMPUTED_VALUE"""),"Preventive")</f>
        <v>Preventive</v>
      </c>
      <c r="I527" s="3" t="str">
        <f>IFERROR(__xludf.DUMMYFUNCTION("""COMPUTED_VALUE"""),"Preventive Maintenance")</f>
        <v>Preventive Maintenance</v>
      </c>
      <c r="J527" s="3" t="str">
        <f>IFERROR(__xludf.DUMMYFUNCTION("""COMPUTED_VALUE"""),"Waiting Material")</f>
        <v>Waiting Material</v>
      </c>
      <c r="K527" s="27">
        <f>IFERROR(__xludf.DUMMYFUNCTION("""COMPUTED_VALUE"""),46027.0)</f>
        <v>46027</v>
      </c>
      <c r="L527" s="27">
        <f>IFERROR(__xludf.DUMMYFUNCTION("""COMPUTED_VALUE"""),46027.0)</f>
        <v>46027</v>
      </c>
      <c r="M527" s="3" t="str">
        <f>IFERROR(__xludf.DUMMYFUNCTION("""COMPUTED_VALUE"""),"Pending")</f>
        <v>Pending</v>
      </c>
      <c r="N527" s="3"/>
      <c r="O527" s="3" t="str">
        <f>IFERROR(VLOOKUP(C527,Sheet4!A527:F1314,6,0),"")</f>
        <v/>
      </c>
      <c r="Q527" s="2" t="str">
        <f t="shared" si="1"/>
        <v>05</v>
      </c>
    </row>
    <row r="528">
      <c r="A528" s="3" t="str">
        <f>IFERROR(__xludf.DUMMYFUNCTION("""COMPUTED_VALUE"""),"PM")</f>
        <v>PM</v>
      </c>
      <c r="B528" s="3" t="str">
        <f>IFERROR(__xludf.DUMMYFUNCTION("""COMPUTED_VALUE"""),"P2")</f>
        <v>P2</v>
      </c>
      <c r="C528" s="3"/>
      <c r="D528" s="3" t="str">
        <f>IFERROR(__xludf.DUMMYFUNCTION("""COMPUTED_VALUE"""),"Riko setiadi")</f>
        <v>Riko setiadi</v>
      </c>
      <c r="E528" s="3" t="str">
        <f>IFERROR(__xludf.DUMMYFUNCTION("""COMPUTED_VALUE"""),"PM")</f>
        <v>PM</v>
      </c>
      <c r="F528" s="3" t="str">
        <f>IFERROR(__xludf.DUMMYFUNCTION("""COMPUTED_VALUE"""),"Winda Sokenda")</f>
        <v>Winda Sokenda</v>
      </c>
      <c r="G528" s="3" t="str">
        <f>IFERROR(__xludf.DUMMYFUNCTION("""COMPUTED_VALUE"""),"Barito Raya")</f>
        <v>Barito Raya</v>
      </c>
      <c r="H528" s="3" t="str">
        <f>IFERROR(__xludf.DUMMYFUNCTION("""COMPUTED_VALUE"""),"Preventive")</f>
        <v>Preventive</v>
      </c>
      <c r="I528" s="3" t="str">
        <f>IFERROR(__xludf.DUMMYFUNCTION("""COMPUTED_VALUE"""),"Preventive Maintenance")</f>
        <v>Preventive Maintenance</v>
      </c>
      <c r="J528" s="3" t="str">
        <f>IFERROR(__xludf.DUMMYFUNCTION("""COMPUTED_VALUE"""),"Waiting Material")</f>
        <v>Waiting Material</v>
      </c>
      <c r="K528" s="27">
        <f>IFERROR(__xludf.DUMMYFUNCTION("""COMPUTED_VALUE"""),46027.0)</f>
        <v>46027</v>
      </c>
      <c r="L528" s="27">
        <f>IFERROR(__xludf.DUMMYFUNCTION("""COMPUTED_VALUE"""),46027.0)</f>
        <v>46027</v>
      </c>
      <c r="M528" s="3" t="str">
        <f>IFERROR(__xludf.DUMMYFUNCTION("""COMPUTED_VALUE"""),"Pending")</f>
        <v>Pending</v>
      </c>
      <c r="N528" s="3"/>
      <c r="O528" s="3" t="str">
        <f>IFERROR(VLOOKUP(C528,Sheet4!A528:F1315,6,0),"")</f>
        <v/>
      </c>
      <c r="Q528" s="2" t="str">
        <f t="shared" si="1"/>
        <v>05</v>
      </c>
    </row>
    <row r="529">
      <c r="A529" s="3" t="str">
        <f>IFERROR(__xludf.DUMMYFUNCTION("""COMPUTED_VALUE"""),"Cell down")</f>
        <v>Cell down</v>
      </c>
      <c r="B529" s="3" t="str">
        <f>IFERROR(__xludf.DUMMYFUNCTION("""COMPUTED_VALUE"""),"P1")</f>
        <v>P1</v>
      </c>
      <c r="C529" s="3" t="str">
        <f>IFERROR(__xludf.DUMMYFUNCTION("""COMPUTED_VALUE"""),"KKP072")</f>
        <v>KKP072</v>
      </c>
      <c r="D529" s="3" t="str">
        <f>IFERROR(__xludf.DUMMYFUNCTION("""COMPUTED_VALUE"""),"Putra wardana")</f>
        <v>Putra wardana</v>
      </c>
      <c r="E529" s="3" t="str">
        <f>IFERROR(__xludf.DUMMYFUNCTION("""COMPUTED_VALUE"""),"TE")</f>
        <v>TE</v>
      </c>
      <c r="F529" s="3" t="str">
        <f>IFERROR(__xludf.DUMMYFUNCTION("""COMPUTED_VALUE"""),"Winda Sokenda")</f>
        <v>Winda Sokenda</v>
      </c>
      <c r="G529" s="3" t="str">
        <f>IFERROR(__xludf.DUMMYFUNCTION("""COMPUTED_VALUE"""),"Barito Raya")</f>
        <v>Barito Raya</v>
      </c>
      <c r="H529" s="3" t="str">
        <f>IFERROR(__xludf.DUMMYFUNCTION("""COMPUTED_VALUE"""),"Corrective")</f>
        <v>Corrective</v>
      </c>
      <c r="I529" s="3" t="str">
        <f>IFERROR(__xludf.DUMMYFUNCTION("""COMPUTED_VALUE"""),"Replace Optik,RRU/Soket Power/Replace GPS")</f>
        <v>Replace Optik,RRU/Soket Power/Replace GPS</v>
      </c>
      <c r="J529" s="3" t="str">
        <f>IFERROR(__xludf.DUMMYFUNCTION("""COMPUTED_VALUE"""),"On Progress")</f>
        <v>On Progress</v>
      </c>
      <c r="K529" s="27">
        <f>IFERROR(__xludf.DUMMYFUNCTION("""COMPUTED_VALUE"""),46028.0)</f>
        <v>46028</v>
      </c>
      <c r="L529" s="27">
        <f>IFERROR(__xludf.DUMMYFUNCTION("""COMPUTED_VALUE"""),46028.0)</f>
        <v>46028</v>
      </c>
      <c r="M529" s="3" t="str">
        <f>IFERROR(__xludf.DUMMYFUNCTION("""COMPUTED_VALUE"""),"Done")</f>
        <v>Done</v>
      </c>
      <c r="N529" s="3" t="str">
        <f>IFERROR(__xludf.DUMMYFUNCTION("""COMPUTED_VALUE"""),"Replace Optik")</f>
        <v>Replace Optik</v>
      </c>
      <c r="O529" s="3" t="str">
        <f>IFERROR(VLOOKUP(C529,Sheet4!A529:F1316,6,0),"")</f>
        <v/>
      </c>
      <c r="Q529" s="2" t="str">
        <f t="shared" si="1"/>
        <v>06</v>
      </c>
    </row>
    <row r="530">
      <c r="A530" s="3" t="str">
        <f>IFERROR(__xludf.DUMMYFUNCTION("""COMPUTED_VALUE"""),"Standby On Call")</f>
        <v>Standby On Call</v>
      </c>
      <c r="B530" s="3" t="str">
        <f>IFERROR(__xludf.DUMMYFUNCTION("""COMPUTED_VALUE"""),"P3")</f>
        <v>P3</v>
      </c>
      <c r="C530" s="3"/>
      <c r="D530" s="3" t="str">
        <f>IFERROR(__xludf.DUMMYFUNCTION("""COMPUTED_VALUE"""),"Sailillah")</f>
        <v>Sailillah</v>
      </c>
      <c r="E530" s="3" t="str">
        <f>IFERROR(__xludf.DUMMYFUNCTION("""COMPUTED_VALUE"""),"TE")</f>
        <v>TE</v>
      </c>
      <c r="F530" s="3" t="str">
        <f>IFERROR(__xludf.DUMMYFUNCTION("""COMPUTED_VALUE"""),"Winda Sokenda")</f>
        <v>Winda Sokenda</v>
      </c>
      <c r="G530" s="3" t="str">
        <f>IFERROR(__xludf.DUMMYFUNCTION("""COMPUTED_VALUE"""),"Barito Raya")</f>
        <v>Barito Raya</v>
      </c>
      <c r="H530" s="3" t="str">
        <f>IFERROR(__xludf.DUMMYFUNCTION("""COMPUTED_VALUE"""),"Standby")</f>
        <v>Standby</v>
      </c>
      <c r="I530" s="3" t="str">
        <f>IFERROR(__xludf.DUMMYFUNCTION("""COMPUTED_VALUE"""),"Standby On Call")</f>
        <v>Standby On Call</v>
      </c>
      <c r="J530" s="3"/>
      <c r="K530" s="27">
        <f>IFERROR(__xludf.DUMMYFUNCTION("""COMPUTED_VALUE"""),46028.0)</f>
        <v>46028</v>
      </c>
      <c r="L530" s="27">
        <f>IFERROR(__xludf.DUMMYFUNCTION("""COMPUTED_VALUE"""),46028.0)</f>
        <v>46028</v>
      </c>
      <c r="M530" s="3"/>
      <c r="N530" s="3"/>
      <c r="O530" s="3" t="str">
        <f>IFERROR(VLOOKUP(C530,Sheet4!A530:F1317,6,0),"")</f>
        <v/>
      </c>
      <c r="Q530" s="2" t="str">
        <f t="shared" si="1"/>
        <v>06</v>
      </c>
    </row>
    <row r="531">
      <c r="A531" s="3" t="str">
        <f>IFERROR(__xludf.DUMMYFUNCTION("""COMPUTED_VALUE"""),"Pengecekan battrey")</f>
        <v>Pengecekan battrey</v>
      </c>
      <c r="B531" s="3" t="str">
        <f>IFERROR(__xludf.DUMMYFUNCTION("""COMPUTED_VALUE"""),"P2")</f>
        <v>P2</v>
      </c>
      <c r="C531" s="3" t="str">
        <f>IFERROR(__xludf.DUMMYFUNCTION("""COMPUTED_VALUE"""),"MTW062")</f>
        <v>MTW062</v>
      </c>
      <c r="D531" s="3" t="str">
        <f>IFERROR(__xludf.DUMMYFUNCTION("""COMPUTED_VALUE"""),"Tiviansyah")</f>
        <v>Tiviansyah</v>
      </c>
      <c r="E531" s="3" t="str">
        <f>IFERROR(__xludf.DUMMYFUNCTION("""COMPUTED_VALUE"""),"TE")</f>
        <v>TE</v>
      </c>
      <c r="F531" s="3" t="str">
        <f>IFERROR(__xludf.DUMMYFUNCTION("""COMPUTED_VALUE"""),"Winda Sokenda")</f>
        <v>Winda Sokenda</v>
      </c>
      <c r="G531" s="3" t="str">
        <f>IFERROR(__xludf.DUMMYFUNCTION("""COMPUTED_VALUE"""),"Barito Raya")</f>
        <v>Barito Raya</v>
      </c>
      <c r="H531" s="3" t="str">
        <f>IFERROR(__xludf.DUMMYFUNCTION("""COMPUTED_VALUE"""),"Preventive")</f>
        <v>Preventive</v>
      </c>
      <c r="I531" s="3" t="str">
        <f>IFERROR(__xludf.DUMMYFUNCTION("""COMPUTED_VALUE"""),"Pengukuran dan pengambilan data log serta input Gdoc BBT")</f>
        <v>Pengukuran dan pengambilan data log serta input Gdoc BBT</v>
      </c>
      <c r="J531" s="3" t="str">
        <f>IFERROR(__xludf.DUMMYFUNCTION("""COMPUTED_VALUE"""),"On Progress")</f>
        <v>On Progress</v>
      </c>
      <c r="K531" s="27">
        <f>IFERROR(__xludf.DUMMYFUNCTION("""COMPUTED_VALUE"""),46028.0)</f>
        <v>46028</v>
      </c>
      <c r="L531" s="27">
        <f>IFERROR(__xludf.DUMMYFUNCTION("""COMPUTED_VALUE"""),46028.0)</f>
        <v>46028</v>
      </c>
      <c r="M531" s="3" t="str">
        <f>IFERROR(__xludf.DUMMYFUNCTION("""COMPUTED_VALUE"""),"Done")</f>
        <v>Done</v>
      </c>
      <c r="N531" s="3" t="str">
        <f>IFERROR(__xludf.DUMMYFUNCTION("""COMPUTED_VALUE"""),"LVD hang")</f>
        <v>LVD hang</v>
      </c>
      <c r="O531" s="3" t="str">
        <f>IFERROR(VLOOKUP(C531,Sheet4!A531:F1318,6,0),"")</f>
        <v/>
      </c>
      <c r="Q531" s="2" t="str">
        <f t="shared" si="1"/>
        <v>06</v>
      </c>
    </row>
    <row r="532">
      <c r="A532" s="3" t="str">
        <f>IFERROR(__xludf.DUMMYFUNCTION("""COMPUTED_VALUE"""),"Standby On Call")</f>
        <v>Standby On Call</v>
      </c>
      <c r="B532" s="3" t="str">
        <f>IFERROR(__xludf.DUMMYFUNCTION("""COMPUTED_VALUE"""),"P3")</f>
        <v>P3</v>
      </c>
      <c r="C532" s="3"/>
      <c r="D532" s="3" t="str">
        <f>IFERROR(__xludf.DUMMYFUNCTION("""COMPUTED_VALUE"""),"munawir akhmad")</f>
        <v>munawir akhmad</v>
      </c>
      <c r="E532" s="3" t="str">
        <f>IFERROR(__xludf.DUMMYFUNCTION("""COMPUTED_VALUE"""),"TE")</f>
        <v>TE</v>
      </c>
      <c r="F532" s="3" t="str">
        <f>IFERROR(__xludf.DUMMYFUNCTION("""COMPUTED_VALUE"""),"Winda Sokenda")</f>
        <v>Winda Sokenda</v>
      </c>
      <c r="G532" s="3" t="str">
        <f>IFERROR(__xludf.DUMMYFUNCTION("""COMPUTED_VALUE"""),"Barito Raya")</f>
        <v>Barito Raya</v>
      </c>
      <c r="H532" s="3" t="str">
        <f>IFERROR(__xludf.DUMMYFUNCTION("""COMPUTED_VALUE"""),"Standby")</f>
        <v>Standby</v>
      </c>
      <c r="I532" s="3" t="str">
        <f>IFERROR(__xludf.DUMMYFUNCTION("""COMPUTED_VALUE"""),"Standby On Call")</f>
        <v>Standby On Call</v>
      </c>
      <c r="J532" s="3"/>
      <c r="K532" s="27">
        <f>IFERROR(__xludf.DUMMYFUNCTION("""COMPUTED_VALUE"""),46028.0)</f>
        <v>46028</v>
      </c>
      <c r="L532" s="27">
        <f>IFERROR(__xludf.DUMMYFUNCTION("""COMPUTED_VALUE"""),46028.0)</f>
        <v>46028</v>
      </c>
      <c r="M532" s="3"/>
      <c r="N532" s="3"/>
      <c r="O532" s="3" t="str">
        <f>IFERROR(VLOOKUP(C532,Sheet4!A532:F1319,6,0),"")</f>
        <v/>
      </c>
      <c r="Q532" s="2" t="str">
        <f t="shared" si="1"/>
        <v>06</v>
      </c>
    </row>
    <row r="533">
      <c r="A533" s="3" t="str">
        <f>IFERROR(__xludf.DUMMYFUNCTION("""COMPUTED_VALUE"""),"Site Down")</f>
        <v>Site Down</v>
      </c>
      <c r="B533" s="3" t="str">
        <f>IFERROR(__xludf.DUMMYFUNCTION("""COMPUTED_VALUE"""),"P1")</f>
        <v>P1</v>
      </c>
      <c r="C533" s="3" t="str">
        <f>IFERROR(__xludf.DUMMYFUNCTION("""COMPUTED_VALUE"""),"MTW047")</f>
        <v>MTW047</v>
      </c>
      <c r="D533" s="3" t="str">
        <f>IFERROR(__xludf.DUMMYFUNCTION("""COMPUTED_VALUE"""),"Riki Hidayat")</f>
        <v>Riki Hidayat</v>
      </c>
      <c r="E533" s="3" t="str">
        <f>IFERROR(__xludf.DUMMYFUNCTION("""COMPUTED_VALUE"""),"TE")</f>
        <v>TE</v>
      </c>
      <c r="F533" s="3" t="str">
        <f>IFERROR(__xludf.DUMMYFUNCTION("""COMPUTED_VALUE"""),"Winda Sokenda")</f>
        <v>Winda Sokenda</v>
      </c>
      <c r="G533" s="3" t="str">
        <f>IFERROR(__xludf.DUMMYFUNCTION("""COMPUTED_VALUE"""),"Barito Raya")</f>
        <v>Barito Raya</v>
      </c>
      <c r="H533" s="3" t="str">
        <f>IFERROR(__xludf.DUMMYFUNCTION("""COMPUTED_VALUE"""),"Corrective")</f>
        <v>Corrective</v>
      </c>
      <c r="I533" s="3" t="str">
        <f>IFERROR(__xludf.DUMMYFUNCTION("""COMPUTED_VALUE"""),"Pemadaman,MCB Trip,Transmisi problem")</f>
        <v>Pemadaman,MCB Trip,Transmisi problem</v>
      </c>
      <c r="J533" s="3" t="str">
        <f>IFERROR(__xludf.DUMMYFUNCTION("""COMPUTED_VALUE"""),"On Progress")</f>
        <v>On Progress</v>
      </c>
      <c r="K533" s="27">
        <f>IFERROR(__xludf.DUMMYFUNCTION("""COMPUTED_VALUE"""),46028.0)</f>
        <v>46028</v>
      </c>
      <c r="L533" s="27">
        <f>IFERROR(__xludf.DUMMYFUNCTION("""COMPUTED_VALUE"""),46028.0)</f>
        <v>46028</v>
      </c>
      <c r="M533" s="3" t="str">
        <f>IFERROR(__xludf.DUMMYFUNCTION("""COMPUTED_VALUE"""),"Done")</f>
        <v>Done</v>
      </c>
      <c r="N533" s="3" t="str">
        <f>IFERROR(__xludf.DUMMYFUNCTION("""COMPUTED_VALUE"""),"PLN tidak stabil, 2 phasa cut")</f>
        <v>PLN tidak stabil, 2 phasa cut</v>
      </c>
      <c r="O533" s="3">
        <f>IFERROR(VLOOKUP(C533,Sheet4!A533:F1320,6,0),"")</f>
        <v>11486264</v>
      </c>
      <c r="Q533" s="2" t="str">
        <f t="shared" si="1"/>
        <v>06</v>
      </c>
    </row>
    <row r="534">
      <c r="A534" s="3" t="str">
        <f>IFERROR(__xludf.DUMMYFUNCTION("""COMPUTED_VALUE"""),"Site Down")</f>
        <v>Site Down</v>
      </c>
      <c r="B534" s="3" t="str">
        <f>IFERROR(__xludf.DUMMYFUNCTION("""COMPUTED_VALUE"""),"P1")</f>
        <v>P1</v>
      </c>
      <c r="C534" s="3" t="str">
        <f>IFERROR(__xludf.DUMMYFUNCTION("""COMPUTED_VALUE"""),"COH049")</f>
        <v>COH049</v>
      </c>
      <c r="D534" s="3" t="str">
        <f>IFERROR(__xludf.DUMMYFUNCTION("""COMPUTED_VALUE"""),"Murjani")</f>
        <v>Murjani</v>
      </c>
      <c r="E534" s="3" t="str">
        <f>IFERROR(__xludf.DUMMYFUNCTION("""COMPUTED_VALUE"""),"TE")</f>
        <v>TE</v>
      </c>
      <c r="F534" s="3" t="str">
        <f>IFERROR(__xludf.DUMMYFUNCTION("""COMPUTED_VALUE"""),"Winda Sokenda")</f>
        <v>Winda Sokenda</v>
      </c>
      <c r="G534" s="3" t="str">
        <f>IFERROR(__xludf.DUMMYFUNCTION("""COMPUTED_VALUE"""),"Barito Raya")</f>
        <v>Barito Raya</v>
      </c>
      <c r="H534" s="3" t="str">
        <f>IFERROR(__xludf.DUMMYFUNCTION("""COMPUTED_VALUE"""),"Corrective")</f>
        <v>Corrective</v>
      </c>
      <c r="I534" s="3" t="str">
        <f>IFERROR(__xludf.DUMMYFUNCTION("""COMPUTED_VALUE"""),"Pemadaman,MCB Trip,Transmisi problem")</f>
        <v>Pemadaman,MCB Trip,Transmisi problem</v>
      </c>
      <c r="J534" s="3" t="str">
        <f>IFERROR(__xludf.DUMMYFUNCTION("""COMPUTED_VALUE"""),"On Progress")</f>
        <v>On Progress</v>
      </c>
      <c r="K534" s="27">
        <f>IFERROR(__xludf.DUMMYFUNCTION("""COMPUTED_VALUE"""),46028.0)</f>
        <v>46028</v>
      </c>
      <c r="L534" s="27">
        <f>IFERROR(__xludf.DUMMYFUNCTION("""COMPUTED_VALUE"""),46028.0)</f>
        <v>46028</v>
      </c>
      <c r="M534" s="3" t="str">
        <f>IFERROR(__xludf.DUMMYFUNCTION("""COMPUTED_VALUE"""),"Done")</f>
        <v>Done</v>
      </c>
      <c r="N534" s="3" t="str">
        <f>IFERROR(__xludf.DUMMYFUNCTION("""COMPUTED_VALUE"""),"MCB trip")</f>
        <v>MCB trip</v>
      </c>
      <c r="O534" s="3" t="str">
        <f>IFERROR(VLOOKUP(C534,Sheet4!A534:F1321,6,0),"")</f>
        <v/>
      </c>
      <c r="Q534" s="2" t="str">
        <f t="shared" si="1"/>
        <v>06</v>
      </c>
    </row>
    <row r="535">
      <c r="A535" s="3" t="str">
        <f>IFERROR(__xludf.DUMMYFUNCTION("""COMPUTED_VALUE"""),"Sick")</f>
        <v>Sick</v>
      </c>
      <c r="B535" s="3" t="str">
        <f>IFERROR(__xludf.DUMMYFUNCTION("""COMPUTED_VALUE"""),"P3")</f>
        <v>P3</v>
      </c>
      <c r="C535" s="3"/>
      <c r="D535" s="3" t="str">
        <f>IFERROR(__xludf.DUMMYFUNCTION("""COMPUTED_VALUE"""),"Armadi")</f>
        <v>Armadi</v>
      </c>
      <c r="E535" s="3" t="str">
        <f>IFERROR(__xludf.DUMMYFUNCTION("""COMPUTED_VALUE"""),"TE")</f>
        <v>TE</v>
      </c>
      <c r="F535" s="3" t="str">
        <f>IFERROR(__xludf.DUMMYFUNCTION("""COMPUTED_VALUE"""),"Winda Sokenda")</f>
        <v>Winda Sokenda</v>
      </c>
      <c r="G535" s="3" t="str">
        <f>IFERROR(__xludf.DUMMYFUNCTION("""COMPUTED_VALUE"""),"Barito Raya")</f>
        <v>Barito Raya</v>
      </c>
      <c r="H535" s="3" t="str">
        <f>IFERROR(__xludf.DUMMYFUNCTION("""COMPUTED_VALUE"""),"Sick")</f>
        <v>Sick</v>
      </c>
      <c r="I535" s="3" t="str">
        <f>IFERROR(__xludf.DUMMYFUNCTION("""COMPUTED_VALUE"""),"Sick")</f>
        <v>Sick</v>
      </c>
      <c r="J535" s="3"/>
      <c r="K535" s="27">
        <f>IFERROR(__xludf.DUMMYFUNCTION("""COMPUTED_VALUE"""),46028.0)</f>
        <v>46028</v>
      </c>
      <c r="L535" s="27">
        <f>IFERROR(__xludf.DUMMYFUNCTION("""COMPUTED_VALUE"""),46028.0)</f>
        <v>46028</v>
      </c>
      <c r="M535" s="3"/>
      <c r="N535" s="3"/>
      <c r="O535" s="3" t="str">
        <f>IFERROR(VLOOKUP(C535,Sheet4!A535:F1322,6,0),"")</f>
        <v/>
      </c>
      <c r="Q535" s="2" t="str">
        <f t="shared" si="1"/>
        <v>06</v>
      </c>
    </row>
    <row r="536">
      <c r="A536" s="3" t="str">
        <f>IFERROR(__xludf.DUMMYFUNCTION("""COMPUTED_VALUE"""),"Cell down")</f>
        <v>Cell down</v>
      </c>
      <c r="B536" s="3" t="str">
        <f>IFERROR(__xludf.DUMMYFUNCTION("""COMPUTED_VALUE"""),"P1")</f>
        <v>P1</v>
      </c>
      <c r="C536" s="3" t="str">
        <f>IFERROR(__xludf.DUMMYFUNCTION("""COMPUTED_VALUE"""),"KKP074")</f>
        <v>KKP074</v>
      </c>
      <c r="D536" s="3" t="str">
        <f>IFERROR(__xludf.DUMMYFUNCTION("""COMPUTED_VALUE"""),"Reynaldy Ricardo Putra")</f>
        <v>Reynaldy Ricardo Putra</v>
      </c>
      <c r="E536" s="3" t="str">
        <f>IFERROR(__xludf.DUMMYFUNCTION("""COMPUTED_VALUE"""),"TE")</f>
        <v>TE</v>
      </c>
      <c r="F536" s="3" t="str">
        <f>IFERROR(__xludf.DUMMYFUNCTION("""COMPUTED_VALUE"""),"Winda Sokenda")</f>
        <v>Winda Sokenda</v>
      </c>
      <c r="G536" s="3" t="str">
        <f>IFERROR(__xludf.DUMMYFUNCTION("""COMPUTED_VALUE"""),"Barito Raya")</f>
        <v>Barito Raya</v>
      </c>
      <c r="H536" s="3" t="str">
        <f>IFERROR(__xludf.DUMMYFUNCTION("""COMPUTED_VALUE"""),"Corrective")</f>
        <v>Corrective</v>
      </c>
      <c r="I536" s="3" t="str">
        <f>IFERROR(__xludf.DUMMYFUNCTION("""COMPUTED_VALUE"""),"Replace Optik,RRU/Soket Power/Replace GPS")</f>
        <v>Replace Optik,RRU/Soket Power/Replace GPS</v>
      </c>
      <c r="J536" s="3" t="str">
        <f>IFERROR(__xludf.DUMMYFUNCTION("""COMPUTED_VALUE"""),"Waiting Material")</f>
        <v>Waiting Material</v>
      </c>
      <c r="K536" s="27">
        <f>IFERROR(__xludf.DUMMYFUNCTION("""COMPUTED_VALUE"""),46028.0)</f>
        <v>46028</v>
      </c>
      <c r="L536" s="27">
        <f>IFERROR(__xludf.DUMMYFUNCTION("""COMPUTED_VALUE"""),46028.0)</f>
        <v>46028</v>
      </c>
      <c r="M536" s="3" t="str">
        <f>IFERROR(__xludf.DUMMYFUNCTION("""COMPUTED_VALUE"""),"Pending")</f>
        <v>Pending</v>
      </c>
      <c r="N536" s="3"/>
      <c r="O536" s="3" t="str">
        <f>IFERROR(VLOOKUP(C536,Sheet4!A536:F1323,6,0),"")</f>
        <v/>
      </c>
      <c r="Q536" s="2" t="str">
        <f t="shared" si="1"/>
        <v>06</v>
      </c>
    </row>
    <row r="537">
      <c r="A537" s="3" t="str">
        <f>IFERROR(__xludf.DUMMYFUNCTION("""COMPUTED_VALUE"""),"Cell down")</f>
        <v>Cell down</v>
      </c>
      <c r="B537" s="3" t="str">
        <f>IFERROR(__xludf.DUMMYFUNCTION("""COMPUTED_VALUE"""),"P1")</f>
        <v>P1</v>
      </c>
      <c r="C537" s="3" t="str">
        <f>IFERROR(__xludf.DUMMYFUNCTION("""COMPUTED_VALUE"""),"KKP054")</f>
        <v>KKP054</v>
      </c>
      <c r="D537" s="3" t="str">
        <f>IFERROR(__xludf.DUMMYFUNCTION("""COMPUTED_VALUE"""),"Sahrul Saputra")</f>
        <v>Sahrul Saputra</v>
      </c>
      <c r="E537" s="3" t="str">
        <f>IFERROR(__xludf.DUMMYFUNCTION("""COMPUTED_VALUE"""),"TE")</f>
        <v>TE</v>
      </c>
      <c r="F537" s="3" t="str">
        <f>IFERROR(__xludf.DUMMYFUNCTION("""COMPUTED_VALUE"""),"Winda Sokenda")</f>
        <v>Winda Sokenda</v>
      </c>
      <c r="G537" s="3" t="str">
        <f>IFERROR(__xludf.DUMMYFUNCTION("""COMPUTED_VALUE"""),"Barito Raya")</f>
        <v>Barito Raya</v>
      </c>
      <c r="H537" s="3" t="str">
        <f>IFERROR(__xludf.DUMMYFUNCTION("""COMPUTED_VALUE"""),"Corrective")</f>
        <v>Corrective</v>
      </c>
      <c r="I537" s="3" t="str">
        <f>IFERROR(__xludf.DUMMYFUNCTION("""COMPUTED_VALUE"""),"Replace Optik,RRU/Soket Power/Replace GPS")</f>
        <v>Replace Optik,RRU/Soket Power/Replace GPS</v>
      </c>
      <c r="J537" s="3" t="str">
        <f>IFERROR(__xludf.DUMMYFUNCTION("""COMPUTED_VALUE"""),"On Progress")</f>
        <v>On Progress</v>
      </c>
      <c r="K537" s="27">
        <f>IFERROR(__xludf.DUMMYFUNCTION("""COMPUTED_VALUE"""),46028.0)</f>
        <v>46028</v>
      </c>
      <c r="L537" s="27">
        <f>IFERROR(__xludf.DUMMYFUNCTION("""COMPUTED_VALUE"""),46028.0)</f>
        <v>46028</v>
      </c>
      <c r="M537" s="3" t="str">
        <f>IFERROR(__xludf.DUMMYFUNCTION("""COMPUTED_VALUE"""),"Pending")</f>
        <v>Pending</v>
      </c>
      <c r="N537" s="3" t="str">
        <f>IFERROR(__xludf.DUMMYFUNCTION("""COMPUTED_VALUE"""),"Part d kirim tgl 6/1/2026 siang")</f>
        <v>Part d kirim tgl 6/1/2026 siang</v>
      </c>
      <c r="O537" s="3" t="str">
        <f>IFERROR(VLOOKUP(C537,Sheet4!A537:F1324,6,0),"")</f>
        <v/>
      </c>
      <c r="Q537" s="2" t="str">
        <f t="shared" si="1"/>
        <v>06</v>
      </c>
    </row>
    <row r="538">
      <c r="A538" s="3" t="str">
        <f>IFERROR(__xludf.DUMMYFUNCTION("""COMPUTED_VALUE"""),"Standby On Call")</f>
        <v>Standby On Call</v>
      </c>
      <c r="B538" s="3" t="str">
        <f>IFERROR(__xludf.DUMMYFUNCTION("""COMPUTED_VALUE"""),"P3")</f>
        <v>P3</v>
      </c>
      <c r="C538" s="3"/>
      <c r="D538" s="3" t="str">
        <f>IFERROR(__xludf.DUMMYFUNCTION("""COMPUTED_VALUE"""),"Nurhayat")</f>
        <v>Nurhayat</v>
      </c>
      <c r="E538" s="3" t="str">
        <f>IFERROR(__xludf.DUMMYFUNCTION("""COMPUTED_VALUE"""),"MBP")</f>
        <v>MBP</v>
      </c>
      <c r="F538" s="3" t="str">
        <f>IFERROR(__xludf.DUMMYFUNCTION("""COMPUTED_VALUE"""),"Winda Sokenda")</f>
        <v>Winda Sokenda</v>
      </c>
      <c r="G538" s="3" t="str">
        <f>IFERROR(__xludf.DUMMYFUNCTION("""COMPUTED_VALUE"""),"Barito Raya")</f>
        <v>Barito Raya</v>
      </c>
      <c r="H538" s="3" t="str">
        <f>IFERROR(__xludf.DUMMYFUNCTION("""COMPUTED_VALUE"""),"Standby")</f>
        <v>Standby</v>
      </c>
      <c r="I538" s="3" t="str">
        <f>IFERROR(__xludf.DUMMYFUNCTION("""COMPUTED_VALUE"""),"Standby On Call")</f>
        <v>Standby On Call</v>
      </c>
      <c r="J538" s="3"/>
      <c r="K538" s="27">
        <f>IFERROR(__xludf.DUMMYFUNCTION("""COMPUTED_VALUE"""),46028.0)</f>
        <v>46028</v>
      </c>
      <c r="L538" s="27">
        <f>IFERROR(__xludf.DUMMYFUNCTION("""COMPUTED_VALUE"""),46028.0)</f>
        <v>46028</v>
      </c>
      <c r="M538" s="3"/>
      <c r="N538" s="3"/>
      <c r="O538" s="3" t="str">
        <f>IFERROR(VLOOKUP(C538,Sheet4!A538:F1325,6,0),"")</f>
        <v/>
      </c>
      <c r="Q538" s="2" t="str">
        <f t="shared" si="1"/>
        <v>06</v>
      </c>
    </row>
    <row r="539">
      <c r="A539" s="3" t="str">
        <f>IFERROR(__xludf.DUMMYFUNCTION("""COMPUTED_VALUE"""),"Pengecekan battrey")</f>
        <v>Pengecekan battrey</v>
      </c>
      <c r="B539" s="3" t="str">
        <f>IFERROR(__xludf.DUMMYFUNCTION("""COMPUTED_VALUE"""),"P2")</f>
        <v>P2</v>
      </c>
      <c r="C539" s="3" t="str">
        <f>IFERROR(__xludf.DUMMYFUNCTION("""COMPUTED_VALUE"""),"MTW062")</f>
        <v>MTW062</v>
      </c>
      <c r="D539" s="3" t="str">
        <f>IFERROR(__xludf.DUMMYFUNCTION("""COMPUTED_VALUE"""),"Harun Nurasyid")</f>
        <v>Harun Nurasyid</v>
      </c>
      <c r="E539" s="3" t="str">
        <f>IFERROR(__xludf.DUMMYFUNCTION("""COMPUTED_VALUE"""),"CME")</f>
        <v>CME</v>
      </c>
      <c r="F539" s="3" t="str">
        <f>IFERROR(__xludf.DUMMYFUNCTION("""COMPUTED_VALUE"""),"Winda Sokenda")</f>
        <v>Winda Sokenda</v>
      </c>
      <c r="G539" s="3" t="str">
        <f>IFERROR(__xludf.DUMMYFUNCTION("""COMPUTED_VALUE"""),"Barito Raya")</f>
        <v>Barito Raya</v>
      </c>
      <c r="H539" s="3" t="str">
        <f>IFERROR(__xludf.DUMMYFUNCTION("""COMPUTED_VALUE"""),"Preventive")</f>
        <v>Preventive</v>
      </c>
      <c r="I539" s="3" t="str">
        <f>IFERROR(__xludf.DUMMYFUNCTION("""COMPUTED_VALUE"""),"Pengukuran dan pengambilan data log serta input Gdoc BBT")</f>
        <v>Pengukuran dan pengambilan data log serta input Gdoc BBT</v>
      </c>
      <c r="J539" s="3" t="str">
        <f>IFERROR(__xludf.DUMMYFUNCTION("""COMPUTED_VALUE"""),"On Progress")</f>
        <v>On Progress</v>
      </c>
      <c r="K539" s="27">
        <f>IFERROR(__xludf.DUMMYFUNCTION("""COMPUTED_VALUE"""),46028.0)</f>
        <v>46028</v>
      </c>
      <c r="L539" s="27">
        <f>IFERROR(__xludf.DUMMYFUNCTION("""COMPUTED_VALUE"""),46028.0)</f>
        <v>46028</v>
      </c>
      <c r="M539" s="3" t="str">
        <f>IFERROR(__xludf.DUMMYFUNCTION("""COMPUTED_VALUE"""),"Done")</f>
        <v>Done</v>
      </c>
      <c r="N539" s="3" t="str">
        <f>IFERROR(__xludf.DUMMYFUNCTION("""COMPUTED_VALUE"""),"LVD hang")</f>
        <v>LVD hang</v>
      </c>
      <c r="O539" s="3" t="str">
        <f>IFERROR(VLOOKUP(C539,Sheet4!A539:F1326,6,0),"")</f>
        <v/>
      </c>
      <c r="Q539" s="2" t="str">
        <f t="shared" si="1"/>
        <v>06</v>
      </c>
    </row>
    <row r="540">
      <c r="A540" s="3" t="str">
        <f>IFERROR(__xludf.DUMMYFUNCTION("""COMPUTED_VALUE"""),"Pengecekan Power")</f>
        <v>Pengecekan Power</v>
      </c>
      <c r="B540" s="3" t="str">
        <f>IFERROR(__xludf.DUMMYFUNCTION("""COMPUTED_VALUE"""),"P1")</f>
        <v>P1</v>
      </c>
      <c r="C540" s="3" t="str">
        <f>IFERROR(__xludf.DUMMYFUNCTION("""COMPUTED_VALUE"""),"MTW047")</f>
        <v>MTW047</v>
      </c>
      <c r="D540" s="3" t="str">
        <f>IFERROR(__xludf.DUMMYFUNCTION("""COMPUTED_VALUE"""),"Taklim")</f>
        <v>Taklim</v>
      </c>
      <c r="E540" s="3" t="str">
        <f>IFERROR(__xludf.DUMMYFUNCTION("""COMPUTED_VALUE"""),"MBP")</f>
        <v>MBP</v>
      </c>
      <c r="F540" s="3" t="str">
        <f>IFERROR(__xludf.DUMMYFUNCTION("""COMPUTED_VALUE"""),"Winda Sokenda")</f>
        <v>Winda Sokenda</v>
      </c>
      <c r="G540" s="3" t="str">
        <f>IFERROR(__xludf.DUMMYFUNCTION("""COMPUTED_VALUE"""),"Barito Raya")</f>
        <v>Barito Raya</v>
      </c>
      <c r="H540" s="3" t="str">
        <f>IFERROR(__xludf.DUMMYFUNCTION("""COMPUTED_VALUE"""),"Preventive")</f>
        <v>Preventive</v>
      </c>
      <c r="I540" s="3" t="str">
        <f>IFERROR(__xludf.DUMMYFUNCTION("""COMPUTED_VALUE"""),"MCB trip/Power upnormal")</f>
        <v>MCB trip/Power upnormal</v>
      </c>
      <c r="J540" s="3" t="str">
        <f>IFERROR(__xludf.DUMMYFUNCTION("""COMPUTED_VALUE"""),"On Progress")</f>
        <v>On Progress</v>
      </c>
      <c r="K540" s="27">
        <f>IFERROR(__xludf.DUMMYFUNCTION("""COMPUTED_VALUE"""),46028.0)</f>
        <v>46028</v>
      </c>
      <c r="L540" s="27">
        <f>IFERROR(__xludf.DUMMYFUNCTION("""COMPUTED_VALUE"""),46028.0)</f>
        <v>46028</v>
      </c>
      <c r="M540" s="3" t="str">
        <f>IFERROR(__xludf.DUMMYFUNCTION("""COMPUTED_VALUE"""),"Done")</f>
        <v>Done</v>
      </c>
      <c r="N540" s="3" t="str">
        <f>IFERROR(__xludf.DUMMYFUNCTION("""COMPUTED_VALUE"""),"Backup, pln power ubnormal")</f>
        <v>Backup, pln power ubnormal</v>
      </c>
      <c r="O540" s="3">
        <f>IFERROR(VLOOKUP(C540,Sheet4!A540:F1327,6,0),"")</f>
        <v>11486264</v>
      </c>
      <c r="Q540" s="2" t="str">
        <f t="shared" si="1"/>
        <v>06</v>
      </c>
    </row>
    <row r="541">
      <c r="A541" s="3" t="str">
        <f>IFERROR(__xludf.DUMMYFUNCTION("""COMPUTED_VALUE"""),"Cell down")</f>
        <v>Cell down</v>
      </c>
      <c r="B541" s="3" t="str">
        <f>IFERROR(__xludf.DUMMYFUNCTION("""COMPUTED_VALUE"""),"P1")</f>
        <v>P1</v>
      </c>
      <c r="C541" s="3" t="str">
        <f>IFERROR(__xludf.DUMMYFUNCTION("""COMPUTED_VALUE"""),"KKP072")</f>
        <v>KKP072</v>
      </c>
      <c r="D541" s="3" t="str">
        <f>IFERROR(__xludf.DUMMYFUNCTION("""COMPUTED_VALUE"""),"Alfi Syahri")</f>
        <v>Alfi Syahri</v>
      </c>
      <c r="E541" s="3" t="str">
        <f>IFERROR(__xludf.DUMMYFUNCTION("""COMPUTED_VALUE"""),"CME")</f>
        <v>CME</v>
      </c>
      <c r="F541" s="3" t="str">
        <f>IFERROR(__xludf.DUMMYFUNCTION("""COMPUTED_VALUE"""),"Winda Sokenda")</f>
        <v>Winda Sokenda</v>
      </c>
      <c r="G541" s="3" t="str">
        <f>IFERROR(__xludf.DUMMYFUNCTION("""COMPUTED_VALUE"""),"Barito Raya")</f>
        <v>Barito Raya</v>
      </c>
      <c r="H541" s="3" t="str">
        <f>IFERROR(__xludf.DUMMYFUNCTION("""COMPUTED_VALUE"""),"Corrective")</f>
        <v>Corrective</v>
      </c>
      <c r="I541" s="3" t="str">
        <f>IFERROR(__xludf.DUMMYFUNCTION("""COMPUTED_VALUE"""),"Replace Optik,RRU/Soket Power/Replace GPS")</f>
        <v>Replace Optik,RRU/Soket Power/Replace GPS</v>
      </c>
      <c r="J541" s="3" t="str">
        <f>IFERROR(__xludf.DUMMYFUNCTION("""COMPUTED_VALUE"""),"On Progress")</f>
        <v>On Progress</v>
      </c>
      <c r="K541" s="27">
        <f>IFERROR(__xludf.DUMMYFUNCTION("""COMPUTED_VALUE"""),46028.0)</f>
        <v>46028</v>
      </c>
      <c r="L541" s="27">
        <f>IFERROR(__xludf.DUMMYFUNCTION("""COMPUTED_VALUE"""),46028.0)</f>
        <v>46028</v>
      </c>
      <c r="M541" s="3" t="str">
        <f>IFERROR(__xludf.DUMMYFUNCTION("""COMPUTED_VALUE"""),"Done")</f>
        <v>Done</v>
      </c>
      <c r="N541" s="3" t="str">
        <f>IFERROR(__xludf.DUMMYFUNCTION("""COMPUTED_VALUE"""),"Replace Optik")</f>
        <v>Replace Optik</v>
      </c>
      <c r="O541" s="3" t="str">
        <f>IFERROR(VLOOKUP(C541,Sheet4!A541:F1328,6,0),"")</f>
        <v/>
      </c>
      <c r="Q541" s="2" t="str">
        <f t="shared" si="1"/>
        <v>06</v>
      </c>
    </row>
    <row r="542">
      <c r="A542" s="3" t="str">
        <f>IFERROR(__xludf.DUMMYFUNCTION("""COMPUTED_VALUE"""),"Standby On Call")</f>
        <v>Standby On Call</v>
      </c>
      <c r="B542" s="3" t="str">
        <f>IFERROR(__xludf.DUMMYFUNCTION("""COMPUTED_VALUE"""),"P3")</f>
        <v>P3</v>
      </c>
      <c r="C542" s="3"/>
      <c r="D542" s="3" t="str">
        <f>IFERROR(__xludf.DUMMYFUNCTION("""COMPUTED_VALUE"""),"Pujianto")</f>
        <v>Pujianto</v>
      </c>
      <c r="E542" s="3" t="str">
        <f>IFERROR(__xludf.DUMMYFUNCTION("""COMPUTED_VALUE"""),"MBP")</f>
        <v>MBP</v>
      </c>
      <c r="F542" s="3" t="str">
        <f>IFERROR(__xludf.DUMMYFUNCTION("""COMPUTED_VALUE"""),"Winda Sokenda")</f>
        <v>Winda Sokenda</v>
      </c>
      <c r="G542" s="3" t="str">
        <f>IFERROR(__xludf.DUMMYFUNCTION("""COMPUTED_VALUE"""),"Barito Raya")</f>
        <v>Barito Raya</v>
      </c>
      <c r="H542" s="3" t="str">
        <f>IFERROR(__xludf.DUMMYFUNCTION("""COMPUTED_VALUE"""),"Standby")</f>
        <v>Standby</v>
      </c>
      <c r="I542" s="3" t="str">
        <f>IFERROR(__xludf.DUMMYFUNCTION("""COMPUTED_VALUE"""),"Standby On Call")</f>
        <v>Standby On Call</v>
      </c>
      <c r="J542" s="3"/>
      <c r="K542" s="27">
        <f>IFERROR(__xludf.DUMMYFUNCTION("""COMPUTED_VALUE"""),46028.0)</f>
        <v>46028</v>
      </c>
      <c r="L542" s="27">
        <f>IFERROR(__xludf.DUMMYFUNCTION("""COMPUTED_VALUE"""),46028.0)</f>
        <v>46028</v>
      </c>
      <c r="M542" s="3"/>
      <c r="N542" s="3"/>
      <c r="O542" s="3" t="str">
        <f>IFERROR(VLOOKUP(C542,Sheet4!A542:F1329,6,0),"")</f>
        <v/>
      </c>
      <c r="Q542" s="2" t="str">
        <f t="shared" si="1"/>
        <v>06</v>
      </c>
    </row>
    <row r="543">
      <c r="A543" s="3" t="str">
        <f>IFERROR(__xludf.DUMMYFUNCTION("""COMPUTED_VALUE"""),"PM")</f>
        <v>PM</v>
      </c>
      <c r="B543" s="3" t="str">
        <f>IFERROR(__xludf.DUMMYFUNCTION("""COMPUTED_VALUE"""),"P2")</f>
        <v>P2</v>
      </c>
      <c r="C543" s="3" t="str">
        <f>IFERROR(__xludf.DUMMYFUNCTION("""COMPUTED_VALUE"""),"BNT002")</f>
        <v>BNT002</v>
      </c>
      <c r="D543" s="3" t="str">
        <f>IFERROR(__xludf.DUMMYFUNCTION("""COMPUTED_VALUE"""),"Trisno Susanto")</f>
        <v>Trisno Susanto</v>
      </c>
      <c r="E543" s="3" t="str">
        <f>IFERROR(__xludf.DUMMYFUNCTION("""COMPUTED_VALUE"""),"PM")</f>
        <v>PM</v>
      </c>
      <c r="F543" s="3" t="str">
        <f>IFERROR(__xludf.DUMMYFUNCTION("""COMPUTED_VALUE"""),"Winda Sokenda")</f>
        <v>Winda Sokenda</v>
      </c>
      <c r="G543" s="3" t="str">
        <f>IFERROR(__xludf.DUMMYFUNCTION("""COMPUTED_VALUE"""),"Barito Raya")</f>
        <v>Barito Raya</v>
      </c>
      <c r="H543" s="3" t="str">
        <f>IFERROR(__xludf.DUMMYFUNCTION("""COMPUTED_VALUE"""),"Preventive")</f>
        <v>Preventive</v>
      </c>
      <c r="I543" s="3" t="str">
        <f>IFERROR(__xludf.DUMMYFUNCTION("""COMPUTED_VALUE"""),"Preventive Maintenance")</f>
        <v>Preventive Maintenance</v>
      </c>
      <c r="J543" s="3" t="str">
        <f>IFERROR(__xludf.DUMMYFUNCTION("""COMPUTED_VALUE"""),"On Progress")</f>
        <v>On Progress</v>
      </c>
      <c r="K543" s="27">
        <f>IFERROR(__xludf.DUMMYFUNCTION("""COMPUTED_VALUE"""),46028.0)</f>
        <v>46028</v>
      </c>
      <c r="L543" s="27">
        <f>IFERROR(__xludf.DUMMYFUNCTION("""COMPUTED_VALUE"""),46028.0)</f>
        <v>46028</v>
      </c>
      <c r="M543" s="3" t="str">
        <f>IFERROR(__xludf.DUMMYFUNCTION("""COMPUTED_VALUE"""),"Done")</f>
        <v>Done</v>
      </c>
      <c r="N543" s="3"/>
      <c r="O543" s="3">
        <f>IFERROR(VLOOKUP(C543,Sheet4!A543:F1330,6,0),"")</f>
        <v>11483654</v>
      </c>
      <c r="Q543" s="2" t="str">
        <f t="shared" si="1"/>
        <v>06</v>
      </c>
    </row>
    <row r="544">
      <c r="A544" s="3" t="str">
        <f>IFERROR(__xludf.DUMMYFUNCTION("""COMPUTED_VALUE"""),"PM")</f>
        <v>PM</v>
      </c>
      <c r="B544" s="3" t="str">
        <f>IFERROR(__xludf.DUMMYFUNCTION("""COMPUTED_VALUE"""),"P2")</f>
        <v>P2</v>
      </c>
      <c r="C544" s="3" t="str">
        <f>IFERROR(__xludf.DUMMYFUNCTION("""COMPUTED_VALUE"""),"BNT001")</f>
        <v>BNT001</v>
      </c>
      <c r="D544" s="3" t="str">
        <f>IFERROR(__xludf.DUMMYFUNCTION("""COMPUTED_VALUE"""),"Khilal dawai katiri")</f>
        <v>Khilal dawai katiri</v>
      </c>
      <c r="E544" s="3" t="str">
        <f>IFERROR(__xludf.DUMMYFUNCTION("""COMPUTED_VALUE"""),"MBP")</f>
        <v>MBP</v>
      </c>
      <c r="F544" s="3" t="str">
        <f>IFERROR(__xludf.DUMMYFUNCTION("""COMPUTED_VALUE"""),"Winda Sokenda")</f>
        <v>Winda Sokenda</v>
      </c>
      <c r="G544" s="3" t="str">
        <f>IFERROR(__xludf.DUMMYFUNCTION("""COMPUTED_VALUE"""),"Barito Raya")</f>
        <v>Barito Raya</v>
      </c>
      <c r="H544" s="3" t="str">
        <f>IFERROR(__xludf.DUMMYFUNCTION("""COMPUTED_VALUE"""),"Preventive")</f>
        <v>Preventive</v>
      </c>
      <c r="I544" s="3" t="str">
        <f>IFERROR(__xludf.DUMMYFUNCTION("""COMPUTED_VALUE"""),"Preventive Maintenance")</f>
        <v>Preventive Maintenance</v>
      </c>
      <c r="J544" s="3" t="str">
        <f>IFERROR(__xludf.DUMMYFUNCTION("""COMPUTED_VALUE"""),"On Progress")</f>
        <v>On Progress</v>
      </c>
      <c r="K544" s="27">
        <f>IFERROR(__xludf.DUMMYFUNCTION("""COMPUTED_VALUE"""),46028.0)</f>
        <v>46028</v>
      </c>
      <c r="L544" s="27">
        <f>IFERROR(__xludf.DUMMYFUNCTION("""COMPUTED_VALUE"""),46028.0)</f>
        <v>46028</v>
      </c>
      <c r="M544" s="3" t="str">
        <f>IFERROR(__xludf.DUMMYFUNCTION("""COMPUTED_VALUE"""),"Done")</f>
        <v>Done</v>
      </c>
      <c r="N544" s="3"/>
      <c r="O544" s="3" t="str">
        <f>IFERROR(VLOOKUP(C544,Sheet4!A544:F1331,6,0),"")</f>
        <v/>
      </c>
      <c r="Q544" s="2" t="str">
        <f t="shared" si="1"/>
        <v>06</v>
      </c>
    </row>
    <row r="545">
      <c r="A545" s="3" t="str">
        <f>IFERROR(__xludf.DUMMYFUNCTION("""COMPUTED_VALUE"""),"PM")</f>
        <v>PM</v>
      </c>
      <c r="B545" s="3" t="str">
        <f>IFERROR(__xludf.DUMMYFUNCTION("""COMPUTED_VALUE"""),"P2")</f>
        <v>P2</v>
      </c>
      <c r="C545" s="3"/>
      <c r="D545" s="3" t="str">
        <f>IFERROR(__xludf.DUMMYFUNCTION("""COMPUTED_VALUE"""),"Riko setiadi")</f>
        <v>Riko setiadi</v>
      </c>
      <c r="E545" s="3" t="str">
        <f>IFERROR(__xludf.DUMMYFUNCTION("""COMPUTED_VALUE"""),"PM")</f>
        <v>PM</v>
      </c>
      <c r="F545" s="3" t="str">
        <f>IFERROR(__xludf.DUMMYFUNCTION("""COMPUTED_VALUE"""),"Winda Sokenda")</f>
        <v>Winda Sokenda</v>
      </c>
      <c r="G545" s="3" t="str">
        <f>IFERROR(__xludf.DUMMYFUNCTION("""COMPUTED_VALUE"""),"Barito Raya")</f>
        <v>Barito Raya</v>
      </c>
      <c r="H545" s="3" t="str">
        <f>IFERROR(__xludf.DUMMYFUNCTION("""COMPUTED_VALUE"""),"Preventive")</f>
        <v>Preventive</v>
      </c>
      <c r="I545" s="3" t="str">
        <f>IFERROR(__xludf.DUMMYFUNCTION("""COMPUTED_VALUE"""),"Preventive Maintenance")</f>
        <v>Preventive Maintenance</v>
      </c>
      <c r="J545" s="3" t="str">
        <f>IFERROR(__xludf.DUMMYFUNCTION("""COMPUTED_VALUE"""),"Waiting Material")</f>
        <v>Waiting Material</v>
      </c>
      <c r="K545" s="27">
        <f>IFERROR(__xludf.DUMMYFUNCTION("""COMPUTED_VALUE"""),46028.0)</f>
        <v>46028</v>
      </c>
      <c r="L545" s="27">
        <f>IFERROR(__xludf.DUMMYFUNCTION("""COMPUTED_VALUE"""),46028.0)</f>
        <v>46028</v>
      </c>
      <c r="M545" s="3"/>
      <c r="N545" s="3"/>
      <c r="O545" s="3" t="str">
        <f>IFERROR(VLOOKUP(C545,Sheet4!A545:F1332,6,0),"")</f>
        <v/>
      </c>
      <c r="Q545" s="2" t="str">
        <f t="shared" si="1"/>
        <v>06</v>
      </c>
    </row>
    <row r="546">
      <c r="A546" s="3" t="str">
        <f>IFERROR(__xludf.DUMMYFUNCTION("""COMPUTED_VALUE"""),"Site Down")</f>
        <v>Site Down</v>
      </c>
      <c r="B546" s="3" t="str">
        <f>IFERROR(__xludf.DUMMYFUNCTION("""COMPUTED_VALUE"""),"P1")</f>
        <v>P1</v>
      </c>
      <c r="C546" s="3" t="str">
        <f>IFERROR(__xludf.DUMMYFUNCTION("""COMPUTED_VALUE"""),"PPS020")</f>
        <v>PPS020</v>
      </c>
      <c r="D546" s="3" t="str">
        <f>IFERROR(__xludf.DUMMYFUNCTION("""COMPUTED_VALUE"""),"Fahmi")</f>
        <v>Fahmi</v>
      </c>
      <c r="E546" s="3" t="str">
        <f>IFERROR(__xludf.DUMMYFUNCTION("""COMPUTED_VALUE"""),"TE")</f>
        <v>TE</v>
      </c>
      <c r="F546" s="3" t="str">
        <f>IFERROR(__xludf.DUMMYFUNCTION("""COMPUTED_VALUE"""),"Winda Sokenda")</f>
        <v>Winda Sokenda</v>
      </c>
      <c r="G546" s="3" t="str">
        <f>IFERROR(__xludf.DUMMYFUNCTION("""COMPUTED_VALUE"""),"Barito Raya")</f>
        <v>Barito Raya</v>
      </c>
      <c r="H546" s="3" t="str">
        <f>IFERROR(__xludf.DUMMYFUNCTION("""COMPUTED_VALUE"""),"Corrective")</f>
        <v>Corrective</v>
      </c>
      <c r="I546" s="3" t="str">
        <f>IFERROR(__xludf.DUMMYFUNCTION("""COMPUTED_VALUE"""),"Pemadaman,MCB Trip,Transmisi problem")</f>
        <v>Pemadaman,MCB Trip,Transmisi problem</v>
      </c>
      <c r="J546" s="3" t="str">
        <f>IFERROR(__xludf.DUMMYFUNCTION("""COMPUTED_VALUE"""),"On Progress")</f>
        <v>On Progress</v>
      </c>
      <c r="K546" s="27">
        <f>IFERROR(__xludf.DUMMYFUNCTION("""COMPUTED_VALUE"""),46028.0)</f>
        <v>46028</v>
      </c>
      <c r="L546" s="27">
        <f>IFERROR(__xludf.DUMMYFUNCTION("""COMPUTED_VALUE"""),46028.0)</f>
        <v>46028</v>
      </c>
      <c r="M546" s="3" t="str">
        <f>IFERROR(__xludf.DUMMYFUNCTION("""COMPUTED_VALUE"""),"Pending")</f>
        <v>Pending</v>
      </c>
      <c r="N546" s="3" t="str">
        <f>IFERROR(__xludf.DUMMYFUNCTION("""COMPUTED_VALUE"""),"Site Commcase")</f>
        <v>Site Commcase</v>
      </c>
      <c r="O546" s="3" t="str">
        <f>IFERROR(VLOOKUP(C546,Sheet4!A546:F1333,6,0),"")</f>
        <v/>
      </c>
      <c r="Q546" s="2" t="str">
        <f t="shared" si="1"/>
        <v>06</v>
      </c>
    </row>
    <row r="547">
      <c r="A547" s="3" t="str">
        <f>IFERROR(__xludf.DUMMYFUNCTION("""COMPUTED_VALUE"""),"Cell down")</f>
        <v>Cell down</v>
      </c>
      <c r="B547" s="3" t="str">
        <f>IFERROR(__xludf.DUMMYFUNCTION("""COMPUTED_VALUE"""),"P1")</f>
        <v>P1</v>
      </c>
      <c r="C547" s="3" t="str">
        <f>IFERROR(__xludf.DUMMYFUNCTION("""COMPUTED_VALUE"""),"KKN034")</f>
        <v>KKN034</v>
      </c>
      <c r="D547" s="3" t="str">
        <f>IFERROR(__xludf.DUMMYFUNCTION("""COMPUTED_VALUE"""),"Ahmad")</f>
        <v>Ahmad</v>
      </c>
      <c r="E547" s="3" t="str">
        <f>IFERROR(__xludf.DUMMYFUNCTION("""COMPUTED_VALUE"""),"TE")</f>
        <v>TE</v>
      </c>
      <c r="F547" s="3" t="str">
        <f>IFERROR(__xludf.DUMMYFUNCTION("""COMPUTED_VALUE"""),"Doni Damara")</f>
        <v>Doni Damara</v>
      </c>
      <c r="G547" s="3" t="str">
        <f>IFERROR(__xludf.DUMMYFUNCTION("""COMPUTED_VALUE"""),"Palangkaraya")</f>
        <v>Palangkaraya</v>
      </c>
      <c r="H547" s="3" t="str">
        <f>IFERROR(__xludf.DUMMYFUNCTION("""COMPUTED_VALUE"""),"Corrective")</f>
        <v>Corrective</v>
      </c>
      <c r="I547" s="3" t="str">
        <f>IFERROR(__xludf.DUMMYFUNCTION("""COMPUTED_VALUE"""),"Replace Optik,RRU/Soket Power/Replace GPS")</f>
        <v>Replace Optik,RRU/Soket Power/Replace GPS</v>
      </c>
      <c r="J547" s="3" t="str">
        <f>IFERROR(__xludf.DUMMYFUNCTION("""COMPUTED_VALUE"""),"On Progress")</f>
        <v>On Progress</v>
      </c>
      <c r="K547" s="27">
        <f>IFERROR(__xludf.DUMMYFUNCTION("""COMPUTED_VALUE"""),46028.0)</f>
        <v>46028</v>
      </c>
      <c r="L547" s="3"/>
      <c r="M547" s="3" t="str">
        <f>IFERROR(__xludf.DUMMYFUNCTION("""COMPUTED_VALUE"""),"Done")</f>
        <v>Done</v>
      </c>
      <c r="N547" s="3"/>
      <c r="O547" s="3" t="str">
        <f>IFERROR(VLOOKUP(C547,Sheet4!A547:F1334,6,0),"")</f>
        <v/>
      </c>
      <c r="Q547" s="2" t="str">
        <f t="shared" si="1"/>
        <v>06</v>
      </c>
    </row>
    <row r="548">
      <c r="A548" s="3" t="str">
        <f>IFERROR(__xludf.DUMMYFUNCTION("""COMPUTED_VALUE"""),"Cell down")</f>
        <v>Cell down</v>
      </c>
      <c r="B548" s="3" t="str">
        <f>IFERROR(__xludf.DUMMYFUNCTION("""COMPUTED_VALUE"""),"P1")</f>
        <v>P1</v>
      </c>
      <c r="C548" s="3" t="str">
        <f>IFERROR(__xludf.DUMMYFUNCTION("""COMPUTED_VALUE"""),"KKN004")</f>
        <v>KKN004</v>
      </c>
      <c r="D548" s="3" t="str">
        <f>IFERROR(__xludf.DUMMYFUNCTION("""COMPUTED_VALUE"""),"Ahmad Setiawan")</f>
        <v>Ahmad Setiawan</v>
      </c>
      <c r="E548" s="3" t="str">
        <f>IFERROR(__xludf.DUMMYFUNCTION("""COMPUTED_VALUE"""),"TE")</f>
        <v>TE</v>
      </c>
      <c r="F548" s="3" t="str">
        <f>IFERROR(__xludf.DUMMYFUNCTION("""COMPUTED_VALUE"""),"Doni Damara")</f>
        <v>Doni Damara</v>
      </c>
      <c r="G548" s="3" t="str">
        <f>IFERROR(__xludf.DUMMYFUNCTION("""COMPUTED_VALUE"""),"Palangkaraya")</f>
        <v>Palangkaraya</v>
      </c>
      <c r="H548" s="3" t="str">
        <f>IFERROR(__xludf.DUMMYFUNCTION("""COMPUTED_VALUE"""),"Corrective")</f>
        <v>Corrective</v>
      </c>
      <c r="I548" s="3" t="str">
        <f>IFERROR(__xludf.DUMMYFUNCTION("""COMPUTED_VALUE"""),"Replace Optik,RRU/Soket Power/Replace GPS")</f>
        <v>Replace Optik,RRU/Soket Power/Replace GPS</v>
      </c>
      <c r="J548" s="3" t="str">
        <f>IFERROR(__xludf.DUMMYFUNCTION("""COMPUTED_VALUE"""),"On Progress")</f>
        <v>On Progress</v>
      </c>
      <c r="K548" s="27">
        <f>IFERROR(__xludf.DUMMYFUNCTION("""COMPUTED_VALUE"""),46028.0)</f>
        <v>46028</v>
      </c>
      <c r="L548" s="3"/>
      <c r="M548" s="3" t="str">
        <f>IFERROR(__xludf.DUMMYFUNCTION("""COMPUTED_VALUE"""),"Waiting Update")</f>
        <v>Waiting Update</v>
      </c>
      <c r="N548" s="3"/>
      <c r="O548" s="3" t="str">
        <f>IFERROR(VLOOKUP(C548,Sheet4!A548:F1335,6,0),"")</f>
        <v/>
      </c>
      <c r="Q548" s="2" t="str">
        <f t="shared" si="1"/>
        <v>06</v>
      </c>
    </row>
    <row r="549">
      <c r="A549" s="3" t="str">
        <f>IFERROR(__xludf.DUMMYFUNCTION("""COMPUTED_VALUE"""),"Cell down")</f>
        <v>Cell down</v>
      </c>
      <c r="B549" s="3" t="str">
        <f>IFERROR(__xludf.DUMMYFUNCTION("""COMPUTED_VALUE"""),"P1")</f>
        <v>P1</v>
      </c>
      <c r="C549" s="3" t="str">
        <f>IFERROR(__xludf.DUMMYFUNCTION("""COMPUTED_VALUE"""),"KKN004")</f>
        <v>KKN004</v>
      </c>
      <c r="D549" s="3" t="str">
        <f>IFERROR(__xludf.DUMMYFUNCTION("""COMPUTED_VALUE"""),"Oky Bangkit Pamungkas")</f>
        <v>Oky Bangkit Pamungkas</v>
      </c>
      <c r="E549" s="3" t="str">
        <f>IFERROR(__xludf.DUMMYFUNCTION("""COMPUTED_VALUE"""),"TE")</f>
        <v>TE</v>
      </c>
      <c r="F549" s="3" t="str">
        <f>IFERROR(__xludf.DUMMYFUNCTION("""COMPUTED_VALUE"""),"Doni Damara")</f>
        <v>Doni Damara</v>
      </c>
      <c r="G549" s="3" t="str">
        <f>IFERROR(__xludf.DUMMYFUNCTION("""COMPUTED_VALUE"""),"Palangkaraya")</f>
        <v>Palangkaraya</v>
      </c>
      <c r="H549" s="3" t="str">
        <f>IFERROR(__xludf.DUMMYFUNCTION("""COMPUTED_VALUE"""),"Corrective")</f>
        <v>Corrective</v>
      </c>
      <c r="I549" s="3" t="str">
        <f>IFERROR(__xludf.DUMMYFUNCTION("""COMPUTED_VALUE"""),"Replace Optik,RRU/Soket Power/Replace GPS")</f>
        <v>Replace Optik,RRU/Soket Power/Replace GPS</v>
      </c>
      <c r="J549" s="3" t="str">
        <f>IFERROR(__xludf.DUMMYFUNCTION("""COMPUTED_VALUE"""),"On Progress")</f>
        <v>On Progress</v>
      </c>
      <c r="K549" s="27">
        <f>IFERROR(__xludf.DUMMYFUNCTION("""COMPUTED_VALUE"""),46028.0)</f>
        <v>46028</v>
      </c>
      <c r="L549" s="3"/>
      <c r="M549" s="3" t="str">
        <f>IFERROR(__xludf.DUMMYFUNCTION("""COMPUTED_VALUE"""),"Waiting Update")</f>
        <v>Waiting Update</v>
      </c>
      <c r="N549" s="3"/>
      <c r="O549" s="3" t="str">
        <f>IFERROR(VLOOKUP(C549,Sheet4!A549:F1336,6,0),"")</f>
        <v/>
      </c>
      <c r="Q549" s="2" t="str">
        <f t="shared" si="1"/>
        <v>06</v>
      </c>
    </row>
    <row r="550">
      <c r="A550" s="3" t="str">
        <f>IFERROR(__xludf.DUMMYFUNCTION("""COMPUTED_VALUE"""),"Cell down")</f>
        <v>Cell down</v>
      </c>
      <c r="B550" s="3" t="str">
        <f>IFERROR(__xludf.DUMMYFUNCTION("""COMPUTED_VALUE"""),"P1")</f>
        <v>P1</v>
      </c>
      <c r="C550" s="3" t="str">
        <f>IFERROR(__xludf.DUMMYFUNCTION("""COMPUTED_VALUE"""),"PLK002")</f>
        <v>PLK002</v>
      </c>
      <c r="D550" s="3" t="str">
        <f>IFERROR(__xludf.DUMMYFUNCTION("""COMPUTED_VALUE"""),"Jumadi")</f>
        <v>Jumadi</v>
      </c>
      <c r="E550" s="3" t="str">
        <f>IFERROR(__xludf.DUMMYFUNCTION("""COMPUTED_VALUE"""),"TE")</f>
        <v>TE</v>
      </c>
      <c r="F550" s="3" t="str">
        <f>IFERROR(__xludf.DUMMYFUNCTION("""COMPUTED_VALUE"""),"Doni Damara")</f>
        <v>Doni Damara</v>
      </c>
      <c r="G550" s="3" t="str">
        <f>IFERROR(__xludf.DUMMYFUNCTION("""COMPUTED_VALUE"""),"Palangkaraya")</f>
        <v>Palangkaraya</v>
      </c>
      <c r="H550" s="3" t="str">
        <f>IFERROR(__xludf.DUMMYFUNCTION("""COMPUTED_VALUE"""),"Corrective")</f>
        <v>Corrective</v>
      </c>
      <c r="I550" s="3" t="str">
        <f>IFERROR(__xludf.DUMMYFUNCTION("""COMPUTED_VALUE"""),"Replace Optik,RRU/Soket Power/Replace GPS")</f>
        <v>Replace Optik,RRU/Soket Power/Replace GPS</v>
      </c>
      <c r="J550" s="3" t="str">
        <f>IFERROR(__xludf.DUMMYFUNCTION("""COMPUTED_VALUE"""),"On Progress")</f>
        <v>On Progress</v>
      </c>
      <c r="K550" s="27">
        <f>IFERROR(__xludf.DUMMYFUNCTION("""COMPUTED_VALUE"""),46031.0)</f>
        <v>46031</v>
      </c>
      <c r="L550" s="27">
        <f>IFERROR(__xludf.DUMMYFUNCTION("""COMPUTED_VALUE"""),46028.0)</f>
        <v>46028</v>
      </c>
      <c r="M550" s="3" t="str">
        <f>IFERROR(__xludf.DUMMYFUNCTION("""COMPUTED_VALUE"""),"Done")</f>
        <v>Done</v>
      </c>
      <c r="N550" s="3" t="str">
        <f>IFERROR(__xludf.DUMMYFUNCTION("""COMPUTED_VALUE"""),"Replacce Jumper ")</f>
        <v>Replacce Jumper </v>
      </c>
      <c r="O550" s="3">
        <f>IFERROR(VLOOKUP(C550,Sheet4!A550:F1337,6,0),"")</f>
        <v>11388602</v>
      </c>
      <c r="Q550" s="2" t="str">
        <f t="shared" si="1"/>
        <v>09</v>
      </c>
    </row>
    <row r="551">
      <c r="A551" s="3" t="str">
        <f>IFERROR(__xludf.DUMMYFUNCTION("""COMPUTED_VALUE"""),"Cell down")</f>
        <v>Cell down</v>
      </c>
      <c r="B551" s="3" t="str">
        <f>IFERROR(__xludf.DUMMYFUNCTION("""COMPUTED_VALUE"""),"P1")</f>
        <v>P1</v>
      </c>
      <c r="C551" s="3" t="str">
        <f>IFERROR(__xludf.DUMMYFUNCTION("""COMPUTED_VALUE"""),"PLK002")</f>
        <v>PLK002</v>
      </c>
      <c r="D551" s="3" t="str">
        <f>IFERROR(__xludf.DUMMYFUNCTION("""COMPUTED_VALUE"""),"james jimbris")</f>
        <v>james jimbris</v>
      </c>
      <c r="E551" s="3" t="str">
        <f>IFERROR(__xludf.DUMMYFUNCTION("""COMPUTED_VALUE"""),"TE")</f>
        <v>TE</v>
      </c>
      <c r="F551" s="3" t="str">
        <f>IFERROR(__xludf.DUMMYFUNCTION("""COMPUTED_VALUE"""),"Doni Damara")</f>
        <v>Doni Damara</v>
      </c>
      <c r="G551" s="3" t="str">
        <f>IFERROR(__xludf.DUMMYFUNCTION("""COMPUTED_VALUE"""),"Palangkaraya")</f>
        <v>Palangkaraya</v>
      </c>
      <c r="H551" s="3" t="str">
        <f>IFERROR(__xludf.DUMMYFUNCTION("""COMPUTED_VALUE"""),"Corrective")</f>
        <v>Corrective</v>
      </c>
      <c r="I551" s="3" t="str">
        <f>IFERROR(__xludf.DUMMYFUNCTION("""COMPUTED_VALUE"""),"Replace Optik,RRU/Soket Power/Replace GPS")</f>
        <v>Replace Optik,RRU/Soket Power/Replace GPS</v>
      </c>
      <c r="J551" s="3" t="str">
        <f>IFERROR(__xludf.DUMMYFUNCTION("""COMPUTED_VALUE"""),"On Progress")</f>
        <v>On Progress</v>
      </c>
      <c r="K551" s="27">
        <f>IFERROR(__xludf.DUMMYFUNCTION("""COMPUTED_VALUE"""),46028.0)</f>
        <v>46028</v>
      </c>
      <c r="L551" s="27">
        <f>IFERROR(__xludf.DUMMYFUNCTION("""COMPUTED_VALUE"""),46028.0)</f>
        <v>46028</v>
      </c>
      <c r="M551" s="3" t="str">
        <f>IFERROR(__xludf.DUMMYFUNCTION("""COMPUTED_VALUE"""),"Done")</f>
        <v>Done</v>
      </c>
      <c r="N551" s="3" t="str">
        <f>IFERROR(__xludf.DUMMYFUNCTION("""COMPUTED_VALUE"""),"Replacce Jumper ")</f>
        <v>Replacce Jumper </v>
      </c>
      <c r="O551" s="3">
        <f>IFERROR(VLOOKUP(C551,Sheet4!A551:F1338,6,0),"")</f>
        <v>11388602</v>
      </c>
      <c r="Q551" s="2" t="str">
        <f t="shared" si="1"/>
        <v>06</v>
      </c>
    </row>
    <row r="552">
      <c r="A552" s="3" t="str">
        <f>IFERROR(__xludf.DUMMYFUNCTION("""COMPUTED_VALUE"""),"Cell down")</f>
        <v>Cell down</v>
      </c>
      <c r="B552" s="3" t="str">
        <f>IFERROR(__xludf.DUMMYFUNCTION("""COMPUTED_VALUE"""),"P1")</f>
        <v>P1</v>
      </c>
      <c r="C552" s="3" t="str">
        <f>IFERROR(__xludf.DUMMYFUNCTION("""COMPUTED_VALUE"""),"PLK245")</f>
        <v>PLK245</v>
      </c>
      <c r="D552" s="3" t="str">
        <f>IFERROR(__xludf.DUMMYFUNCTION("""COMPUTED_VALUE"""),"Adi Bowo Santoso")</f>
        <v>Adi Bowo Santoso</v>
      </c>
      <c r="E552" s="3" t="str">
        <f>IFERROR(__xludf.DUMMYFUNCTION("""COMPUTED_VALUE"""),"TE")</f>
        <v>TE</v>
      </c>
      <c r="F552" s="3" t="str">
        <f>IFERROR(__xludf.DUMMYFUNCTION("""COMPUTED_VALUE"""),"Doni Damara")</f>
        <v>Doni Damara</v>
      </c>
      <c r="G552" s="3" t="str">
        <f>IFERROR(__xludf.DUMMYFUNCTION("""COMPUTED_VALUE"""),"Palangkaraya")</f>
        <v>Palangkaraya</v>
      </c>
      <c r="H552" s="3" t="str">
        <f>IFERROR(__xludf.DUMMYFUNCTION("""COMPUTED_VALUE"""),"Corrective")</f>
        <v>Corrective</v>
      </c>
      <c r="I552" s="3" t="str">
        <f>IFERROR(__xludf.DUMMYFUNCTION("""COMPUTED_VALUE"""),"Replace Optik,RRU/Soket Power/Replace GPS")</f>
        <v>Replace Optik,RRU/Soket Power/Replace GPS</v>
      </c>
      <c r="J552" s="3" t="str">
        <f>IFERROR(__xludf.DUMMYFUNCTION("""COMPUTED_VALUE"""),"On Progress")</f>
        <v>On Progress</v>
      </c>
      <c r="K552" s="27">
        <f>IFERROR(__xludf.DUMMYFUNCTION("""COMPUTED_VALUE"""),46028.0)</f>
        <v>46028</v>
      </c>
      <c r="L552" s="27">
        <f>IFERROR(__xludf.DUMMYFUNCTION("""COMPUTED_VALUE"""),46028.0)</f>
        <v>46028</v>
      </c>
      <c r="M552" s="3" t="str">
        <f>IFERROR(__xludf.DUMMYFUNCTION("""COMPUTED_VALUE"""),"Done")</f>
        <v>Done</v>
      </c>
      <c r="N552" s="3"/>
      <c r="O552" s="3" t="str">
        <f>IFERROR(VLOOKUP(C552,Sheet4!A552:F1339,6,0),"")</f>
        <v/>
      </c>
      <c r="Q552" s="2" t="str">
        <f t="shared" si="1"/>
        <v>06</v>
      </c>
    </row>
    <row r="553">
      <c r="A553" s="3" t="str">
        <f>IFERROR(__xludf.DUMMYFUNCTION("""COMPUTED_VALUE"""),"Cell down")</f>
        <v>Cell down</v>
      </c>
      <c r="B553" s="3" t="str">
        <f>IFERROR(__xludf.DUMMYFUNCTION("""COMPUTED_VALUE"""),"P1")</f>
        <v>P1</v>
      </c>
      <c r="C553" s="3" t="str">
        <f>IFERROR(__xludf.DUMMYFUNCTION("""COMPUTED_VALUE"""),"PPS250")</f>
        <v>PPS250</v>
      </c>
      <c r="D553" s="3" t="str">
        <f>IFERROR(__xludf.DUMMYFUNCTION("""COMPUTED_VALUE"""),"Yahya Muhamad")</f>
        <v>Yahya Muhamad</v>
      </c>
      <c r="E553" s="3" t="str">
        <f>IFERROR(__xludf.DUMMYFUNCTION("""COMPUTED_VALUE"""),"TE")</f>
        <v>TE</v>
      </c>
      <c r="F553" s="3" t="str">
        <f>IFERROR(__xludf.DUMMYFUNCTION("""COMPUTED_VALUE"""),"Doni Damara")</f>
        <v>Doni Damara</v>
      </c>
      <c r="G553" s="3" t="str">
        <f>IFERROR(__xludf.DUMMYFUNCTION("""COMPUTED_VALUE"""),"Palangkaraya")</f>
        <v>Palangkaraya</v>
      </c>
      <c r="H553" s="3" t="str">
        <f>IFERROR(__xludf.DUMMYFUNCTION("""COMPUTED_VALUE"""),"Corrective")</f>
        <v>Corrective</v>
      </c>
      <c r="I553" s="3" t="str">
        <f>IFERROR(__xludf.DUMMYFUNCTION("""COMPUTED_VALUE"""),"Replace Optik,RRU/Soket Power/Replace GPS")</f>
        <v>Replace Optik,RRU/Soket Power/Replace GPS</v>
      </c>
      <c r="J553" s="3" t="str">
        <f>IFERROR(__xludf.DUMMYFUNCTION("""COMPUTED_VALUE"""),"On Progress")</f>
        <v>On Progress</v>
      </c>
      <c r="K553" s="27">
        <f>IFERROR(__xludf.DUMMYFUNCTION("""COMPUTED_VALUE"""),46028.0)</f>
        <v>46028</v>
      </c>
      <c r="L553" s="3"/>
      <c r="M553" s="3" t="str">
        <f>IFERROR(__xludf.DUMMYFUNCTION("""COMPUTED_VALUE"""),"Pending")</f>
        <v>Pending</v>
      </c>
      <c r="N553" s="3"/>
      <c r="O553" s="3" t="str">
        <f>IFERROR(VLOOKUP(C553,Sheet4!A553:F1340,6,0),"")</f>
        <v/>
      </c>
      <c r="Q553" s="2" t="str">
        <f t="shared" si="1"/>
        <v>06</v>
      </c>
    </row>
    <row r="554">
      <c r="A554" s="3" t="str">
        <f>IFERROR(__xludf.DUMMYFUNCTION("""COMPUTED_VALUE"""),"Cell down")</f>
        <v>Cell down</v>
      </c>
      <c r="B554" s="3" t="str">
        <f>IFERROR(__xludf.DUMMYFUNCTION("""COMPUTED_VALUE"""),"P1")</f>
        <v>P1</v>
      </c>
      <c r="C554" s="3" t="str">
        <f>IFERROR(__xludf.DUMMYFUNCTION("""COMPUTED_VALUE"""),"PPS250")</f>
        <v>PPS250</v>
      </c>
      <c r="D554" s="3" t="str">
        <f>IFERROR(__xludf.DUMMYFUNCTION("""COMPUTED_VALUE"""),"Muhamad Rayhan")</f>
        <v>Muhamad Rayhan</v>
      </c>
      <c r="E554" s="3" t="str">
        <f>IFERROR(__xludf.DUMMYFUNCTION("""COMPUTED_VALUE"""),"TE")</f>
        <v>TE</v>
      </c>
      <c r="F554" s="3" t="str">
        <f>IFERROR(__xludf.DUMMYFUNCTION("""COMPUTED_VALUE"""),"Doni Damara")</f>
        <v>Doni Damara</v>
      </c>
      <c r="G554" s="3" t="str">
        <f>IFERROR(__xludf.DUMMYFUNCTION("""COMPUTED_VALUE"""),"Palangkaraya")</f>
        <v>Palangkaraya</v>
      </c>
      <c r="H554" s="3" t="str">
        <f>IFERROR(__xludf.DUMMYFUNCTION("""COMPUTED_VALUE"""),"Corrective")</f>
        <v>Corrective</v>
      </c>
      <c r="I554" s="3" t="str">
        <f>IFERROR(__xludf.DUMMYFUNCTION("""COMPUTED_VALUE"""),"Replace Optik,RRU/Soket Power/Replace GPS")</f>
        <v>Replace Optik,RRU/Soket Power/Replace GPS</v>
      </c>
      <c r="J554" s="3" t="str">
        <f>IFERROR(__xludf.DUMMYFUNCTION("""COMPUTED_VALUE"""),"On Progress")</f>
        <v>On Progress</v>
      </c>
      <c r="K554" s="27">
        <f>IFERROR(__xludf.DUMMYFUNCTION("""COMPUTED_VALUE"""),46028.0)</f>
        <v>46028</v>
      </c>
      <c r="L554" s="3"/>
      <c r="M554" s="3" t="str">
        <f>IFERROR(__xludf.DUMMYFUNCTION("""COMPUTED_VALUE"""),"Pending")</f>
        <v>Pending</v>
      </c>
      <c r="N554" s="3"/>
      <c r="O554" s="3" t="str">
        <f>IFERROR(VLOOKUP(C554,Sheet4!A554:F1341,6,0),"")</f>
        <v/>
      </c>
      <c r="Q554" s="2" t="str">
        <f t="shared" si="1"/>
        <v>06</v>
      </c>
    </row>
    <row r="555">
      <c r="A555" s="3" t="str">
        <f>IFERROR(__xludf.DUMMYFUNCTION("""COMPUTED_VALUE"""),"Cell down")</f>
        <v>Cell down</v>
      </c>
      <c r="B555" s="3" t="str">
        <f>IFERROR(__xludf.DUMMYFUNCTION("""COMPUTED_VALUE"""),"P1")</f>
        <v>P1</v>
      </c>
      <c r="C555" s="3" t="str">
        <f>IFERROR(__xludf.DUMMYFUNCTION("""COMPUTED_VALUE"""),"KKN151")</f>
        <v>KKN151</v>
      </c>
      <c r="D555" s="3" t="str">
        <f>IFERROR(__xludf.DUMMYFUNCTION("""COMPUTED_VALUE"""),"Leonard")</f>
        <v>Leonard</v>
      </c>
      <c r="E555" s="3" t="str">
        <f>IFERROR(__xludf.DUMMYFUNCTION("""COMPUTED_VALUE"""),"TE")</f>
        <v>TE</v>
      </c>
      <c r="F555" s="3" t="str">
        <f>IFERROR(__xludf.DUMMYFUNCTION("""COMPUTED_VALUE"""),"Doni Damara")</f>
        <v>Doni Damara</v>
      </c>
      <c r="G555" s="3" t="str">
        <f>IFERROR(__xludf.DUMMYFUNCTION("""COMPUTED_VALUE"""),"Palangkaraya")</f>
        <v>Palangkaraya</v>
      </c>
      <c r="H555" s="3" t="str">
        <f>IFERROR(__xludf.DUMMYFUNCTION("""COMPUTED_VALUE"""),"Corrective")</f>
        <v>Corrective</v>
      </c>
      <c r="I555" s="3" t="str">
        <f>IFERROR(__xludf.DUMMYFUNCTION("""COMPUTED_VALUE"""),"Replace Optik,RRU/Soket Power/Replace GPS")</f>
        <v>Replace Optik,RRU/Soket Power/Replace GPS</v>
      </c>
      <c r="J555" s="3" t="str">
        <f>IFERROR(__xludf.DUMMYFUNCTION("""COMPUTED_VALUE"""),"On Progress")</f>
        <v>On Progress</v>
      </c>
      <c r="K555" s="27">
        <f>IFERROR(__xludf.DUMMYFUNCTION("""COMPUTED_VALUE"""),46028.0)</f>
        <v>46028</v>
      </c>
      <c r="L555" s="3"/>
      <c r="M555" s="3" t="str">
        <f>IFERROR(__xludf.DUMMYFUNCTION("""COMPUTED_VALUE"""),"Pending")</f>
        <v>Pending</v>
      </c>
      <c r="N555" s="3"/>
      <c r="O555" s="3" t="str">
        <f>IFERROR(VLOOKUP(C555,Sheet4!A555:F1342,6,0),"")</f>
        <v/>
      </c>
      <c r="Q555" s="2" t="str">
        <f t="shared" si="1"/>
        <v>06</v>
      </c>
    </row>
    <row r="556">
      <c r="A556" s="3" t="str">
        <f>IFERROR(__xludf.DUMMYFUNCTION("""COMPUTED_VALUE"""),"Cell down")</f>
        <v>Cell down</v>
      </c>
      <c r="B556" s="3" t="str">
        <f>IFERROR(__xludf.DUMMYFUNCTION("""COMPUTED_VALUE"""),"P1")</f>
        <v>P1</v>
      </c>
      <c r="C556" s="3" t="str">
        <f>IFERROR(__xludf.DUMMYFUNCTION("""COMPUTED_VALUE"""),"KKN151")</f>
        <v>KKN151</v>
      </c>
      <c r="D556" s="3" t="str">
        <f>IFERROR(__xludf.DUMMYFUNCTION("""COMPUTED_VALUE"""),"Aulia Rahman")</f>
        <v>Aulia Rahman</v>
      </c>
      <c r="E556" s="3" t="str">
        <f>IFERROR(__xludf.DUMMYFUNCTION("""COMPUTED_VALUE"""),"TE")</f>
        <v>TE</v>
      </c>
      <c r="F556" s="3" t="str">
        <f>IFERROR(__xludf.DUMMYFUNCTION("""COMPUTED_VALUE"""),"Doni Damara")</f>
        <v>Doni Damara</v>
      </c>
      <c r="G556" s="3" t="str">
        <f>IFERROR(__xludf.DUMMYFUNCTION("""COMPUTED_VALUE"""),"Palangkaraya")</f>
        <v>Palangkaraya</v>
      </c>
      <c r="H556" s="3" t="str">
        <f>IFERROR(__xludf.DUMMYFUNCTION("""COMPUTED_VALUE"""),"Corrective")</f>
        <v>Corrective</v>
      </c>
      <c r="I556" s="3" t="str">
        <f>IFERROR(__xludf.DUMMYFUNCTION("""COMPUTED_VALUE"""),"Replace Optik,RRU/Soket Power/Replace GPS")</f>
        <v>Replace Optik,RRU/Soket Power/Replace GPS</v>
      </c>
      <c r="J556" s="3" t="str">
        <f>IFERROR(__xludf.DUMMYFUNCTION("""COMPUTED_VALUE"""),"On Progress")</f>
        <v>On Progress</v>
      </c>
      <c r="K556" s="27">
        <f>IFERROR(__xludf.DUMMYFUNCTION("""COMPUTED_VALUE"""),46028.0)</f>
        <v>46028</v>
      </c>
      <c r="L556" s="3"/>
      <c r="M556" s="3" t="str">
        <f>IFERROR(__xludf.DUMMYFUNCTION("""COMPUTED_VALUE"""),"Pending")</f>
        <v>Pending</v>
      </c>
      <c r="N556" s="3"/>
      <c r="O556" s="3" t="str">
        <f>IFERROR(VLOOKUP(C556,Sheet4!A556:F1343,6,0),"")</f>
        <v/>
      </c>
      <c r="Q556" s="2" t="str">
        <f t="shared" si="1"/>
        <v>06</v>
      </c>
    </row>
    <row r="557">
      <c r="A557" s="3" t="str">
        <f>IFERROR(__xludf.DUMMYFUNCTION("""COMPUTED_VALUE"""),"Cell down")</f>
        <v>Cell down</v>
      </c>
      <c r="B557" s="3" t="str">
        <f>IFERROR(__xludf.DUMMYFUNCTION("""COMPUTED_VALUE"""),"P1")</f>
        <v>P1</v>
      </c>
      <c r="C557" s="3" t="str">
        <f>IFERROR(__xludf.DUMMYFUNCTION("""COMPUTED_VALUE"""),"KSN021")</f>
        <v>KSN021</v>
      </c>
      <c r="D557" s="3" t="str">
        <f>IFERROR(__xludf.DUMMYFUNCTION("""COMPUTED_VALUE"""),"Muhammad Mukhlis")</f>
        <v>Muhammad Mukhlis</v>
      </c>
      <c r="E557" s="3" t="str">
        <f>IFERROR(__xludf.DUMMYFUNCTION("""COMPUTED_VALUE"""),"TE")</f>
        <v>TE</v>
      </c>
      <c r="F557" s="3" t="str">
        <f>IFERROR(__xludf.DUMMYFUNCTION("""COMPUTED_VALUE"""),"Doni Damara")</f>
        <v>Doni Damara</v>
      </c>
      <c r="G557" s="3" t="str">
        <f>IFERROR(__xludf.DUMMYFUNCTION("""COMPUTED_VALUE"""),"Palangkaraya")</f>
        <v>Palangkaraya</v>
      </c>
      <c r="H557" s="3" t="str">
        <f>IFERROR(__xludf.DUMMYFUNCTION("""COMPUTED_VALUE"""),"Corrective")</f>
        <v>Corrective</v>
      </c>
      <c r="I557" s="3" t="str">
        <f>IFERROR(__xludf.DUMMYFUNCTION("""COMPUTED_VALUE"""),"Replace Optik,RRU/Soket Power/Replace GPS")</f>
        <v>Replace Optik,RRU/Soket Power/Replace GPS</v>
      </c>
      <c r="J557" s="3" t="str">
        <f>IFERROR(__xludf.DUMMYFUNCTION("""COMPUTED_VALUE"""),"On Progress")</f>
        <v>On Progress</v>
      </c>
      <c r="K557" s="27">
        <f>IFERROR(__xludf.DUMMYFUNCTION("""COMPUTED_VALUE"""),46028.0)</f>
        <v>46028</v>
      </c>
      <c r="L557" s="3"/>
      <c r="M557" s="3" t="str">
        <f>IFERROR(__xludf.DUMMYFUNCTION("""COMPUTED_VALUE"""),"Pending")</f>
        <v>Pending</v>
      </c>
      <c r="N557" s="3"/>
      <c r="O557" s="3" t="str">
        <f>IFERROR(VLOOKUP(C557,Sheet4!A557:F1344,6,0),"")</f>
        <v/>
      </c>
      <c r="Q557" s="2" t="str">
        <f t="shared" si="1"/>
        <v>06</v>
      </c>
    </row>
    <row r="558">
      <c r="A558" s="3" t="str">
        <f>IFERROR(__xludf.DUMMYFUNCTION("""COMPUTED_VALUE"""),"Pengecekan battrey")</f>
        <v>Pengecekan battrey</v>
      </c>
      <c r="B558" s="3" t="str">
        <f>IFERROR(__xludf.DUMMYFUNCTION("""COMPUTED_VALUE"""),"P2")</f>
        <v>P2</v>
      </c>
      <c r="C558" s="3" t="str">
        <f>IFERROR(__xludf.DUMMYFUNCTION("""COMPUTED_VALUE"""),"KSN003")</f>
        <v>KSN003</v>
      </c>
      <c r="D558" s="3" t="str">
        <f>IFERROR(__xludf.DUMMYFUNCTION("""COMPUTED_VALUE"""),"Muhammad Mukti")</f>
        <v>Muhammad Mukti</v>
      </c>
      <c r="E558" s="3" t="str">
        <f>IFERROR(__xludf.DUMMYFUNCTION("""COMPUTED_VALUE"""),"TE")</f>
        <v>TE</v>
      </c>
      <c r="F558" s="3" t="str">
        <f>IFERROR(__xludf.DUMMYFUNCTION("""COMPUTED_VALUE"""),"Doni Damara")</f>
        <v>Doni Damara</v>
      </c>
      <c r="G558" s="3" t="str">
        <f>IFERROR(__xludf.DUMMYFUNCTION("""COMPUTED_VALUE"""),"Palangkaraya")</f>
        <v>Palangkaraya</v>
      </c>
      <c r="H558" s="3" t="str">
        <f>IFERROR(__xludf.DUMMYFUNCTION("""COMPUTED_VALUE"""),"Preventive")</f>
        <v>Preventive</v>
      </c>
      <c r="I558" s="3" t="str">
        <f>IFERROR(__xludf.DUMMYFUNCTION("""COMPUTED_VALUE"""),"Pengukuran dan pengambilan data log serta input Gdoc BBT")</f>
        <v>Pengukuran dan pengambilan data log serta input Gdoc BBT</v>
      </c>
      <c r="J558" s="3" t="str">
        <f>IFERROR(__xludf.DUMMYFUNCTION("""COMPUTED_VALUE"""),"On Progress")</f>
        <v>On Progress</v>
      </c>
      <c r="K558" s="27">
        <f>IFERROR(__xludf.DUMMYFUNCTION("""COMPUTED_VALUE"""),46028.0)</f>
        <v>46028</v>
      </c>
      <c r="L558" s="3"/>
      <c r="M558" s="3" t="str">
        <f>IFERROR(__xludf.DUMMYFUNCTION("""COMPUTED_VALUE"""),"Pending")</f>
        <v>Pending</v>
      </c>
      <c r="N558" s="3"/>
      <c r="O558" s="3">
        <f>IFERROR(VLOOKUP(C558,Sheet4!A558:F1345,6,0),"")</f>
        <v>11308922</v>
      </c>
      <c r="Q558" s="2" t="str">
        <f t="shared" si="1"/>
        <v>06</v>
      </c>
    </row>
    <row r="559">
      <c r="A559" s="3" t="str">
        <f>IFERROR(__xludf.DUMMYFUNCTION("""COMPUTED_VALUE"""),"Standby On Call")</f>
        <v>Standby On Call</v>
      </c>
      <c r="B559" s="3" t="str">
        <f>IFERROR(__xludf.DUMMYFUNCTION("""COMPUTED_VALUE"""),"P3")</f>
        <v>P3</v>
      </c>
      <c r="C559" s="3"/>
      <c r="D559" s="3" t="str">
        <f>IFERROR(__xludf.DUMMYFUNCTION("""COMPUTED_VALUE"""),"melky.O.Tulangow")</f>
        <v>melky.O.Tulangow</v>
      </c>
      <c r="E559" s="3" t="str">
        <f>IFERROR(__xludf.DUMMYFUNCTION("""COMPUTED_VALUE"""),"TE")</f>
        <v>TE</v>
      </c>
      <c r="F559" s="3" t="str">
        <f>IFERROR(__xludf.DUMMYFUNCTION("""COMPUTED_VALUE"""),"Doni Damara")</f>
        <v>Doni Damara</v>
      </c>
      <c r="G559" s="3" t="str">
        <f>IFERROR(__xludf.DUMMYFUNCTION("""COMPUTED_VALUE"""),"Palangkaraya")</f>
        <v>Palangkaraya</v>
      </c>
      <c r="H559" s="3" t="str">
        <f>IFERROR(__xludf.DUMMYFUNCTION("""COMPUTED_VALUE"""),"Standby")</f>
        <v>Standby</v>
      </c>
      <c r="I559" s="3" t="str">
        <f>IFERROR(__xludf.DUMMYFUNCTION("""COMPUTED_VALUE"""),"Standby On Call")</f>
        <v>Standby On Call</v>
      </c>
      <c r="J559" s="3" t="str">
        <f>IFERROR(__xludf.DUMMYFUNCTION("""COMPUTED_VALUE"""),"Standby")</f>
        <v>Standby</v>
      </c>
      <c r="K559" s="27">
        <f>IFERROR(__xludf.DUMMYFUNCTION("""COMPUTED_VALUE"""),46028.0)</f>
        <v>46028</v>
      </c>
      <c r="L559" s="27">
        <f>IFERROR(__xludf.DUMMYFUNCTION("""COMPUTED_VALUE"""),46027.0)</f>
        <v>46027</v>
      </c>
      <c r="M559" s="3" t="str">
        <f>IFERROR(__xludf.DUMMYFUNCTION("""COMPUTED_VALUE"""),"Waiting Update")</f>
        <v>Waiting Update</v>
      </c>
      <c r="N559" s="3"/>
      <c r="O559" s="3" t="str">
        <f>IFERROR(VLOOKUP(C559,Sheet4!A559:F1346,6,0),"")</f>
        <v/>
      </c>
      <c r="Q559" s="2" t="str">
        <f t="shared" si="1"/>
        <v>06</v>
      </c>
    </row>
    <row r="560">
      <c r="A560" s="3" t="str">
        <f>IFERROR(__xludf.DUMMYFUNCTION("""COMPUTED_VALUE"""),"Standby On Call")</f>
        <v>Standby On Call</v>
      </c>
      <c r="B560" s="3" t="str">
        <f>IFERROR(__xludf.DUMMYFUNCTION("""COMPUTED_VALUE"""),"P3")</f>
        <v>P3</v>
      </c>
      <c r="C560" s="3"/>
      <c r="D560" s="3" t="str">
        <f>IFERROR(__xludf.DUMMYFUNCTION("""COMPUTED_VALUE"""),"Indra")</f>
        <v>Indra</v>
      </c>
      <c r="E560" s="3" t="str">
        <f>IFERROR(__xludf.DUMMYFUNCTION("""COMPUTED_VALUE"""),"PM")</f>
        <v>PM</v>
      </c>
      <c r="F560" s="3" t="str">
        <f>IFERROR(__xludf.DUMMYFUNCTION("""COMPUTED_VALUE"""),"Doni Damara")</f>
        <v>Doni Damara</v>
      </c>
      <c r="G560" s="3" t="str">
        <f>IFERROR(__xludf.DUMMYFUNCTION("""COMPUTED_VALUE"""),"Palangkaraya")</f>
        <v>Palangkaraya</v>
      </c>
      <c r="H560" s="3" t="str">
        <f>IFERROR(__xludf.DUMMYFUNCTION("""COMPUTED_VALUE"""),"Standby")</f>
        <v>Standby</v>
      </c>
      <c r="I560" s="3" t="str">
        <f>IFERROR(__xludf.DUMMYFUNCTION("""COMPUTED_VALUE"""),"Standby On Call")</f>
        <v>Standby On Call</v>
      </c>
      <c r="J560" s="3" t="str">
        <f>IFERROR(__xludf.DUMMYFUNCTION("""COMPUTED_VALUE"""),"Standby")</f>
        <v>Standby</v>
      </c>
      <c r="K560" s="27">
        <f>IFERROR(__xludf.DUMMYFUNCTION("""COMPUTED_VALUE"""),46028.0)</f>
        <v>46028</v>
      </c>
      <c r="L560" s="3"/>
      <c r="M560" s="3" t="str">
        <f>IFERROR(__xludf.DUMMYFUNCTION("""COMPUTED_VALUE"""),"Waiting Update")</f>
        <v>Waiting Update</v>
      </c>
      <c r="N560" s="3"/>
      <c r="O560" s="3" t="str">
        <f>IFERROR(VLOOKUP(C560,Sheet4!A560:F1347,6,0),"")</f>
        <v/>
      </c>
      <c r="Q560" s="2" t="str">
        <f t="shared" si="1"/>
        <v>06</v>
      </c>
    </row>
    <row r="561">
      <c r="A561" s="3" t="str">
        <f>IFERROR(__xludf.DUMMYFUNCTION("""COMPUTED_VALUE"""),"Standby On Call")</f>
        <v>Standby On Call</v>
      </c>
      <c r="B561" s="3" t="str">
        <f>IFERROR(__xludf.DUMMYFUNCTION("""COMPUTED_VALUE"""),"P3")</f>
        <v>P3</v>
      </c>
      <c r="C561" s="3"/>
      <c r="D561" s="3" t="str">
        <f>IFERROR(__xludf.DUMMYFUNCTION("""COMPUTED_VALUE"""),"Darli")</f>
        <v>Darli</v>
      </c>
      <c r="E561" s="3" t="str">
        <f>IFERROR(__xludf.DUMMYFUNCTION("""COMPUTED_VALUE"""),"PM")</f>
        <v>PM</v>
      </c>
      <c r="F561" s="3" t="str">
        <f>IFERROR(__xludf.DUMMYFUNCTION("""COMPUTED_VALUE"""),"Doni Damara")</f>
        <v>Doni Damara</v>
      </c>
      <c r="G561" s="3" t="str">
        <f>IFERROR(__xludf.DUMMYFUNCTION("""COMPUTED_VALUE"""),"Palangkaraya")</f>
        <v>Palangkaraya</v>
      </c>
      <c r="H561" s="3" t="str">
        <f>IFERROR(__xludf.DUMMYFUNCTION("""COMPUTED_VALUE"""),"Standby")</f>
        <v>Standby</v>
      </c>
      <c r="I561" s="3" t="str">
        <f>IFERROR(__xludf.DUMMYFUNCTION("""COMPUTED_VALUE"""),"Standby On Call")</f>
        <v>Standby On Call</v>
      </c>
      <c r="J561" s="3" t="str">
        <f>IFERROR(__xludf.DUMMYFUNCTION("""COMPUTED_VALUE"""),"Standby")</f>
        <v>Standby</v>
      </c>
      <c r="K561" s="27">
        <f>IFERROR(__xludf.DUMMYFUNCTION("""COMPUTED_VALUE"""),46028.0)</f>
        <v>46028</v>
      </c>
      <c r="L561" s="3"/>
      <c r="M561" s="3" t="str">
        <f>IFERROR(__xludf.DUMMYFUNCTION("""COMPUTED_VALUE"""),"Waiting Update")</f>
        <v>Waiting Update</v>
      </c>
      <c r="N561" s="3"/>
      <c r="O561" s="3" t="str">
        <f>IFERROR(VLOOKUP(C561,Sheet4!A561:F1348,6,0),"")</f>
        <v/>
      </c>
      <c r="Q561" s="2" t="str">
        <f t="shared" si="1"/>
        <v>06</v>
      </c>
    </row>
    <row r="562">
      <c r="A562" s="3" t="str">
        <f>IFERROR(__xludf.DUMMYFUNCTION("""COMPUTED_VALUE"""),"Standby On Call")</f>
        <v>Standby On Call</v>
      </c>
      <c r="B562" s="3" t="str">
        <f>IFERROR(__xludf.DUMMYFUNCTION("""COMPUTED_VALUE"""),"P3")</f>
        <v>P3</v>
      </c>
      <c r="C562" s="3"/>
      <c r="D562" s="3" t="str">
        <f>IFERROR(__xludf.DUMMYFUNCTION("""COMPUTED_VALUE"""),"Sarwono")</f>
        <v>Sarwono</v>
      </c>
      <c r="E562" s="3" t="str">
        <f>IFERROR(__xludf.DUMMYFUNCTION("""COMPUTED_VALUE"""),"CME")</f>
        <v>CME</v>
      </c>
      <c r="F562" s="3" t="str">
        <f>IFERROR(__xludf.DUMMYFUNCTION("""COMPUTED_VALUE"""),"Doni Damara")</f>
        <v>Doni Damara</v>
      </c>
      <c r="G562" s="3" t="str">
        <f>IFERROR(__xludf.DUMMYFUNCTION("""COMPUTED_VALUE"""),"Palangkaraya")</f>
        <v>Palangkaraya</v>
      </c>
      <c r="H562" s="3" t="str">
        <f>IFERROR(__xludf.DUMMYFUNCTION("""COMPUTED_VALUE"""),"Standby")</f>
        <v>Standby</v>
      </c>
      <c r="I562" s="3" t="str">
        <f>IFERROR(__xludf.DUMMYFUNCTION("""COMPUTED_VALUE"""),"Standby On Call")</f>
        <v>Standby On Call</v>
      </c>
      <c r="J562" s="3" t="str">
        <f>IFERROR(__xludf.DUMMYFUNCTION("""COMPUTED_VALUE"""),"Standby")</f>
        <v>Standby</v>
      </c>
      <c r="K562" s="27">
        <f>IFERROR(__xludf.DUMMYFUNCTION("""COMPUTED_VALUE"""),46028.0)</f>
        <v>46028</v>
      </c>
      <c r="L562" s="3"/>
      <c r="M562" s="3" t="str">
        <f>IFERROR(__xludf.DUMMYFUNCTION("""COMPUTED_VALUE"""),"Waiting Update")</f>
        <v>Waiting Update</v>
      </c>
      <c r="N562" s="3"/>
      <c r="O562" s="3" t="str">
        <f>IFERROR(VLOOKUP(C562,Sheet4!A562:F1349,6,0),"")</f>
        <v/>
      </c>
      <c r="Q562" s="2" t="str">
        <f t="shared" si="1"/>
        <v>06</v>
      </c>
    </row>
    <row r="563">
      <c r="A563" s="3" t="str">
        <f>IFERROR(__xludf.DUMMYFUNCTION("""COMPUTED_VALUE"""),"Standby On Call")</f>
        <v>Standby On Call</v>
      </c>
      <c r="B563" s="3" t="str">
        <f>IFERROR(__xludf.DUMMYFUNCTION("""COMPUTED_VALUE"""),"P3")</f>
        <v>P3</v>
      </c>
      <c r="C563" s="3"/>
      <c r="D563" s="3" t="str">
        <f>IFERROR(__xludf.DUMMYFUNCTION("""COMPUTED_VALUE"""),"Purwanto")</f>
        <v>Purwanto</v>
      </c>
      <c r="E563" s="3" t="str">
        <f>IFERROR(__xludf.DUMMYFUNCTION("""COMPUTED_VALUE"""),"MBP")</f>
        <v>MBP</v>
      </c>
      <c r="F563" s="3" t="str">
        <f>IFERROR(__xludf.DUMMYFUNCTION("""COMPUTED_VALUE"""),"Doni Damara")</f>
        <v>Doni Damara</v>
      </c>
      <c r="G563" s="3" t="str">
        <f>IFERROR(__xludf.DUMMYFUNCTION("""COMPUTED_VALUE"""),"Palangkaraya")</f>
        <v>Palangkaraya</v>
      </c>
      <c r="H563" s="3" t="str">
        <f>IFERROR(__xludf.DUMMYFUNCTION("""COMPUTED_VALUE"""),"Standby")</f>
        <v>Standby</v>
      </c>
      <c r="I563" s="3" t="str">
        <f>IFERROR(__xludf.DUMMYFUNCTION("""COMPUTED_VALUE"""),"Standby On Call")</f>
        <v>Standby On Call</v>
      </c>
      <c r="J563" s="3" t="str">
        <f>IFERROR(__xludf.DUMMYFUNCTION("""COMPUTED_VALUE"""),"Standby")</f>
        <v>Standby</v>
      </c>
      <c r="K563" s="27">
        <f>IFERROR(__xludf.DUMMYFUNCTION("""COMPUTED_VALUE"""),46028.0)</f>
        <v>46028</v>
      </c>
      <c r="L563" s="3"/>
      <c r="M563" s="3" t="str">
        <f>IFERROR(__xludf.DUMMYFUNCTION("""COMPUTED_VALUE"""),"Waiting Update")</f>
        <v>Waiting Update</v>
      </c>
      <c r="N563" s="3"/>
      <c r="O563" s="3" t="str">
        <f>IFERROR(VLOOKUP(C563,Sheet4!A563:F1350,6,0),"")</f>
        <v/>
      </c>
      <c r="Q563" s="2" t="str">
        <f t="shared" si="1"/>
        <v>06</v>
      </c>
    </row>
    <row r="564">
      <c r="A564" s="3" t="str">
        <f>IFERROR(__xludf.DUMMYFUNCTION("""COMPUTED_VALUE"""),"Standby On Call")</f>
        <v>Standby On Call</v>
      </c>
      <c r="B564" s="3" t="str">
        <f>IFERROR(__xludf.DUMMYFUNCTION("""COMPUTED_VALUE"""),"P3")</f>
        <v>P3</v>
      </c>
      <c r="C564" s="3"/>
      <c r="D564" s="3" t="str">
        <f>IFERROR(__xludf.DUMMYFUNCTION("""COMPUTED_VALUE"""),"Sairaji")</f>
        <v>Sairaji</v>
      </c>
      <c r="E564" s="3" t="str">
        <f>IFERROR(__xludf.DUMMYFUNCTION("""COMPUTED_VALUE"""),"MBP")</f>
        <v>MBP</v>
      </c>
      <c r="F564" s="3" t="str">
        <f>IFERROR(__xludf.DUMMYFUNCTION("""COMPUTED_VALUE"""),"Doni Damara")</f>
        <v>Doni Damara</v>
      </c>
      <c r="G564" s="3" t="str">
        <f>IFERROR(__xludf.DUMMYFUNCTION("""COMPUTED_VALUE"""),"Palangkaraya")</f>
        <v>Palangkaraya</v>
      </c>
      <c r="H564" s="3" t="str">
        <f>IFERROR(__xludf.DUMMYFUNCTION("""COMPUTED_VALUE"""),"Standby")</f>
        <v>Standby</v>
      </c>
      <c r="I564" s="3" t="str">
        <f>IFERROR(__xludf.DUMMYFUNCTION("""COMPUTED_VALUE"""),"Standby On Call")</f>
        <v>Standby On Call</v>
      </c>
      <c r="J564" s="3" t="str">
        <f>IFERROR(__xludf.DUMMYFUNCTION("""COMPUTED_VALUE"""),"Standby")</f>
        <v>Standby</v>
      </c>
      <c r="K564" s="27">
        <f>IFERROR(__xludf.DUMMYFUNCTION("""COMPUTED_VALUE"""),46028.0)</f>
        <v>46028</v>
      </c>
      <c r="L564" s="27">
        <f>IFERROR(__xludf.DUMMYFUNCTION("""COMPUTED_VALUE"""),46027.0)</f>
        <v>46027</v>
      </c>
      <c r="M564" s="3" t="str">
        <f>IFERROR(__xludf.DUMMYFUNCTION("""COMPUTED_VALUE"""),"Waiting Update")</f>
        <v>Waiting Update</v>
      </c>
      <c r="N564" s="3"/>
      <c r="O564" s="3" t="str">
        <f>IFERROR(VLOOKUP(C564,Sheet4!A564:F1351,6,0),"")</f>
        <v/>
      </c>
      <c r="Q564" s="2" t="str">
        <f t="shared" si="1"/>
        <v>06</v>
      </c>
    </row>
    <row r="565">
      <c r="A565" s="3" t="str">
        <f>IFERROR(__xludf.DUMMYFUNCTION("""COMPUTED_VALUE"""),"Standby On Call")</f>
        <v>Standby On Call</v>
      </c>
      <c r="B565" s="3" t="str">
        <f>IFERROR(__xludf.DUMMYFUNCTION("""COMPUTED_VALUE"""),"P3")</f>
        <v>P3</v>
      </c>
      <c r="C565" s="3"/>
      <c r="D565" s="3" t="str">
        <f>IFERROR(__xludf.DUMMYFUNCTION("""COMPUTED_VALUE"""),"hory yusmanto")</f>
        <v>hory yusmanto</v>
      </c>
      <c r="E565" s="3" t="str">
        <f>IFERROR(__xludf.DUMMYFUNCTION("""COMPUTED_VALUE"""),"MBP")</f>
        <v>MBP</v>
      </c>
      <c r="F565" s="3" t="str">
        <f>IFERROR(__xludf.DUMMYFUNCTION("""COMPUTED_VALUE"""),"Doni Damara")</f>
        <v>Doni Damara</v>
      </c>
      <c r="G565" s="3" t="str">
        <f>IFERROR(__xludf.DUMMYFUNCTION("""COMPUTED_VALUE"""),"Palangkaraya")</f>
        <v>Palangkaraya</v>
      </c>
      <c r="H565" s="3" t="str">
        <f>IFERROR(__xludf.DUMMYFUNCTION("""COMPUTED_VALUE"""),"Standby")</f>
        <v>Standby</v>
      </c>
      <c r="I565" s="3" t="str">
        <f>IFERROR(__xludf.DUMMYFUNCTION("""COMPUTED_VALUE"""),"Standby On Call")</f>
        <v>Standby On Call</v>
      </c>
      <c r="J565" s="3" t="str">
        <f>IFERROR(__xludf.DUMMYFUNCTION("""COMPUTED_VALUE"""),"Standby")</f>
        <v>Standby</v>
      </c>
      <c r="K565" s="27">
        <f>IFERROR(__xludf.DUMMYFUNCTION("""COMPUTED_VALUE"""),46028.0)</f>
        <v>46028</v>
      </c>
      <c r="L565" s="3"/>
      <c r="M565" s="3" t="str">
        <f>IFERROR(__xludf.DUMMYFUNCTION("""COMPUTED_VALUE"""),"Waiting Update")</f>
        <v>Waiting Update</v>
      </c>
      <c r="N565" s="3"/>
      <c r="O565" s="3" t="str">
        <f>IFERROR(VLOOKUP(C565,Sheet4!A565:F1352,6,0),"")</f>
        <v/>
      </c>
      <c r="Q565" s="2" t="str">
        <f t="shared" si="1"/>
        <v>06</v>
      </c>
    </row>
    <row r="566">
      <c r="A566" s="3" t="str">
        <f>IFERROR(__xludf.DUMMYFUNCTION("""COMPUTED_VALUE"""),"Standby On Call")</f>
        <v>Standby On Call</v>
      </c>
      <c r="B566" s="3" t="str">
        <f>IFERROR(__xludf.DUMMYFUNCTION("""COMPUTED_VALUE"""),"P3")</f>
        <v>P3</v>
      </c>
      <c r="C566" s="3"/>
      <c r="D566" s="3" t="str">
        <f>IFERROR(__xludf.DUMMYFUNCTION("""COMPUTED_VALUE"""),"Putra wardana")</f>
        <v>Putra wardana</v>
      </c>
      <c r="E566" s="3" t="str">
        <f>IFERROR(__xludf.DUMMYFUNCTION("""COMPUTED_VALUE"""),"TE")</f>
        <v>TE</v>
      </c>
      <c r="F566" s="3" t="str">
        <f>IFERROR(__xludf.DUMMYFUNCTION("""COMPUTED_VALUE"""),"Winda Sokenda")</f>
        <v>Winda Sokenda</v>
      </c>
      <c r="G566" s="3" t="str">
        <f>IFERROR(__xludf.DUMMYFUNCTION("""COMPUTED_VALUE"""),"Barito Raya")</f>
        <v>Barito Raya</v>
      </c>
      <c r="H566" s="3" t="str">
        <f>IFERROR(__xludf.DUMMYFUNCTION("""COMPUTED_VALUE"""),"Standby")</f>
        <v>Standby</v>
      </c>
      <c r="I566" s="3" t="str">
        <f>IFERROR(__xludf.DUMMYFUNCTION("""COMPUTED_VALUE"""),"Standby On Call")</f>
        <v>Standby On Call</v>
      </c>
      <c r="J566" s="3"/>
      <c r="K566" s="27">
        <f>IFERROR(__xludf.DUMMYFUNCTION("""COMPUTED_VALUE"""),46029.0)</f>
        <v>46029</v>
      </c>
      <c r="L566" s="27">
        <f>IFERROR(__xludf.DUMMYFUNCTION("""COMPUTED_VALUE"""),46029.0)</f>
        <v>46029</v>
      </c>
      <c r="M566" s="3"/>
      <c r="N566" s="3"/>
      <c r="O566" s="3" t="str">
        <f>IFERROR(VLOOKUP(C566,Sheet4!A566:F1353,6,0),"")</f>
        <v/>
      </c>
      <c r="Q566" s="2" t="str">
        <f t="shared" si="1"/>
        <v>07</v>
      </c>
    </row>
    <row r="567">
      <c r="A567" s="3" t="str">
        <f>IFERROR(__xludf.DUMMYFUNCTION("""COMPUTED_VALUE"""),"Pengecekan Power")</f>
        <v>Pengecekan Power</v>
      </c>
      <c r="B567" s="3" t="str">
        <f>IFERROR(__xludf.DUMMYFUNCTION("""COMPUTED_VALUE"""),"P1")</f>
        <v>P1</v>
      </c>
      <c r="C567" s="3" t="str">
        <f>IFERROR(__xludf.DUMMYFUNCTION("""COMPUTED_VALUE"""),"BNT025")</f>
        <v>BNT025</v>
      </c>
      <c r="D567" s="3" t="str">
        <f>IFERROR(__xludf.DUMMYFUNCTION("""COMPUTED_VALUE"""),"Sailillah")</f>
        <v>Sailillah</v>
      </c>
      <c r="E567" s="3" t="str">
        <f>IFERROR(__xludf.DUMMYFUNCTION("""COMPUTED_VALUE"""),"TE")</f>
        <v>TE</v>
      </c>
      <c r="F567" s="3" t="str">
        <f>IFERROR(__xludf.DUMMYFUNCTION("""COMPUTED_VALUE"""),"Winda Sokenda")</f>
        <v>Winda Sokenda</v>
      </c>
      <c r="G567" s="3" t="str">
        <f>IFERROR(__xludf.DUMMYFUNCTION("""COMPUTED_VALUE"""),"Barito Raya")</f>
        <v>Barito Raya</v>
      </c>
      <c r="H567" s="3" t="str">
        <f>IFERROR(__xludf.DUMMYFUNCTION("""COMPUTED_VALUE"""),"Preventive")</f>
        <v>Preventive</v>
      </c>
      <c r="I567" s="3" t="str">
        <f>IFERROR(__xludf.DUMMYFUNCTION("""COMPUTED_VALUE"""),"MCB trip/Power upnormal")</f>
        <v>MCB trip/Power upnormal</v>
      </c>
      <c r="J567" s="3" t="str">
        <f>IFERROR(__xludf.DUMMYFUNCTION("""COMPUTED_VALUE"""),"On Progress")</f>
        <v>On Progress</v>
      </c>
      <c r="K567" s="27">
        <f>IFERROR(__xludf.DUMMYFUNCTION("""COMPUTED_VALUE"""),46029.0)</f>
        <v>46029</v>
      </c>
      <c r="L567" s="27">
        <f>IFERROR(__xludf.DUMMYFUNCTION("""COMPUTED_VALUE"""),46029.0)</f>
        <v>46029</v>
      </c>
      <c r="M567" s="3" t="str">
        <f>IFERROR(__xludf.DUMMYFUNCTION("""COMPUTED_VALUE"""),"Done")</f>
        <v>Done</v>
      </c>
      <c r="N567" s="3" t="str">
        <f>IFERROR(__xludf.DUMMYFUNCTION("""COMPUTED_VALUE"""),"Manual hybrid")</f>
        <v>Manual hybrid</v>
      </c>
      <c r="O567" s="3" t="str">
        <f>IFERROR(VLOOKUP(C567,Sheet4!A567:F1354,6,0),"")</f>
        <v/>
      </c>
      <c r="Q567" s="2" t="str">
        <f t="shared" si="1"/>
        <v>07</v>
      </c>
    </row>
    <row r="568">
      <c r="A568" s="3" t="str">
        <f>IFERROR(__xludf.DUMMYFUNCTION("""COMPUTED_VALUE"""),"Standby On Call")</f>
        <v>Standby On Call</v>
      </c>
      <c r="B568" s="3" t="str">
        <f>IFERROR(__xludf.DUMMYFUNCTION("""COMPUTED_VALUE"""),"P3")</f>
        <v>P3</v>
      </c>
      <c r="C568" s="3"/>
      <c r="D568" s="3" t="str">
        <f>IFERROR(__xludf.DUMMYFUNCTION("""COMPUTED_VALUE"""),"Tiviansyah")</f>
        <v>Tiviansyah</v>
      </c>
      <c r="E568" s="3" t="str">
        <f>IFERROR(__xludf.DUMMYFUNCTION("""COMPUTED_VALUE"""),"TE")</f>
        <v>TE</v>
      </c>
      <c r="F568" s="3" t="str">
        <f>IFERROR(__xludf.DUMMYFUNCTION("""COMPUTED_VALUE"""),"Winda Sokenda")</f>
        <v>Winda Sokenda</v>
      </c>
      <c r="G568" s="3" t="str">
        <f>IFERROR(__xludf.DUMMYFUNCTION("""COMPUTED_VALUE"""),"Barito Raya")</f>
        <v>Barito Raya</v>
      </c>
      <c r="H568" s="3" t="str">
        <f>IFERROR(__xludf.DUMMYFUNCTION("""COMPUTED_VALUE"""),"Standby")</f>
        <v>Standby</v>
      </c>
      <c r="I568" s="3" t="str">
        <f>IFERROR(__xludf.DUMMYFUNCTION("""COMPUTED_VALUE"""),"Standby On Call")</f>
        <v>Standby On Call</v>
      </c>
      <c r="J568" s="3"/>
      <c r="K568" s="27">
        <f>IFERROR(__xludf.DUMMYFUNCTION("""COMPUTED_VALUE"""),46029.0)</f>
        <v>46029</v>
      </c>
      <c r="L568" s="27">
        <f>IFERROR(__xludf.DUMMYFUNCTION("""COMPUTED_VALUE"""),46029.0)</f>
        <v>46029</v>
      </c>
      <c r="M568" s="3"/>
      <c r="N568" s="3"/>
      <c r="O568" s="3" t="str">
        <f>IFERROR(VLOOKUP(C568,Sheet4!A568:F1355,6,0),"")</f>
        <v/>
      </c>
      <c r="Q568" s="2" t="str">
        <f t="shared" si="1"/>
        <v>07</v>
      </c>
    </row>
    <row r="569">
      <c r="A569" s="3" t="str">
        <f>IFERROR(__xludf.DUMMYFUNCTION("""COMPUTED_VALUE"""),"Site Down")</f>
        <v>Site Down</v>
      </c>
      <c r="B569" s="3" t="str">
        <f>IFERROR(__xludf.DUMMYFUNCTION("""COMPUTED_VALUE"""),"P1")</f>
        <v>P1</v>
      </c>
      <c r="C569" s="3" t="str">
        <f>IFERROR(__xludf.DUMMYFUNCTION("""COMPUTED_VALUE"""),"MTW063")</f>
        <v>MTW063</v>
      </c>
      <c r="D569" s="3" t="str">
        <f>IFERROR(__xludf.DUMMYFUNCTION("""COMPUTED_VALUE"""),"munawir akhmad")</f>
        <v>munawir akhmad</v>
      </c>
      <c r="E569" s="3" t="str">
        <f>IFERROR(__xludf.DUMMYFUNCTION("""COMPUTED_VALUE"""),"TE")</f>
        <v>TE</v>
      </c>
      <c r="F569" s="3" t="str">
        <f>IFERROR(__xludf.DUMMYFUNCTION("""COMPUTED_VALUE"""),"Winda Sokenda")</f>
        <v>Winda Sokenda</v>
      </c>
      <c r="G569" s="3" t="str">
        <f>IFERROR(__xludf.DUMMYFUNCTION("""COMPUTED_VALUE"""),"Barito Raya")</f>
        <v>Barito Raya</v>
      </c>
      <c r="H569" s="3" t="str">
        <f>IFERROR(__xludf.DUMMYFUNCTION("""COMPUTED_VALUE"""),"Corrective")</f>
        <v>Corrective</v>
      </c>
      <c r="I569" s="3" t="str">
        <f>IFERROR(__xludf.DUMMYFUNCTION("""COMPUTED_VALUE"""),"Pemadaman,MCB Trip,Transmisi problem")</f>
        <v>Pemadaman,MCB Trip,Transmisi problem</v>
      </c>
      <c r="J569" s="3" t="str">
        <f>IFERROR(__xludf.DUMMYFUNCTION("""COMPUTED_VALUE"""),"On Progress")</f>
        <v>On Progress</v>
      </c>
      <c r="K569" s="27">
        <f>IFERROR(__xludf.DUMMYFUNCTION("""COMPUTED_VALUE"""),46029.0)</f>
        <v>46029</v>
      </c>
      <c r="L569" s="27">
        <f>IFERROR(__xludf.DUMMYFUNCTION("""COMPUTED_VALUE"""),46029.0)</f>
        <v>46029</v>
      </c>
      <c r="M569" s="3" t="str">
        <f>IFERROR(__xludf.DUMMYFUNCTION("""COMPUTED_VALUE"""),"Done")</f>
        <v>Done</v>
      </c>
      <c r="N569" s="3" t="str">
        <f>IFERROR(__xludf.DUMMYFUNCTION("""COMPUTED_VALUE"""),"Waiting part APR")</f>
        <v>Waiting part APR</v>
      </c>
      <c r="O569" s="3">
        <f>IFERROR(VLOOKUP(C569,Sheet4!A569:F1356,6,0),"")</f>
        <v>11489533</v>
      </c>
      <c r="Q569" s="2" t="str">
        <f t="shared" si="1"/>
        <v>07</v>
      </c>
    </row>
    <row r="570">
      <c r="A570" s="3" t="str">
        <f>IFERROR(__xludf.DUMMYFUNCTION("""COMPUTED_VALUE"""),"Site Down")</f>
        <v>Site Down</v>
      </c>
      <c r="B570" s="3" t="str">
        <f>IFERROR(__xludf.DUMMYFUNCTION("""COMPUTED_VALUE"""),"P1")</f>
        <v>P1</v>
      </c>
      <c r="C570" s="3" t="str">
        <f>IFERROR(__xludf.DUMMYFUNCTION("""COMPUTED_VALUE"""),"MTW063")</f>
        <v>MTW063</v>
      </c>
      <c r="D570" s="3" t="str">
        <f>IFERROR(__xludf.DUMMYFUNCTION("""COMPUTED_VALUE"""),"Riki Hidayat")</f>
        <v>Riki Hidayat</v>
      </c>
      <c r="E570" s="3" t="str">
        <f>IFERROR(__xludf.DUMMYFUNCTION("""COMPUTED_VALUE"""),"TE")</f>
        <v>TE</v>
      </c>
      <c r="F570" s="3" t="str">
        <f>IFERROR(__xludf.DUMMYFUNCTION("""COMPUTED_VALUE"""),"Winda Sokenda")</f>
        <v>Winda Sokenda</v>
      </c>
      <c r="G570" s="3" t="str">
        <f>IFERROR(__xludf.DUMMYFUNCTION("""COMPUTED_VALUE"""),"Barito Raya")</f>
        <v>Barito Raya</v>
      </c>
      <c r="H570" s="3" t="str">
        <f>IFERROR(__xludf.DUMMYFUNCTION("""COMPUTED_VALUE"""),"Corrective")</f>
        <v>Corrective</v>
      </c>
      <c r="I570" s="3" t="str">
        <f>IFERROR(__xludf.DUMMYFUNCTION("""COMPUTED_VALUE"""),"Pemadaman,MCB Trip,Transmisi problem")</f>
        <v>Pemadaman,MCB Trip,Transmisi problem</v>
      </c>
      <c r="J570" s="3" t="str">
        <f>IFERROR(__xludf.DUMMYFUNCTION("""COMPUTED_VALUE"""),"On Progress")</f>
        <v>On Progress</v>
      </c>
      <c r="K570" s="27">
        <f>IFERROR(__xludf.DUMMYFUNCTION("""COMPUTED_VALUE"""),46029.0)</f>
        <v>46029</v>
      </c>
      <c r="L570" s="27">
        <f>IFERROR(__xludf.DUMMYFUNCTION("""COMPUTED_VALUE"""),46029.0)</f>
        <v>46029</v>
      </c>
      <c r="M570" s="3" t="str">
        <f>IFERROR(__xludf.DUMMYFUNCTION("""COMPUTED_VALUE"""),"Done")</f>
        <v>Done</v>
      </c>
      <c r="N570" s="3" t="str">
        <f>IFERROR(__xludf.DUMMYFUNCTION("""COMPUTED_VALUE"""),"Waiting part APR")</f>
        <v>Waiting part APR</v>
      </c>
      <c r="O570" s="3">
        <f>IFERROR(VLOOKUP(C570,Sheet4!A570:F1357,6,0),"")</f>
        <v>11489533</v>
      </c>
      <c r="Q570" s="2" t="str">
        <f t="shared" si="1"/>
        <v>07</v>
      </c>
    </row>
    <row r="571">
      <c r="A571" s="3" t="str">
        <f>IFERROR(__xludf.DUMMYFUNCTION("""COMPUTED_VALUE"""),"Standby On Call")</f>
        <v>Standby On Call</v>
      </c>
      <c r="B571" s="3" t="str">
        <f>IFERROR(__xludf.DUMMYFUNCTION("""COMPUTED_VALUE"""),"P3")</f>
        <v>P3</v>
      </c>
      <c r="C571" s="3"/>
      <c r="D571" s="3" t="str">
        <f>IFERROR(__xludf.DUMMYFUNCTION("""COMPUTED_VALUE"""),"Murjani")</f>
        <v>Murjani</v>
      </c>
      <c r="E571" s="3" t="str">
        <f>IFERROR(__xludf.DUMMYFUNCTION("""COMPUTED_VALUE"""),"TE")</f>
        <v>TE</v>
      </c>
      <c r="F571" s="3" t="str">
        <f>IFERROR(__xludf.DUMMYFUNCTION("""COMPUTED_VALUE"""),"Winda Sokenda")</f>
        <v>Winda Sokenda</v>
      </c>
      <c r="G571" s="3" t="str">
        <f>IFERROR(__xludf.DUMMYFUNCTION("""COMPUTED_VALUE"""),"Barito Raya")</f>
        <v>Barito Raya</v>
      </c>
      <c r="H571" s="3" t="str">
        <f>IFERROR(__xludf.DUMMYFUNCTION("""COMPUTED_VALUE"""),"Standby")</f>
        <v>Standby</v>
      </c>
      <c r="I571" s="3" t="str">
        <f>IFERROR(__xludf.DUMMYFUNCTION("""COMPUTED_VALUE"""),"Standby On Call")</f>
        <v>Standby On Call</v>
      </c>
      <c r="J571" s="3"/>
      <c r="K571" s="27">
        <f>IFERROR(__xludf.DUMMYFUNCTION("""COMPUTED_VALUE"""),46029.0)</f>
        <v>46029</v>
      </c>
      <c r="L571" s="27">
        <f>IFERROR(__xludf.DUMMYFUNCTION("""COMPUTED_VALUE"""),46029.0)</f>
        <v>46029</v>
      </c>
      <c r="M571" s="3"/>
      <c r="N571" s="3"/>
      <c r="O571" s="3" t="str">
        <f>IFERROR(VLOOKUP(C571,Sheet4!A571:F1358,6,0),"")</f>
        <v/>
      </c>
      <c r="Q571" s="2" t="str">
        <f t="shared" si="1"/>
        <v>07</v>
      </c>
    </row>
    <row r="572">
      <c r="A572" s="3" t="str">
        <f>IFERROR(__xludf.DUMMYFUNCTION("""COMPUTED_VALUE"""),"Sick")</f>
        <v>Sick</v>
      </c>
      <c r="B572" s="3" t="str">
        <f>IFERROR(__xludf.DUMMYFUNCTION("""COMPUTED_VALUE"""),"P3")</f>
        <v>P3</v>
      </c>
      <c r="C572" s="3"/>
      <c r="D572" s="3" t="str">
        <f>IFERROR(__xludf.DUMMYFUNCTION("""COMPUTED_VALUE"""),"Armadi")</f>
        <v>Armadi</v>
      </c>
      <c r="E572" s="3" t="str">
        <f>IFERROR(__xludf.DUMMYFUNCTION("""COMPUTED_VALUE"""),"TE")</f>
        <v>TE</v>
      </c>
      <c r="F572" s="3" t="str">
        <f>IFERROR(__xludf.DUMMYFUNCTION("""COMPUTED_VALUE"""),"Winda Sokenda")</f>
        <v>Winda Sokenda</v>
      </c>
      <c r="G572" s="3" t="str">
        <f>IFERROR(__xludf.DUMMYFUNCTION("""COMPUTED_VALUE"""),"Barito Raya")</f>
        <v>Barito Raya</v>
      </c>
      <c r="H572" s="3" t="str">
        <f>IFERROR(__xludf.DUMMYFUNCTION("""COMPUTED_VALUE"""),"Sick")</f>
        <v>Sick</v>
      </c>
      <c r="I572" s="3" t="str">
        <f>IFERROR(__xludf.DUMMYFUNCTION("""COMPUTED_VALUE"""),"Sick")</f>
        <v>Sick</v>
      </c>
      <c r="J572" s="3"/>
      <c r="K572" s="27">
        <f>IFERROR(__xludf.DUMMYFUNCTION("""COMPUTED_VALUE"""),46029.0)</f>
        <v>46029</v>
      </c>
      <c r="L572" s="27">
        <f>IFERROR(__xludf.DUMMYFUNCTION("""COMPUTED_VALUE"""),46029.0)</f>
        <v>46029</v>
      </c>
      <c r="M572" s="3"/>
      <c r="N572" s="3"/>
      <c r="O572" s="3" t="str">
        <f>IFERROR(VLOOKUP(C572,Sheet4!A572:F1359,6,0),"")</f>
        <v/>
      </c>
      <c r="Q572" s="2" t="str">
        <f t="shared" si="1"/>
        <v>07</v>
      </c>
    </row>
    <row r="573">
      <c r="A573" s="3" t="str">
        <f>IFERROR(__xludf.DUMMYFUNCTION("""COMPUTED_VALUE"""),"Standby On Call")</f>
        <v>Standby On Call</v>
      </c>
      <c r="B573" s="3" t="str">
        <f>IFERROR(__xludf.DUMMYFUNCTION("""COMPUTED_VALUE"""),"P3")</f>
        <v>P3</v>
      </c>
      <c r="C573" s="3"/>
      <c r="D573" s="3" t="str">
        <f>IFERROR(__xludf.DUMMYFUNCTION("""COMPUTED_VALUE"""),"Reynaldy Ricardo Putra")</f>
        <v>Reynaldy Ricardo Putra</v>
      </c>
      <c r="E573" s="3" t="str">
        <f>IFERROR(__xludf.DUMMYFUNCTION("""COMPUTED_VALUE"""),"TE")</f>
        <v>TE</v>
      </c>
      <c r="F573" s="3" t="str">
        <f>IFERROR(__xludf.DUMMYFUNCTION("""COMPUTED_VALUE"""),"Winda Sokenda")</f>
        <v>Winda Sokenda</v>
      </c>
      <c r="G573" s="3" t="str">
        <f>IFERROR(__xludf.DUMMYFUNCTION("""COMPUTED_VALUE"""),"Barito Raya")</f>
        <v>Barito Raya</v>
      </c>
      <c r="H573" s="3" t="str">
        <f>IFERROR(__xludf.DUMMYFUNCTION("""COMPUTED_VALUE"""),"Standby")</f>
        <v>Standby</v>
      </c>
      <c r="I573" s="3" t="str">
        <f>IFERROR(__xludf.DUMMYFUNCTION("""COMPUTED_VALUE"""),"Standby On Call")</f>
        <v>Standby On Call</v>
      </c>
      <c r="J573" s="3"/>
      <c r="K573" s="27">
        <f>IFERROR(__xludf.DUMMYFUNCTION("""COMPUTED_VALUE"""),46029.0)</f>
        <v>46029</v>
      </c>
      <c r="L573" s="27">
        <f>IFERROR(__xludf.DUMMYFUNCTION("""COMPUTED_VALUE"""),46029.0)</f>
        <v>46029</v>
      </c>
      <c r="M573" s="3"/>
      <c r="N573" s="3"/>
      <c r="O573" s="3" t="str">
        <f>IFERROR(VLOOKUP(C573,Sheet4!A573:F1360,6,0),"")</f>
        <v/>
      </c>
      <c r="Q573" s="2" t="str">
        <f t="shared" si="1"/>
        <v>07</v>
      </c>
    </row>
    <row r="574">
      <c r="A574" s="3" t="str">
        <f>IFERROR(__xludf.DUMMYFUNCTION("""COMPUTED_VALUE"""),"Cell down")</f>
        <v>Cell down</v>
      </c>
      <c r="B574" s="3" t="str">
        <f>IFERROR(__xludf.DUMMYFUNCTION("""COMPUTED_VALUE"""),"P1")</f>
        <v>P1</v>
      </c>
      <c r="C574" s="3" t="str">
        <f>IFERROR(__xludf.DUMMYFUNCTION("""COMPUTED_VALUE"""),"KKP054")</f>
        <v>KKP054</v>
      </c>
      <c r="D574" s="3" t="str">
        <f>IFERROR(__xludf.DUMMYFUNCTION("""COMPUTED_VALUE"""),"Sahrul Saputra")</f>
        <v>Sahrul Saputra</v>
      </c>
      <c r="E574" s="3" t="str">
        <f>IFERROR(__xludf.DUMMYFUNCTION("""COMPUTED_VALUE"""),"TE")</f>
        <v>TE</v>
      </c>
      <c r="F574" s="3" t="str">
        <f>IFERROR(__xludf.DUMMYFUNCTION("""COMPUTED_VALUE"""),"Winda Sokenda")</f>
        <v>Winda Sokenda</v>
      </c>
      <c r="G574" s="3" t="str">
        <f>IFERROR(__xludf.DUMMYFUNCTION("""COMPUTED_VALUE"""),"Barito Raya")</f>
        <v>Barito Raya</v>
      </c>
      <c r="H574" s="3" t="str">
        <f>IFERROR(__xludf.DUMMYFUNCTION("""COMPUTED_VALUE"""),"Corrective")</f>
        <v>Corrective</v>
      </c>
      <c r="I574" s="3" t="str">
        <f>IFERROR(__xludf.DUMMYFUNCTION("""COMPUTED_VALUE"""),"Replace Optik,RRU/Soket Power/Replace GPS")</f>
        <v>Replace Optik,RRU/Soket Power/Replace GPS</v>
      </c>
      <c r="J574" s="3" t="str">
        <f>IFERROR(__xludf.DUMMYFUNCTION("""COMPUTED_VALUE"""),"On Progress")</f>
        <v>On Progress</v>
      </c>
      <c r="K574" s="27">
        <f>IFERROR(__xludf.DUMMYFUNCTION("""COMPUTED_VALUE"""),46029.0)</f>
        <v>46029</v>
      </c>
      <c r="L574" s="27">
        <f>IFERROR(__xludf.DUMMYFUNCTION("""COMPUTED_VALUE"""),46029.0)</f>
        <v>46029</v>
      </c>
      <c r="M574" s="3" t="str">
        <f>IFERROR(__xludf.DUMMYFUNCTION("""COMPUTED_VALUE"""),"Done")</f>
        <v>Done</v>
      </c>
      <c r="N574" s="3"/>
      <c r="O574" s="3" t="str">
        <f>IFERROR(VLOOKUP(C574,Sheet4!A574:F1361,6,0),"")</f>
        <v/>
      </c>
      <c r="Q574" s="2" t="str">
        <f t="shared" si="1"/>
        <v>07</v>
      </c>
    </row>
    <row r="575">
      <c r="A575" s="3" t="str">
        <f>IFERROR(__xludf.DUMMYFUNCTION("""COMPUTED_VALUE"""),"Pengecekan Power")</f>
        <v>Pengecekan Power</v>
      </c>
      <c r="B575" s="3" t="str">
        <f>IFERROR(__xludf.DUMMYFUNCTION("""COMPUTED_VALUE"""),"P1")</f>
        <v>P1</v>
      </c>
      <c r="C575" s="3" t="str">
        <f>IFERROR(__xludf.DUMMYFUNCTION("""COMPUTED_VALUE"""),"BNT025")</f>
        <v>BNT025</v>
      </c>
      <c r="D575" s="3" t="str">
        <f>IFERROR(__xludf.DUMMYFUNCTION("""COMPUTED_VALUE"""),"Nurhayat")</f>
        <v>Nurhayat</v>
      </c>
      <c r="E575" s="3" t="str">
        <f>IFERROR(__xludf.DUMMYFUNCTION("""COMPUTED_VALUE"""),"MBP")</f>
        <v>MBP</v>
      </c>
      <c r="F575" s="3" t="str">
        <f>IFERROR(__xludf.DUMMYFUNCTION("""COMPUTED_VALUE"""),"Winda Sokenda")</f>
        <v>Winda Sokenda</v>
      </c>
      <c r="G575" s="3" t="str">
        <f>IFERROR(__xludf.DUMMYFUNCTION("""COMPUTED_VALUE"""),"Barito Raya")</f>
        <v>Barito Raya</v>
      </c>
      <c r="H575" s="3" t="str">
        <f>IFERROR(__xludf.DUMMYFUNCTION("""COMPUTED_VALUE"""),"Preventive")</f>
        <v>Preventive</v>
      </c>
      <c r="I575" s="3" t="str">
        <f>IFERROR(__xludf.DUMMYFUNCTION("""COMPUTED_VALUE"""),"MCB trip/Power upnormal")</f>
        <v>MCB trip/Power upnormal</v>
      </c>
      <c r="J575" s="3" t="str">
        <f>IFERROR(__xludf.DUMMYFUNCTION("""COMPUTED_VALUE"""),"On Progress")</f>
        <v>On Progress</v>
      </c>
      <c r="K575" s="27">
        <f>IFERROR(__xludf.DUMMYFUNCTION("""COMPUTED_VALUE"""),46029.0)</f>
        <v>46029</v>
      </c>
      <c r="L575" s="27">
        <f>IFERROR(__xludf.DUMMYFUNCTION("""COMPUTED_VALUE"""),46029.0)</f>
        <v>46029</v>
      </c>
      <c r="M575" s="3" t="str">
        <f>IFERROR(__xludf.DUMMYFUNCTION("""COMPUTED_VALUE"""),"Done")</f>
        <v>Done</v>
      </c>
      <c r="N575" s="3"/>
      <c r="O575" s="3" t="str">
        <f>IFERROR(VLOOKUP(C575,Sheet4!A575:F1362,6,0),"")</f>
        <v/>
      </c>
      <c r="Q575" s="2" t="str">
        <f t="shared" si="1"/>
        <v>07</v>
      </c>
    </row>
    <row r="576">
      <c r="A576" s="3" t="str">
        <f>IFERROR(__xludf.DUMMYFUNCTION("""COMPUTED_VALUE"""),"Standby On Call")</f>
        <v>Standby On Call</v>
      </c>
      <c r="B576" s="3" t="str">
        <f>IFERROR(__xludf.DUMMYFUNCTION("""COMPUTED_VALUE"""),"P3")</f>
        <v>P3</v>
      </c>
      <c r="C576" s="3"/>
      <c r="D576" s="3" t="str">
        <f>IFERROR(__xludf.DUMMYFUNCTION("""COMPUTED_VALUE"""),"Harun Nurasyid")</f>
        <v>Harun Nurasyid</v>
      </c>
      <c r="E576" s="3" t="str">
        <f>IFERROR(__xludf.DUMMYFUNCTION("""COMPUTED_VALUE"""),"CME")</f>
        <v>CME</v>
      </c>
      <c r="F576" s="3" t="str">
        <f>IFERROR(__xludf.DUMMYFUNCTION("""COMPUTED_VALUE"""),"Winda Sokenda")</f>
        <v>Winda Sokenda</v>
      </c>
      <c r="G576" s="3" t="str">
        <f>IFERROR(__xludf.DUMMYFUNCTION("""COMPUTED_VALUE"""),"Barito Raya")</f>
        <v>Barito Raya</v>
      </c>
      <c r="H576" s="3" t="str">
        <f>IFERROR(__xludf.DUMMYFUNCTION("""COMPUTED_VALUE"""),"Standby")</f>
        <v>Standby</v>
      </c>
      <c r="I576" s="3" t="str">
        <f>IFERROR(__xludf.DUMMYFUNCTION("""COMPUTED_VALUE"""),"Standby On Call")</f>
        <v>Standby On Call</v>
      </c>
      <c r="J576" s="3"/>
      <c r="K576" s="27">
        <f>IFERROR(__xludf.DUMMYFUNCTION("""COMPUTED_VALUE"""),46029.0)</f>
        <v>46029</v>
      </c>
      <c r="L576" s="27">
        <f>IFERROR(__xludf.DUMMYFUNCTION("""COMPUTED_VALUE"""),46029.0)</f>
        <v>46029</v>
      </c>
      <c r="M576" s="3"/>
      <c r="N576" s="3"/>
      <c r="O576" s="3" t="str">
        <f>IFERROR(VLOOKUP(C576,Sheet4!A576:F1363,6,0),"")</f>
        <v/>
      </c>
      <c r="Q576" s="2" t="str">
        <f t="shared" si="1"/>
        <v>07</v>
      </c>
    </row>
    <row r="577">
      <c r="A577" s="3" t="str">
        <f>IFERROR(__xludf.DUMMYFUNCTION("""COMPUTED_VALUE"""),"Standby On Call")</f>
        <v>Standby On Call</v>
      </c>
      <c r="B577" s="3" t="str">
        <f>IFERROR(__xludf.DUMMYFUNCTION("""COMPUTED_VALUE"""),"P3")</f>
        <v>P3</v>
      </c>
      <c r="C577" s="3"/>
      <c r="D577" s="3" t="str">
        <f>IFERROR(__xludf.DUMMYFUNCTION("""COMPUTED_VALUE"""),"Taklim")</f>
        <v>Taklim</v>
      </c>
      <c r="E577" s="3" t="str">
        <f>IFERROR(__xludf.DUMMYFUNCTION("""COMPUTED_VALUE"""),"MBP")</f>
        <v>MBP</v>
      </c>
      <c r="F577" s="3" t="str">
        <f>IFERROR(__xludf.DUMMYFUNCTION("""COMPUTED_VALUE"""),"Winda Sokenda")</f>
        <v>Winda Sokenda</v>
      </c>
      <c r="G577" s="3" t="str">
        <f>IFERROR(__xludf.DUMMYFUNCTION("""COMPUTED_VALUE"""),"Barito Raya")</f>
        <v>Barito Raya</v>
      </c>
      <c r="H577" s="3" t="str">
        <f>IFERROR(__xludf.DUMMYFUNCTION("""COMPUTED_VALUE"""),"Standby")</f>
        <v>Standby</v>
      </c>
      <c r="I577" s="3" t="str">
        <f>IFERROR(__xludf.DUMMYFUNCTION("""COMPUTED_VALUE"""),"Standby On Call")</f>
        <v>Standby On Call</v>
      </c>
      <c r="J577" s="3"/>
      <c r="K577" s="27">
        <f>IFERROR(__xludf.DUMMYFUNCTION("""COMPUTED_VALUE"""),46029.0)</f>
        <v>46029</v>
      </c>
      <c r="L577" s="27">
        <f>IFERROR(__xludf.DUMMYFUNCTION("""COMPUTED_VALUE"""),46029.0)</f>
        <v>46029</v>
      </c>
      <c r="M577" s="3"/>
      <c r="N577" s="3"/>
      <c r="O577" s="3" t="str">
        <f>IFERROR(VLOOKUP(C577,Sheet4!A577:F1364,6,0),"")</f>
        <v/>
      </c>
      <c r="Q577" s="2" t="str">
        <f t="shared" si="1"/>
        <v>07</v>
      </c>
    </row>
    <row r="578">
      <c r="A578" s="3" t="str">
        <f>IFERROR(__xludf.DUMMYFUNCTION("""COMPUTED_VALUE"""),"Pengecekan Power")</f>
        <v>Pengecekan Power</v>
      </c>
      <c r="B578" s="3" t="str">
        <f>IFERROR(__xludf.DUMMYFUNCTION("""COMPUTED_VALUE"""),"P1")</f>
        <v>P1</v>
      </c>
      <c r="C578" s="3" t="str">
        <f>IFERROR(__xludf.DUMMYFUNCTION("""COMPUTED_VALUE"""),"PRC166")</f>
        <v>PRC166</v>
      </c>
      <c r="D578" s="3" t="str">
        <f>IFERROR(__xludf.DUMMYFUNCTION("""COMPUTED_VALUE"""),"Ahmad Muzakir")</f>
        <v>Ahmad Muzakir</v>
      </c>
      <c r="E578" s="3" t="str">
        <f>IFERROR(__xludf.DUMMYFUNCTION("""COMPUTED_VALUE"""),"MBP")</f>
        <v>MBP</v>
      </c>
      <c r="F578" s="3" t="str">
        <f>IFERROR(__xludf.DUMMYFUNCTION("""COMPUTED_VALUE"""),"Winda Sokenda")</f>
        <v>Winda Sokenda</v>
      </c>
      <c r="G578" s="3" t="str">
        <f>IFERROR(__xludf.DUMMYFUNCTION("""COMPUTED_VALUE"""),"Barito Raya")</f>
        <v>Barito Raya</v>
      </c>
      <c r="H578" s="3" t="str">
        <f>IFERROR(__xludf.DUMMYFUNCTION("""COMPUTED_VALUE"""),"Preventive")</f>
        <v>Preventive</v>
      </c>
      <c r="I578" s="3" t="str">
        <f>IFERROR(__xludf.DUMMYFUNCTION("""COMPUTED_VALUE"""),"MCB trip/Power upnormal")</f>
        <v>MCB trip/Power upnormal</v>
      </c>
      <c r="J578" s="3" t="str">
        <f>IFERROR(__xludf.DUMMYFUNCTION("""COMPUTED_VALUE"""),"On Progress")</f>
        <v>On Progress</v>
      </c>
      <c r="K578" s="27">
        <f>IFERROR(__xludf.DUMMYFUNCTION("""COMPUTED_VALUE"""),46029.0)</f>
        <v>46029</v>
      </c>
      <c r="L578" s="27">
        <f>IFERROR(__xludf.DUMMYFUNCTION("""COMPUTED_VALUE"""),46029.0)</f>
        <v>46029</v>
      </c>
      <c r="M578" s="3" t="str">
        <f>IFERROR(__xludf.DUMMYFUNCTION("""COMPUTED_VALUE"""),"Done")</f>
        <v>Done</v>
      </c>
      <c r="N578" s="3"/>
      <c r="O578" s="3">
        <f>IFERROR(VLOOKUP(C578,Sheet4!A578:F1365,6,0),"")</f>
        <v>1145157</v>
      </c>
      <c r="Q578" s="2" t="str">
        <f t="shared" si="1"/>
        <v>07</v>
      </c>
    </row>
    <row r="579">
      <c r="A579" s="3" t="str">
        <f>IFERROR(__xludf.DUMMYFUNCTION("""COMPUTED_VALUE"""),"Pengecekan Power")</f>
        <v>Pengecekan Power</v>
      </c>
      <c r="B579" s="3" t="str">
        <f>IFERROR(__xludf.DUMMYFUNCTION("""COMPUTED_VALUE"""),"P1")</f>
        <v>P1</v>
      </c>
      <c r="C579" s="3" t="str">
        <f>IFERROR(__xludf.DUMMYFUNCTION("""COMPUTED_VALUE"""),"KKP018")</f>
        <v>KKP018</v>
      </c>
      <c r="D579" s="3" t="str">
        <f>IFERROR(__xludf.DUMMYFUNCTION("""COMPUTED_VALUE"""),"Alfi Syahri")</f>
        <v>Alfi Syahri</v>
      </c>
      <c r="E579" s="3" t="str">
        <f>IFERROR(__xludf.DUMMYFUNCTION("""COMPUTED_VALUE"""),"CME")</f>
        <v>CME</v>
      </c>
      <c r="F579" s="3" t="str">
        <f>IFERROR(__xludf.DUMMYFUNCTION("""COMPUTED_VALUE"""),"Winda Sokenda")</f>
        <v>Winda Sokenda</v>
      </c>
      <c r="G579" s="3" t="str">
        <f>IFERROR(__xludf.DUMMYFUNCTION("""COMPUTED_VALUE"""),"Barito Raya")</f>
        <v>Barito Raya</v>
      </c>
      <c r="H579" s="3" t="str">
        <f>IFERROR(__xludf.DUMMYFUNCTION("""COMPUTED_VALUE"""),"Preventive")</f>
        <v>Preventive</v>
      </c>
      <c r="I579" s="3" t="str">
        <f>IFERROR(__xludf.DUMMYFUNCTION("""COMPUTED_VALUE"""),"MCB trip/Power upnormal")</f>
        <v>MCB trip/Power upnormal</v>
      </c>
      <c r="J579" s="3" t="str">
        <f>IFERROR(__xludf.DUMMYFUNCTION("""COMPUTED_VALUE"""),"On Progress")</f>
        <v>On Progress</v>
      </c>
      <c r="K579" s="27">
        <f>IFERROR(__xludf.DUMMYFUNCTION("""COMPUTED_VALUE"""),46029.0)</f>
        <v>46029</v>
      </c>
      <c r="L579" s="27">
        <f>IFERROR(__xludf.DUMMYFUNCTION("""COMPUTED_VALUE"""),46029.0)</f>
        <v>46029</v>
      </c>
      <c r="M579" s="3" t="str">
        <f>IFERROR(__xludf.DUMMYFUNCTION("""COMPUTED_VALUE"""),"Done")</f>
        <v>Done</v>
      </c>
      <c r="N579" s="3"/>
      <c r="O579" s="3" t="str">
        <f>IFERROR(VLOOKUP(C579,Sheet4!A579:F1366,6,0),"")</f>
        <v/>
      </c>
      <c r="Q579" s="2" t="str">
        <f t="shared" si="1"/>
        <v>07</v>
      </c>
    </row>
    <row r="580">
      <c r="A580" s="3" t="str">
        <f>IFERROR(__xludf.DUMMYFUNCTION("""COMPUTED_VALUE"""),"Standby On Call")</f>
        <v>Standby On Call</v>
      </c>
      <c r="B580" s="3" t="str">
        <f>IFERROR(__xludf.DUMMYFUNCTION("""COMPUTED_VALUE"""),"P3")</f>
        <v>P3</v>
      </c>
      <c r="C580" s="3"/>
      <c r="D580" s="3" t="str">
        <f>IFERROR(__xludf.DUMMYFUNCTION("""COMPUTED_VALUE"""),"Pujianto")</f>
        <v>Pujianto</v>
      </c>
      <c r="E580" s="3" t="str">
        <f>IFERROR(__xludf.DUMMYFUNCTION("""COMPUTED_VALUE"""),"MBP")</f>
        <v>MBP</v>
      </c>
      <c r="F580" s="3" t="str">
        <f>IFERROR(__xludf.DUMMYFUNCTION("""COMPUTED_VALUE"""),"Winda Sokenda")</f>
        <v>Winda Sokenda</v>
      </c>
      <c r="G580" s="3" t="str">
        <f>IFERROR(__xludf.DUMMYFUNCTION("""COMPUTED_VALUE"""),"Barito Raya")</f>
        <v>Barito Raya</v>
      </c>
      <c r="H580" s="3" t="str">
        <f>IFERROR(__xludf.DUMMYFUNCTION("""COMPUTED_VALUE"""),"Standby")</f>
        <v>Standby</v>
      </c>
      <c r="I580" s="3" t="str">
        <f>IFERROR(__xludf.DUMMYFUNCTION("""COMPUTED_VALUE"""),"Standby On Call")</f>
        <v>Standby On Call</v>
      </c>
      <c r="J580" s="3"/>
      <c r="K580" s="27">
        <f>IFERROR(__xludf.DUMMYFUNCTION("""COMPUTED_VALUE"""),46029.0)</f>
        <v>46029</v>
      </c>
      <c r="L580" s="27">
        <f>IFERROR(__xludf.DUMMYFUNCTION("""COMPUTED_VALUE"""),46029.0)</f>
        <v>46029</v>
      </c>
      <c r="M580" s="3"/>
      <c r="N580" s="3"/>
      <c r="O580" s="3" t="str">
        <f>IFERROR(VLOOKUP(C580,Sheet4!A580:F1367,6,0),"")</f>
        <v/>
      </c>
      <c r="Q580" s="2" t="str">
        <f t="shared" si="1"/>
        <v>07</v>
      </c>
    </row>
    <row r="581">
      <c r="A581" s="3" t="str">
        <f>IFERROR(__xludf.DUMMYFUNCTION("""COMPUTED_VALUE"""),"PM")</f>
        <v>PM</v>
      </c>
      <c r="B581" s="3" t="str">
        <f>IFERROR(__xludf.DUMMYFUNCTION("""COMPUTED_VALUE"""),"P2")</f>
        <v>P2</v>
      </c>
      <c r="C581" s="3" t="str">
        <f>IFERROR(__xludf.DUMMYFUNCTION("""COMPUTED_VALUE"""),"TML001")</f>
        <v>TML001</v>
      </c>
      <c r="D581" s="3" t="str">
        <f>IFERROR(__xludf.DUMMYFUNCTION("""COMPUTED_VALUE"""),"Trisno Susanto")</f>
        <v>Trisno Susanto</v>
      </c>
      <c r="E581" s="3" t="str">
        <f>IFERROR(__xludf.DUMMYFUNCTION("""COMPUTED_VALUE"""),"PM")</f>
        <v>PM</v>
      </c>
      <c r="F581" s="3" t="str">
        <f>IFERROR(__xludf.DUMMYFUNCTION("""COMPUTED_VALUE"""),"Winda Sokenda")</f>
        <v>Winda Sokenda</v>
      </c>
      <c r="G581" s="3" t="str">
        <f>IFERROR(__xludf.DUMMYFUNCTION("""COMPUTED_VALUE"""),"Barito Raya")</f>
        <v>Barito Raya</v>
      </c>
      <c r="H581" s="3" t="str">
        <f>IFERROR(__xludf.DUMMYFUNCTION("""COMPUTED_VALUE"""),"Preventive")</f>
        <v>Preventive</v>
      </c>
      <c r="I581" s="3" t="str">
        <f>IFERROR(__xludf.DUMMYFUNCTION("""COMPUTED_VALUE"""),"Preventive Maintenance")</f>
        <v>Preventive Maintenance</v>
      </c>
      <c r="J581" s="3" t="str">
        <f>IFERROR(__xludf.DUMMYFUNCTION("""COMPUTED_VALUE"""),"On Progress")</f>
        <v>On Progress</v>
      </c>
      <c r="K581" s="27">
        <f>IFERROR(__xludf.DUMMYFUNCTION("""COMPUTED_VALUE"""),46029.0)</f>
        <v>46029</v>
      </c>
      <c r="L581" s="27">
        <f>IFERROR(__xludf.DUMMYFUNCTION("""COMPUTED_VALUE"""),46029.0)</f>
        <v>46029</v>
      </c>
      <c r="M581" s="3" t="str">
        <f>IFERROR(__xludf.DUMMYFUNCTION("""COMPUTED_VALUE"""),"Done")</f>
        <v>Done</v>
      </c>
      <c r="N581" s="3"/>
      <c r="O581" s="3" t="str">
        <f>IFERROR(VLOOKUP(C581,Sheet4!A581:F1368,6,0),"")</f>
        <v/>
      </c>
      <c r="Q581" s="2" t="str">
        <f t="shared" si="1"/>
        <v>07</v>
      </c>
    </row>
    <row r="582">
      <c r="A582" s="3" t="str">
        <f>IFERROR(__xludf.DUMMYFUNCTION("""COMPUTED_VALUE"""),"PM")</f>
        <v>PM</v>
      </c>
      <c r="B582" s="3" t="str">
        <f>IFERROR(__xludf.DUMMYFUNCTION("""COMPUTED_VALUE"""),"P2")</f>
        <v>P2</v>
      </c>
      <c r="C582" s="3" t="str">
        <f>IFERROR(__xludf.DUMMYFUNCTION("""COMPUTED_VALUE"""),"TML001")</f>
        <v>TML001</v>
      </c>
      <c r="D582" s="3" t="str">
        <f>IFERROR(__xludf.DUMMYFUNCTION("""COMPUTED_VALUE"""),"Khilal dawai katiri")</f>
        <v>Khilal dawai katiri</v>
      </c>
      <c r="E582" s="3" t="str">
        <f>IFERROR(__xludf.DUMMYFUNCTION("""COMPUTED_VALUE"""),"MBP")</f>
        <v>MBP</v>
      </c>
      <c r="F582" s="3" t="str">
        <f>IFERROR(__xludf.DUMMYFUNCTION("""COMPUTED_VALUE"""),"Winda Sokenda")</f>
        <v>Winda Sokenda</v>
      </c>
      <c r="G582" s="3" t="str">
        <f>IFERROR(__xludf.DUMMYFUNCTION("""COMPUTED_VALUE"""),"Barito Raya")</f>
        <v>Barito Raya</v>
      </c>
      <c r="H582" s="3" t="str">
        <f>IFERROR(__xludf.DUMMYFUNCTION("""COMPUTED_VALUE"""),"Preventive")</f>
        <v>Preventive</v>
      </c>
      <c r="I582" s="3" t="str">
        <f>IFERROR(__xludf.DUMMYFUNCTION("""COMPUTED_VALUE"""),"Preventive Maintenance")</f>
        <v>Preventive Maintenance</v>
      </c>
      <c r="J582" s="3" t="str">
        <f>IFERROR(__xludf.DUMMYFUNCTION("""COMPUTED_VALUE"""),"On Progress")</f>
        <v>On Progress</v>
      </c>
      <c r="K582" s="27">
        <f>IFERROR(__xludf.DUMMYFUNCTION("""COMPUTED_VALUE"""),46029.0)</f>
        <v>46029</v>
      </c>
      <c r="L582" s="27">
        <f>IFERROR(__xludf.DUMMYFUNCTION("""COMPUTED_VALUE"""),46029.0)</f>
        <v>46029</v>
      </c>
      <c r="M582" s="3" t="str">
        <f>IFERROR(__xludf.DUMMYFUNCTION("""COMPUTED_VALUE"""),"Done")</f>
        <v>Done</v>
      </c>
      <c r="N582" s="3"/>
      <c r="O582" s="3" t="str">
        <f>IFERROR(VLOOKUP(C582,Sheet4!A582:F1369,6,0),"")</f>
        <v/>
      </c>
      <c r="Q582" s="2" t="str">
        <f t="shared" si="1"/>
        <v>07</v>
      </c>
    </row>
    <row r="583">
      <c r="A583" s="3" t="str">
        <f>IFERROR(__xludf.DUMMYFUNCTION("""COMPUTED_VALUE"""),"Standby On Call")</f>
        <v>Standby On Call</v>
      </c>
      <c r="B583" s="3" t="str">
        <f>IFERROR(__xludf.DUMMYFUNCTION("""COMPUTED_VALUE"""),"P3")</f>
        <v>P3</v>
      </c>
      <c r="C583" s="3"/>
      <c r="D583" s="3" t="str">
        <f>IFERROR(__xludf.DUMMYFUNCTION("""COMPUTED_VALUE"""),"Riko setiadi")</f>
        <v>Riko setiadi</v>
      </c>
      <c r="E583" s="3" t="str">
        <f>IFERROR(__xludf.DUMMYFUNCTION("""COMPUTED_VALUE"""),"PM")</f>
        <v>PM</v>
      </c>
      <c r="F583" s="3" t="str">
        <f>IFERROR(__xludf.DUMMYFUNCTION("""COMPUTED_VALUE"""),"Winda Sokenda")</f>
        <v>Winda Sokenda</v>
      </c>
      <c r="G583" s="3" t="str">
        <f>IFERROR(__xludf.DUMMYFUNCTION("""COMPUTED_VALUE"""),"Barito Raya")</f>
        <v>Barito Raya</v>
      </c>
      <c r="H583" s="3" t="str">
        <f>IFERROR(__xludf.DUMMYFUNCTION("""COMPUTED_VALUE"""),"Standby")</f>
        <v>Standby</v>
      </c>
      <c r="I583" s="3" t="str">
        <f>IFERROR(__xludf.DUMMYFUNCTION("""COMPUTED_VALUE"""),"Standby On Call")</f>
        <v>Standby On Call</v>
      </c>
      <c r="J583" s="3"/>
      <c r="K583" s="27">
        <f>IFERROR(__xludf.DUMMYFUNCTION("""COMPUTED_VALUE"""),46029.0)</f>
        <v>46029</v>
      </c>
      <c r="L583" s="27">
        <f>IFERROR(__xludf.DUMMYFUNCTION("""COMPUTED_VALUE"""),46029.0)</f>
        <v>46029</v>
      </c>
      <c r="M583" s="3"/>
      <c r="N583" s="3"/>
      <c r="O583" s="3" t="str">
        <f>IFERROR(VLOOKUP(C583,Sheet4!A583:F1370,6,0),"")</f>
        <v/>
      </c>
      <c r="Q583" s="2" t="str">
        <f t="shared" si="1"/>
        <v>07</v>
      </c>
    </row>
    <row r="584">
      <c r="A584" s="3" t="str">
        <f>IFERROR(__xludf.DUMMYFUNCTION("""COMPUTED_VALUE"""),"Cell down")</f>
        <v>Cell down</v>
      </c>
      <c r="B584" s="3" t="str">
        <f>IFERROR(__xludf.DUMMYFUNCTION("""COMPUTED_VALUE"""),"P1")</f>
        <v>P1</v>
      </c>
      <c r="C584" s="3" t="str">
        <f>IFERROR(__xludf.DUMMYFUNCTION("""COMPUTED_VALUE"""),"KKN004")</f>
        <v>KKN004</v>
      </c>
      <c r="D584" s="3" t="str">
        <f>IFERROR(__xludf.DUMMYFUNCTION("""COMPUTED_VALUE"""),"Ahmad")</f>
        <v>Ahmad</v>
      </c>
      <c r="E584" s="3" t="str">
        <f>IFERROR(__xludf.DUMMYFUNCTION("""COMPUTED_VALUE"""),"TE")</f>
        <v>TE</v>
      </c>
      <c r="F584" s="3" t="str">
        <f>IFERROR(__xludf.DUMMYFUNCTION("""COMPUTED_VALUE"""),"Doni Damara")</f>
        <v>Doni Damara</v>
      </c>
      <c r="G584" s="3" t="str">
        <f>IFERROR(__xludf.DUMMYFUNCTION("""COMPUTED_VALUE"""),"Palangkaraya")</f>
        <v>Palangkaraya</v>
      </c>
      <c r="H584" s="3" t="str">
        <f>IFERROR(__xludf.DUMMYFUNCTION("""COMPUTED_VALUE"""),"Corrective")</f>
        <v>Corrective</v>
      </c>
      <c r="I584" s="3" t="str">
        <f>IFERROR(__xludf.DUMMYFUNCTION("""COMPUTED_VALUE"""),"Replace Optik,RRU/Soket Power/Replace GPS")</f>
        <v>Replace Optik,RRU/Soket Power/Replace GPS</v>
      </c>
      <c r="J584" s="3" t="str">
        <f>IFERROR(__xludf.DUMMYFUNCTION("""COMPUTED_VALUE"""),"On Progress")</f>
        <v>On Progress</v>
      </c>
      <c r="K584" s="27">
        <f>IFERROR(__xludf.DUMMYFUNCTION("""COMPUTED_VALUE"""),46029.0)</f>
        <v>46029</v>
      </c>
      <c r="L584" s="3"/>
      <c r="M584" s="3" t="str">
        <f>IFERROR(__xludf.DUMMYFUNCTION("""COMPUTED_VALUE"""),"Waiting Update")</f>
        <v>Waiting Update</v>
      </c>
      <c r="N584" s="3"/>
      <c r="O584" s="3" t="str">
        <f>IFERROR(VLOOKUP(C584,Sheet4!A584:F1371,6,0),"")</f>
        <v/>
      </c>
      <c r="Q584" s="2" t="str">
        <f t="shared" si="1"/>
        <v>07</v>
      </c>
    </row>
    <row r="585">
      <c r="A585" s="3" t="str">
        <f>IFERROR(__xludf.DUMMYFUNCTION("""COMPUTED_VALUE"""),"Cell down")</f>
        <v>Cell down</v>
      </c>
      <c r="B585" s="3" t="str">
        <f>IFERROR(__xludf.DUMMYFUNCTION("""COMPUTED_VALUE"""),"P1")</f>
        <v>P1</v>
      </c>
      <c r="C585" s="3" t="str">
        <f>IFERROR(__xludf.DUMMYFUNCTION("""COMPUTED_VALUE"""),"KKN004")</f>
        <v>KKN004</v>
      </c>
      <c r="D585" s="3" t="str">
        <f>IFERROR(__xludf.DUMMYFUNCTION("""COMPUTED_VALUE"""),"Ahmad Setiawan")</f>
        <v>Ahmad Setiawan</v>
      </c>
      <c r="E585" s="3" t="str">
        <f>IFERROR(__xludf.DUMMYFUNCTION("""COMPUTED_VALUE"""),"TE")</f>
        <v>TE</v>
      </c>
      <c r="F585" s="3" t="str">
        <f>IFERROR(__xludf.DUMMYFUNCTION("""COMPUTED_VALUE"""),"Doni Damara")</f>
        <v>Doni Damara</v>
      </c>
      <c r="G585" s="3" t="str">
        <f>IFERROR(__xludf.DUMMYFUNCTION("""COMPUTED_VALUE"""),"Palangkaraya")</f>
        <v>Palangkaraya</v>
      </c>
      <c r="H585" s="3" t="str">
        <f>IFERROR(__xludf.DUMMYFUNCTION("""COMPUTED_VALUE"""),"Corrective")</f>
        <v>Corrective</v>
      </c>
      <c r="I585" s="3" t="str">
        <f>IFERROR(__xludf.DUMMYFUNCTION("""COMPUTED_VALUE"""),"Replace Optik,RRU/Soket Power/Replace GPS")</f>
        <v>Replace Optik,RRU/Soket Power/Replace GPS</v>
      </c>
      <c r="J585" s="3" t="str">
        <f>IFERROR(__xludf.DUMMYFUNCTION("""COMPUTED_VALUE"""),"On Progress")</f>
        <v>On Progress</v>
      </c>
      <c r="K585" s="27">
        <f>IFERROR(__xludf.DUMMYFUNCTION("""COMPUTED_VALUE"""),46029.0)</f>
        <v>46029</v>
      </c>
      <c r="L585" s="3"/>
      <c r="M585" s="3" t="str">
        <f>IFERROR(__xludf.DUMMYFUNCTION("""COMPUTED_VALUE"""),"Waiting Update")</f>
        <v>Waiting Update</v>
      </c>
      <c r="N585" s="3"/>
      <c r="O585" s="3" t="str">
        <f>IFERROR(VLOOKUP(C585,Sheet4!A585:F1372,6,0),"")</f>
        <v/>
      </c>
      <c r="Q585" s="2" t="str">
        <f t="shared" si="1"/>
        <v>07</v>
      </c>
    </row>
    <row r="586">
      <c r="A586" s="3" t="str">
        <f>IFERROR(__xludf.DUMMYFUNCTION("""COMPUTED_VALUE"""),"Cell down")</f>
        <v>Cell down</v>
      </c>
      <c r="B586" s="3" t="str">
        <f>IFERROR(__xludf.DUMMYFUNCTION("""COMPUTED_VALUE"""),"P1")</f>
        <v>P1</v>
      </c>
      <c r="C586" s="3" t="str">
        <f>IFERROR(__xludf.DUMMYFUNCTION("""COMPUTED_VALUE"""),"PPS019")</f>
        <v>PPS019</v>
      </c>
      <c r="D586" s="3" t="str">
        <f>IFERROR(__xludf.DUMMYFUNCTION("""COMPUTED_VALUE"""),"Oky Bangkit Pamungkas")</f>
        <v>Oky Bangkit Pamungkas</v>
      </c>
      <c r="E586" s="3" t="str">
        <f>IFERROR(__xludf.DUMMYFUNCTION("""COMPUTED_VALUE"""),"TE")</f>
        <v>TE</v>
      </c>
      <c r="F586" s="3" t="str">
        <f>IFERROR(__xludf.DUMMYFUNCTION("""COMPUTED_VALUE"""),"Doni Damara")</f>
        <v>Doni Damara</v>
      </c>
      <c r="G586" s="3" t="str">
        <f>IFERROR(__xludf.DUMMYFUNCTION("""COMPUTED_VALUE"""),"Palangkaraya")</f>
        <v>Palangkaraya</v>
      </c>
      <c r="H586" s="3" t="str">
        <f>IFERROR(__xludf.DUMMYFUNCTION("""COMPUTED_VALUE"""),"Corrective")</f>
        <v>Corrective</v>
      </c>
      <c r="I586" s="3" t="str">
        <f>IFERROR(__xludf.DUMMYFUNCTION("""COMPUTED_VALUE"""),"Replace Optik,RRU/Soket Power/Replace GPS")</f>
        <v>Replace Optik,RRU/Soket Power/Replace GPS</v>
      </c>
      <c r="J586" s="3" t="str">
        <f>IFERROR(__xludf.DUMMYFUNCTION("""COMPUTED_VALUE"""),"On Progress")</f>
        <v>On Progress</v>
      </c>
      <c r="K586" s="27">
        <f>IFERROR(__xludf.DUMMYFUNCTION("""COMPUTED_VALUE"""),46029.0)</f>
        <v>46029</v>
      </c>
      <c r="L586" s="3"/>
      <c r="M586" s="3" t="str">
        <f>IFERROR(__xludf.DUMMYFUNCTION("""COMPUTED_VALUE"""),"Waiting Update")</f>
        <v>Waiting Update</v>
      </c>
      <c r="N586" s="3"/>
      <c r="O586" s="3" t="str">
        <f>IFERROR(VLOOKUP(C586,Sheet4!A586:F1373,6,0),"")</f>
        <v/>
      </c>
      <c r="Q586" s="2" t="str">
        <f t="shared" si="1"/>
        <v>07</v>
      </c>
    </row>
    <row r="587">
      <c r="A587" s="3" t="str">
        <f>IFERROR(__xludf.DUMMYFUNCTION("""COMPUTED_VALUE"""),"Cell down")</f>
        <v>Cell down</v>
      </c>
      <c r="B587" s="3" t="str">
        <f>IFERROR(__xludf.DUMMYFUNCTION("""COMPUTED_VALUE"""),"P1")</f>
        <v>P1</v>
      </c>
      <c r="C587" s="3" t="str">
        <f>IFERROR(__xludf.DUMMYFUNCTION("""COMPUTED_VALUE"""),"PLK046")</f>
        <v>PLK046</v>
      </c>
      <c r="D587" s="3" t="str">
        <f>IFERROR(__xludf.DUMMYFUNCTION("""COMPUTED_VALUE"""),"Jumadi")</f>
        <v>Jumadi</v>
      </c>
      <c r="E587" s="3" t="str">
        <f>IFERROR(__xludf.DUMMYFUNCTION("""COMPUTED_VALUE"""),"TE")</f>
        <v>TE</v>
      </c>
      <c r="F587" s="3" t="str">
        <f>IFERROR(__xludf.DUMMYFUNCTION("""COMPUTED_VALUE"""),"Doni Damara")</f>
        <v>Doni Damara</v>
      </c>
      <c r="G587" s="3" t="str">
        <f>IFERROR(__xludf.DUMMYFUNCTION("""COMPUTED_VALUE"""),"Palangkaraya")</f>
        <v>Palangkaraya</v>
      </c>
      <c r="H587" s="3" t="str">
        <f>IFERROR(__xludf.DUMMYFUNCTION("""COMPUTED_VALUE"""),"Corrective")</f>
        <v>Corrective</v>
      </c>
      <c r="I587" s="3" t="str">
        <f>IFERROR(__xludf.DUMMYFUNCTION("""COMPUTED_VALUE"""),"Replace Optik,RRU/Soket Power/Replace GPS")</f>
        <v>Replace Optik,RRU/Soket Power/Replace GPS</v>
      </c>
      <c r="J587" s="3" t="str">
        <f>IFERROR(__xludf.DUMMYFUNCTION("""COMPUTED_VALUE"""),"On Progress")</f>
        <v>On Progress</v>
      </c>
      <c r="K587" s="27">
        <f>IFERROR(__xludf.DUMMYFUNCTION("""COMPUTED_VALUE"""),46029.0)</f>
        <v>46029</v>
      </c>
      <c r="L587" s="3"/>
      <c r="M587" s="3" t="str">
        <f>IFERROR(__xludf.DUMMYFUNCTION("""COMPUTED_VALUE"""),"Waiting Update")</f>
        <v>Waiting Update</v>
      </c>
      <c r="N587" s="3"/>
      <c r="O587" s="3" t="str">
        <f>IFERROR(VLOOKUP(C587,Sheet4!A587:F1374,6,0),"")</f>
        <v/>
      </c>
      <c r="Q587" s="2" t="str">
        <f t="shared" si="1"/>
        <v>07</v>
      </c>
    </row>
    <row r="588">
      <c r="A588" s="3" t="str">
        <f>IFERROR(__xludf.DUMMYFUNCTION("""COMPUTED_VALUE"""),"Cell down")</f>
        <v>Cell down</v>
      </c>
      <c r="B588" s="3" t="str">
        <f>IFERROR(__xludf.DUMMYFUNCTION("""COMPUTED_VALUE"""),"P1")</f>
        <v>P1</v>
      </c>
      <c r="C588" s="3" t="str">
        <f>IFERROR(__xludf.DUMMYFUNCTION("""COMPUTED_VALUE"""),"PLK242")</f>
        <v>PLK242</v>
      </c>
      <c r="D588" s="3" t="str">
        <f>IFERROR(__xludf.DUMMYFUNCTION("""COMPUTED_VALUE"""),"james jimbris")</f>
        <v>james jimbris</v>
      </c>
      <c r="E588" s="3" t="str">
        <f>IFERROR(__xludf.DUMMYFUNCTION("""COMPUTED_VALUE"""),"TE")</f>
        <v>TE</v>
      </c>
      <c r="F588" s="3" t="str">
        <f>IFERROR(__xludf.DUMMYFUNCTION("""COMPUTED_VALUE"""),"Doni Damara")</f>
        <v>Doni Damara</v>
      </c>
      <c r="G588" s="3" t="str">
        <f>IFERROR(__xludf.DUMMYFUNCTION("""COMPUTED_VALUE"""),"Palangkaraya")</f>
        <v>Palangkaraya</v>
      </c>
      <c r="H588" s="3" t="str">
        <f>IFERROR(__xludf.DUMMYFUNCTION("""COMPUTED_VALUE"""),"Corrective")</f>
        <v>Corrective</v>
      </c>
      <c r="I588" s="3" t="str">
        <f>IFERROR(__xludf.DUMMYFUNCTION("""COMPUTED_VALUE"""),"Replace Optik,RRU/Soket Power/Replace GPS")</f>
        <v>Replace Optik,RRU/Soket Power/Replace GPS</v>
      </c>
      <c r="J588" s="3" t="str">
        <f>IFERROR(__xludf.DUMMYFUNCTION("""COMPUTED_VALUE"""),"On Progress")</f>
        <v>On Progress</v>
      </c>
      <c r="K588" s="27">
        <f>IFERROR(__xludf.DUMMYFUNCTION("""COMPUTED_VALUE"""),46029.0)</f>
        <v>46029</v>
      </c>
      <c r="L588" s="3"/>
      <c r="M588" s="3" t="str">
        <f>IFERROR(__xludf.DUMMYFUNCTION("""COMPUTED_VALUE"""),"Waiting Update")</f>
        <v>Waiting Update</v>
      </c>
      <c r="N588" s="3"/>
      <c r="O588" s="3" t="str">
        <f>IFERROR(VLOOKUP(C588,Sheet4!A588:F1375,6,0),"")</f>
        <v/>
      </c>
      <c r="Q588" s="2" t="str">
        <f t="shared" si="1"/>
        <v>07</v>
      </c>
    </row>
    <row r="589">
      <c r="A589" s="3" t="str">
        <f>IFERROR(__xludf.DUMMYFUNCTION("""COMPUTED_VALUE"""),"Cell down")</f>
        <v>Cell down</v>
      </c>
      <c r="B589" s="3" t="str">
        <f>IFERROR(__xludf.DUMMYFUNCTION("""COMPUTED_VALUE"""),"P1")</f>
        <v>P1</v>
      </c>
      <c r="C589" s="3" t="str">
        <f>IFERROR(__xludf.DUMMYFUNCTION("""COMPUTED_VALUE"""),"PLK242")</f>
        <v>PLK242</v>
      </c>
      <c r="D589" s="3" t="str">
        <f>IFERROR(__xludf.DUMMYFUNCTION("""COMPUTED_VALUE"""),"Adi Bowo Santoso")</f>
        <v>Adi Bowo Santoso</v>
      </c>
      <c r="E589" s="3" t="str">
        <f>IFERROR(__xludf.DUMMYFUNCTION("""COMPUTED_VALUE"""),"TE")</f>
        <v>TE</v>
      </c>
      <c r="F589" s="3" t="str">
        <f>IFERROR(__xludf.DUMMYFUNCTION("""COMPUTED_VALUE"""),"Doni Damara")</f>
        <v>Doni Damara</v>
      </c>
      <c r="G589" s="3" t="str">
        <f>IFERROR(__xludf.DUMMYFUNCTION("""COMPUTED_VALUE"""),"Palangkaraya")</f>
        <v>Palangkaraya</v>
      </c>
      <c r="H589" s="3" t="str">
        <f>IFERROR(__xludf.DUMMYFUNCTION("""COMPUTED_VALUE"""),"Corrective")</f>
        <v>Corrective</v>
      </c>
      <c r="I589" s="3" t="str">
        <f>IFERROR(__xludf.DUMMYFUNCTION("""COMPUTED_VALUE"""),"Replace Optik,RRU/Soket Power/Replace GPS")</f>
        <v>Replace Optik,RRU/Soket Power/Replace GPS</v>
      </c>
      <c r="J589" s="3" t="str">
        <f>IFERROR(__xludf.DUMMYFUNCTION("""COMPUTED_VALUE"""),"On Progress")</f>
        <v>On Progress</v>
      </c>
      <c r="K589" s="27">
        <f>IFERROR(__xludf.DUMMYFUNCTION("""COMPUTED_VALUE"""),46029.0)</f>
        <v>46029</v>
      </c>
      <c r="L589" s="3"/>
      <c r="M589" s="3" t="str">
        <f>IFERROR(__xludf.DUMMYFUNCTION("""COMPUTED_VALUE"""),"Waiting Update")</f>
        <v>Waiting Update</v>
      </c>
      <c r="N589" s="3"/>
      <c r="O589" s="3" t="str">
        <f>IFERROR(VLOOKUP(C589,Sheet4!A589:F1376,6,0),"")</f>
        <v/>
      </c>
      <c r="Q589" s="2" t="str">
        <f t="shared" si="1"/>
        <v>07</v>
      </c>
    </row>
    <row r="590">
      <c r="A590" s="3" t="str">
        <f>IFERROR(__xludf.DUMMYFUNCTION("""COMPUTED_VALUE"""),"Cell down")</f>
        <v>Cell down</v>
      </c>
      <c r="B590" s="3" t="str">
        <f>IFERROR(__xludf.DUMMYFUNCTION("""COMPUTED_VALUE"""),"P1")</f>
        <v>P1</v>
      </c>
      <c r="C590" s="3" t="str">
        <f>IFERROR(__xludf.DUMMYFUNCTION("""COMPUTED_VALUE"""),"SPT147")</f>
        <v>SPT147</v>
      </c>
      <c r="D590" s="3" t="str">
        <f>IFERROR(__xludf.DUMMYFUNCTION("""COMPUTED_VALUE"""),"Yahya Muhamad")</f>
        <v>Yahya Muhamad</v>
      </c>
      <c r="E590" s="3" t="str">
        <f>IFERROR(__xludf.DUMMYFUNCTION("""COMPUTED_VALUE"""),"TE")</f>
        <v>TE</v>
      </c>
      <c r="F590" s="3" t="str">
        <f>IFERROR(__xludf.DUMMYFUNCTION("""COMPUTED_VALUE"""),"Doni Damara")</f>
        <v>Doni Damara</v>
      </c>
      <c r="G590" s="3" t="str">
        <f>IFERROR(__xludf.DUMMYFUNCTION("""COMPUTED_VALUE"""),"Palangkaraya")</f>
        <v>Palangkaraya</v>
      </c>
      <c r="H590" s="3" t="str">
        <f>IFERROR(__xludf.DUMMYFUNCTION("""COMPUTED_VALUE"""),"Corrective")</f>
        <v>Corrective</v>
      </c>
      <c r="I590" s="3" t="str">
        <f>IFERROR(__xludf.DUMMYFUNCTION("""COMPUTED_VALUE"""),"Replace Optik,RRU/Soket Power/Replace GPS")</f>
        <v>Replace Optik,RRU/Soket Power/Replace GPS</v>
      </c>
      <c r="J590" s="3" t="str">
        <f>IFERROR(__xludf.DUMMYFUNCTION("""COMPUTED_VALUE"""),"On Progress")</f>
        <v>On Progress</v>
      </c>
      <c r="K590" s="27">
        <f>IFERROR(__xludf.DUMMYFUNCTION("""COMPUTED_VALUE"""),46029.0)</f>
        <v>46029</v>
      </c>
      <c r="L590" s="3"/>
      <c r="M590" s="3" t="str">
        <f>IFERROR(__xludf.DUMMYFUNCTION("""COMPUTED_VALUE"""),"Waiting Update")</f>
        <v>Waiting Update</v>
      </c>
      <c r="N590" s="3"/>
      <c r="O590" s="3" t="str">
        <f>IFERROR(VLOOKUP(C590,Sheet4!A590:F1377,6,0),"")</f>
        <v/>
      </c>
      <c r="Q590" s="2" t="str">
        <f t="shared" si="1"/>
        <v>07</v>
      </c>
    </row>
    <row r="591">
      <c r="A591" s="3" t="str">
        <f>IFERROR(__xludf.DUMMYFUNCTION("""COMPUTED_VALUE"""),"Cell down")</f>
        <v>Cell down</v>
      </c>
      <c r="B591" s="3" t="str">
        <f>IFERROR(__xludf.DUMMYFUNCTION("""COMPUTED_VALUE"""),"P1")</f>
        <v>P1</v>
      </c>
      <c r="C591" s="3" t="str">
        <f>IFERROR(__xludf.DUMMYFUNCTION("""COMPUTED_VALUE"""),"PPS250")</f>
        <v>PPS250</v>
      </c>
      <c r="D591" s="3" t="str">
        <f>IFERROR(__xludf.DUMMYFUNCTION("""COMPUTED_VALUE"""),"Muhamad Rayhan")</f>
        <v>Muhamad Rayhan</v>
      </c>
      <c r="E591" s="3" t="str">
        <f>IFERROR(__xludf.DUMMYFUNCTION("""COMPUTED_VALUE"""),"TE")</f>
        <v>TE</v>
      </c>
      <c r="F591" s="3" t="str">
        <f>IFERROR(__xludf.DUMMYFUNCTION("""COMPUTED_VALUE"""),"Doni Damara")</f>
        <v>Doni Damara</v>
      </c>
      <c r="G591" s="3" t="str">
        <f>IFERROR(__xludf.DUMMYFUNCTION("""COMPUTED_VALUE"""),"Palangkaraya")</f>
        <v>Palangkaraya</v>
      </c>
      <c r="H591" s="3" t="str">
        <f>IFERROR(__xludf.DUMMYFUNCTION("""COMPUTED_VALUE"""),"Corrective")</f>
        <v>Corrective</v>
      </c>
      <c r="I591" s="3" t="str">
        <f>IFERROR(__xludf.DUMMYFUNCTION("""COMPUTED_VALUE"""),"Replace Optik,RRU/Soket Power/Replace GPS")</f>
        <v>Replace Optik,RRU/Soket Power/Replace GPS</v>
      </c>
      <c r="J591" s="3" t="str">
        <f>IFERROR(__xludf.DUMMYFUNCTION("""COMPUTED_VALUE"""),"On Progress")</f>
        <v>On Progress</v>
      </c>
      <c r="K591" s="27">
        <f>IFERROR(__xludf.DUMMYFUNCTION("""COMPUTED_VALUE"""),46029.0)</f>
        <v>46029</v>
      </c>
      <c r="L591" s="3"/>
      <c r="M591" s="3" t="str">
        <f>IFERROR(__xludf.DUMMYFUNCTION("""COMPUTED_VALUE"""),"Waiting Update")</f>
        <v>Waiting Update</v>
      </c>
      <c r="N591" s="3"/>
      <c r="O591" s="3" t="str">
        <f>IFERROR(VLOOKUP(C591,Sheet4!A591:F1378,6,0),"")</f>
        <v/>
      </c>
      <c r="Q591" s="2" t="str">
        <f t="shared" si="1"/>
        <v>07</v>
      </c>
    </row>
    <row r="592">
      <c r="A592" s="3" t="str">
        <f>IFERROR(__xludf.DUMMYFUNCTION("""COMPUTED_VALUE"""),"Cell down")</f>
        <v>Cell down</v>
      </c>
      <c r="B592" s="3" t="str">
        <f>IFERROR(__xludf.DUMMYFUNCTION("""COMPUTED_VALUE"""),"P1")</f>
        <v>P1</v>
      </c>
      <c r="C592" s="3" t="str">
        <f>IFERROR(__xludf.DUMMYFUNCTION("""COMPUTED_VALUE"""),"KKN151")</f>
        <v>KKN151</v>
      </c>
      <c r="D592" s="3" t="str">
        <f>IFERROR(__xludf.DUMMYFUNCTION("""COMPUTED_VALUE"""),"Leonard")</f>
        <v>Leonard</v>
      </c>
      <c r="E592" s="3" t="str">
        <f>IFERROR(__xludf.DUMMYFUNCTION("""COMPUTED_VALUE"""),"TE")</f>
        <v>TE</v>
      </c>
      <c r="F592" s="3" t="str">
        <f>IFERROR(__xludf.DUMMYFUNCTION("""COMPUTED_VALUE"""),"Doni Damara")</f>
        <v>Doni Damara</v>
      </c>
      <c r="G592" s="3" t="str">
        <f>IFERROR(__xludf.DUMMYFUNCTION("""COMPUTED_VALUE"""),"Palangkaraya")</f>
        <v>Palangkaraya</v>
      </c>
      <c r="H592" s="3" t="str">
        <f>IFERROR(__xludf.DUMMYFUNCTION("""COMPUTED_VALUE"""),"Corrective")</f>
        <v>Corrective</v>
      </c>
      <c r="I592" s="3" t="str">
        <f>IFERROR(__xludf.DUMMYFUNCTION("""COMPUTED_VALUE"""),"Replace Optik,RRU/Soket Power/Replace GPS")</f>
        <v>Replace Optik,RRU/Soket Power/Replace GPS</v>
      </c>
      <c r="J592" s="3" t="str">
        <f>IFERROR(__xludf.DUMMYFUNCTION("""COMPUTED_VALUE"""),"On Progress")</f>
        <v>On Progress</v>
      </c>
      <c r="K592" s="27">
        <f>IFERROR(__xludf.DUMMYFUNCTION("""COMPUTED_VALUE"""),46029.0)</f>
        <v>46029</v>
      </c>
      <c r="L592" s="3"/>
      <c r="M592" s="3" t="str">
        <f>IFERROR(__xludf.DUMMYFUNCTION("""COMPUTED_VALUE"""),"Waiting Update")</f>
        <v>Waiting Update</v>
      </c>
      <c r="N592" s="3"/>
      <c r="O592" s="3" t="str">
        <f>IFERROR(VLOOKUP(C592,Sheet4!A592:F1379,6,0),"")</f>
        <v/>
      </c>
      <c r="Q592" s="2" t="str">
        <f t="shared" si="1"/>
        <v>07</v>
      </c>
    </row>
    <row r="593">
      <c r="A593" s="3" t="str">
        <f>IFERROR(__xludf.DUMMYFUNCTION("""COMPUTED_VALUE"""),"Cell down")</f>
        <v>Cell down</v>
      </c>
      <c r="B593" s="3" t="str">
        <f>IFERROR(__xludf.DUMMYFUNCTION("""COMPUTED_VALUE"""),"P1")</f>
        <v>P1</v>
      </c>
      <c r="C593" s="3" t="str">
        <f>IFERROR(__xludf.DUMMYFUNCTION("""COMPUTED_VALUE"""),"KKN151")</f>
        <v>KKN151</v>
      </c>
      <c r="D593" s="3" t="str">
        <f>IFERROR(__xludf.DUMMYFUNCTION("""COMPUTED_VALUE"""),"Aulia Rahman")</f>
        <v>Aulia Rahman</v>
      </c>
      <c r="E593" s="3" t="str">
        <f>IFERROR(__xludf.DUMMYFUNCTION("""COMPUTED_VALUE"""),"TE")</f>
        <v>TE</v>
      </c>
      <c r="F593" s="3" t="str">
        <f>IFERROR(__xludf.DUMMYFUNCTION("""COMPUTED_VALUE"""),"Doni Damara")</f>
        <v>Doni Damara</v>
      </c>
      <c r="G593" s="3" t="str">
        <f>IFERROR(__xludf.DUMMYFUNCTION("""COMPUTED_VALUE"""),"Palangkaraya")</f>
        <v>Palangkaraya</v>
      </c>
      <c r="H593" s="3" t="str">
        <f>IFERROR(__xludf.DUMMYFUNCTION("""COMPUTED_VALUE"""),"Corrective")</f>
        <v>Corrective</v>
      </c>
      <c r="I593" s="3" t="str">
        <f>IFERROR(__xludf.DUMMYFUNCTION("""COMPUTED_VALUE"""),"Replace Optik,RRU/Soket Power/Replace GPS")</f>
        <v>Replace Optik,RRU/Soket Power/Replace GPS</v>
      </c>
      <c r="J593" s="3" t="str">
        <f>IFERROR(__xludf.DUMMYFUNCTION("""COMPUTED_VALUE"""),"On Progress")</f>
        <v>On Progress</v>
      </c>
      <c r="K593" s="27">
        <f>IFERROR(__xludf.DUMMYFUNCTION("""COMPUTED_VALUE"""),46029.0)</f>
        <v>46029</v>
      </c>
      <c r="L593" s="3"/>
      <c r="M593" s="3" t="str">
        <f>IFERROR(__xludf.DUMMYFUNCTION("""COMPUTED_VALUE"""),"Waiting Update")</f>
        <v>Waiting Update</v>
      </c>
      <c r="N593" s="3"/>
      <c r="O593" s="3" t="str">
        <f>IFERROR(VLOOKUP(C593,Sheet4!A593:F1380,6,0),"")</f>
        <v/>
      </c>
      <c r="Q593" s="2" t="str">
        <f t="shared" si="1"/>
        <v>07</v>
      </c>
    </row>
    <row r="594">
      <c r="A594" s="3" t="str">
        <f>IFERROR(__xludf.DUMMYFUNCTION("""COMPUTED_VALUE"""),"Cell down")</f>
        <v>Cell down</v>
      </c>
      <c r="B594" s="3" t="str">
        <f>IFERROR(__xludf.DUMMYFUNCTION("""COMPUTED_VALUE"""),"P1")</f>
        <v>P1</v>
      </c>
      <c r="C594" s="3" t="str">
        <f>IFERROR(__xludf.DUMMYFUNCTION("""COMPUTED_VALUE"""),"KSN021")</f>
        <v>KSN021</v>
      </c>
      <c r="D594" s="3" t="str">
        <f>IFERROR(__xludf.DUMMYFUNCTION("""COMPUTED_VALUE"""),"Muhammad Mukhlis")</f>
        <v>Muhammad Mukhlis</v>
      </c>
      <c r="E594" s="3" t="str">
        <f>IFERROR(__xludf.DUMMYFUNCTION("""COMPUTED_VALUE"""),"TE")</f>
        <v>TE</v>
      </c>
      <c r="F594" s="3" t="str">
        <f>IFERROR(__xludf.DUMMYFUNCTION("""COMPUTED_VALUE"""),"Doni Damara")</f>
        <v>Doni Damara</v>
      </c>
      <c r="G594" s="3" t="str">
        <f>IFERROR(__xludf.DUMMYFUNCTION("""COMPUTED_VALUE"""),"Palangkaraya")</f>
        <v>Palangkaraya</v>
      </c>
      <c r="H594" s="3" t="str">
        <f>IFERROR(__xludf.DUMMYFUNCTION("""COMPUTED_VALUE"""),"Corrective")</f>
        <v>Corrective</v>
      </c>
      <c r="I594" s="3" t="str">
        <f>IFERROR(__xludf.DUMMYFUNCTION("""COMPUTED_VALUE"""),"Replace Optik,RRU/Soket Power/Replace GPS")</f>
        <v>Replace Optik,RRU/Soket Power/Replace GPS</v>
      </c>
      <c r="J594" s="3" t="str">
        <f>IFERROR(__xludf.DUMMYFUNCTION("""COMPUTED_VALUE"""),"On Progress")</f>
        <v>On Progress</v>
      </c>
      <c r="K594" s="27">
        <f>IFERROR(__xludf.DUMMYFUNCTION("""COMPUTED_VALUE"""),46029.0)</f>
        <v>46029</v>
      </c>
      <c r="L594" s="3"/>
      <c r="M594" s="3" t="str">
        <f>IFERROR(__xludf.DUMMYFUNCTION("""COMPUTED_VALUE"""),"Waiting Update")</f>
        <v>Waiting Update</v>
      </c>
      <c r="N594" s="3"/>
      <c r="O594" s="3" t="str">
        <f>IFERROR(VLOOKUP(C594,Sheet4!A594:F1381,6,0),"")</f>
        <v/>
      </c>
      <c r="Q594" s="2" t="str">
        <f t="shared" si="1"/>
        <v>07</v>
      </c>
    </row>
    <row r="595">
      <c r="A595" s="3" t="str">
        <f>IFERROR(__xludf.DUMMYFUNCTION("""COMPUTED_VALUE"""),"Pengecekan battrey")</f>
        <v>Pengecekan battrey</v>
      </c>
      <c r="B595" s="3" t="str">
        <f>IFERROR(__xludf.DUMMYFUNCTION("""COMPUTED_VALUE"""),"P2")</f>
        <v>P2</v>
      </c>
      <c r="C595" s="3" t="str">
        <f>IFERROR(__xludf.DUMMYFUNCTION("""COMPUTED_VALUE"""),"KSN003")</f>
        <v>KSN003</v>
      </c>
      <c r="D595" s="3" t="str">
        <f>IFERROR(__xludf.DUMMYFUNCTION("""COMPUTED_VALUE"""),"Muhammad Mukti")</f>
        <v>Muhammad Mukti</v>
      </c>
      <c r="E595" s="3" t="str">
        <f>IFERROR(__xludf.DUMMYFUNCTION("""COMPUTED_VALUE"""),"TE")</f>
        <v>TE</v>
      </c>
      <c r="F595" s="3" t="str">
        <f>IFERROR(__xludf.DUMMYFUNCTION("""COMPUTED_VALUE"""),"Doni Damara")</f>
        <v>Doni Damara</v>
      </c>
      <c r="G595" s="3" t="str">
        <f>IFERROR(__xludf.DUMMYFUNCTION("""COMPUTED_VALUE"""),"Palangkaraya")</f>
        <v>Palangkaraya</v>
      </c>
      <c r="H595" s="3" t="str">
        <f>IFERROR(__xludf.DUMMYFUNCTION("""COMPUTED_VALUE"""),"Preventive")</f>
        <v>Preventive</v>
      </c>
      <c r="I595" s="3" t="str">
        <f>IFERROR(__xludf.DUMMYFUNCTION("""COMPUTED_VALUE"""),"Pengukuran dan pengambilan data log serta input Gdoc BBT")</f>
        <v>Pengukuran dan pengambilan data log serta input Gdoc BBT</v>
      </c>
      <c r="J595" s="3" t="str">
        <f>IFERROR(__xludf.DUMMYFUNCTION("""COMPUTED_VALUE"""),"On Progress")</f>
        <v>On Progress</v>
      </c>
      <c r="K595" s="27">
        <f>IFERROR(__xludf.DUMMYFUNCTION("""COMPUTED_VALUE"""),46029.0)</f>
        <v>46029</v>
      </c>
      <c r="L595" s="3"/>
      <c r="M595" s="3" t="str">
        <f>IFERROR(__xludf.DUMMYFUNCTION("""COMPUTED_VALUE"""),"Waiting Update")</f>
        <v>Waiting Update</v>
      </c>
      <c r="N595" s="3"/>
      <c r="O595" s="3">
        <f>IFERROR(VLOOKUP(C595,Sheet4!A595:F1382,6,0),"")</f>
        <v>11308922</v>
      </c>
      <c r="Q595" s="2" t="str">
        <f t="shared" si="1"/>
        <v>07</v>
      </c>
    </row>
    <row r="596">
      <c r="A596" s="3" t="str">
        <f>IFERROR(__xludf.DUMMYFUNCTION("""COMPUTED_VALUE"""),"Tshoot Genset")</f>
        <v>Tshoot Genset</v>
      </c>
      <c r="B596" s="3" t="str">
        <f>IFERROR(__xludf.DUMMYFUNCTION("""COMPUTED_VALUE"""),"P1")</f>
        <v>P1</v>
      </c>
      <c r="C596" s="3" t="str">
        <f>IFERROR(__xludf.DUMMYFUNCTION("""COMPUTED_VALUE"""),"KSN150")</f>
        <v>KSN150</v>
      </c>
      <c r="D596" s="3" t="str">
        <f>IFERROR(__xludf.DUMMYFUNCTION("""COMPUTED_VALUE"""),"melky.O.Tulangow")</f>
        <v>melky.O.Tulangow</v>
      </c>
      <c r="E596" s="3" t="str">
        <f>IFERROR(__xludf.DUMMYFUNCTION("""COMPUTED_VALUE"""),"TE")</f>
        <v>TE</v>
      </c>
      <c r="F596" s="3" t="str">
        <f>IFERROR(__xludf.DUMMYFUNCTION("""COMPUTED_VALUE"""),"Doni Damara")</f>
        <v>Doni Damara</v>
      </c>
      <c r="G596" s="3" t="str">
        <f>IFERROR(__xludf.DUMMYFUNCTION("""COMPUTED_VALUE"""),"Palangkaraya")</f>
        <v>Palangkaraya</v>
      </c>
      <c r="H596" s="3" t="str">
        <f>IFERROR(__xludf.DUMMYFUNCTION("""COMPUTED_VALUE"""),"Corrective")</f>
        <v>Corrective</v>
      </c>
      <c r="I596" s="3" t="str">
        <f>IFERROR(__xludf.DUMMYFUNCTION("""COMPUTED_VALUE"""),"Perbaikan Auto,pergantian relay,timer, yang berhubungan genset")</f>
        <v>Perbaikan Auto,pergantian relay,timer, yang berhubungan genset</v>
      </c>
      <c r="J596" s="3" t="str">
        <f>IFERROR(__xludf.DUMMYFUNCTION("""COMPUTED_VALUE"""),"On Progress")</f>
        <v>On Progress</v>
      </c>
      <c r="K596" s="27">
        <f>IFERROR(__xludf.DUMMYFUNCTION("""COMPUTED_VALUE"""),46029.0)</f>
        <v>46029</v>
      </c>
      <c r="L596" s="3"/>
      <c r="M596" s="3" t="str">
        <f>IFERROR(__xludf.DUMMYFUNCTION("""COMPUTED_VALUE"""),"Waiting Update")</f>
        <v>Waiting Update</v>
      </c>
      <c r="N596" s="3"/>
      <c r="O596" s="3">
        <f>IFERROR(VLOOKUP(C596,Sheet4!A596:F1383,6,0),"")</f>
        <v>112496</v>
      </c>
      <c r="Q596" s="2" t="str">
        <f t="shared" si="1"/>
        <v>07</v>
      </c>
    </row>
    <row r="597">
      <c r="A597" s="3" t="str">
        <f>IFERROR(__xludf.DUMMYFUNCTION("""COMPUTED_VALUE"""),"Standby On Call")</f>
        <v>Standby On Call</v>
      </c>
      <c r="B597" s="3" t="str">
        <f>IFERROR(__xludf.DUMMYFUNCTION("""COMPUTED_VALUE"""),"P3")</f>
        <v>P3</v>
      </c>
      <c r="C597" s="3"/>
      <c r="D597" s="3" t="str">
        <f>IFERROR(__xludf.DUMMYFUNCTION("""COMPUTED_VALUE"""),"Indra")</f>
        <v>Indra</v>
      </c>
      <c r="E597" s="3" t="str">
        <f>IFERROR(__xludf.DUMMYFUNCTION("""COMPUTED_VALUE"""),"PM")</f>
        <v>PM</v>
      </c>
      <c r="F597" s="3" t="str">
        <f>IFERROR(__xludf.DUMMYFUNCTION("""COMPUTED_VALUE"""),"Doni Damara")</f>
        <v>Doni Damara</v>
      </c>
      <c r="G597" s="3" t="str">
        <f>IFERROR(__xludf.DUMMYFUNCTION("""COMPUTED_VALUE"""),"Palangkaraya")</f>
        <v>Palangkaraya</v>
      </c>
      <c r="H597" s="3" t="str">
        <f>IFERROR(__xludf.DUMMYFUNCTION("""COMPUTED_VALUE"""),"Standby")</f>
        <v>Standby</v>
      </c>
      <c r="I597" s="3" t="str">
        <f>IFERROR(__xludf.DUMMYFUNCTION("""COMPUTED_VALUE"""),"Standby On Call")</f>
        <v>Standby On Call</v>
      </c>
      <c r="J597" s="3" t="str">
        <f>IFERROR(__xludf.DUMMYFUNCTION("""COMPUTED_VALUE"""),"Standby")</f>
        <v>Standby</v>
      </c>
      <c r="K597" s="27">
        <f>IFERROR(__xludf.DUMMYFUNCTION("""COMPUTED_VALUE"""),46029.0)</f>
        <v>46029</v>
      </c>
      <c r="L597" s="3"/>
      <c r="M597" s="3" t="str">
        <f>IFERROR(__xludf.DUMMYFUNCTION("""COMPUTED_VALUE"""),"Waiting Update")</f>
        <v>Waiting Update</v>
      </c>
      <c r="N597" s="3"/>
      <c r="O597" s="3" t="str">
        <f>IFERROR(VLOOKUP(C597,Sheet4!A597:F1384,6,0),"")</f>
        <v/>
      </c>
      <c r="Q597" s="2" t="str">
        <f t="shared" si="1"/>
        <v>07</v>
      </c>
    </row>
    <row r="598">
      <c r="A598" s="3" t="str">
        <f>IFERROR(__xludf.DUMMYFUNCTION("""COMPUTED_VALUE"""),"Standby On Call")</f>
        <v>Standby On Call</v>
      </c>
      <c r="B598" s="3" t="str">
        <f>IFERROR(__xludf.DUMMYFUNCTION("""COMPUTED_VALUE"""),"P3")</f>
        <v>P3</v>
      </c>
      <c r="C598" s="3"/>
      <c r="D598" s="3" t="str">
        <f>IFERROR(__xludf.DUMMYFUNCTION("""COMPUTED_VALUE"""),"Darli")</f>
        <v>Darli</v>
      </c>
      <c r="E598" s="3" t="str">
        <f>IFERROR(__xludf.DUMMYFUNCTION("""COMPUTED_VALUE"""),"PM")</f>
        <v>PM</v>
      </c>
      <c r="F598" s="3" t="str">
        <f>IFERROR(__xludf.DUMMYFUNCTION("""COMPUTED_VALUE"""),"Doni Damara")</f>
        <v>Doni Damara</v>
      </c>
      <c r="G598" s="3" t="str">
        <f>IFERROR(__xludf.DUMMYFUNCTION("""COMPUTED_VALUE"""),"Palangkaraya")</f>
        <v>Palangkaraya</v>
      </c>
      <c r="H598" s="3" t="str">
        <f>IFERROR(__xludf.DUMMYFUNCTION("""COMPUTED_VALUE"""),"Standby")</f>
        <v>Standby</v>
      </c>
      <c r="I598" s="3" t="str">
        <f>IFERROR(__xludf.DUMMYFUNCTION("""COMPUTED_VALUE"""),"Standby On Call")</f>
        <v>Standby On Call</v>
      </c>
      <c r="J598" s="3" t="str">
        <f>IFERROR(__xludf.DUMMYFUNCTION("""COMPUTED_VALUE"""),"Standby")</f>
        <v>Standby</v>
      </c>
      <c r="K598" s="27">
        <f>IFERROR(__xludf.DUMMYFUNCTION("""COMPUTED_VALUE"""),46029.0)</f>
        <v>46029</v>
      </c>
      <c r="L598" s="3"/>
      <c r="M598" s="3" t="str">
        <f>IFERROR(__xludf.DUMMYFUNCTION("""COMPUTED_VALUE"""),"Waiting Update")</f>
        <v>Waiting Update</v>
      </c>
      <c r="N598" s="3"/>
      <c r="O598" s="3" t="str">
        <f>IFERROR(VLOOKUP(C598,Sheet4!A598:F1385,6,0),"")</f>
        <v/>
      </c>
      <c r="Q598" s="2" t="str">
        <f t="shared" si="1"/>
        <v>07</v>
      </c>
    </row>
    <row r="599">
      <c r="A599" s="3" t="str">
        <f>IFERROR(__xludf.DUMMYFUNCTION("""COMPUTED_VALUE"""),"Standby On Call")</f>
        <v>Standby On Call</v>
      </c>
      <c r="B599" s="3" t="str">
        <f>IFERROR(__xludf.DUMMYFUNCTION("""COMPUTED_VALUE"""),"P3")</f>
        <v>P3</v>
      </c>
      <c r="C599" s="3"/>
      <c r="D599" s="3" t="str">
        <f>IFERROR(__xludf.DUMMYFUNCTION("""COMPUTED_VALUE"""),"Sarwono")</f>
        <v>Sarwono</v>
      </c>
      <c r="E599" s="3" t="str">
        <f>IFERROR(__xludf.DUMMYFUNCTION("""COMPUTED_VALUE"""),"CME")</f>
        <v>CME</v>
      </c>
      <c r="F599" s="3" t="str">
        <f>IFERROR(__xludf.DUMMYFUNCTION("""COMPUTED_VALUE"""),"Doni Damara")</f>
        <v>Doni Damara</v>
      </c>
      <c r="G599" s="3" t="str">
        <f>IFERROR(__xludf.DUMMYFUNCTION("""COMPUTED_VALUE"""),"Palangkaraya")</f>
        <v>Palangkaraya</v>
      </c>
      <c r="H599" s="3" t="str">
        <f>IFERROR(__xludf.DUMMYFUNCTION("""COMPUTED_VALUE"""),"Standby")</f>
        <v>Standby</v>
      </c>
      <c r="I599" s="3" t="str">
        <f>IFERROR(__xludf.DUMMYFUNCTION("""COMPUTED_VALUE"""),"Standby On Call")</f>
        <v>Standby On Call</v>
      </c>
      <c r="J599" s="3" t="str">
        <f>IFERROR(__xludf.DUMMYFUNCTION("""COMPUTED_VALUE"""),"Standby")</f>
        <v>Standby</v>
      </c>
      <c r="K599" s="27">
        <f>IFERROR(__xludf.DUMMYFUNCTION("""COMPUTED_VALUE"""),46029.0)</f>
        <v>46029</v>
      </c>
      <c r="L599" s="3"/>
      <c r="M599" s="3" t="str">
        <f>IFERROR(__xludf.DUMMYFUNCTION("""COMPUTED_VALUE"""),"Waiting Update")</f>
        <v>Waiting Update</v>
      </c>
      <c r="N599" s="3"/>
      <c r="O599" s="3" t="str">
        <f>IFERROR(VLOOKUP(C599,Sheet4!A599:F1386,6,0),"")</f>
        <v/>
      </c>
      <c r="Q599" s="2" t="str">
        <f t="shared" si="1"/>
        <v>07</v>
      </c>
    </row>
    <row r="600">
      <c r="A600" s="3" t="str">
        <f>IFERROR(__xludf.DUMMYFUNCTION("""COMPUTED_VALUE"""),"Standby On Call")</f>
        <v>Standby On Call</v>
      </c>
      <c r="B600" s="3" t="str">
        <f>IFERROR(__xludf.DUMMYFUNCTION("""COMPUTED_VALUE"""),"P3")</f>
        <v>P3</v>
      </c>
      <c r="C600" s="3"/>
      <c r="D600" s="3" t="str">
        <f>IFERROR(__xludf.DUMMYFUNCTION("""COMPUTED_VALUE"""),"Purwanto")</f>
        <v>Purwanto</v>
      </c>
      <c r="E600" s="3" t="str">
        <f>IFERROR(__xludf.DUMMYFUNCTION("""COMPUTED_VALUE"""),"MBP")</f>
        <v>MBP</v>
      </c>
      <c r="F600" s="3" t="str">
        <f>IFERROR(__xludf.DUMMYFUNCTION("""COMPUTED_VALUE"""),"Doni Damara")</f>
        <v>Doni Damara</v>
      </c>
      <c r="G600" s="3" t="str">
        <f>IFERROR(__xludf.DUMMYFUNCTION("""COMPUTED_VALUE"""),"Palangkaraya")</f>
        <v>Palangkaraya</v>
      </c>
      <c r="H600" s="3" t="str">
        <f>IFERROR(__xludf.DUMMYFUNCTION("""COMPUTED_VALUE"""),"Standby")</f>
        <v>Standby</v>
      </c>
      <c r="I600" s="3" t="str">
        <f>IFERROR(__xludf.DUMMYFUNCTION("""COMPUTED_VALUE"""),"Standby On Call")</f>
        <v>Standby On Call</v>
      </c>
      <c r="J600" s="3" t="str">
        <f>IFERROR(__xludf.DUMMYFUNCTION("""COMPUTED_VALUE"""),"Standby")</f>
        <v>Standby</v>
      </c>
      <c r="K600" s="27">
        <f>IFERROR(__xludf.DUMMYFUNCTION("""COMPUTED_VALUE"""),46029.0)</f>
        <v>46029</v>
      </c>
      <c r="L600" s="3"/>
      <c r="M600" s="3" t="str">
        <f>IFERROR(__xludf.DUMMYFUNCTION("""COMPUTED_VALUE"""),"Waiting Update")</f>
        <v>Waiting Update</v>
      </c>
      <c r="N600" s="3"/>
      <c r="O600" s="3" t="str">
        <f>IFERROR(VLOOKUP(C600,Sheet4!A600:F1387,6,0),"")</f>
        <v/>
      </c>
      <c r="Q600" s="2" t="str">
        <f t="shared" si="1"/>
        <v>07</v>
      </c>
    </row>
    <row r="601">
      <c r="A601" s="3" t="str">
        <f>IFERROR(__xludf.DUMMYFUNCTION("""COMPUTED_VALUE"""),"Standby On Call")</f>
        <v>Standby On Call</v>
      </c>
      <c r="B601" s="3" t="str">
        <f>IFERROR(__xludf.DUMMYFUNCTION("""COMPUTED_VALUE"""),"P3")</f>
        <v>P3</v>
      </c>
      <c r="C601" s="3"/>
      <c r="D601" s="3" t="str">
        <f>IFERROR(__xludf.DUMMYFUNCTION("""COMPUTED_VALUE"""),"Sairaji")</f>
        <v>Sairaji</v>
      </c>
      <c r="E601" s="3" t="str">
        <f>IFERROR(__xludf.DUMMYFUNCTION("""COMPUTED_VALUE"""),"MBP")</f>
        <v>MBP</v>
      </c>
      <c r="F601" s="3" t="str">
        <f>IFERROR(__xludf.DUMMYFUNCTION("""COMPUTED_VALUE"""),"Doni Damara")</f>
        <v>Doni Damara</v>
      </c>
      <c r="G601" s="3" t="str">
        <f>IFERROR(__xludf.DUMMYFUNCTION("""COMPUTED_VALUE"""),"Palangkaraya")</f>
        <v>Palangkaraya</v>
      </c>
      <c r="H601" s="3" t="str">
        <f>IFERROR(__xludf.DUMMYFUNCTION("""COMPUTED_VALUE"""),"Standby")</f>
        <v>Standby</v>
      </c>
      <c r="I601" s="3" t="str">
        <f>IFERROR(__xludf.DUMMYFUNCTION("""COMPUTED_VALUE"""),"Standby On Call")</f>
        <v>Standby On Call</v>
      </c>
      <c r="J601" s="3" t="str">
        <f>IFERROR(__xludf.DUMMYFUNCTION("""COMPUTED_VALUE"""),"Standby")</f>
        <v>Standby</v>
      </c>
      <c r="K601" s="27">
        <f>IFERROR(__xludf.DUMMYFUNCTION("""COMPUTED_VALUE"""),46029.0)</f>
        <v>46029</v>
      </c>
      <c r="L601" s="3"/>
      <c r="M601" s="3" t="str">
        <f>IFERROR(__xludf.DUMMYFUNCTION("""COMPUTED_VALUE"""),"Waiting Update")</f>
        <v>Waiting Update</v>
      </c>
      <c r="N601" s="3"/>
      <c r="O601" s="3" t="str">
        <f>IFERROR(VLOOKUP(C601,Sheet4!A601:F1388,6,0),"")</f>
        <v/>
      </c>
      <c r="Q601" s="2" t="str">
        <f t="shared" si="1"/>
        <v>07</v>
      </c>
    </row>
    <row r="602">
      <c r="A602" s="3" t="str">
        <f>IFERROR(__xludf.DUMMYFUNCTION("""COMPUTED_VALUE"""),"Standby On Call")</f>
        <v>Standby On Call</v>
      </c>
      <c r="B602" s="3" t="str">
        <f>IFERROR(__xludf.DUMMYFUNCTION("""COMPUTED_VALUE"""),"P3")</f>
        <v>P3</v>
      </c>
      <c r="C602" s="3"/>
      <c r="D602" s="3" t="str">
        <f>IFERROR(__xludf.DUMMYFUNCTION("""COMPUTED_VALUE"""),"hory yusmanto")</f>
        <v>hory yusmanto</v>
      </c>
      <c r="E602" s="3" t="str">
        <f>IFERROR(__xludf.DUMMYFUNCTION("""COMPUTED_VALUE"""),"MBP")</f>
        <v>MBP</v>
      </c>
      <c r="F602" s="3" t="str">
        <f>IFERROR(__xludf.DUMMYFUNCTION("""COMPUTED_VALUE"""),"Doni Damara")</f>
        <v>Doni Damara</v>
      </c>
      <c r="G602" s="3" t="str">
        <f>IFERROR(__xludf.DUMMYFUNCTION("""COMPUTED_VALUE"""),"Palangkaraya")</f>
        <v>Palangkaraya</v>
      </c>
      <c r="H602" s="3" t="str">
        <f>IFERROR(__xludf.DUMMYFUNCTION("""COMPUTED_VALUE"""),"Standby")</f>
        <v>Standby</v>
      </c>
      <c r="I602" s="3" t="str">
        <f>IFERROR(__xludf.DUMMYFUNCTION("""COMPUTED_VALUE"""),"Standby On Call")</f>
        <v>Standby On Call</v>
      </c>
      <c r="J602" s="3" t="str">
        <f>IFERROR(__xludf.DUMMYFUNCTION("""COMPUTED_VALUE"""),"Standby")</f>
        <v>Standby</v>
      </c>
      <c r="K602" s="27">
        <f>IFERROR(__xludf.DUMMYFUNCTION("""COMPUTED_VALUE"""),46029.0)</f>
        <v>46029</v>
      </c>
      <c r="L602" s="3"/>
      <c r="M602" s="3" t="str">
        <f>IFERROR(__xludf.DUMMYFUNCTION("""COMPUTED_VALUE"""),"Waiting Update")</f>
        <v>Waiting Update</v>
      </c>
      <c r="N602" s="3"/>
      <c r="O602" s="3" t="str">
        <f>IFERROR(VLOOKUP(C602,Sheet4!A602:F1389,6,0),"")</f>
        <v/>
      </c>
      <c r="Q602" s="2" t="str">
        <f t="shared" si="1"/>
        <v>07</v>
      </c>
    </row>
    <row r="603">
      <c r="A603" s="3" t="str">
        <f>IFERROR(__xludf.DUMMYFUNCTION("""COMPUTED_VALUE"""),"Pengecekan battrey")</f>
        <v>Pengecekan battrey</v>
      </c>
      <c r="B603" s="3" t="str">
        <f>IFERROR(__xludf.DUMMYFUNCTION("""COMPUTED_VALUE"""),"P2")</f>
        <v>P2</v>
      </c>
      <c r="C603" s="3" t="str">
        <f>IFERROR(__xludf.DUMMYFUNCTION("""COMPUTED_VALUE"""),"BNT070")</f>
        <v>BNT070</v>
      </c>
      <c r="D603" s="3" t="str">
        <f>IFERROR(__xludf.DUMMYFUNCTION("""COMPUTED_VALUE"""),"Putra wardana")</f>
        <v>Putra wardana</v>
      </c>
      <c r="E603" s="3" t="str">
        <f>IFERROR(__xludf.DUMMYFUNCTION("""COMPUTED_VALUE"""),"TE")</f>
        <v>TE</v>
      </c>
      <c r="F603" s="3" t="str">
        <f>IFERROR(__xludf.DUMMYFUNCTION("""COMPUTED_VALUE"""),"Winda Sokenda")</f>
        <v>Winda Sokenda</v>
      </c>
      <c r="G603" s="3" t="str">
        <f>IFERROR(__xludf.DUMMYFUNCTION("""COMPUTED_VALUE"""),"Barito Raya")</f>
        <v>Barito Raya</v>
      </c>
      <c r="H603" s="3" t="str">
        <f>IFERROR(__xludf.DUMMYFUNCTION("""COMPUTED_VALUE"""),"Preventive")</f>
        <v>Preventive</v>
      </c>
      <c r="I603" s="3" t="str">
        <f>IFERROR(__xludf.DUMMYFUNCTION("""COMPUTED_VALUE"""),"Pengukuran dan pengambilan data log serta input Gdoc BBT")</f>
        <v>Pengukuran dan pengambilan data log serta input Gdoc BBT</v>
      </c>
      <c r="J603" s="3" t="str">
        <f>IFERROR(__xludf.DUMMYFUNCTION("""COMPUTED_VALUE"""),"On Progress")</f>
        <v>On Progress</v>
      </c>
      <c r="K603" s="27">
        <f>IFERROR(__xludf.DUMMYFUNCTION("""COMPUTED_VALUE"""),46030.0)</f>
        <v>46030</v>
      </c>
      <c r="L603" s="27">
        <f>IFERROR(__xludf.DUMMYFUNCTION("""COMPUTED_VALUE"""),46030.0)</f>
        <v>46030</v>
      </c>
      <c r="M603" s="3" t="str">
        <f>IFERROR(__xludf.DUMMYFUNCTION("""COMPUTED_VALUE"""),"Done")</f>
        <v>Done</v>
      </c>
      <c r="N603" s="3"/>
      <c r="O603" s="3" t="str">
        <f>IFERROR(VLOOKUP(C603,Sheet4!A603:F1390,6,0),"")</f>
        <v/>
      </c>
      <c r="Q603" s="2" t="str">
        <f t="shared" si="1"/>
        <v>08</v>
      </c>
    </row>
    <row r="604">
      <c r="A604" s="3" t="str">
        <f>IFERROR(__xludf.DUMMYFUNCTION("""COMPUTED_VALUE"""),"Pengecekan battrey")</f>
        <v>Pengecekan battrey</v>
      </c>
      <c r="B604" s="3" t="str">
        <f>IFERROR(__xludf.DUMMYFUNCTION("""COMPUTED_VALUE"""),"P2")</f>
        <v>P2</v>
      </c>
      <c r="C604" s="3" t="str">
        <f>IFERROR(__xludf.DUMMYFUNCTION("""COMPUTED_VALUE"""),"NTH115")</f>
        <v>NTH115</v>
      </c>
      <c r="D604" s="3" t="str">
        <f>IFERROR(__xludf.DUMMYFUNCTION("""COMPUTED_VALUE"""),"Sailillah")</f>
        <v>Sailillah</v>
      </c>
      <c r="E604" s="3" t="str">
        <f>IFERROR(__xludf.DUMMYFUNCTION("""COMPUTED_VALUE"""),"TE")</f>
        <v>TE</v>
      </c>
      <c r="F604" s="3" t="str">
        <f>IFERROR(__xludf.DUMMYFUNCTION("""COMPUTED_VALUE"""),"Winda Sokenda")</f>
        <v>Winda Sokenda</v>
      </c>
      <c r="G604" s="3" t="str">
        <f>IFERROR(__xludf.DUMMYFUNCTION("""COMPUTED_VALUE"""),"Barito Raya")</f>
        <v>Barito Raya</v>
      </c>
      <c r="H604" s="3" t="str">
        <f>IFERROR(__xludf.DUMMYFUNCTION("""COMPUTED_VALUE"""),"Preventive")</f>
        <v>Preventive</v>
      </c>
      <c r="I604" s="3" t="str">
        <f>IFERROR(__xludf.DUMMYFUNCTION("""COMPUTED_VALUE"""),"Pengukuran dan pengambilan data log serta input Gdoc BBT")</f>
        <v>Pengukuran dan pengambilan data log serta input Gdoc BBT</v>
      </c>
      <c r="J604" s="3" t="str">
        <f>IFERROR(__xludf.DUMMYFUNCTION("""COMPUTED_VALUE"""),"On Progress")</f>
        <v>On Progress</v>
      </c>
      <c r="K604" s="27">
        <f>IFERROR(__xludf.DUMMYFUNCTION("""COMPUTED_VALUE"""),46030.0)</f>
        <v>46030</v>
      </c>
      <c r="L604" s="27">
        <f>IFERROR(__xludf.DUMMYFUNCTION("""COMPUTED_VALUE"""),46030.0)</f>
        <v>46030</v>
      </c>
      <c r="M604" s="3" t="str">
        <f>IFERROR(__xludf.DUMMYFUNCTION("""COMPUTED_VALUE"""),"Done")</f>
        <v>Done</v>
      </c>
      <c r="N604" s="3"/>
      <c r="O604" s="3" t="str">
        <f>IFERROR(VLOOKUP(C604,Sheet4!A604:F1391,6,0),"")</f>
        <v/>
      </c>
      <c r="Q604" s="2" t="str">
        <f t="shared" si="1"/>
        <v>08</v>
      </c>
    </row>
    <row r="605">
      <c r="A605" s="3" t="str">
        <f>IFERROR(__xludf.DUMMYFUNCTION("""COMPUTED_VALUE"""),"Pengawalan Team telkom")</f>
        <v>Pengawalan Team telkom</v>
      </c>
      <c r="B605" s="3" t="str">
        <f>IFERROR(__xludf.DUMMYFUNCTION("""COMPUTED_VALUE"""),"P2")</f>
        <v>P2</v>
      </c>
      <c r="C605" s="3" t="str">
        <f>IFERROR(__xludf.DUMMYFUNCTION("""COMPUTED_VALUE"""),"BNT004 ")</f>
        <v>BNT004 </v>
      </c>
      <c r="D605" s="3" t="str">
        <f>IFERROR(__xludf.DUMMYFUNCTION("""COMPUTED_VALUE"""),"Tiviansyah")</f>
        <v>Tiviansyah</v>
      </c>
      <c r="E605" s="3" t="str">
        <f>IFERROR(__xludf.DUMMYFUNCTION("""COMPUTED_VALUE"""),"TE")</f>
        <v>TE</v>
      </c>
      <c r="F605" s="3" t="str">
        <f>IFERROR(__xludf.DUMMYFUNCTION("""COMPUTED_VALUE"""),"Winda Sokenda")</f>
        <v>Winda Sokenda</v>
      </c>
      <c r="G605" s="3" t="str">
        <f>IFERROR(__xludf.DUMMYFUNCTION("""COMPUTED_VALUE"""),"Barito Raya")</f>
        <v>Barito Raya</v>
      </c>
      <c r="H605" s="3" t="str">
        <f>IFERROR(__xludf.DUMMYFUNCTION("""COMPUTED_VALUE"""),"Preventive")</f>
        <v>Preventive</v>
      </c>
      <c r="I605" s="3" t="str">
        <f>IFERROR(__xludf.DUMMYFUNCTION("""COMPUTED_VALUE"""),"Akses/Hub Site problem metro")</f>
        <v>Akses/Hub Site problem metro</v>
      </c>
      <c r="J605" s="3" t="str">
        <f>IFERROR(__xludf.DUMMYFUNCTION("""COMPUTED_VALUE"""),"On Progress")</f>
        <v>On Progress</v>
      </c>
      <c r="K605" s="27">
        <f>IFERROR(__xludf.DUMMYFUNCTION("""COMPUTED_VALUE"""),46030.0)</f>
        <v>46030</v>
      </c>
      <c r="L605" s="27">
        <f>IFERROR(__xludf.DUMMYFUNCTION("""COMPUTED_VALUE"""),46030.0)</f>
        <v>46030</v>
      </c>
      <c r="M605" s="3" t="str">
        <f>IFERROR(__xludf.DUMMYFUNCTION("""COMPUTED_VALUE"""),"Done")</f>
        <v>Done</v>
      </c>
      <c r="N605" s="3"/>
      <c r="O605" s="3" t="str">
        <f>IFERROR(VLOOKUP(C605,Sheet4!A605:F1392,6,0),"")</f>
        <v/>
      </c>
      <c r="Q605" s="2" t="str">
        <f t="shared" si="1"/>
        <v>08</v>
      </c>
    </row>
    <row r="606">
      <c r="A606" s="3" t="str">
        <f>IFERROR(__xludf.DUMMYFUNCTION("""COMPUTED_VALUE"""),"Pengecekan Power")</f>
        <v>Pengecekan Power</v>
      </c>
      <c r="B606" s="3" t="str">
        <f>IFERROR(__xludf.DUMMYFUNCTION("""COMPUTED_VALUE"""),"P1")</f>
        <v>P1</v>
      </c>
      <c r="C606" s="3" t="str">
        <f>IFERROR(__xludf.DUMMYFUNCTION("""COMPUTED_VALUE"""),"COH937")</f>
        <v>COH937</v>
      </c>
      <c r="D606" s="3" t="str">
        <f>IFERROR(__xludf.DUMMYFUNCTION("""COMPUTED_VALUE"""),"munawir akhmad")</f>
        <v>munawir akhmad</v>
      </c>
      <c r="E606" s="3" t="str">
        <f>IFERROR(__xludf.DUMMYFUNCTION("""COMPUTED_VALUE"""),"TE")</f>
        <v>TE</v>
      </c>
      <c r="F606" s="3" t="str">
        <f>IFERROR(__xludf.DUMMYFUNCTION("""COMPUTED_VALUE"""),"Winda Sokenda")</f>
        <v>Winda Sokenda</v>
      </c>
      <c r="G606" s="3" t="str">
        <f>IFERROR(__xludf.DUMMYFUNCTION("""COMPUTED_VALUE"""),"Barito Raya")</f>
        <v>Barito Raya</v>
      </c>
      <c r="H606" s="3" t="str">
        <f>IFERROR(__xludf.DUMMYFUNCTION("""COMPUTED_VALUE"""),"Preventive")</f>
        <v>Preventive</v>
      </c>
      <c r="I606" s="3" t="str">
        <f>IFERROR(__xludf.DUMMYFUNCTION("""COMPUTED_VALUE"""),"MCB trip/Power upnormal")</f>
        <v>MCB trip/Power upnormal</v>
      </c>
      <c r="J606" s="3" t="str">
        <f>IFERROR(__xludf.DUMMYFUNCTION("""COMPUTED_VALUE"""),"On Progress")</f>
        <v>On Progress</v>
      </c>
      <c r="K606" s="27">
        <f>IFERROR(__xludf.DUMMYFUNCTION("""COMPUTED_VALUE"""),46030.0)</f>
        <v>46030</v>
      </c>
      <c r="L606" s="27">
        <f>IFERROR(__xludf.DUMMYFUNCTION("""COMPUTED_VALUE"""),46030.0)</f>
        <v>46030</v>
      </c>
      <c r="M606" s="3" t="str">
        <f>IFERROR(__xludf.DUMMYFUNCTION("""COMPUTED_VALUE"""),"Done")</f>
        <v>Done</v>
      </c>
      <c r="N606" s="3"/>
      <c r="O606" s="3" t="str">
        <f>IFERROR(VLOOKUP(C606,Sheet4!A606:F1393,6,0),"")</f>
        <v/>
      </c>
      <c r="Q606" s="2" t="str">
        <f t="shared" si="1"/>
        <v>08</v>
      </c>
    </row>
    <row r="607">
      <c r="A607" s="3" t="str">
        <f>IFERROR(__xludf.DUMMYFUNCTION("""COMPUTED_VALUE"""),"Pengecekan Power")</f>
        <v>Pengecekan Power</v>
      </c>
      <c r="B607" s="3" t="str">
        <f>IFERROR(__xludf.DUMMYFUNCTION("""COMPUTED_VALUE"""),"P1")</f>
        <v>P1</v>
      </c>
      <c r="C607" s="3" t="str">
        <f>IFERROR(__xludf.DUMMYFUNCTION("""COMPUTED_VALUE"""),"COH937")</f>
        <v>COH937</v>
      </c>
      <c r="D607" s="3" t="str">
        <f>IFERROR(__xludf.DUMMYFUNCTION("""COMPUTED_VALUE"""),"Riki Hidayat")</f>
        <v>Riki Hidayat</v>
      </c>
      <c r="E607" s="3" t="str">
        <f>IFERROR(__xludf.DUMMYFUNCTION("""COMPUTED_VALUE"""),"TE")</f>
        <v>TE</v>
      </c>
      <c r="F607" s="3" t="str">
        <f>IFERROR(__xludf.DUMMYFUNCTION("""COMPUTED_VALUE"""),"Winda Sokenda")</f>
        <v>Winda Sokenda</v>
      </c>
      <c r="G607" s="3" t="str">
        <f>IFERROR(__xludf.DUMMYFUNCTION("""COMPUTED_VALUE"""),"Barito Raya")</f>
        <v>Barito Raya</v>
      </c>
      <c r="H607" s="3" t="str">
        <f>IFERROR(__xludf.DUMMYFUNCTION("""COMPUTED_VALUE"""),"Preventive")</f>
        <v>Preventive</v>
      </c>
      <c r="I607" s="3" t="str">
        <f>IFERROR(__xludf.DUMMYFUNCTION("""COMPUTED_VALUE"""),"MCB trip/Power upnormal")</f>
        <v>MCB trip/Power upnormal</v>
      </c>
      <c r="J607" s="3" t="str">
        <f>IFERROR(__xludf.DUMMYFUNCTION("""COMPUTED_VALUE"""),"On Progress")</f>
        <v>On Progress</v>
      </c>
      <c r="K607" s="27">
        <f>IFERROR(__xludf.DUMMYFUNCTION("""COMPUTED_VALUE"""),46030.0)</f>
        <v>46030</v>
      </c>
      <c r="L607" s="27">
        <f>IFERROR(__xludf.DUMMYFUNCTION("""COMPUTED_VALUE"""),46030.0)</f>
        <v>46030</v>
      </c>
      <c r="M607" s="3" t="str">
        <f>IFERROR(__xludf.DUMMYFUNCTION("""COMPUTED_VALUE"""),"Done")</f>
        <v>Done</v>
      </c>
      <c r="N607" s="3"/>
      <c r="O607" s="3" t="str">
        <f>IFERROR(VLOOKUP(C607,Sheet4!A607:F1394,6,0),"")</f>
        <v/>
      </c>
      <c r="Q607" s="2" t="str">
        <f t="shared" si="1"/>
        <v>08</v>
      </c>
    </row>
    <row r="608">
      <c r="A608" s="3" t="str">
        <f>IFERROR(__xludf.DUMMYFUNCTION("""COMPUTED_VALUE"""),"Pengecekan Power")</f>
        <v>Pengecekan Power</v>
      </c>
      <c r="B608" s="3" t="str">
        <f>IFERROR(__xludf.DUMMYFUNCTION("""COMPUTED_VALUE"""),"P1")</f>
        <v>P1</v>
      </c>
      <c r="C608" s="3" t="str">
        <f>IFERROR(__xludf.DUMMYFUNCTION("""COMPUTED_VALUE"""),"PRC200")</f>
        <v>PRC200</v>
      </c>
      <c r="D608" s="3" t="str">
        <f>IFERROR(__xludf.DUMMYFUNCTION("""COMPUTED_VALUE"""),"Murjani")</f>
        <v>Murjani</v>
      </c>
      <c r="E608" s="3" t="str">
        <f>IFERROR(__xludf.DUMMYFUNCTION("""COMPUTED_VALUE"""),"TE")</f>
        <v>TE</v>
      </c>
      <c r="F608" s="3" t="str">
        <f>IFERROR(__xludf.DUMMYFUNCTION("""COMPUTED_VALUE"""),"Winda Sokenda")</f>
        <v>Winda Sokenda</v>
      </c>
      <c r="G608" s="3" t="str">
        <f>IFERROR(__xludf.DUMMYFUNCTION("""COMPUTED_VALUE"""),"Barito Raya")</f>
        <v>Barito Raya</v>
      </c>
      <c r="H608" s="3" t="str">
        <f>IFERROR(__xludf.DUMMYFUNCTION("""COMPUTED_VALUE"""),"Preventive")</f>
        <v>Preventive</v>
      </c>
      <c r="I608" s="3" t="str">
        <f>IFERROR(__xludf.DUMMYFUNCTION("""COMPUTED_VALUE"""),"MCB trip/Power upnormal")</f>
        <v>MCB trip/Power upnormal</v>
      </c>
      <c r="J608" s="3" t="str">
        <f>IFERROR(__xludf.DUMMYFUNCTION("""COMPUTED_VALUE"""),"On Progress")</f>
        <v>On Progress</v>
      </c>
      <c r="K608" s="27">
        <f>IFERROR(__xludf.DUMMYFUNCTION("""COMPUTED_VALUE"""),46030.0)</f>
        <v>46030</v>
      </c>
      <c r="L608" s="27">
        <f>IFERROR(__xludf.DUMMYFUNCTION("""COMPUTED_VALUE"""),46030.0)</f>
        <v>46030</v>
      </c>
      <c r="M608" s="3" t="str">
        <f>IFERROR(__xludf.DUMMYFUNCTION("""COMPUTED_VALUE"""),"Done")</f>
        <v>Done</v>
      </c>
      <c r="N608" s="3"/>
      <c r="O608" s="3">
        <f>IFERROR(VLOOKUP(C608,Sheet4!A608:F1395,6,0),"")</f>
        <v>11458301</v>
      </c>
      <c r="Q608" s="2" t="str">
        <f t="shared" si="1"/>
        <v>08</v>
      </c>
    </row>
    <row r="609">
      <c r="A609" s="3" t="str">
        <f>IFERROR(__xludf.DUMMYFUNCTION("""COMPUTED_VALUE"""),"Sick")</f>
        <v>Sick</v>
      </c>
      <c r="B609" s="3" t="str">
        <f>IFERROR(__xludf.DUMMYFUNCTION("""COMPUTED_VALUE"""),"P3")</f>
        <v>P3</v>
      </c>
      <c r="C609" s="3"/>
      <c r="D609" s="3" t="str">
        <f>IFERROR(__xludf.DUMMYFUNCTION("""COMPUTED_VALUE"""),"Armadi")</f>
        <v>Armadi</v>
      </c>
      <c r="E609" s="3" t="str">
        <f>IFERROR(__xludf.DUMMYFUNCTION("""COMPUTED_VALUE"""),"TE")</f>
        <v>TE</v>
      </c>
      <c r="F609" s="3" t="str">
        <f>IFERROR(__xludf.DUMMYFUNCTION("""COMPUTED_VALUE"""),"Winda Sokenda")</f>
        <v>Winda Sokenda</v>
      </c>
      <c r="G609" s="3" t="str">
        <f>IFERROR(__xludf.DUMMYFUNCTION("""COMPUTED_VALUE"""),"Barito Raya")</f>
        <v>Barito Raya</v>
      </c>
      <c r="H609" s="3" t="str">
        <f>IFERROR(__xludf.DUMMYFUNCTION("""COMPUTED_VALUE"""),"Sick")</f>
        <v>Sick</v>
      </c>
      <c r="I609" s="3" t="str">
        <f>IFERROR(__xludf.DUMMYFUNCTION("""COMPUTED_VALUE"""),"Sick")</f>
        <v>Sick</v>
      </c>
      <c r="J609" s="3"/>
      <c r="K609" s="27">
        <f>IFERROR(__xludf.DUMMYFUNCTION("""COMPUTED_VALUE"""),46030.0)</f>
        <v>46030</v>
      </c>
      <c r="L609" s="27">
        <f>IFERROR(__xludf.DUMMYFUNCTION("""COMPUTED_VALUE"""),46030.0)</f>
        <v>46030</v>
      </c>
      <c r="M609" s="3"/>
      <c r="N609" s="3"/>
      <c r="O609" s="3" t="str">
        <f>IFERROR(VLOOKUP(C609,Sheet4!A609:F1396,6,0),"")</f>
        <v/>
      </c>
      <c r="Q609" s="2" t="str">
        <f t="shared" si="1"/>
        <v>08</v>
      </c>
    </row>
    <row r="610">
      <c r="A610" s="3" t="str">
        <f>IFERROR(__xludf.DUMMYFUNCTION("""COMPUTED_VALUE"""),"Pengecekan battrey")</f>
        <v>Pengecekan battrey</v>
      </c>
      <c r="B610" s="3" t="str">
        <f>IFERROR(__xludf.DUMMYFUNCTION("""COMPUTED_VALUE"""),"P2")</f>
        <v>P2</v>
      </c>
      <c r="C610" s="3" t="str">
        <f>IFERROR(__xludf.DUMMYFUNCTION("""COMPUTED_VALUE"""),"KKP001")</f>
        <v>KKP001</v>
      </c>
      <c r="D610" s="3" t="str">
        <f>IFERROR(__xludf.DUMMYFUNCTION("""COMPUTED_VALUE"""),"Reynaldy Ricardo Putra")</f>
        <v>Reynaldy Ricardo Putra</v>
      </c>
      <c r="E610" s="3" t="str">
        <f>IFERROR(__xludf.DUMMYFUNCTION("""COMPUTED_VALUE"""),"TE")</f>
        <v>TE</v>
      </c>
      <c r="F610" s="3" t="str">
        <f>IFERROR(__xludf.DUMMYFUNCTION("""COMPUTED_VALUE"""),"Winda Sokenda")</f>
        <v>Winda Sokenda</v>
      </c>
      <c r="G610" s="3" t="str">
        <f>IFERROR(__xludf.DUMMYFUNCTION("""COMPUTED_VALUE"""),"Barito Raya")</f>
        <v>Barito Raya</v>
      </c>
      <c r="H610" s="3" t="str">
        <f>IFERROR(__xludf.DUMMYFUNCTION("""COMPUTED_VALUE"""),"Preventive")</f>
        <v>Preventive</v>
      </c>
      <c r="I610" s="3" t="str">
        <f>IFERROR(__xludf.DUMMYFUNCTION("""COMPUTED_VALUE"""),"Pengukuran dan pengambilan data log serta input Gdoc BBT")</f>
        <v>Pengukuran dan pengambilan data log serta input Gdoc BBT</v>
      </c>
      <c r="J610" s="3" t="str">
        <f>IFERROR(__xludf.DUMMYFUNCTION("""COMPUTED_VALUE"""),"On Progress")</f>
        <v>On Progress</v>
      </c>
      <c r="K610" s="27">
        <f>IFERROR(__xludf.DUMMYFUNCTION("""COMPUTED_VALUE"""),46030.0)</f>
        <v>46030</v>
      </c>
      <c r="L610" s="27">
        <f>IFERROR(__xludf.DUMMYFUNCTION("""COMPUTED_VALUE"""),46030.0)</f>
        <v>46030</v>
      </c>
      <c r="M610" s="3" t="str">
        <f>IFERROR(__xludf.DUMMYFUNCTION("""COMPUTED_VALUE"""),"Done")</f>
        <v>Done</v>
      </c>
      <c r="N610" s="3"/>
      <c r="O610" s="3" t="str">
        <f>IFERROR(VLOOKUP(C610,Sheet4!A610:F1397,6,0),"")</f>
        <v/>
      </c>
      <c r="Q610" s="2" t="str">
        <f t="shared" si="1"/>
        <v>08</v>
      </c>
    </row>
    <row r="611">
      <c r="A611" s="3" t="str">
        <f>IFERROR(__xludf.DUMMYFUNCTION("""COMPUTED_VALUE"""),"Pengawalan Team telkom")</f>
        <v>Pengawalan Team telkom</v>
      </c>
      <c r="B611" s="3" t="str">
        <f>IFERROR(__xludf.DUMMYFUNCTION("""COMPUTED_VALUE"""),"P2")</f>
        <v>P2</v>
      </c>
      <c r="C611" s="3" t="str">
        <f>IFERROR(__xludf.DUMMYFUNCTION("""COMPUTED_VALUE"""),"KKP128")</f>
        <v>KKP128</v>
      </c>
      <c r="D611" s="3" t="str">
        <f>IFERROR(__xludf.DUMMYFUNCTION("""COMPUTED_VALUE"""),"Sahrul Saputra")</f>
        <v>Sahrul Saputra</v>
      </c>
      <c r="E611" s="3" t="str">
        <f>IFERROR(__xludf.DUMMYFUNCTION("""COMPUTED_VALUE"""),"TE")</f>
        <v>TE</v>
      </c>
      <c r="F611" s="3" t="str">
        <f>IFERROR(__xludf.DUMMYFUNCTION("""COMPUTED_VALUE"""),"Winda Sokenda")</f>
        <v>Winda Sokenda</v>
      </c>
      <c r="G611" s="3" t="str">
        <f>IFERROR(__xludf.DUMMYFUNCTION("""COMPUTED_VALUE"""),"Barito Raya")</f>
        <v>Barito Raya</v>
      </c>
      <c r="H611" s="3" t="str">
        <f>IFERROR(__xludf.DUMMYFUNCTION("""COMPUTED_VALUE"""),"Preventive")</f>
        <v>Preventive</v>
      </c>
      <c r="I611" s="3" t="str">
        <f>IFERROR(__xludf.DUMMYFUNCTION("""COMPUTED_VALUE"""),"Akses/Hub Site problem metro")</f>
        <v>Akses/Hub Site problem metro</v>
      </c>
      <c r="J611" s="3" t="str">
        <f>IFERROR(__xludf.DUMMYFUNCTION("""COMPUTED_VALUE"""),"On Progress")</f>
        <v>On Progress</v>
      </c>
      <c r="K611" s="27">
        <f>IFERROR(__xludf.DUMMYFUNCTION("""COMPUTED_VALUE"""),46030.0)</f>
        <v>46030</v>
      </c>
      <c r="L611" s="27">
        <f>IFERROR(__xludf.DUMMYFUNCTION("""COMPUTED_VALUE"""),46030.0)</f>
        <v>46030</v>
      </c>
      <c r="M611" s="3" t="str">
        <f>IFERROR(__xludf.DUMMYFUNCTION("""COMPUTED_VALUE"""),"Done")</f>
        <v>Done</v>
      </c>
      <c r="N611" s="3"/>
      <c r="O611" s="3" t="str">
        <f>IFERROR(VLOOKUP(C611,Sheet4!A611:F1398,6,0),"")</f>
        <v/>
      </c>
      <c r="Q611" s="2" t="str">
        <f t="shared" si="1"/>
        <v>08</v>
      </c>
    </row>
    <row r="612">
      <c r="A612" s="3" t="str">
        <f>IFERROR(__xludf.DUMMYFUNCTION("""COMPUTED_VALUE"""),"Pengecekan Power")</f>
        <v>Pengecekan Power</v>
      </c>
      <c r="B612" s="3" t="str">
        <f>IFERROR(__xludf.DUMMYFUNCTION("""COMPUTED_VALUE"""),"P1")</f>
        <v>P1</v>
      </c>
      <c r="C612" s="3" t="str">
        <f>IFERROR(__xludf.DUMMYFUNCTION("""COMPUTED_VALUE"""),"BNT160")</f>
        <v>BNT160</v>
      </c>
      <c r="D612" s="3" t="str">
        <f>IFERROR(__xludf.DUMMYFUNCTION("""COMPUTED_VALUE"""),"Harun Nurasyid")</f>
        <v>Harun Nurasyid</v>
      </c>
      <c r="E612" s="3" t="str">
        <f>IFERROR(__xludf.DUMMYFUNCTION("""COMPUTED_VALUE"""),"CME")</f>
        <v>CME</v>
      </c>
      <c r="F612" s="3" t="str">
        <f>IFERROR(__xludf.DUMMYFUNCTION("""COMPUTED_VALUE"""),"Winda Sokenda")</f>
        <v>Winda Sokenda</v>
      </c>
      <c r="G612" s="3" t="str">
        <f>IFERROR(__xludf.DUMMYFUNCTION("""COMPUTED_VALUE"""),"Barito Raya")</f>
        <v>Barito Raya</v>
      </c>
      <c r="H612" s="3" t="str">
        <f>IFERROR(__xludf.DUMMYFUNCTION("""COMPUTED_VALUE"""),"Preventive")</f>
        <v>Preventive</v>
      </c>
      <c r="I612" s="3" t="str">
        <f>IFERROR(__xludf.DUMMYFUNCTION("""COMPUTED_VALUE"""),"MCB trip/Power upnormal")</f>
        <v>MCB trip/Power upnormal</v>
      </c>
      <c r="J612" s="3" t="str">
        <f>IFERROR(__xludf.DUMMYFUNCTION("""COMPUTED_VALUE"""),"On Progress")</f>
        <v>On Progress</v>
      </c>
      <c r="K612" s="27">
        <f>IFERROR(__xludf.DUMMYFUNCTION("""COMPUTED_VALUE"""),46030.0)</f>
        <v>46030</v>
      </c>
      <c r="L612" s="27">
        <f>IFERROR(__xludf.DUMMYFUNCTION("""COMPUTED_VALUE"""),46030.0)</f>
        <v>46030</v>
      </c>
      <c r="M612" s="3" t="str">
        <f>IFERROR(__xludf.DUMMYFUNCTION("""COMPUTED_VALUE"""),"Done")</f>
        <v>Done</v>
      </c>
      <c r="N612" s="3"/>
      <c r="O612" s="3" t="str">
        <f>IFERROR(VLOOKUP(C612,Sheet4!A612:F1399,6,0),"")</f>
        <v/>
      </c>
      <c r="Q612" s="2" t="str">
        <f t="shared" si="1"/>
        <v>08</v>
      </c>
    </row>
    <row r="613">
      <c r="A613" s="3" t="str">
        <f>IFERROR(__xludf.DUMMYFUNCTION("""COMPUTED_VALUE"""),"Standby On Call")</f>
        <v>Standby On Call</v>
      </c>
      <c r="B613" s="3" t="str">
        <f>IFERROR(__xludf.DUMMYFUNCTION("""COMPUTED_VALUE"""),"P3")</f>
        <v>P3</v>
      </c>
      <c r="C613" s="3"/>
      <c r="D613" s="3" t="str">
        <f>IFERROR(__xludf.DUMMYFUNCTION("""COMPUTED_VALUE"""),"Nurhayat")</f>
        <v>Nurhayat</v>
      </c>
      <c r="E613" s="3" t="str">
        <f>IFERROR(__xludf.DUMMYFUNCTION("""COMPUTED_VALUE"""),"MBP")</f>
        <v>MBP</v>
      </c>
      <c r="F613" s="3" t="str">
        <f>IFERROR(__xludf.DUMMYFUNCTION("""COMPUTED_VALUE"""),"Winda Sokenda")</f>
        <v>Winda Sokenda</v>
      </c>
      <c r="G613" s="3" t="str">
        <f>IFERROR(__xludf.DUMMYFUNCTION("""COMPUTED_VALUE"""),"Barito Raya")</f>
        <v>Barito Raya</v>
      </c>
      <c r="H613" s="3" t="str">
        <f>IFERROR(__xludf.DUMMYFUNCTION("""COMPUTED_VALUE"""),"Standby")</f>
        <v>Standby</v>
      </c>
      <c r="I613" s="3" t="str">
        <f>IFERROR(__xludf.DUMMYFUNCTION("""COMPUTED_VALUE"""),"Standby On Call")</f>
        <v>Standby On Call</v>
      </c>
      <c r="J613" s="3"/>
      <c r="K613" s="27">
        <f>IFERROR(__xludf.DUMMYFUNCTION("""COMPUTED_VALUE"""),46030.0)</f>
        <v>46030</v>
      </c>
      <c r="L613" s="27">
        <f>IFERROR(__xludf.DUMMYFUNCTION("""COMPUTED_VALUE"""),46030.0)</f>
        <v>46030</v>
      </c>
      <c r="M613" s="3"/>
      <c r="N613" s="3"/>
      <c r="O613" s="3" t="str">
        <f>IFERROR(VLOOKUP(C613,Sheet4!A613:F1400,6,0),"")</f>
        <v/>
      </c>
      <c r="Q613" s="2" t="str">
        <f t="shared" si="1"/>
        <v>08</v>
      </c>
    </row>
    <row r="614">
      <c r="A614" s="3" t="str">
        <f>IFERROR(__xludf.DUMMYFUNCTION("""COMPUTED_VALUE"""),"Standby On Call")</f>
        <v>Standby On Call</v>
      </c>
      <c r="B614" s="3" t="str">
        <f>IFERROR(__xludf.DUMMYFUNCTION("""COMPUTED_VALUE"""),"P3")</f>
        <v>P3</v>
      </c>
      <c r="C614" s="3"/>
      <c r="D614" s="3" t="str">
        <f>IFERROR(__xludf.DUMMYFUNCTION("""COMPUTED_VALUE"""),"Taklim")</f>
        <v>Taklim</v>
      </c>
      <c r="E614" s="3" t="str">
        <f>IFERROR(__xludf.DUMMYFUNCTION("""COMPUTED_VALUE"""),"MBP")</f>
        <v>MBP</v>
      </c>
      <c r="F614" s="3" t="str">
        <f>IFERROR(__xludf.DUMMYFUNCTION("""COMPUTED_VALUE"""),"Winda Sokenda")</f>
        <v>Winda Sokenda</v>
      </c>
      <c r="G614" s="3" t="str">
        <f>IFERROR(__xludf.DUMMYFUNCTION("""COMPUTED_VALUE"""),"Barito Raya")</f>
        <v>Barito Raya</v>
      </c>
      <c r="H614" s="3" t="str">
        <f>IFERROR(__xludf.DUMMYFUNCTION("""COMPUTED_VALUE"""),"Standby")</f>
        <v>Standby</v>
      </c>
      <c r="I614" s="3" t="str">
        <f>IFERROR(__xludf.DUMMYFUNCTION("""COMPUTED_VALUE"""),"Standby On Call")</f>
        <v>Standby On Call</v>
      </c>
      <c r="J614" s="3"/>
      <c r="K614" s="27">
        <f>IFERROR(__xludf.DUMMYFUNCTION("""COMPUTED_VALUE"""),46030.0)</f>
        <v>46030</v>
      </c>
      <c r="L614" s="27">
        <f>IFERROR(__xludf.DUMMYFUNCTION("""COMPUTED_VALUE"""),46030.0)</f>
        <v>46030</v>
      </c>
      <c r="M614" s="3"/>
      <c r="N614" s="3"/>
      <c r="O614" s="3" t="str">
        <f>IFERROR(VLOOKUP(C614,Sheet4!A614:F1401,6,0),"")</f>
        <v/>
      </c>
      <c r="Q614" s="2" t="str">
        <f t="shared" si="1"/>
        <v>08</v>
      </c>
    </row>
    <row r="615">
      <c r="A615" s="3" t="str">
        <f>IFERROR(__xludf.DUMMYFUNCTION("""COMPUTED_VALUE"""),"Standby On Call")</f>
        <v>Standby On Call</v>
      </c>
      <c r="B615" s="3" t="str">
        <f>IFERROR(__xludf.DUMMYFUNCTION("""COMPUTED_VALUE"""),"P3")</f>
        <v>P3</v>
      </c>
      <c r="C615" s="3"/>
      <c r="D615" s="3" t="str">
        <f>IFERROR(__xludf.DUMMYFUNCTION("""COMPUTED_VALUE"""),"Ahmad Muzakir")</f>
        <v>Ahmad Muzakir</v>
      </c>
      <c r="E615" s="3" t="str">
        <f>IFERROR(__xludf.DUMMYFUNCTION("""COMPUTED_VALUE"""),"MBP")</f>
        <v>MBP</v>
      </c>
      <c r="F615" s="3" t="str">
        <f>IFERROR(__xludf.DUMMYFUNCTION("""COMPUTED_VALUE"""),"Winda Sokenda")</f>
        <v>Winda Sokenda</v>
      </c>
      <c r="G615" s="3" t="str">
        <f>IFERROR(__xludf.DUMMYFUNCTION("""COMPUTED_VALUE"""),"Barito Raya")</f>
        <v>Barito Raya</v>
      </c>
      <c r="H615" s="3" t="str">
        <f>IFERROR(__xludf.DUMMYFUNCTION("""COMPUTED_VALUE"""),"Standby")</f>
        <v>Standby</v>
      </c>
      <c r="I615" s="3" t="str">
        <f>IFERROR(__xludf.DUMMYFUNCTION("""COMPUTED_VALUE"""),"Standby On Call")</f>
        <v>Standby On Call</v>
      </c>
      <c r="J615" s="3"/>
      <c r="K615" s="27">
        <f>IFERROR(__xludf.DUMMYFUNCTION("""COMPUTED_VALUE"""),46030.0)</f>
        <v>46030</v>
      </c>
      <c r="L615" s="27">
        <f>IFERROR(__xludf.DUMMYFUNCTION("""COMPUTED_VALUE"""),46030.0)</f>
        <v>46030</v>
      </c>
      <c r="M615" s="3"/>
      <c r="N615" s="3"/>
      <c r="O615" s="3" t="str">
        <f>IFERROR(VLOOKUP(C615,Sheet4!A615:F1402,6,0),"")</f>
        <v/>
      </c>
      <c r="Q615" s="2" t="str">
        <f t="shared" si="1"/>
        <v>08</v>
      </c>
    </row>
    <row r="616">
      <c r="A616" s="3" t="str">
        <f>IFERROR(__xludf.DUMMYFUNCTION("""COMPUTED_VALUE"""),"Standby On Call")</f>
        <v>Standby On Call</v>
      </c>
      <c r="B616" s="3" t="str">
        <f>IFERROR(__xludf.DUMMYFUNCTION("""COMPUTED_VALUE"""),"P3")</f>
        <v>P3</v>
      </c>
      <c r="C616" s="3"/>
      <c r="D616" s="3" t="str">
        <f>IFERROR(__xludf.DUMMYFUNCTION("""COMPUTED_VALUE"""),"Alfi Syahri")</f>
        <v>Alfi Syahri</v>
      </c>
      <c r="E616" s="3" t="str">
        <f>IFERROR(__xludf.DUMMYFUNCTION("""COMPUTED_VALUE"""),"CME")</f>
        <v>CME</v>
      </c>
      <c r="F616" s="3" t="str">
        <f>IFERROR(__xludf.DUMMYFUNCTION("""COMPUTED_VALUE"""),"Winda Sokenda")</f>
        <v>Winda Sokenda</v>
      </c>
      <c r="G616" s="3" t="str">
        <f>IFERROR(__xludf.DUMMYFUNCTION("""COMPUTED_VALUE"""),"Barito Raya")</f>
        <v>Barito Raya</v>
      </c>
      <c r="H616" s="3" t="str">
        <f>IFERROR(__xludf.DUMMYFUNCTION("""COMPUTED_VALUE"""),"Standby")</f>
        <v>Standby</v>
      </c>
      <c r="I616" s="3" t="str">
        <f>IFERROR(__xludf.DUMMYFUNCTION("""COMPUTED_VALUE"""),"Standby On Call")</f>
        <v>Standby On Call</v>
      </c>
      <c r="J616" s="3"/>
      <c r="K616" s="27">
        <f>IFERROR(__xludf.DUMMYFUNCTION("""COMPUTED_VALUE"""),46030.0)</f>
        <v>46030</v>
      </c>
      <c r="L616" s="27">
        <f>IFERROR(__xludf.DUMMYFUNCTION("""COMPUTED_VALUE"""),46030.0)</f>
        <v>46030</v>
      </c>
      <c r="M616" s="3"/>
      <c r="N616" s="3"/>
      <c r="O616" s="3" t="str">
        <f>IFERROR(VLOOKUP(C616,Sheet4!A616:F1403,6,0),"")</f>
        <v/>
      </c>
      <c r="Q616" s="2" t="str">
        <f t="shared" si="1"/>
        <v>08</v>
      </c>
    </row>
    <row r="617">
      <c r="A617" s="3" t="str">
        <f>IFERROR(__xludf.DUMMYFUNCTION("""COMPUTED_VALUE"""),"Standby On Call")</f>
        <v>Standby On Call</v>
      </c>
      <c r="B617" s="3" t="str">
        <f>IFERROR(__xludf.DUMMYFUNCTION("""COMPUTED_VALUE"""),"P3")</f>
        <v>P3</v>
      </c>
      <c r="C617" s="3"/>
      <c r="D617" s="3" t="str">
        <f>IFERROR(__xludf.DUMMYFUNCTION("""COMPUTED_VALUE"""),"Pujianto")</f>
        <v>Pujianto</v>
      </c>
      <c r="E617" s="3" t="str">
        <f>IFERROR(__xludf.DUMMYFUNCTION("""COMPUTED_VALUE"""),"MBP")</f>
        <v>MBP</v>
      </c>
      <c r="F617" s="3" t="str">
        <f>IFERROR(__xludf.DUMMYFUNCTION("""COMPUTED_VALUE"""),"Winda Sokenda")</f>
        <v>Winda Sokenda</v>
      </c>
      <c r="G617" s="3" t="str">
        <f>IFERROR(__xludf.DUMMYFUNCTION("""COMPUTED_VALUE"""),"Barito Raya")</f>
        <v>Barito Raya</v>
      </c>
      <c r="H617" s="3" t="str">
        <f>IFERROR(__xludf.DUMMYFUNCTION("""COMPUTED_VALUE"""),"Standby")</f>
        <v>Standby</v>
      </c>
      <c r="I617" s="3" t="str">
        <f>IFERROR(__xludf.DUMMYFUNCTION("""COMPUTED_VALUE"""),"Standby On Call")</f>
        <v>Standby On Call</v>
      </c>
      <c r="J617" s="3"/>
      <c r="K617" s="27">
        <f>IFERROR(__xludf.DUMMYFUNCTION("""COMPUTED_VALUE"""),46030.0)</f>
        <v>46030</v>
      </c>
      <c r="L617" s="27">
        <f>IFERROR(__xludf.DUMMYFUNCTION("""COMPUTED_VALUE"""),46030.0)</f>
        <v>46030</v>
      </c>
      <c r="M617" s="3"/>
      <c r="N617" s="3"/>
      <c r="O617" s="3" t="str">
        <f>IFERROR(VLOOKUP(C617,Sheet4!A617:F1404,6,0),"")</f>
        <v/>
      </c>
      <c r="Q617" s="2" t="str">
        <f t="shared" si="1"/>
        <v>08</v>
      </c>
    </row>
    <row r="618">
      <c r="A618" s="3" t="str">
        <f>IFERROR(__xludf.DUMMYFUNCTION("""COMPUTED_VALUE"""),"PM")</f>
        <v>PM</v>
      </c>
      <c r="B618" s="3" t="str">
        <f>IFERROR(__xludf.DUMMYFUNCTION("""COMPUTED_VALUE"""),"P2")</f>
        <v>P2</v>
      </c>
      <c r="C618" s="3" t="str">
        <f>IFERROR(__xludf.DUMMYFUNCTION("""COMPUTED_VALUE"""),"TML002")</f>
        <v>TML002</v>
      </c>
      <c r="D618" s="3" t="str">
        <f>IFERROR(__xludf.DUMMYFUNCTION("""COMPUTED_VALUE"""),"Trisno Susanto")</f>
        <v>Trisno Susanto</v>
      </c>
      <c r="E618" s="3" t="str">
        <f>IFERROR(__xludf.DUMMYFUNCTION("""COMPUTED_VALUE"""),"PM")</f>
        <v>PM</v>
      </c>
      <c r="F618" s="3" t="str">
        <f>IFERROR(__xludf.DUMMYFUNCTION("""COMPUTED_VALUE"""),"Winda Sokenda")</f>
        <v>Winda Sokenda</v>
      </c>
      <c r="G618" s="3" t="str">
        <f>IFERROR(__xludf.DUMMYFUNCTION("""COMPUTED_VALUE"""),"Barito Raya")</f>
        <v>Barito Raya</v>
      </c>
      <c r="H618" s="3" t="str">
        <f>IFERROR(__xludf.DUMMYFUNCTION("""COMPUTED_VALUE"""),"Preventive")</f>
        <v>Preventive</v>
      </c>
      <c r="I618" s="3" t="str">
        <f>IFERROR(__xludf.DUMMYFUNCTION("""COMPUTED_VALUE"""),"Preventive Maintenance")</f>
        <v>Preventive Maintenance</v>
      </c>
      <c r="J618" s="3" t="str">
        <f>IFERROR(__xludf.DUMMYFUNCTION("""COMPUTED_VALUE"""),"On Progress")</f>
        <v>On Progress</v>
      </c>
      <c r="K618" s="27">
        <f>IFERROR(__xludf.DUMMYFUNCTION("""COMPUTED_VALUE"""),46030.0)</f>
        <v>46030</v>
      </c>
      <c r="L618" s="27">
        <f>IFERROR(__xludf.DUMMYFUNCTION("""COMPUTED_VALUE"""),46030.0)</f>
        <v>46030</v>
      </c>
      <c r="M618" s="3" t="str">
        <f>IFERROR(__xludf.DUMMYFUNCTION("""COMPUTED_VALUE"""),"Done")</f>
        <v>Done</v>
      </c>
      <c r="N618" s="3"/>
      <c r="O618" s="3" t="str">
        <f>IFERROR(VLOOKUP(C618,Sheet4!A618:F1405,6,0),"")</f>
        <v/>
      </c>
      <c r="Q618" s="2" t="str">
        <f t="shared" si="1"/>
        <v>08</v>
      </c>
    </row>
    <row r="619">
      <c r="A619" s="3" t="str">
        <f>IFERROR(__xludf.DUMMYFUNCTION("""COMPUTED_VALUE"""),"PM")</f>
        <v>PM</v>
      </c>
      <c r="B619" s="3" t="str">
        <f>IFERROR(__xludf.DUMMYFUNCTION("""COMPUTED_VALUE"""),"P2")</f>
        <v>P2</v>
      </c>
      <c r="C619" s="3" t="str">
        <f>IFERROR(__xludf.DUMMYFUNCTION("""COMPUTED_VALUE"""),"TML002")</f>
        <v>TML002</v>
      </c>
      <c r="D619" s="3" t="str">
        <f>IFERROR(__xludf.DUMMYFUNCTION("""COMPUTED_VALUE"""),"Khilal dawai katiri")</f>
        <v>Khilal dawai katiri</v>
      </c>
      <c r="E619" s="3" t="str">
        <f>IFERROR(__xludf.DUMMYFUNCTION("""COMPUTED_VALUE"""),"MBP")</f>
        <v>MBP</v>
      </c>
      <c r="F619" s="3" t="str">
        <f>IFERROR(__xludf.DUMMYFUNCTION("""COMPUTED_VALUE"""),"Winda Sokenda")</f>
        <v>Winda Sokenda</v>
      </c>
      <c r="G619" s="3" t="str">
        <f>IFERROR(__xludf.DUMMYFUNCTION("""COMPUTED_VALUE"""),"Barito Raya")</f>
        <v>Barito Raya</v>
      </c>
      <c r="H619" s="3" t="str">
        <f>IFERROR(__xludf.DUMMYFUNCTION("""COMPUTED_VALUE"""),"Preventive")</f>
        <v>Preventive</v>
      </c>
      <c r="I619" s="3" t="str">
        <f>IFERROR(__xludf.DUMMYFUNCTION("""COMPUTED_VALUE"""),"Preventive Maintenance")</f>
        <v>Preventive Maintenance</v>
      </c>
      <c r="J619" s="3" t="str">
        <f>IFERROR(__xludf.DUMMYFUNCTION("""COMPUTED_VALUE"""),"On Progress")</f>
        <v>On Progress</v>
      </c>
      <c r="K619" s="27">
        <f>IFERROR(__xludf.DUMMYFUNCTION("""COMPUTED_VALUE"""),46030.0)</f>
        <v>46030</v>
      </c>
      <c r="L619" s="27">
        <f>IFERROR(__xludf.DUMMYFUNCTION("""COMPUTED_VALUE"""),46030.0)</f>
        <v>46030</v>
      </c>
      <c r="M619" s="3" t="str">
        <f>IFERROR(__xludf.DUMMYFUNCTION("""COMPUTED_VALUE"""),"Done")</f>
        <v>Done</v>
      </c>
      <c r="N619" s="3"/>
      <c r="O619" s="3" t="str">
        <f>IFERROR(VLOOKUP(C619,Sheet4!A619:F1406,6,0),"")</f>
        <v/>
      </c>
      <c r="Q619" s="2" t="str">
        <f t="shared" si="1"/>
        <v>08</v>
      </c>
    </row>
    <row r="620">
      <c r="A620" s="3" t="str">
        <f>IFERROR(__xludf.DUMMYFUNCTION("""COMPUTED_VALUE"""),"PM")</f>
        <v>PM</v>
      </c>
      <c r="B620" s="3" t="str">
        <f>IFERROR(__xludf.DUMMYFUNCTION("""COMPUTED_VALUE"""),"P2")</f>
        <v>P2</v>
      </c>
      <c r="C620" s="3"/>
      <c r="D620" s="3" t="str">
        <f>IFERROR(__xludf.DUMMYFUNCTION("""COMPUTED_VALUE"""),"Riko setiadi")</f>
        <v>Riko setiadi</v>
      </c>
      <c r="E620" s="3" t="str">
        <f>IFERROR(__xludf.DUMMYFUNCTION("""COMPUTED_VALUE"""),"PM")</f>
        <v>PM</v>
      </c>
      <c r="F620" s="3" t="str">
        <f>IFERROR(__xludf.DUMMYFUNCTION("""COMPUTED_VALUE"""),"Winda Sokenda")</f>
        <v>Winda Sokenda</v>
      </c>
      <c r="G620" s="3" t="str">
        <f>IFERROR(__xludf.DUMMYFUNCTION("""COMPUTED_VALUE"""),"Barito Raya")</f>
        <v>Barito Raya</v>
      </c>
      <c r="H620" s="3" t="str">
        <f>IFERROR(__xludf.DUMMYFUNCTION("""COMPUTED_VALUE"""),"Preventive")</f>
        <v>Preventive</v>
      </c>
      <c r="I620" s="3" t="str">
        <f>IFERROR(__xludf.DUMMYFUNCTION("""COMPUTED_VALUE"""),"Preventive Maintenance")</f>
        <v>Preventive Maintenance</v>
      </c>
      <c r="J620" s="3"/>
      <c r="K620" s="27">
        <f>IFERROR(__xludf.DUMMYFUNCTION("""COMPUTED_VALUE"""),46030.0)</f>
        <v>46030</v>
      </c>
      <c r="L620" s="27">
        <f>IFERROR(__xludf.DUMMYFUNCTION("""COMPUTED_VALUE"""),46030.0)</f>
        <v>46030</v>
      </c>
      <c r="M620" s="3"/>
      <c r="N620" s="3"/>
      <c r="O620" s="3" t="str">
        <f>IFERROR(VLOOKUP(C620,Sheet4!A620:F1407,6,0),"")</f>
        <v/>
      </c>
      <c r="Q620" s="2" t="str">
        <f t="shared" si="1"/>
        <v>08</v>
      </c>
    </row>
    <row r="621">
      <c r="A621" s="3" t="str">
        <f>IFERROR(__xludf.DUMMYFUNCTION("""COMPUTED_VALUE"""),"Cell down")</f>
        <v>Cell down</v>
      </c>
      <c r="B621" s="3" t="str">
        <f>IFERROR(__xludf.DUMMYFUNCTION("""COMPUTED_VALUE"""),"P1")</f>
        <v>P1</v>
      </c>
      <c r="C621" s="3" t="str">
        <f>IFERROR(__xludf.DUMMYFUNCTION("""COMPUTED_VALUE"""),"KKN034")</f>
        <v>KKN034</v>
      </c>
      <c r="D621" s="3" t="str">
        <f>IFERROR(__xludf.DUMMYFUNCTION("""COMPUTED_VALUE"""),"Ahmad")</f>
        <v>Ahmad</v>
      </c>
      <c r="E621" s="3" t="str">
        <f>IFERROR(__xludf.DUMMYFUNCTION("""COMPUTED_VALUE"""),"TE")</f>
        <v>TE</v>
      </c>
      <c r="F621" s="3" t="str">
        <f>IFERROR(__xludf.DUMMYFUNCTION("""COMPUTED_VALUE"""),"Doni Damara")</f>
        <v>Doni Damara</v>
      </c>
      <c r="G621" s="3" t="str">
        <f>IFERROR(__xludf.DUMMYFUNCTION("""COMPUTED_VALUE"""),"Palangkaraya")</f>
        <v>Palangkaraya</v>
      </c>
      <c r="H621" s="3" t="str">
        <f>IFERROR(__xludf.DUMMYFUNCTION("""COMPUTED_VALUE"""),"Corrective")</f>
        <v>Corrective</v>
      </c>
      <c r="I621" s="3" t="str">
        <f>IFERROR(__xludf.DUMMYFUNCTION("""COMPUTED_VALUE"""),"Replace Optik,RRU/Soket Power/Replace GPS")</f>
        <v>Replace Optik,RRU/Soket Power/Replace GPS</v>
      </c>
      <c r="J621" s="3" t="str">
        <f>IFERROR(__xludf.DUMMYFUNCTION("""COMPUTED_VALUE"""),"On Progress")</f>
        <v>On Progress</v>
      </c>
      <c r="K621" s="27">
        <f>IFERROR(__xludf.DUMMYFUNCTION("""COMPUTED_VALUE"""),46030.0)</f>
        <v>46030</v>
      </c>
      <c r="L621" s="27">
        <f>IFERROR(__xludf.DUMMYFUNCTION("""COMPUTED_VALUE"""),46030.0)</f>
        <v>46030</v>
      </c>
      <c r="M621" s="3" t="str">
        <f>IFERROR(__xludf.DUMMYFUNCTION("""COMPUTED_VALUE"""),"Done")</f>
        <v>Done</v>
      </c>
      <c r="N621" s="3"/>
      <c r="O621" s="3" t="str">
        <f>IFERROR(VLOOKUP(C621,Sheet4!A621:F1408,6,0),"")</f>
        <v/>
      </c>
      <c r="Q621" s="2" t="str">
        <f t="shared" si="1"/>
        <v>08</v>
      </c>
    </row>
    <row r="622">
      <c r="A622" s="3" t="str">
        <f>IFERROR(__xludf.DUMMYFUNCTION("""COMPUTED_VALUE"""),"Cell down")</f>
        <v>Cell down</v>
      </c>
      <c r="B622" s="3" t="str">
        <f>IFERROR(__xludf.DUMMYFUNCTION("""COMPUTED_VALUE"""),"P1")</f>
        <v>P1</v>
      </c>
      <c r="C622" s="3" t="str">
        <f>IFERROR(__xludf.DUMMYFUNCTION("""COMPUTED_VALUE"""),"KKN034")</f>
        <v>KKN034</v>
      </c>
      <c r="D622" s="3" t="str">
        <f>IFERROR(__xludf.DUMMYFUNCTION("""COMPUTED_VALUE"""),"Ahmad Setiawan")</f>
        <v>Ahmad Setiawan</v>
      </c>
      <c r="E622" s="3" t="str">
        <f>IFERROR(__xludf.DUMMYFUNCTION("""COMPUTED_VALUE"""),"TE")</f>
        <v>TE</v>
      </c>
      <c r="F622" s="3" t="str">
        <f>IFERROR(__xludf.DUMMYFUNCTION("""COMPUTED_VALUE"""),"Doni Damara")</f>
        <v>Doni Damara</v>
      </c>
      <c r="G622" s="3" t="str">
        <f>IFERROR(__xludf.DUMMYFUNCTION("""COMPUTED_VALUE"""),"Palangkaraya")</f>
        <v>Palangkaraya</v>
      </c>
      <c r="H622" s="3" t="str">
        <f>IFERROR(__xludf.DUMMYFUNCTION("""COMPUTED_VALUE"""),"Corrective")</f>
        <v>Corrective</v>
      </c>
      <c r="I622" s="3" t="str">
        <f>IFERROR(__xludf.DUMMYFUNCTION("""COMPUTED_VALUE"""),"Replace Optik,RRU/Soket Power/Replace GPS")</f>
        <v>Replace Optik,RRU/Soket Power/Replace GPS</v>
      </c>
      <c r="J622" s="3" t="str">
        <f>IFERROR(__xludf.DUMMYFUNCTION("""COMPUTED_VALUE"""),"On Progress")</f>
        <v>On Progress</v>
      </c>
      <c r="K622" s="27">
        <f>IFERROR(__xludf.DUMMYFUNCTION("""COMPUTED_VALUE"""),46030.0)</f>
        <v>46030</v>
      </c>
      <c r="L622" s="27">
        <f>IFERROR(__xludf.DUMMYFUNCTION("""COMPUTED_VALUE"""),46030.0)</f>
        <v>46030</v>
      </c>
      <c r="M622" s="3" t="str">
        <f>IFERROR(__xludf.DUMMYFUNCTION("""COMPUTED_VALUE"""),"Done")</f>
        <v>Done</v>
      </c>
      <c r="N622" s="3"/>
      <c r="O622" s="3" t="str">
        <f>IFERROR(VLOOKUP(C622,Sheet4!A622:F1409,6,0),"")</f>
        <v/>
      </c>
      <c r="Q622" s="2" t="str">
        <f t="shared" si="1"/>
        <v>08</v>
      </c>
    </row>
    <row r="623">
      <c r="A623" s="3" t="str">
        <f>IFERROR(__xludf.DUMMYFUNCTION("""COMPUTED_VALUE"""),"Cell down")</f>
        <v>Cell down</v>
      </c>
      <c r="B623" s="3" t="str">
        <f>IFERROR(__xludf.DUMMYFUNCTION("""COMPUTED_VALUE"""),"P1")</f>
        <v>P1</v>
      </c>
      <c r="C623" s="3" t="str">
        <f>IFERROR(__xludf.DUMMYFUNCTION("""COMPUTED_VALUE"""),"PPS019")</f>
        <v>PPS019</v>
      </c>
      <c r="D623" s="3" t="str">
        <f>IFERROR(__xludf.DUMMYFUNCTION("""COMPUTED_VALUE"""),"Oky Bangkit Pamungkas")</f>
        <v>Oky Bangkit Pamungkas</v>
      </c>
      <c r="E623" s="3" t="str">
        <f>IFERROR(__xludf.DUMMYFUNCTION("""COMPUTED_VALUE"""),"TE")</f>
        <v>TE</v>
      </c>
      <c r="F623" s="3" t="str">
        <f>IFERROR(__xludf.DUMMYFUNCTION("""COMPUTED_VALUE"""),"Doni Damara")</f>
        <v>Doni Damara</v>
      </c>
      <c r="G623" s="3" t="str">
        <f>IFERROR(__xludf.DUMMYFUNCTION("""COMPUTED_VALUE"""),"Palangkaraya")</f>
        <v>Palangkaraya</v>
      </c>
      <c r="H623" s="3" t="str">
        <f>IFERROR(__xludf.DUMMYFUNCTION("""COMPUTED_VALUE"""),"Corrective")</f>
        <v>Corrective</v>
      </c>
      <c r="I623" s="3" t="str">
        <f>IFERROR(__xludf.DUMMYFUNCTION("""COMPUTED_VALUE"""),"Replace Optik,RRU/Soket Power/Replace GPS")</f>
        <v>Replace Optik,RRU/Soket Power/Replace GPS</v>
      </c>
      <c r="J623" s="3" t="str">
        <f>IFERROR(__xludf.DUMMYFUNCTION("""COMPUTED_VALUE"""),"On Progress")</f>
        <v>On Progress</v>
      </c>
      <c r="K623" s="27">
        <f>IFERROR(__xludf.DUMMYFUNCTION("""COMPUTED_VALUE"""),46030.0)</f>
        <v>46030</v>
      </c>
      <c r="L623" s="3"/>
      <c r="M623" s="3" t="str">
        <f>IFERROR(__xludf.DUMMYFUNCTION("""COMPUTED_VALUE"""),"Pending")</f>
        <v>Pending</v>
      </c>
      <c r="N623" s="3"/>
      <c r="O623" s="3" t="str">
        <f>IFERROR(VLOOKUP(C623,Sheet4!A623:F1410,6,0),"")</f>
        <v/>
      </c>
      <c r="Q623" s="2" t="str">
        <f t="shared" si="1"/>
        <v>08</v>
      </c>
    </row>
    <row r="624">
      <c r="A624" s="3" t="str">
        <f>IFERROR(__xludf.DUMMYFUNCTION("""COMPUTED_VALUE"""),"Cell down")</f>
        <v>Cell down</v>
      </c>
      <c r="B624" s="3" t="str">
        <f>IFERROR(__xludf.DUMMYFUNCTION("""COMPUTED_VALUE"""),"P1")</f>
        <v>P1</v>
      </c>
      <c r="C624" s="3" t="str">
        <f>IFERROR(__xludf.DUMMYFUNCTION("""COMPUTED_VALUE"""),"PLK046")</f>
        <v>PLK046</v>
      </c>
      <c r="D624" s="3" t="str">
        <f>IFERROR(__xludf.DUMMYFUNCTION("""COMPUTED_VALUE"""),"Jumadi")</f>
        <v>Jumadi</v>
      </c>
      <c r="E624" s="3" t="str">
        <f>IFERROR(__xludf.DUMMYFUNCTION("""COMPUTED_VALUE"""),"TE")</f>
        <v>TE</v>
      </c>
      <c r="F624" s="3" t="str">
        <f>IFERROR(__xludf.DUMMYFUNCTION("""COMPUTED_VALUE"""),"Doni Damara")</f>
        <v>Doni Damara</v>
      </c>
      <c r="G624" s="3" t="str">
        <f>IFERROR(__xludf.DUMMYFUNCTION("""COMPUTED_VALUE"""),"Palangkaraya")</f>
        <v>Palangkaraya</v>
      </c>
      <c r="H624" s="3" t="str">
        <f>IFERROR(__xludf.DUMMYFUNCTION("""COMPUTED_VALUE"""),"Corrective")</f>
        <v>Corrective</v>
      </c>
      <c r="I624" s="3" t="str">
        <f>IFERROR(__xludf.DUMMYFUNCTION("""COMPUTED_VALUE"""),"Replace Optik,RRU/Soket Power/Replace GPS")</f>
        <v>Replace Optik,RRU/Soket Power/Replace GPS</v>
      </c>
      <c r="J624" s="3" t="str">
        <f>IFERROR(__xludf.DUMMYFUNCTION("""COMPUTED_VALUE"""),"On Progress")</f>
        <v>On Progress</v>
      </c>
      <c r="K624" s="27">
        <f>IFERROR(__xludf.DUMMYFUNCTION("""COMPUTED_VALUE"""),46030.0)</f>
        <v>46030</v>
      </c>
      <c r="L624" s="3"/>
      <c r="M624" s="3" t="str">
        <f>IFERROR(__xludf.DUMMYFUNCTION("""COMPUTED_VALUE"""),"Pending")</f>
        <v>Pending</v>
      </c>
      <c r="N624" s="3"/>
      <c r="O624" s="3" t="str">
        <f>IFERROR(VLOOKUP(C624,Sheet4!A624:F1411,6,0),"")</f>
        <v/>
      </c>
      <c r="Q624" s="2" t="str">
        <f t="shared" si="1"/>
        <v>08</v>
      </c>
    </row>
    <row r="625">
      <c r="A625" s="3" t="str">
        <f>IFERROR(__xludf.DUMMYFUNCTION("""COMPUTED_VALUE"""),"Cell down")</f>
        <v>Cell down</v>
      </c>
      <c r="B625" s="3" t="str">
        <f>IFERROR(__xludf.DUMMYFUNCTION("""COMPUTED_VALUE"""),"P1")</f>
        <v>P1</v>
      </c>
      <c r="C625" s="3" t="str">
        <f>IFERROR(__xludf.DUMMYFUNCTION("""COMPUTED_VALUE"""),"PLK171")</f>
        <v>PLK171</v>
      </c>
      <c r="D625" s="3" t="str">
        <f>IFERROR(__xludf.DUMMYFUNCTION("""COMPUTED_VALUE"""),"james jimbris")</f>
        <v>james jimbris</v>
      </c>
      <c r="E625" s="3" t="str">
        <f>IFERROR(__xludf.DUMMYFUNCTION("""COMPUTED_VALUE"""),"TE")</f>
        <v>TE</v>
      </c>
      <c r="F625" s="3" t="str">
        <f>IFERROR(__xludf.DUMMYFUNCTION("""COMPUTED_VALUE"""),"Doni Damara")</f>
        <v>Doni Damara</v>
      </c>
      <c r="G625" s="3" t="str">
        <f>IFERROR(__xludf.DUMMYFUNCTION("""COMPUTED_VALUE"""),"Palangkaraya")</f>
        <v>Palangkaraya</v>
      </c>
      <c r="H625" s="3" t="str">
        <f>IFERROR(__xludf.DUMMYFUNCTION("""COMPUTED_VALUE"""),"Corrective")</f>
        <v>Corrective</v>
      </c>
      <c r="I625" s="3" t="str">
        <f>IFERROR(__xludf.DUMMYFUNCTION("""COMPUTED_VALUE"""),"Replace Optik,RRU/Soket Power/Replace GPS")</f>
        <v>Replace Optik,RRU/Soket Power/Replace GPS</v>
      </c>
      <c r="J625" s="3" t="str">
        <f>IFERROR(__xludf.DUMMYFUNCTION("""COMPUTED_VALUE"""),"On Progress")</f>
        <v>On Progress</v>
      </c>
      <c r="K625" s="27">
        <f>IFERROR(__xludf.DUMMYFUNCTION("""COMPUTED_VALUE"""),46030.0)</f>
        <v>46030</v>
      </c>
      <c r="L625" s="27">
        <f>IFERROR(__xludf.DUMMYFUNCTION("""COMPUTED_VALUE"""),46030.0)</f>
        <v>46030</v>
      </c>
      <c r="M625" s="3" t="str">
        <f>IFERROR(__xludf.DUMMYFUNCTION("""COMPUTED_VALUE"""),"Done")</f>
        <v>Done</v>
      </c>
      <c r="N625" s="3"/>
      <c r="O625" s="3" t="str">
        <f>IFERROR(VLOOKUP(C625,Sheet4!A625:F1412,6,0),"")</f>
        <v/>
      </c>
      <c r="Q625" s="2" t="str">
        <f t="shared" si="1"/>
        <v>08</v>
      </c>
    </row>
    <row r="626">
      <c r="A626" s="3" t="str">
        <f>IFERROR(__xludf.DUMMYFUNCTION("""COMPUTED_VALUE"""),"Cell down")</f>
        <v>Cell down</v>
      </c>
      <c r="B626" s="3" t="str">
        <f>IFERROR(__xludf.DUMMYFUNCTION("""COMPUTED_VALUE"""),"P1")</f>
        <v>P1</v>
      </c>
      <c r="C626" s="3" t="str">
        <f>IFERROR(__xludf.DUMMYFUNCTION("""COMPUTED_VALUE"""),"PLK242")</f>
        <v>PLK242</v>
      </c>
      <c r="D626" s="3" t="str">
        <f>IFERROR(__xludf.DUMMYFUNCTION("""COMPUTED_VALUE"""),"Adi Bowo Santoso")</f>
        <v>Adi Bowo Santoso</v>
      </c>
      <c r="E626" s="3" t="str">
        <f>IFERROR(__xludf.DUMMYFUNCTION("""COMPUTED_VALUE"""),"TE")</f>
        <v>TE</v>
      </c>
      <c r="F626" s="3" t="str">
        <f>IFERROR(__xludf.DUMMYFUNCTION("""COMPUTED_VALUE"""),"Doni Damara")</f>
        <v>Doni Damara</v>
      </c>
      <c r="G626" s="3" t="str">
        <f>IFERROR(__xludf.DUMMYFUNCTION("""COMPUTED_VALUE"""),"Palangkaraya")</f>
        <v>Palangkaraya</v>
      </c>
      <c r="H626" s="3" t="str">
        <f>IFERROR(__xludf.DUMMYFUNCTION("""COMPUTED_VALUE"""),"Corrective")</f>
        <v>Corrective</v>
      </c>
      <c r="I626" s="3" t="str">
        <f>IFERROR(__xludf.DUMMYFUNCTION("""COMPUTED_VALUE"""),"Replace Optik,RRU/Soket Power/Replace GPS")</f>
        <v>Replace Optik,RRU/Soket Power/Replace GPS</v>
      </c>
      <c r="J626" s="3" t="str">
        <f>IFERROR(__xludf.DUMMYFUNCTION("""COMPUTED_VALUE"""),"On Progress")</f>
        <v>On Progress</v>
      </c>
      <c r="K626" s="27">
        <f>IFERROR(__xludf.DUMMYFUNCTION("""COMPUTED_VALUE"""),46030.0)</f>
        <v>46030</v>
      </c>
      <c r="L626" s="3"/>
      <c r="M626" s="3" t="str">
        <f>IFERROR(__xludf.DUMMYFUNCTION("""COMPUTED_VALUE"""),"Pending")</f>
        <v>Pending</v>
      </c>
      <c r="N626" s="3"/>
      <c r="O626" s="3" t="str">
        <f>IFERROR(VLOOKUP(C626,Sheet4!A626:F1413,6,0),"")</f>
        <v/>
      </c>
      <c r="Q626" s="2" t="str">
        <f t="shared" si="1"/>
        <v>08</v>
      </c>
    </row>
    <row r="627">
      <c r="A627" s="3" t="str">
        <f>IFERROR(__xludf.DUMMYFUNCTION("""COMPUTED_VALUE"""),"Cell down")</f>
        <v>Cell down</v>
      </c>
      <c r="B627" s="3" t="str">
        <f>IFERROR(__xludf.DUMMYFUNCTION("""COMPUTED_VALUE"""),"P1")</f>
        <v>P1</v>
      </c>
      <c r="C627" s="3" t="str">
        <f>IFERROR(__xludf.DUMMYFUNCTION("""COMPUTED_VALUE"""),"SPT147")</f>
        <v>SPT147</v>
      </c>
      <c r="D627" s="3" t="str">
        <f>IFERROR(__xludf.DUMMYFUNCTION("""COMPUTED_VALUE"""),"Yahya Muhamad")</f>
        <v>Yahya Muhamad</v>
      </c>
      <c r="E627" s="3" t="str">
        <f>IFERROR(__xludf.DUMMYFUNCTION("""COMPUTED_VALUE"""),"TE")</f>
        <v>TE</v>
      </c>
      <c r="F627" s="3" t="str">
        <f>IFERROR(__xludf.DUMMYFUNCTION("""COMPUTED_VALUE"""),"Doni Damara")</f>
        <v>Doni Damara</v>
      </c>
      <c r="G627" s="3" t="str">
        <f>IFERROR(__xludf.DUMMYFUNCTION("""COMPUTED_VALUE"""),"Palangkaraya")</f>
        <v>Palangkaraya</v>
      </c>
      <c r="H627" s="3" t="str">
        <f>IFERROR(__xludf.DUMMYFUNCTION("""COMPUTED_VALUE"""),"Corrective")</f>
        <v>Corrective</v>
      </c>
      <c r="I627" s="3" t="str">
        <f>IFERROR(__xludf.DUMMYFUNCTION("""COMPUTED_VALUE"""),"Replace Optik,RRU/Soket Power/Replace GPS")</f>
        <v>Replace Optik,RRU/Soket Power/Replace GPS</v>
      </c>
      <c r="J627" s="3" t="str">
        <f>IFERROR(__xludf.DUMMYFUNCTION("""COMPUTED_VALUE"""),"On Progress")</f>
        <v>On Progress</v>
      </c>
      <c r="K627" s="27">
        <f>IFERROR(__xludf.DUMMYFUNCTION("""COMPUTED_VALUE"""),46030.0)</f>
        <v>46030</v>
      </c>
      <c r="L627" s="27">
        <f>IFERROR(__xludf.DUMMYFUNCTION("""COMPUTED_VALUE"""),46030.0)</f>
        <v>46030</v>
      </c>
      <c r="M627" s="3" t="str">
        <f>IFERROR(__xludf.DUMMYFUNCTION("""COMPUTED_VALUE"""),"Done")</f>
        <v>Done</v>
      </c>
      <c r="N627" s="3"/>
      <c r="O627" s="3" t="str">
        <f>IFERROR(VLOOKUP(C627,Sheet4!A627:F1414,6,0),"")</f>
        <v/>
      </c>
      <c r="Q627" s="2" t="str">
        <f t="shared" si="1"/>
        <v>08</v>
      </c>
    </row>
    <row r="628">
      <c r="A628" s="3" t="str">
        <f>IFERROR(__xludf.DUMMYFUNCTION("""COMPUTED_VALUE"""),"Cell down")</f>
        <v>Cell down</v>
      </c>
      <c r="B628" s="3" t="str">
        <f>IFERROR(__xludf.DUMMYFUNCTION("""COMPUTED_VALUE"""),"P1")</f>
        <v>P1</v>
      </c>
      <c r="C628" s="3" t="str">
        <f>IFERROR(__xludf.DUMMYFUNCTION("""COMPUTED_VALUE"""),"PPS250")</f>
        <v>PPS250</v>
      </c>
      <c r="D628" s="3" t="str">
        <f>IFERROR(__xludf.DUMMYFUNCTION("""COMPUTED_VALUE"""),"Muhamad Rayhan")</f>
        <v>Muhamad Rayhan</v>
      </c>
      <c r="E628" s="3" t="str">
        <f>IFERROR(__xludf.DUMMYFUNCTION("""COMPUTED_VALUE"""),"TE")</f>
        <v>TE</v>
      </c>
      <c r="F628" s="3" t="str">
        <f>IFERROR(__xludf.DUMMYFUNCTION("""COMPUTED_VALUE"""),"Doni Damara")</f>
        <v>Doni Damara</v>
      </c>
      <c r="G628" s="3" t="str">
        <f>IFERROR(__xludf.DUMMYFUNCTION("""COMPUTED_VALUE"""),"Palangkaraya")</f>
        <v>Palangkaraya</v>
      </c>
      <c r="H628" s="3" t="str">
        <f>IFERROR(__xludf.DUMMYFUNCTION("""COMPUTED_VALUE"""),"Corrective")</f>
        <v>Corrective</v>
      </c>
      <c r="I628" s="3" t="str">
        <f>IFERROR(__xludf.DUMMYFUNCTION("""COMPUTED_VALUE"""),"Replace Optik,RRU/Soket Power/Replace GPS")</f>
        <v>Replace Optik,RRU/Soket Power/Replace GPS</v>
      </c>
      <c r="J628" s="3" t="str">
        <f>IFERROR(__xludf.DUMMYFUNCTION("""COMPUTED_VALUE"""),"On Progress")</f>
        <v>On Progress</v>
      </c>
      <c r="K628" s="27">
        <f>IFERROR(__xludf.DUMMYFUNCTION("""COMPUTED_VALUE"""),46030.0)</f>
        <v>46030</v>
      </c>
      <c r="L628" s="3"/>
      <c r="M628" s="3" t="str">
        <f>IFERROR(__xludf.DUMMYFUNCTION("""COMPUTED_VALUE"""),"Pending")</f>
        <v>Pending</v>
      </c>
      <c r="N628" s="3"/>
      <c r="O628" s="3" t="str">
        <f>IFERROR(VLOOKUP(C628,Sheet4!A628:F1415,6,0),"")</f>
        <v/>
      </c>
      <c r="Q628" s="2" t="str">
        <f t="shared" si="1"/>
        <v>08</v>
      </c>
    </row>
    <row r="629">
      <c r="A629" s="3" t="str">
        <f>IFERROR(__xludf.DUMMYFUNCTION("""COMPUTED_VALUE"""),"Cell down")</f>
        <v>Cell down</v>
      </c>
      <c r="B629" s="3" t="str">
        <f>IFERROR(__xludf.DUMMYFUNCTION("""COMPUTED_VALUE"""),"P1")</f>
        <v>P1</v>
      </c>
      <c r="C629" s="3" t="str">
        <f>IFERROR(__xludf.DUMMYFUNCTION("""COMPUTED_VALUE"""),"KKN151")</f>
        <v>KKN151</v>
      </c>
      <c r="D629" s="3" t="str">
        <f>IFERROR(__xludf.DUMMYFUNCTION("""COMPUTED_VALUE"""),"Leonard")</f>
        <v>Leonard</v>
      </c>
      <c r="E629" s="3" t="str">
        <f>IFERROR(__xludf.DUMMYFUNCTION("""COMPUTED_VALUE"""),"TE")</f>
        <v>TE</v>
      </c>
      <c r="F629" s="3" t="str">
        <f>IFERROR(__xludf.DUMMYFUNCTION("""COMPUTED_VALUE"""),"Doni Damara")</f>
        <v>Doni Damara</v>
      </c>
      <c r="G629" s="3" t="str">
        <f>IFERROR(__xludf.DUMMYFUNCTION("""COMPUTED_VALUE"""),"Palangkaraya")</f>
        <v>Palangkaraya</v>
      </c>
      <c r="H629" s="3" t="str">
        <f>IFERROR(__xludf.DUMMYFUNCTION("""COMPUTED_VALUE"""),"Corrective")</f>
        <v>Corrective</v>
      </c>
      <c r="I629" s="3" t="str">
        <f>IFERROR(__xludf.DUMMYFUNCTION("""COMPUTED_VALUE"""),"Replace Optik,RRU/Soket Power/Replace GPS")</f>
        <v>Replace Optik,RRU/Soket Power/Replace GPS</v>
      </c>
      <c r="J629" s="3" t="str">
        <f>IFERROR(__xludf.DUMMYFUNCTION("""COMPUTED_VALUE"""),"On Progress")</f>
        <v>On Progress</v>
      </c>
      <c r="K629" s="27">
        <f>IFERROR(__xludf.DUMMYFUNCTION("""COMPUTED_VALUE"""),46030.0)</f>
        <v>46030</v>
      </c>
      <c r="L629" s="3"/>
      <c r="M629" s="3" t="str">
        <f>IFERROR(__xludf.DUMMYFUNCTION("""COMPUTED_VALUE"""),"Pending")</f>
        <v>Pending</v>
      </c>
      <c r="N629" s="3"/>
      <c r="O629" s="3" t="str">
        <f>IFERROR(VLOOKUP(C629,Sheet4!A629:F1416,6,0),"")</f>
        <v/>
      </c>
      <c r="Q629" s="2" t="str">
        <f t="shared" si="1"/>
        <v>08</v>
      </c>
    </row>
    <row r="630">
      <c r="A630" s="3" t="str">
        <f>IFERROR(__xludf.DUMMYFUNCTION("""COMPUTED_VALUE"""),"Cell down")</f>
        <v>Cell down</v>
      </c>
      <c r="B630" s="3" t="str">
        <f>IFERROR(__xludf.DUMMYFUNCTION("""COMPUTED_VALUE"""),"P1")</f>
        <v>P1</v>
      </c>
      <c r="C630" s="3" t="str">
        <f>IFERROR(__xludf.DUMMYFUNCTION("""COMPUTED_VALUE"""),"KKN151")</f>
        <v>KKN151</v>
      </c>
      <c r="D630" s="3" t="str">
        <f>IFERROR(__xludf.DUMMYFUNCTION("""COMPUTED_VALUE"""),"Aulia Rahman")</f>
        <v>Aulia Rahman</v>
      </c>
      <c r="E630" s="3" t="str">
        <f>IFERROR(__xludf.DUMMYFUNCTION("""COMPUTED_VALUE"""),"TE")</f>
        <v>TE</v>
      </c>
      <c r="F630" s="3" t="str">
        <f>IFERROR(__xludf.DUMMYFUNCTION("""COMPUTED_VALUE"""),"Doni Damara")</f>
        <v>Doni Damara</v>
      </c>
      <c r="G630" s="3" t="str">
        <f>IFERROR(__xludf.DUMMYFUNCTION("""COMPUTED_VALUE"""),"Palangkaraya")</f>
        <v>Palangkaraya</v>
      </c>
      <c r="H630" s="3" t="str">
        <f>IFERROR(__xludf.DUMMYFUNCTION("""COMPUTED_VALUE"""),"Corrective")</f>
        <v>Corrective</v>
      </c>
      <c r="I630" s="3" t="str">
        <f>IFERROR(__xludf.DUMMYFUNCTION("""COMPUTED_VALUE"""),"Replace Optik,RRU/Soket Power/Replace GPS")</f>
        <v>Replace Optik,RRU/Soket Power/Replace GPS</v>
      </c>
      <c r="J630" s="3" t="str">
        <f>IFERROR(__xludf.DUMMYFUNCTION("""COMPUTED_VALUE"""),"On Progress")</f>
        <v>On Progress</v>
      </c>
      <c r="K630" s="27">
        <f>IFERROR(__xludf.DUMMYFUNCTION("""COMPUTED_VALUE"""),46030.0)</f>
        <v>46030</v>
      </c>
      <c r="L630" s="3"/>
      <c r="M630" s="3" t="str">
        <f>IFERROR(__xludf.DUMMYFUNCTION("""COMPUTED_VALUE"""),"Pending")</f>
        <v>Pending</v>
      </c>
      <c r="N630" s="3"/>
      <c r="O630" s="3" t="str">
        <f>IFERROR(VLOOKUP(C630,Sheet4!A630:F1417,6,0),"")</f>
        <v/>
      </c>
      <c r="Q630" s="2" t="str">
        <f t="shared" si="1"/>
        <v>08</v>
      </c>
    </row>
    <row r="631">
      <c r="A631" s="3" t="str">
        <f>IFERROR(__xludf.DUMMYFUNCTION("""COMPUTED_VALUE"""),"Cell down")</f>
        <v>Cell down</v>
      </c>
      <c r="B631" s="3" t="str">
        <f>IFERROR(__xludf.DUMMYFUNCTION("""COMPUTED_VALUE"""),"P1")</f>
        <v>P1</v>
      </c>
      <c r="C631" s="3" t="str">
        <f>IFERROR(__xludf.DUMMYFUNCTION("""COMPUTED_VALUE"""),"KSN021")</f>
        <v>KSN021</v>
      </c>
      <c r="D631" s="3" t="str">
        <f>IFERROR(__xludf.DUMMYFUNCTION("""COMPUTED_VALUE"""),"Muhammad Mukhlis")</f>
        <v>Muhammad Mukhlis</v>
      </c>
      <c r="E631" s="3" t="str">
        <f>IFERROR(__xludf.DUMMYFUNCTION("""COMPUTED_VALUE"""),"TE")</f>
        <v>TE</v>
      </c>
      <c r="F631" s="3" t="str">
        <f>IFERROR(__xludf.DUMMYFUNCTION("""COMPUTED_VALUE"""),"Doni Damara")</f>
        <v>Doni Damara</v>
      </c>
      <c r="G631" s="3" t="str">
        <f>IFERROR(__xludf.DUMMYFUNCTION("""COMPUTED_VALUE"""),"Palangkaraya")</f>
        <v>Palangkaraya</v>
      </c>
      <c r="H631" s="3" t="str">
        <f>IFERROR(__xludf.DUMMYFUNCTION("""COMPUTED_VALUE"""),"Corrective")</f>
        <v>Corrective</v>
      </c>
      <c r="I631" s="3" t="str">
        <f>IFERROR(__xludf.DUMMYFUNCTION("""COMPUTED_VALUE"""),"Replace Optik,RRU/Soket Power/Replace GPS")</f>
        <v>Replace Optik,RRU/Soket Power/Replace GPS</v>
      </c>
      <c r="J631" s="3" t="str">
        <f>IFERROR(__xludf.DUMMYFUNCTION("""COMPUTED_VALUE"""),"On Progress")</f>
        <v>On Progress</v>
      </c>
      <c r="K631" s="27">
        <f>IFERROR(__xludf.DUMMYFUNCTION("""COMPUTED_VALUE"""),46030.0)</f>
        <v>46030</v>
      </c>
      <c r="L631" s="3"/>
      <c r="M631" s="3" t="str">
        <f>IFERROR(__xludf.DUMMYFUNCTION("""COMPUTED_VALUE"""),"Pending")</f>
        <v>Pending</v>
      </c>
      <c r="N631" s="3"/>
      <c r="O631" s="3" t="str">
        <f>IFERROR(VLOOKUP(C631,Sheet4!A631:F1418,6,0),"")</f>
        <v/>
      </c>
      <c r="Q631" s="2" t="str">
        <f t="shared" si="1"/>
        <v>08</v>
      </c>
    </row>
    <row r="632">
      <c r="A632" s="3" t="str">
        <f>IFERROR(__xludf.DUMMYFUNCTION("""COMPUTED_VALUE"""),"Pengecekan battrey")</f>
        <v>Pengecekan battrey</v>
      </c>
      <c r="B632" s="3" t="str">
        <f>IFERROR(__xludf.DUMMYFUNCTION("""COMPUTED_VALUE"""),"P2")</f>
        <v>P2</v>
      </c>
      <c r="C632" s="3" t="str">
        <f>IFERROR(__xludf.DUMMYFUNCTION("""COMPUTED_VALUE"""),"KSN003")</f>
        <v>KSN003</v>
      </c>
      <c r="D632" s="3" t="str">
        <f>IFERROR(__xludf.DUMMYFUNCTION("""COMPUTED_VALUE"""),"Muhammad Mukti")</f>
        <v>Muhammad Mukti</v>
      </c>
      <c r="E632" s="3" t="str">
        <f>IFERROR(__xludf.DUMMYFUNCTION("""COMPUTED_VALUE"""),"TE")</f>
        <v>TE</v>
      </c>
      <c r="F632" s="3" t="str">
        <f>IFERROR(__xludf.DUMMYFUNCTION("""COMPUTED_VALUE"""),"Doni Damara")</f>
        <v>Doni Damara</v>
      </c>
      <c r="G632" s="3" t="str">
        <f>IFERROR(__xludf.DUMMYFUNCTION("""COMPUTED_VALUE"""),"Palangkaraya")</f>
        <v>Palangkaraya</v>
      </c>
      <c r="H632" s="3" t="str">
        <f>IFERROR(__xludf.DUMMYFUNCTION("""COMPUTED_VALUE"""),"Preventive")</f>
        <v>Preventive</v>
      </c>
      <c r="I632" s="3" t="str">
        <f>IFERROR(__xludf.DUMMYFUNCTION("""COMPUTED_VALUE"""),"Pengukuran dan pengambilan data log serta input Gdoc BBT")</f>
        <v>Pengukuran dan pengambilan data log serta input Gdoc BBT</v>
      </c>
      <c r="J632" s="3" t="str">
        <f>IFERROR(__xludf.DUMMYFUNCTION("""COMPUTED_VALUE"""),"On Progress")</f>
        <v>On Progress</v>
      </c>
      <c r="K632" s="27">
        <f>IFERROR(__xludf.DUMMYFUNCTION("""COMPUTED_VALUE"""),46030.0)</f>
        <v>46030</v>
      </c>
      <c r="L632" s="3"/>
      <c r="M632" s="3" t="str">
        <f>IFERROR(__xludf.DUMMYFUNCTION("""COMPUTED_VALUE"""),"Pending")</f>
        <v>Pending</v>
      </c>
      <c r="N632" s="3"/>
      <c r="O632" s="3">
        <f>IFERROR(VLOOKUP(C632,Sheet4!A632:F1419,6,0),"")</f>
        <v>11308922</v>
      </c>
      <c r="Q632" s="2" t="str">
        <f t="shared" si="1"/>
        <v>08</v>
      </c>
    </row>
    <row r="633">
      <c r="A633" s="3" t="str">
        <f>IFERROR(__xludf.DUMMYFUNCTION("""COMPUTED_VALUE"""),"Tshoot Genset")</f>
        <v>Tshoot Genset</v>
      </c>
      <c r="B633" s="3" t="str">
        <f>IFERROR(__xludf.DUMMYFUNCTION("""COMPUTED_VALUE"""),"P1")</f>
        <v>P1</v>
      </c>
      <c r="C633" s="3" t="str">
        <f>IFERROR(__xludf.DUMMYFUNCTION("""COMPUTED_VALUE"""),"KSN150")</f>
        <v>KSN150</v>
      </c>
      <c r="D633" s="3" t="str">
        <f>IFERROR(__xludf.DUMMYFUNCTION("""COMPUTED_VALUE"""),"melky.O.Tulangow")</f>
        <v>melky.O.Tulangow</v>
      </c>
      <c r="E633" s="3" t="str">
        <f>IFERROR(__xludf.DUMMYFUNCTION("""COMPUTED_VALUE"""),"TE")</f>
        <v>TE</v>
      </c>
      <c r="F633" s="3" t="str">
        <f>IFERROR(__xludf.DUMMYFUNCTION("""COMPUTED_VALUE"""),"Doni Damara")</f>
        <v>Doni Damara</v>
      </c>
      <c r="G633" s="3" t="str">
        <f>IFERROR(__xludf.DUMMYFUNCTION("""COMPUTED_VALUE"""),"Palangkaraya")</f>
        <v>Palangkaraya</v>
      </c>
      <c r="H633" s="3" t="str">
        <f>IFERROR(__xludf.DUMMYFUNCTION("""COMPUTED_VALUE"""),"Corrective")</f>
        <v>Corrective</v>
      </c>
      <c r="I633" s="3" t="str">
        <f>IFERROR(__xludf.DUMMYFUNCTION("""COMPUTED_VALUE"""),"Perbaikan Auto,pergantian relay,timer, yang berhubungan genset")</f>
        <v>Perbaikan Auto,pergantian relay,timer, yang berhubungan genset</v>
      </c>
      <c r="J633" s="3" t="str">
        <f>IFERROR(__xludf.DUMMYFUNCTION("""COMPUTED_VALUE"""),"On Progress")</f>
        <v>On Progress</v>
      </c>
      <c r="K633" s="27">
        <f>IFERROR(__xludf.DUMMYFUNCTION("""COMPUTED_VALUE"""),46030.0)</f>
        <v>46030</v>
      </c>
      <c r="L633" s="3"/>
      <c r="M633" s="3" t="str">
        <f>IFERROR(__xludf.DUMMYFUNCTION("""COMPUTED_VALUE"""),"Pending")</f>
        <v>Pending</v>
      </c>
      <c r="N633" s="3"/>
      <c r="O633" s="3">
        <f>IFERROR(VLOOKUP(C633,Sheet4!A633:F1420,6,0),"")</f>
        <v>112496</v>
      </c>
      <c r="Q633" s="2" t="str">
        <f t="shared" si="1"/>
        <v>08</v>
      </c>
    </row>
    <row r="634">
      <c r="A634" s="3" t="str">
        <f>IFERROR(__xludf.DUMMYFUNCTION("""COMPUTED_VALUE"""),"Standby On Call")</f>
        <v>Standby On Call</v>
      </c>
      <c r="B634" s="3" t="str">
        <f>IFERROR(__xludf.DUMMYFUNCTION("""COMPUTED_VALUE"""),"P3")</f>
        <v>P3</v>
      </c>
      <c r="C634" s="3"/>
      <c r="D634" s="3" t="str">
        <f>IFERROR(__xludf.DUMMYFUNCTION("""COMPUTED_VALUE"""),"Indra")</f>
        <v>Indra</v>
      </c>
      <c r="E634" s="3" t="str">
        <f>IFERROR(__xludf.DUMMYFUNCTION("""COMPUTED_VALUE"""),"PM")</f>
        <v>PM</v>
      </c>
      <c r="F634" s="3" t="str">
        <f>IFERROR(__xludf.DUMMYFUNCTION("""COMPUTED_VALUE"""),"Doni Damara")</f>
        <v>Doni Damara</v>
      </c>
      <c r="G634" s="3" t="str">
        <f>IFERROR(__xludf.DUMMYFUNCTION("""COMPUTED_VALUE"""),"Palangkaraya")</f>
        <v>Palangkaraya</v>
      </c>
      <c r="H634" s="3" t="str">
        <f>IFERROR(__xludf.DUMMYFUNCTION("""COMPUTED_VALUE"""),"Standby")</f>
        <v>Standby</v>
      </c>
      <c r="I634" s="3" t="str">
        <f>IFERROR(__xludf.DUMMYFUNCTION("""COMPUTED_VALUE"""),"Standby On Call")</f>
        <v>Standby On Call</v>
      </c>
      <c r="J634" s="3" t="str">
        <f>IFERROR(__xludf.DUMMYFUNCTION("""COMPUTED_VALUE"""),"Standby")</f>
        <v>Standby</v>
      </c>
      <c r="K634" s="27">
        <f>IFERROR(__xludf.DUMMYFUNCTION("""COMPUTED_VALUE"""),46030.0)</f>
        <v>46030</v>
      </c>
      <c r="L634" s="3"/>
      <c r="M634" s="3" t="str">
        <f>IFERROR(__xludf.DUMMYFUNCTION("""COMPUTED_VALUE"""),"Waiting Update")</f>
        <v>Waiting Update</v>
      </c>
      <c r="N634" s="3"/>
      <c r="O634" s="3" t="str">
        <f>IFERROR(VLOOKUP(C634,Sheet4!A634:F1421,6,0),"")</f>
        <v/>
      </c>
      <c r="Q634" s="2" t="str">
        <f t="shared" si="1"/>
        <v>08</v>
      </c>
    </row>
    <row r="635">
      <c r="A635" s="3" t="str">
        <f>IFERROR(__xludf.DUMMYFUNCTION("""COMPUTED_VALUE"""),"Standby On Call")</f>
        <v>Standby On Call</v>
      </c>
      <c r="B635" s="3" t="str">
        <f>IFERROR(__xludf.DUMMYFUNCTION("""COMPUTED_VALUE"""),"P3")</f>
        <v>P3</v>
      </c>
      <c r="C635" s="3"/>
      <c r="D635" s="3" t="str">
        <f>IFERROR(__xludf.DUMMYFUNCTION("""COMPUTED_VALUE"""),"Darli")</f>
        <v>Darli</v>
      </c>
      <c r="E635" s="3" t="str">
        <f>IFERROR(__xludf.DUMMYFUNCTION("""COMPUTED_VALUE"""),"PM")</f>
        <v>PM</v>
      </c>
      <c r="F635" s="3" t="str">
        <f>IFERROR(__xludf.DUMMYFUNCTION("""COMPUTED_VALUE"""),"Doni Damara")</f>
        <v>Doni Damara</v>
      </c>
      <c r="G635" s="3" t="str">
        <f>IFERROR(__xludf.DUMMYFUNCTION("""COMPUTED_VALUE"""),"Palangkaraya")</f>
        <v>Palangkaraya</v>
      </c>
      <c r="H635" s="3" t="str">
        <f>IFERROR(__xludf.DUMMYFUNCTION("""COMPUTED_VALUE"""),"Standby")</f>
        <v>Standby</v>
      </c>
      <c r="I635" s="3" t="str">
        <f>IFERROR(__xludf.DUMMYFUNCTION("""COMPUTED_VALUE"""),"Standby On Call")</f>
        <v>Standby On Call</v>
      </c>
      <c r="J635" s="3" t="str">
        <f>IFERROR(__xludf.DUMMYFUNCTION("""COMPUTED_VALUE"""),"Standby")</f>
        <v>Standby</v>
      </c>
      <c r="K635" s="27">
        <f>IFERROR(__xludf.DUMMYFUNCTION("""COMPUTED_VALUE"""),46030.0)</f>
        <v>46030</v>
      </c>
      <c r="L635" s="3"/>
      <c r="M635" s="3" t="str">
        <f>IFERROR(__xludf.DUMMYFUNCTION("""COMPUTED_VALUE"""),"Waiting Update")</f>
        <v>Waiting Update</v>
      </c>
      <c r="N635" s="3"/>
      <c r="O635" s="3" t="str">
        <f>IFERROR(VLOOKUP(C635,Sheet4!A635:F1422,6,0),"")</f>
        <v/>
      </c>
      <c r="Q635" s="2" t="str">
        <f t="shared" si="1"/>
        <v>08</v>
      </c>
    </row>
    <row r="636">
      <c r="A636" s="3" t="str">
        <f>IFERROR(__xludf.DUMMYFUNCTION("""COMPUTED_VALUE"""),"Standby On Call")</f>
        <v>Standby On Call</v>
      </c>
      <c r="B636" s="3" t="str">
        <f>IFERROR(__xludf.DUMMYFUNCTION("""COMPUTED_VALUE"""),"P3")</f>
        <v>P3</v>
      </c>
      <c r="C636" s="3"/>
      <c r="D636" s="3" t="str">
        <f>IFERROR(__xludf.DUMMYFUNCTION("""COMPUTED_VALUE"""),"Sarwono")</f>
        <v>Sarwono</v>
      </c>
      <c r="E636" s="3" t="str">
        <f>IFERROR(__xludf.DUMMYFUNCTION("""COMPUTED_VALUE"""),"CME")</f>
        <v>CME</v>
      </c>
      <c r="F636" s="3" t="str">
        <f>IFERROR(__xludf.DUMMYFUNCTION("""COMPUTED_VALUE"""),"Doni Damara")</f>
        <v>Doni Damara</v>
      </c>
      <c r="G636" s="3" t="str">
        <f>IFERROR(__xludf.DUMMYFUNCTION("""COMPUTED_VALUE"""),"Palangkaraya")</f>
        <v>Palangkaraya</v>
      </c>
      <c r="H636" s="3" t="str">
        <f>IFERROR(__xludf.DUMMYFUNCTION("""COMPUTED_VALUE"""),"Standby")</f>
        <v>Standby</v>
      </c>
      <c r="I636" s="3" t="str">
        <f>IFERROR(__xludf.DUMMYFUNCTION("""COMPUTED_VALUE"""),"Standby On Call")</f>
        <v>Standby On Call</v>
      </c>
      <c r="J636" s="3" t="str">
        <f>IFERROR(__xludf.DUMMYFUNCTION("""COMPUTED_VALUE"""),"Standby")</f>
        <v>Standby</v>
      </c>
      <c r="K636" s="27">
        <f>IFERROR(__xludf.DUMMYFUNCTION("""COMPUTED_VALUE"""),46030.0)</f>
        <v>46030</v>
      </c>
      <c r="L636" s="3"/>
      <c r="M636" s="3" t="str">
        <f>IFERROR(__xludf.DUMMYFUNCTION("""COMPUTED_VALUE"""),"Waiting Update")</f>
        <v>Waiting Update</v>
      </c>
      <c r="N636" s="3"/>
      <c r="O636" s="3" t="str">
        <f>IFERROR(VLOOKUP(C636,Sheet4!A636:F1423,6,0),"")</f>
        <v/>
      </c>
      <c r="Q636" s="2" t="str">
        <f t="shared" si="1"/>
        <v>08</v>
      </c>
    </row>
    <row r="637">
      <c r="A637" s="3" t="str">
        <f>IFERROR(__xludf.DUMMYFUNCTION("""COMPUTED_VALUE"""),"Standby On Call")</f>
        <v>Standby On Call</v>
      </c>
      <c r="B637" s="3" t="str">
        <f>IFERROR(__xludf.DUMMYFUNCTION("""COMPUTED_VALUE"""),"P3")</f>
        <v>P3</v>
      </c>
      <c r="C637" s="3"/>
      <c r="D637" s="3" t="str">
        <f>IFERROR(__xludf.DUMMYFUNCTION("""COMPUTED_VALUE"""),"Purwanto")</f>
        <v>Purwanto</v>
      </c>
      <c r="E637" s="3" t="str">
        <f>IFERROR(__xludf.DUMMYFUNCTION("""COMPUTED_VALUE"""),"MBP")</f>
        <v>MBP</v>
      </c>
      <c r="F637" s="3" t="str">
        <f>IFERROR(__xludf.DUMMYFUNCTION("""COMPUTED_VALUE"""),"Doni Damara")</f>
        <v>Doni Damara</v>
      </c>
      <c r="G637" s="3" t="str">
        <f>IFERROR(__xludf.DUMMYFUNCTION("""COMPUTED_VALUE"""),"Palangkaraya")</f>
        <v>Palangkaraya</v>
      </c>
      <c r="H637" s="3" t="str">
        <f>IFERROR(__xludf.DUMMYFUNCTION("""COMPUTED_VALUE"""),"Standby")</f>
        <v>Standby</v>
      </c>
      <c r="I637" s="3" t="str">
        <f>IFERROR(__xludf.DUMMYFUNCTION("""COMPUTED_VALUE"""),"Standby On Call")</f>
        <v>Standby On Call</v>
      </c>
      <c r="J637" s="3" t="str">
        <f>IFERROR(__xludf.DUMMYFUNCTION("""COMPUTED_VALUE"""),"Standby")</f>
        <v>Standby</v>
      </c>
      <c r="K637" s="27">
        <f>IFERROR(__xludf.DUMMYFUNCTION("""COMPUTED_VALUE"""),46030.0)</f>
        <v>46030</v>
      </c>
      <c r="L637" s="3"/>
      <c r="M637" s="3" t="str">
        <f>IFERROR(__xludf.DUMMYFUNCTION("""COMPUTED_VALUE"""),"Waiting Update")</f>
        <v>Waiting Update</v>
      </c>
      <c r="N637" s="3"/>
      <c r="O637" s="3" t="str">
        <f>IFERROR(VLOOKUP(C637,Sheet4!A637:F1424,6,0),"")</f>
        <v/>
      </c>
      <c r="Q637" s="2" t="str">
        <f t="shared" si="1"/>
        <v>08</v>
      </c>
    </row>
    <row r="638">
      <c r="A638" s="3" t="str">
        <f>IFERROR(__xludf.DUMMYFUNCTION("""COMPUTED_VALUE"""),"Standby On Call")</f>
        <v>Standby On Call</v>
      </c>
      <c r="B638" s="3" t="str">
        <f>IFERROR(__xludf.DUMMYFUNCTION("""COMPUTED_VALUE"""),"P3")</f>
        <v>P3</v>
      </c>
      <c r="C638" s="3"/>
      <c r="D638" s="3" t="str">
        <f>IFERROR(__xludf.DUMMYFUNCTION("""COMPUTED_VALUE"""),"Sairaji")</f>
        <v>Sairaji</v>
      </c>
      <c r="E638" s="3" t="str">
        <f>IFERROR(__xludf.DUMMYFUNCTION("""COMPUTED_VALUE"""),"MBP")</f>
        <v>MBP</v>
      </c>
      <c r="F638" s="3" t="str">
        <f>IFERROR(__xludf.DUMMYFUNCTION("""COMPUTED_VALUE"""),"Doni Damara")</f>
        <v>Doni Damara</v>
      </c>
      <c r="G638" s="3" t="str">
        <f>IFERROR(__xludf.DUMMYFUNCTION("""COMPUTED_VALUE"""),"Palangkaraya")</f>
        <v>Palangkaraya</v>
      </c>
      <c r="H638" s="3" t="str">
        <f>IFERROR(__xludf.DUMMYFUNCTION("""COMPUTED_VALUE"""),"Standby")</f>
        <v>Standby</v>
      </c>
      <c r="I638" s="3" t="str">
        <f>IFERROR(__xludf.DUMMYFUNCTION("""COMPUTED_VALUE"""),"Standby On Call")</f>
        <v>Standby On Call</v>
      </c>
      <c r="J638" s="3" t="str">
        <f>IFERROR(__xludf.DUMMYFUNCTION("""COMPUTED_VALUE"""),"Standby")</f>
        <v>Standby</v>
      </c>
      <c r="K638" s="27">
        <f>IFERROR(__xludf.DUMMYFUNCTION("""COMPUTED_VALUE"""),46030.0)</f>
        <v>46030</v>
      </c>
      <c r="L638" s="3"/>
      <c r="M638" s="3" t="str">
        <f>IFERROR(__xludf.DUMMYFUNCTION("""COMPUTED_VALUE"""),"Waiting Update")</f>
        <v>Waiting Update</v>
      </c>
      <c r="N638" s="3"/>
      <c r="O638" s="3" t="str">
        <f>IFERROR(VLOOKUP(C638,Sheet4!A638:F1425,6,0),"")</f>
        <v/>
      </c>
      <c r="Q638" s="2" t="str">
        <f t="shared" si="1"/>
        <v>08</v>
      </c>
    </row>
    <row r="639">
      <c r="A639" s="3" t="str">
        <f>IFERROR(__xludf.DUMMYFUNCTION("""COMPUTED_VALUE"""),"Pengecekan Power")</f>
        <v>Pengecekan Power</v>
      </c>
      <c r="B639" s="3" t="str">
        <f>IFERROR(__xludf.DUMMYFUNCTION("""COMPUTED_VALUE"""),"P1")</f>
        <v>P1</v>
      </c>
      <c r="C639" s="3" t="str">
        <f>IFERROR(__xludf.DUMMYFUNCTION("""COMPUTED_VALUE"""),"BNT042")</f>
        <v>BNT042</v>
      </c>
      <c r="D639" s="3" t="str">
        <f>IFERROR(__xludf.DUMMYFUNCTION("""COMPUTED_VALUE"""),"Putra wardana")</f>
        <v>Putra wardana</v>
      </c>
      <c r="E639" s="3" t="str">
        <f>IFERROR(__xludf.DUMMYFUNCTION("""COMPUTED_VALUE"""),"TE")</f>
        <v>TE</v>
      </c>
      <c r="F639" s="3" t="str">
        <f>IFERROR(__xludf.DUMMYFUNCTION("""COMPUTED_VALUE"""),"Winda Sokenda")</f>
        <v>Winda Sokenda</v>
      </c>
      <c r="G639" s="3" t="str">
        <f>IFERROR(__xludf.DUMMYFUNCTION("""COMPUTED_VALUE"""),"Barito Raya")</f>
        <v>Barito Raya</v>
      </c>
      <c r="H639" s="3" t="str">
        <f>IFERROR(__xludf.DUMMYFUNCTION("""COMPUTED_VALUE"""),"Preventive")</f>
        <v>Preventive</v>
      </c>
      <c r="I639" s="3" t="str">
        <f>IFERROR(__xludf.DUMMYFUNCTION("""COMPUTED_VALUE"""),"MCB trip/Power upnormal")</f>
        <v>MCB trip/Power upnormal</v>
      </c>
      <c r="J639" s="3" t="str">
        <f>IFERROR(__xludf.DUMMYFUNCTION("""COMPUTED_VALUE"""),"On Progress")</f>
        <v>On Progress</v>
      </c>
      <c r="K639" s="27">
        <f>IFERROR(__xludf.DUMMYFUNCTION("""COMPUTED_VALUE"""),46031.0)</f>
        <v>46031</v>
      </c>
      <c r="L639" s="27">
        <f>IFERROR(__xludf.DUMMYFUNCTION("""COMPUTED_VALUE"""),46031.0)</f>
        <v>46031</v>
      </c>
      <c r="M639" s="3" t="str">
        <f>IFERROR(__xludf.DUMMYFUNCTION("""COMPUTED_VALUE"""),"Done")</f>
        <v>Done</v>
      </c>
      <c r="N639" s="3"/>
      <c r="O639" s="3" t="str">
        <f>IFERROR(VLOOKUP(C639,Sheet4!A639:F1426,6,0),"")</f>
        <v/>
      </c>
      <c r="Q639" s="2" t="str">
        <f t="shared" si="1"/>
        <v>09</v>
      </c>
    </row>
    <row r="640">
      <c r="A640" s="3" t="str">
        <f>IFERROR(__xludf.DUMMYFUNCTION("""COMPUTED_VALUE"""),"Pengecekan Power")</f>
        <v>Pengecekan Power</v>
      </c>
      <c r="B640" s="3" t="str">
        <f>IFERROR(__xludf.DUMMYFUNCTION("""COMPUTED_VALUE"""),"P1")</f>
        <v>P1</v>
      </c>
      <c r="C640" s="3" t="str">
        <f>IFERROR(__xludf.DUMMYFUNCTION("""COMPUTED_VALUE"""),"NTH147")</f>
        <v>NTH147</v>
      </c>
      <c r="D640" s="3" t="str">
        <f>IFERROR(__xludf.DUMMYFUNCTION("""COMPUTED_VALUE"""),"Sailillah")</f>
        <v>Sailillah</v>
      </c>
      <c r="E640" s="3" t="str">
        <f>IFERROR(__xludf.DUMMYFUNCTION("""COMPUTED_VALUE"""),"TE")</f>
        <v>TE</v>
      </c>
      <c r="F640" s="3" t="str">
        <f>IFERROR(__xludf.DUMMYFUNCTION("""COMPUTED_VALUE"""),"Winda Sokenda")</f>
        <v>Winda Sokenda</v>
      </c>
      <c r="G640" s="3" t="str">
        <f>IFERROR(__xludf.DUMMYFUNCTION("""COMPUTED_VALUE"""),"Barito Raya")</f>
        <v>Barito Raya</v>
      </c>
      <c r="H640" s="3" t="str">
        <f>IFERROR(__xludf.DUMMYFUNCTION("""COMPUTED_VALUE"""),"Preventive")</f>
        <v>Preventive</v>
      </c>
      <c r="I640" s="3" t="str">
        <f>IFERROR(__xludf.DUMMYFUNCTION("""COMPUTED_VALUE"""),"MCB trip/Power upnormal")</f>
        <v>MCB trip/Power upnormal</v>
      </c>
      <c r="J640" s="3" t="str">
        <f>IFERROR(__xludf.DUMMYFUNCTION("""COMPUTED_VALUE"""),"On Progress")</f>
        <v>On Progress</v>
      </c>
      <c r="K640" s="27">
        <f>IFERROR(__xludf.DUMMYFUNCTION("""COMPUTED_VALUE"""),46031.0)</f>
        <v>46031</v>
      </c>
      <c r="L640" s="27">
        <f>IFERROR(__xludf.DUMMYFUNCTION("""COMPUTED_VALUE"""),46031.0)</f>
        <v>46031</v>
      </c>
      <c r="M640" s="3" t="str">
        <f>IFERROR(__xludf.DUMMYFUNCTION("""COMPUTED_VALUE"""),"Done")</f>
        <v>Done</v>
      </c>
      <c r="N640" s="3"/>
      <c r="O640" s="3" t="str">
        <f>IFERROR(VLOOKUP(C640,Sheet4!A640:F1427,6,0),"")</f>
        <v/>
      </c>
      <c r="Q640" s="2" t="str">
        <f t="shared" si="1"/>
        <v>09</v>
      </c>
    </row>
    <row r="641">
      <c r="A641" s="3" t="str">
        <f>IFERROR(__xludf.DUMMYFUNCTION("""COMPUTED_VALUE"""),"Pengecekan Power")</f>
        <v>Pengecekan Power</v>
      </c>
      <c r="B641" s="3" t="str">
        <f>IFERROR(__xludf.DUMMYFUNCTION("""COMPUTED_VALUE"""),"P1")</f>
        <v>P1</v>
      </c>
      <c r="C641" s="3" t="str">
        <f>IFERROR(__xludf.DUMMYFUNCTION("""COMPUTED_VALUE"""),"TML007")</f>
        <v>TML007</v>
      </c>
      <c r="D641" s="3" t="str">
        <f>IFERROR(__xludf.DUMMYFUNCTION("""COMPUTED_VALUE"""),"Tiviansyah")</f>
        <v>Tiviansyah</v>
      </c>
      <c r="E641" s="3" t="str">
        <f>IFERROR(__xludf.DUMMYFUNCTION("""COMPUTED_VALUE"""),"TE")</f>
        <v>TE</v>
      </c>
      <c r="F641" s="3" t="str">
        <f>IFERROR(__xludf.DUMMYFUNCTION("""COMPUTED_VALUE"""),"Winda Sokenda")</f>
        <v>Winda Sokenda</v>
      </c>
      <c r="G641" s="3" t="str">
        <f>IFERROR(__xludf.DUMMYFUNCTION("""COMPUTED_VALUE"""),"Barito Raya")</f>
        <v>Barito Raya</v>
      </c>
      <c r="H641" s="3" t="str">
        <f>IFERROR(__xludf.DUMMYFUNCTION("""COMPUTED_VALUE"""),"Preventive")</f>
        <v>Preventive</v>
      </c>
      <c r="I641" s="3" t="str">
        <f>IFERROR(__xludf.DUMMYFUNCTION("""COMPUTED_VALUE"""),"MCB trip/Power upnormal")</f>
        <v>MCB trip/Power upnormal</v>
      </c>
      <c r="J641" s="3" t="str">
        <f>IFERROR(__xludf.DUMMYFUNCTION("""COMPUTED_VALUE"""),"On Progress")</f>
        <v>On Progress</v>
      </c>
      <c r="K641" s="27">
        <f>IFERROR(__xludf.DUMMYFUNCTION("""COMPUTED_VALUE"""),46031.0)</f>
        <v>46031</v>
      </c>
      <c r="L641" s="27">
        <f>IFERROR(__xludf.DUMMYFUNCTION("""COMPUTED_VALUE"""),46031.0)</f>
        <v>46031</v>
      </c>
      <c r="M641" s="3" t="str">
        <f>IFERROR(__xludf.DUMMYFUNCTION("""COMPUTED_VALUE"""),"Done")</f>
        <v>Done</v>
      </c>
      <c r="N641" s="3"/>
      <c r="O641" s="3" t="str">
        <f>IFERROR(VLOOKUP(C641,Sheet4!A641:F1428,6,0),"")</f>
        <v/>
      </c>
      <c r="Q641" s="2" t="str">
        <f t="shared" si="1"/>
        <v>09</v>
      </c>
    </row>
    <row r="642">
      <c r="A642" s="3" t="str">
        <f>IFERROR(__xludf.DUMMYFUNCTION("""COMPUTED_VALUE"""),"Pengecekan Power")</f>
        <v>Pengecekan Power</v>
      </c>
      <c r="B642" s="3" t="str">
        <f>IFERROR(__xludf.DUMMYFUNCTION("""COMPUTED_VALUE"""),"P1")</f>
        <v>P1</v>
      </c>
      <c r="C642" s="3" t="str">
        <f>IFERROR(__xludf.DUMMYFUNCTION("""COMPUTED_VALUE"""),"MTW063")</f>
        <v>MTW063</v>
      </c>
      <c r="D642" s="3" t="str">
        <f>IFERROR(__xludf.DUMMYFUNCTION("""COMPUTED_VALUE"""),"munawir akhmad")</f>
        <v>munawir akhmad</v>
      </c>
      <c r="E642" s="3" t="str">
        <f>IFERROR(__xludf.DUMMYFUNCTION("""COMPUTED_VALUE"""),"TE")</f>
        <v>TE</v>
      </c>
      <c r="F642" s="3" t="str">
        <f>IFERROR(__xludf.DUMMYFUNCTION("""COMPUTED_VALUE"""),"Winda Sokenda")</f>
        <v>Winda Sokenda</v>
      </c>
      <c r="G642" s="3" t="str">
        <f>IFERROR(__xludf.DUMMYFUNCTION("""COMPUTED_VALUE"""),"Barito Raya")</f>
        <v>Barito Raya</v>
      </c>
      <c r="H642" s="3" t="str">
        <f>IFERROR(__xludf.DUMMYFUNCTION("""COMPUTED_VALUE"""),"Preventive")</f>
        <v>Preventive</v>
      </c>
      <c r="I642" s="3" t="str">
        <f>IFERROR(__xludf.DUMMYFUNCTION("""COMPUTED_VALUE"""),"MCB trip/Power upnormal")</f>
        <v>MCB trip/Power upnormal</v>
      </c>
      <c r="J642" s="3" t="str">
        <f>IFERROR(__xludf.DUMMYFUNCTION("""COMPUTED_VALUE"""),"On Progress")</f>
        <v>On Progress</v>
      </c>
      <c r="K642" s="27">
        <f>IFERROR(__xludf.DUMMYFUNCTION("""COMPUTED_VALUE"""),46031.0)</f>
        <v>46031</v>
      </c>
      <c r="L642" s="27">
        <f>IFERROR(__xludf.DUMMYFUNCTION("""COMPUTED_VALUE"""),46031.0)</f>
        <v>46031</v>
      </c>
      <c r="M642" s="3" t="str">
        <f>IFERROR(__xludf.DUMMYFUNCTION("""COMPUTED_VALUE"""),"Done")</f>
        <v>Done</v>
      </c>
      <c r="N642" s="3"/>
      <c r="O642" s="3" t="str">
        <f>IFERROR(VLOOKUP(C642,Sheet4!A642:F1429,6,0),"")</f>
        <v/>
      </c>
      <c r="Q642" s="2" t="str">
        <f t="shared" si="1"/>
        <v>09</v>
      </c>
    </row>
    <row r="643">
      <c r="A643" s="3" t="str">
        <f>IFERROR(__xludf.DUMMYFUNCTION("""COMPUTED_VALUE"""),"Pengecekan Power")</f>
        <v>Pengecekan Power</v>
      </c>
      <c r="B643" s="3" t="str">
        <f>IFERROR(__xludf.DUMMYFUNCTION("""COMPUTED_VALUE"""),"P1")</f>
        <v>P1</v>
      </c>
      <c r="C643" s="3" t="str">
        <f>IFERROR(__xludf.DUMMYFUNCTION("""COMPUTED_VALUE"""),"MTW063")</f>
        <v>MTW063</v>
      </c>
      <c r="D643" s="3" t="str">
        <f>IFERROR(__xludf.DUMMYFUNCTION("""COMPUTED_VALUE"""),"Riki Hidayat")</f>
        <v>Riki Hidayat</v>
      </c>
      <c r="E643" s="3" t="str">
        <f>IFERROR(__xludf.DUMMYFUNCTION("""COMPUTED_VALUE"""),"TE")</f>
        <v>TE</v>
      </c>
      <c r="F643" s="3" t="str">
        <f>IFERROR(__xludf.DUMMYFUNCTION("""COMPUTED_VALUE"""),"Winda Sokenda")</f>
        <v>Winda Sokenda</v>
      </c>
      <c r="G643" s="3" t="str">
        <f>IFERROR(__xludf.DUMMYFUNCTION("""COMPUTED_VALUE"""),"Barito Raya")</f>
        <v>Barito Raya</v>
      </c>
      <c r="H643" s="3" t="str">
        <f>IFERROR(__xludf.DUMMYFUNCTION("""COMPUTED_VALUE"""),"Preventive")</f>
        <v>Preventive</v>
      </c>
      <c r="I643" s="3" t="str">
        <f>IFERROR(__xludf.DUMMYFUNCTION("""COMPUTED_VALUE"""),"MCB trip/Power upnormal")</f>
        <v>MCB trip/Power upnormal</v>
      </c>
      <c r="J643" s="3" t="str">
        <f>IFERROR(__xludf.DUMMYFUNCTION("""COMPUTED_VALUE"""),"On Progress")</f>
        <v>On Progress</v>
      </c>
      <c r="K643" s="27">
        <f>IFERROR(__xludf.DUMMYFUNCTION("""COMPUTED_VALUE"""),46031.0)</f>
        <v>46031</v>
      </c>
      <c r="L643" s="27">
        <f>IFERROR(__xludf.DUMMYFUNCTION("""COMPUTED_VALUE"""),46031.0)</f>
        <v>46031</v>
      </c>
      <c r="M643" s="3" t="str">
        <f>IFERROR(__xludf.DUMMYFUNCTION("""COMPUTED_VALUE"""),"Done")</f>
        <v>Done</v>
      </c>
      <c r="N643" s="3"/>
      <c r="O643" s="3" t="str">
        <f>IFERROR(VLOOKUP(C643,Sheet4!A643:F1430,6,0),"")</f>
        <v/>
      </c>
      <c r="Q643" s="2" t="str">
        <f t="shared" si="1"/>
        <v>09</v>
      </c>
    </row>
    <row r="644">
      <c r="A644" s="3" t="str">
        <f>IFERROR(__xludf.DUMMYFUNCTION("""COMPUTED_VALUE"""),"Pengecekan Power")</f>
        <v>Pengecekan Power</v>
      </c>
      <c r="B644" s="3" t="str">
        <f>IFERROR(__xludf.DUMMYFUNCTION("""COMPUTED_VALUE"""),"P1")</f>
        <v>P1</v>
      </c>
      <c r="C644" s="3" t="str">
        <f>IFERROR(__xludf.DUMMYFUNCTION("""COMPUTED_VALUE"""),"PRC225")</f>
        <v>PRC225</v>
      </c>
      <c r="D644" s="3" t="str">
        <f>IFERROR(__xludf.DUMMYFUNCTION("""COMPUTED_VALUE"""),"Murjani")</f>
        <v>Murjani</v>
      </c>
      <c r="E644" s="3" t="str">
        <f>IFERROR(__xludf.DUMMYFUNCTION("""COMPUTED_VALUE"""),"TE")</f>
        <v>TE</v>
      </c>
      <c r="F644" s="3" t="str">
        <f>IFERROR(__xludf.DUMMYFUNCTION("""COMPUTED_VALUE"""),"Winda Sokenda")</f>
        <v>Winda Sokenda</v>
      </c>
      <c r="G644" s="3" t="str">
        <f>IFERROR(__xludf.DUMMYFUNCTION("""COMPUTED_VALUE"""),"Barito Raya")</f>
        <v>Barito Raya</v>
      </c>
      <c r="H644" s="3" t="str">
        <f>IFERROR(__xludf.DUMMYFUNCTION("""COMPUTED_VALUE"""),"Preventive")</f>
        <v>Preventive</v>
      </c>
      <c r="I644" s="3" t="str">
        <f>IFERROR(__xludf.DUMMYFUNCTION("""COMPUTED_VALUE"""),"MCB trip/Power upnormal")</f>
        <v>MCB trip/Power upnormal</v>
      </c>
      <c r="J644" s="3" t="str">
        <f>IFERROR(__xludf.DUMMYFUNCTION("""COMPUTED_VALUE"""),"On Progress")</f>
        <v>On Progress</v>
      </c>
      <c r="K644" s="27">
        <f>IFERROR(__xludf.DUMMYFUNCTION("""COMPUTED_VALUE"""),46031.0)</f>
        <v>46031</v>
      </c>
      <c r="L644" s="27">
        <f>IFERROR(__xludf.DUMMYFUNCTION("""COMPUTED_VALUE"""),46031.0)</f>
        <v>46031</v>
      </c>
      <c r="M644" s="3" t="str">
        <f>IFERROR(__xludf.DUMMYFUNCTION("""COMPUTED_VALUE"""),"Done")</f>
        <v>Done</v>
      </c>
      <c r="N644" s="3"/>
      <c r="O644" s="3">
        <f>IFERROR(VLOOKUP(C644,Sheet4!A644:F1431,6,0),"")</f>
        <v>11457831</v>
      </c>
      <c r="Q644" s="2" t="str">
        <f t="shared" si="1"/>
        <v>09</v>
      </c>
    </row>
    <row r="645">
      <c r="A645" s="3" t="str">
        <f>IFERROR(__xludf.DUMMYFUNCTION("""COMPUTED_VALUE"""),"Sick")</f>
        <v>Sick</v>
      </c>
      <c r="B645" s="3" t="str">
        <f>IFERROR(__xludf.DUMMYFUNCTION("""COMPUTED_VALUE"""),"P3")</f>
        <v>P3</v>
      </c>
      <c r="C645" s="3"/>
      <c r="D645" s="3" t="str">
        <f>IFERROR(__xludf.DUMMYFUNCTION("""COMPUTED_VALUE"""),"Armadi")</f>
        <v>Armadi</v>
      </c>
      <c r="E645" s="3" t="str">
        <f>IFERROR(__xludf.DUMMYFUNCTION("""COMPUTED_VALUE"""),"TE")</f>
        <v>TE</v>
      </c>
      <c r="F645" s="3" t="str">
        <f>IFERROR(__xludf.DUMMYFUNCTION("""COMPUTED_VALUE"""),"Winda Sokenda")</f>
        <v>Winda Sokenda</v>
      </c>
      <c r="G645" s="3" t="str">
        <f>IFERROR(__xludf.DUMMYFUNCTION("""COMPUTED_VALUE"""),"Barito Raya")</f>
        <v>Barito Raya</v>
      </c>
      <c r="H645" s="3" t="str">
        <f>IFERROR(__xludf.DUMMYFUNCTION("""COMPUTED_VALUE"""),"Sick")</f>
        <v>Sick</v>
      </c>
      <c r="I645" s="3" t="str">
        <f>IFERROR(__xludf.DUMMYFUNCTION("""COMPUTED_VALUE"""),"Sick")</f>
        <v>Sick</v>
      </c>
      <c r="J645" s="3"/>
      <c r="K645" s="27">
        <f>IFERROR(__xludf.DUMMYFUNCTION("""COMPUTED_VALUE"""),46031.0)</f>
        <v>46031</v>
      </c>
      <c r="L645" s="27">
        <f>IFERROR(__xludf.DUMMYFUNCTION("""COMPUTED_VALUE"""),46031.0)</f>
        <v>46031</v>
      </c>
      <c r="M645" s="3"/>
      <c r="N645" s="3"/>
      <c r="O645" s="3" t="str">
        <f>IFERROR(VLOOKUP(C645,Sheet4!A645:F1432,6,0),"")</f>
        <v/>
      </c>
      <c r="Q645" s="2" t="str">
        <f t="shared" si="1"/>
        <v>09</v>
      </c>
    </row>
    <row r="646">
      <c r="A646" s="3" t="str">
        <f>IFERROR(__xludf.DUMMYFUNCTION("""COMPUTED_VALUE"""),"Pengecekan Power")</f>
        <v>Pengecekan Power</v>
      </c>
      <c r="B646" s="3" t="str">
        <f>IFERROR(__xludf.DUMMYFUNCTION("""COMPUTED_VALUE"""),"P1")</f>
        <v>P1</v>
      </c>
      <c r="C646" s="3" t="str">
        <f>IFERROR(__xludf.DUMMYFUNCTION("""COMPUTED_VALUE"""),"KKP133")</f>
        <v>KKP133</v>
      </c>
      <c r="D646" s="3" t="str">
        <f>IFERROR(__xludf.DUMMYFUNCTION("""COMPUTED_VALUE"""),"Reynaldy Ricardo Putra")</f>
        <v>Reynaldy Ricardo Putra</v>
      </c>
      <c r="E646" s="3" t="str">
        <f>IFERROR(__xludf.DUMMYFUNCTION("""COMPUTED_VALUE"""),"TE")</f>
        <v>TE</v>
      </c>
      <c r="F646" s="3" t="str">
        <f>IFERROR(__xludf.DUMMYFUNCTION("""COMPUTED_VALUE"""),"Winda Sokenda")</f>
        <v>Winda Sokenda</v>
      </c>
      <c r="G646" s="3" t="str">
        <f>IFERROR(__xludf.DUMMYFUNCTION("""COMPUTED_VALUE"""),"Barito Raya")</f>
        <v>Barito Raya</v>
      </c>
      <c r="H646" s="3" t="str">
        <f>IFERROR(__xludf.DUMMYFUNCTION("""COMPUTED_VALUE"""),"Preventive")</f>
        <v>Preventive</v>
      </c>
      <c r="I646" s="3" t="str">
        <f>IFERROR(__xludf.DUMMYFUNCTION("""COMPUTED_VALUE"""),"MCB trip/Power upnormal")</f>
        <v>MCB trip/Power upnormal</v>
      </c>
      <c r="J646" s="3" t="str">
        <f>IFERROR(__xludf.DUMMYFUNCTION("""COMPUTED_VALUE"""),"On Progress")</f>
        <v>On Progress</v>
      </c>
      <c r="K646" s="27">
        <f>IFERROR(__xludf.DUMMYFUNCTION("""COMPUTED_VALUE"""),46031.0)</f>
        <v>46031</v>
      </c>
      <c r="L646" s="27">
        <f>IFERROR(__xludf.DUMMYFUNCTION("""COMPUTED_VALUE"""),46031.0)</f>
        <v>46031</v>
      </c>
      <c r="M646" s="3" t="str">
        <f>IFERROR(__xludf.DUMMYFUNCTION("""COMPUTED_VALUE"""),"Done")</f>
        <v>Done</v>
      </c>
      <c r="N646" s="3"/>
      <c r="O646" s="3" t="str">
        <f>IFERROR(VLOOKUP(C646,Sheet4!A646:F1433,6,0),"")</f>
        <v/>
      </c>
      <c r="Q646" s="2" t="str">
        <f t="shared" si="1"/>
        <v>09</v>
      </c>
    </row>
    <row r="647">
      <c r="A647" s="3" t="str">
        <f>IFERROR(__xludf.DUMMYFUNCTION("""COMPUTED_VALUE"""),"Pengecekan Power")</f>
        <v>Pengecekan Power</v>
      </c>
      <c r="B647" s="3" t="str">
        <f>IFERROR(__xludf.DUMMYFUNCTION("""COMPUTED_VALUE"""),"P1")</f>
        <v>P1</v>
      </c>
      <c r="C647" s="3" t="str">
        <f>IFERROR(__xludf.DUMMYFUNCTION("""COMPUTED_VALUE"""),"KKP060")</f>
        <v>KKP060</v>
      </c>
      <c r="D647" s="3" t="str">
        <f>IFERROR(__xludf.DUMMYFUNCTION("""COMPUTED_VALUE"""),"Sahrul Saputra")</f>
        <v>Sahrul Saputra</v>
      </c>
      <c r="E647" s="3" t="str">
        <f>IFERROR(__xludf.DUMMYFUNCTION("""COMPUTED_VALUE"""),"TE")</f>
        <v>TE</v>
      </c>
      <c r="F647" s="3" t="str">
        <f>IFERROR(__xludf.DUMMYFUNCTION("""COMPUTED_VALUE"""),"Winda Sokenda")</f>
        <v>Winda Sokenda</v>
      </c>
      <c r="G647" s="3" t="str">
        <f>IFERROR(__xludf.DUMMYFUNCTION("""COMPUTED_VALUE"""),"Barito Raya")</f>
        <v>Barito Raya</v>
      </c>
      <c r="H647" s="3" t="str">
        <f>IFERROR(__xludf.DUMMYFUNCTION("""COMPUTED_VALUE"""),"Preventive")</f>
        <v>Preventive</v>
      </c>
      <c r="I647" s="3" t="str">
        <f>IFERROR(__xludf.DUMMYFUNCTION("""COMPUTED_VALUE"""),"MCB trip/Power upnormal")</f>
        <v>MCB trip/Power upnormal</v>
      </c>
      <c r="J647" s="3" t="str">
        <f>IFERROR(__xludf.DUMMYFUNCTION("""COMPUTED_VALUE"""),"On Progress")</f>
        <v>On Progress</v>
      </c>
      <c r="K647" s="27">
        <f>IFERROR(__xludf.DUMMYFUNCTION("""COMPUTED_VALUE"""),46031.0)</f>
        <v>46031</v>
      </c>
      <c r="L647" s="27">
        <f>IFERROR(__xludf.DUMMYFUNCTION("""COMPUTED_VALUE"""),46031.0)</f>
        <v>46031</v>
      </c>
      <c r="M647" s="3" t="str">
        <f>IFERROR(__xludf.DUMMYFUNCTION("""COMPUTED_VALUE"""),"Done")</f>
        <v>Done</v>
      </c>
      <c r="N647" s="3"/>
      <c r="O647" s="3" t="str">
        <f>IFERROR(VLOOKUP(C647,Sheet4!A647:F1434,6,0),"")</f>
        <v/>
      </c>
      <c r="Q647" s="2" t="str">
        <f t="shared" si="1"/>
        <v>09</v>
      </c>
    </row>
    <row r="648">
      <c r="A648" s="3" t="str">
        <f>IFERROR(__xludf.DUMMYFUNCTION("""COMPUTED_VALUE"""),"Standby On Call")</f>
        <v>Standby On Call</v>
      </c>
      <c r="B648" s="3" t="str">
        <f>IFERROR(__xludf.DUMMYFUNCTION("""COMPUTED_VALUE"""),"P3")</f>
        <v>P3</v>
      </c>
      <c r="C648" s="3"/>
      <c r="D648" s="3" t="str">
        <f>IFERROR(__xludf.DUMMYFUNCTION("""COMPUTED_VALUE"""),"Harun Nurasyid")</f>
        <v>Harun Nurasyid</v>
      </c>
      <c r="E648" s="3" t="str">
        <f>IFERROR(__xludf.DUMMYFUNCTION("""COMPUTED_VALUE"""),"CME")</f>
        <v>CME</v>
      </c>
      <c r="F648" s="3" t="str">
        <f>IFERROR(__xludf.DUMMYFUNCTION("""COMPUTED_VALUE"""),"Winda Sokenda")</f>
        <v>Winda Sokenda</v>
      </c>
      <c r="G648" s="3" t="str">
        <f>IFERROR(__xludf.DUMMYFUNCTION("""COMPUTED_VALUE"""),"Barito Raya")</f>
        <v>Barito Raya</v>
      </c>
      <c r="H648" s="3" t="str">
        <f>IFERROR(__xludf.DUMMYFUNCTION("""COMPUTED_VALUE"""),"Standby")</f>
        <v>Standby</v>
      </c>
      <c r="I648" s="3" t="str">
        <f>IFERROR(__xludf.DUMMYFUNCTION("""COMPUTED_VALUE"""),"Standby On Call")</f>
        <v>Standby On Call</v>
      </c>
      <c r="J648" s="3"/>
      <c r="K648" s="27">
        <f>IFERROR(__xludf.DUMMYFUNCTION("""COMPUTED_VALUE"""),46031.0)</f>
        <v>46031</v>
      </c>
      <c r="L648" s="27">
        <f>IFERROR(__xludf.DUMMYFUNCTION("""COMPUTED_VALUE"""),46031.0)</f>
        <v>46031</v>
      </c>
      <c r="M648" s="3"/>
      <c r="N648" s="3"/>
      <c r="O648" s="3" t="str">
        <f>IFERROR(VLOOKUP(C648,Sheet4!A648:F1435,6,0),"")</f>
        <v/>
      </c>
      <c r="Q648" s="2" t="str">
        <f t="shared" si="1"/>
        <v>09</v>
      </c>
    </row>
    <row r="649">
      <c r="A649" s="3" t="str">
        <f>IFERROR(__xludf.DUMMYFUNCTION("""COMPUTED_VALUE"""),"Pengecekan Power")</f>
        <v>Pengecekan Power</v>
      </c>
      <c r="B649" s="3" t="str">
        <f>IFERROR(__xludf.DUMMYFUNCTION("""COMPUTED_VALUE"""),"P1")</f>
        <v>P1</v>
      </c>
      <c r="C649" s="3" t="str">
        <f>IFERROR(__xludf.DUMMYFUNCTION("""COMPUTED_VALUE"""),"TML029")</f>
        <v>TML029</v>
      </c>
      <c r="D649" s="3" t="str">
        <f>IFERROR(__xludf.DUMMYFUNCTION("""COMPUTED_VALUE"""),"Nurhayat")</f>
        <v>Nurhayat</v>
      </c>
      <c r="E649" s="3" t="str">
        <f>IFERROR(__xludf.DUMMYFUNCTION("""COMPUTED_VALUE"""),"MBP")</f>
        <v>MBP</v>
      </c>
      <c r="F649" s="3" t="str">
        <f>IFERROR(__xludf.DUMMYFUNCTION("""COMPUTED_VALUE"""),"Winda Sokenda")</f>
        <v>Winda Sokenda</v>
      </c>
      <c r="G649" s="3" t="str">
        <f>IFERROR(__xludf.DUMMYFUNCTION("""COMPUTED_VALUE"""),"Barito Raya")</f>
        <v>Barito Raya</v>
      </c>
      <c r="H649" s="3" t="str">
        <f>IFERROR(__xludf.DUMMYFUNCTION("""COMPUTED_VALUE"""),"Preventive")</f>
        <v>Preventive</v>
      </c>
      <c r="I649" s="3" t="str">
        <f>IFERROR(__xludf.DUMMYFUNCTION("""COMPUTED_VALUE"""),"MCB trip/Power upnormal")</f>
        <v>MCB trip/Power upnormal</v>
      </c>
      <c r="J649" s="3" t="str">
        <f>IFERROR(__xludf.DUMMYFUNCTION("""COMPUTED_VALUE"""),"On Progress")</f>
        <v>On Progress</v>
      </c>
      <c r="K649" s="27">
        <f>IFERROR(__xludf.DUMMYFUNCTION("""COMPUTED_VALUE"""),46031.0)</f>
        <v>46031</v>
      </c>
      <c r="L649" s="27">
        <f>IFERROR(__xludf.DUMMYFUNCTION("""COMPUTED_VALUE"""),46031.0)</f>
        <v>46031</v>
      </c>
      <c r="M649" s="3" t="str">
        <f>IFERROR(__xludf.DUMMYFUNCTION("""COMPUTED_VALUE"""),"Done")</f>
        <v>Done</v>
      </c>
      <c r="N649" s="3"/>
      <c r="O649" s="3" t="str">
        <f>IFERROR(VLOOKUP(C649,Sheet4!A649:F1436,6,0),"")</f>
        <v/>
      </c>
      <c r="Q649" s="2" t="str">
        <f t="shared" si="1"/>
        <v>09</v>
      </c>
    </row>
    <row r="650">
      <c r="A650" s="3" t="str">
        <f>IFERROR(__xludf.DUMMYFUNCTION("""COMPUTED_VALUE"""),"Standby On Call")</f>
        <v>Standby On Call</v>
      </c>
      <c r="B650" s="3" t="str">
        <f>IFERROR(__xludf.DUMMYFUNCTION("""COMPUTED_VALUE"""),"P3")</f>
        <v>P3</v>
      </c>
      <c r="C650" s="3"/>
      <c r="D650" s="3" t="str">
        <f>IFERROR(__xludf.DUMMYFUNCTION("""COMPUTED_VALUE"""),"Taklim")</f>
        <v>Taklim</v>
      </c>
      <c r="E650" s="3" t="str">
        <f>IFERROR(__xludf.DUMMYFUNCTION("""COMPUTED_VALUE"""),"MBP")</f>
        <v>MBP</v>
      </c>
      <c r="F650" s="3" t="str">
        <f>IFERROR(__xludf.DUMMYFUNCTION("""COMPUTED_VALUE"""),"Winda Sokenda")</f>
        <v>Winda Sokenda</v>
      </c>
      <c r="G650" s="3" t="str">
        <f>IFERROR(__xludf.DUMMYFUNCTION("""COMPUTED_VALUE"""),"Barito Raya")</f>
        <v>Barito Raya</v>
      </c>
      <c r="H650" s="3" t="str">
        <f>IFERROR(__xludf.DUMMYFUNCTION("""COMPUTED_VALUE"""),"Standby")</f>
        <v>Standby</v>
      </c>
      <c r="I650" s="3" t="str">
        <f>IFERROR(__xludf.DUMMYFUNCTION("""COMPUTED_VALUE"""),"Standby On Call")</f>
        <v>Standby On Call</v>
      </c>
      <c r="J650" s="3"/>
      <c r="K650" s="27">
        <f>IFERROR(__xludf.DUMMYFUNCTION("""COMPUTED_VALUE"""),46031.0)</f>
        <v>46031</v>
      </c>
      <c r="L650" s="27">
        <f>IFERROR(__xludf.DUMMYFUNCTION("""COMPUTED_VALUE"""),46031.0)</f>
        <v>46031</v>
      </c>
      <c r="M650" s="3"/>
      <c r="N650" s="3"/>
      <c r="O650" s="3" t="str">
        <f>IFERROR(VLOOKUP(C650,Sheet4!A650:F1437,6,0),"")</f>
        <v/>
      </c>
      <c r="Q650" s="2" t="str">
        <f t="shared" si="1"/>
        <v>09</v>
      </c>
    </row>
    <row r="651">
      <c r="A651" s="3" t="str">
        <f>IFERROR(__xludf.DUMMYFUNCTION("""COMPUTED_VALUE"""),"Standby On Call")</f>
        <v>Standby On Call</v>
      </c>
      <c r="B651" s="3" t="str">
        <f>IFERROR(__xludf.DUMMYFUNCTION("""COMPUTED_VALUE"""),"P3")</f>
        <v>P3</v>
      </c>
      <c r="C651" s="3"/>
      <c r="D651" s="3" t="str">
        <f>IFERROR(__xludf.DUMMYFUNCTION("""COMPUTED_VALUE"""),"Ahmad Muzakir")</f>
        <v>Ahmad Muzakir</v>
      </c>
      <c r="E651" s="3" t="str">
        <f>IFERROR(__xludf.DUMMYFUNCTION("""COMPUTED_VALUE"""),"MBP")</f>
        <v>MBP</v>
      </c>
      <c r="F651" s="3" t="str">
        <f>IFERROR(__xludf.DUMMYFUNCTION("""COMPUTED_VALUE"""),"Winda Sokenda")</f>
        <v>Winda Sokenda</v>
      </c>
      <c r="G651" s="3" t="str">
        <f>IFERROR(__xludf.DUMMYFUNCTION("""COMPUTED_VALUE"""),"Barito Raya")</f>
        <v>Barito Raya</v>
      </c>
      <c r="H651" s="3" t="str">
        <f>IFERROR(__xludf.DUMMYFUNCTION("""COMPUTED_VALUE"""),"Standby")</f>
        <v>Standby</v>
      </c>
      <c r="I651" s="3" t="str">
        <f>IFERROR(__xludf.DUMMYFUNCTION("""COMPUTED_VALUE"""),"Standby On Call")</f>
        <v>Standby On Call</v>
      </c>
      <c r="J651" s="3"/>
      <c r="K651" s="27">
        <f>IFERROR(__xludf.DUMMYFUNCTION("""COMPUTED_VALUE"""),46031.0)</f>
        <v>46031</v>
      </c>
      <c r="L651" s="27">
        <f>IFERROR(__xludf.DUMMYFUNCTION("""COMPUTED_VALUE"""),46031.0)</f>
        <v>46031</v>
      </c>
      <c r="M651" s="3"/>
      <c r="N651" s="3"/>
      <c r="O651" s="3" t="str">
        <f>IFERROR(VLOOKUP(C651,Sheet4!A651:F1438,6,0),"")</f>
        <v/>
      </c>
      <c r="Q651" s="2" t="str">
        <f t="shared" si="1"/>
        <v>09</v>
      </c>
    </row>
    <row r="652">
      <c r="A652" s="3" t="str">
        <f>IFERROR(__xludf.DUMMYFUNCTION("""COMPUTED_VALUE"""),"Standby On Call")</f>
        <v>Standby On Call</v>
      </c>
      <c r="B652" s="3" t="str">
        <f>IFERROR(__xludf.DUMMYFUNCTION("""COMPUTED_VALUE"""),"P3")</f>
        <v>P3</v>
      </c>
      <c r="C652" s="3"/>
      <c r="D652" s="3" t="str">
        <f>IFERROR(__xludf.DUMMYFUNCTION("""COMPUTED_VALUE"""),"Alfi Syahri")</f>
        <v>Alfi Syahri</v>
      </c>
      <c r="E652" s="3" t="str">
        <f>IFERROR(__xludf.DUMMYFUNCTION("""COMPUTED_VALUE"""),"CME")</f>
        <v>CME</v>
      </c>
      <c r="F652" s="3" t="str">
        <f>IFERROR(__xludf.DUMMYFUNCTION("""COMPUTED_VALUE"""),"Winda Sokenda")</f>
        <v>Winda Sokenda</v>
      </c>
      <c r="G652" s="3" t="str">
        <f>IFERROR(__xludf.DUMMYFUNCTION("""COMPUTED_VALUE"""),"Barito Raya")</f>
        <v>Barito Raya</v>
      </c>
      <c r="H652" s="3" t="str">
        <f>IFERROR(__xludf.DUMMYFUNCTION("""COMPUTED_VALUE"""),"Standby")</f>
        <v>Standby</v>
      </c>
      <c r="I652" s="3" t="str">
        <f>IFERROR(__xludf.DUMMYFUNCTION("""COMPUTED_VALUE"""),"Standby On Call")</f>
        <v>Standby On Call</v>
      </c>
      <c r="J652" s="3"/>
      <c r="K652" s="27">
        <f>IFERROR(__xludf.DUMMYFUNCTION("""COMPUTED_VALUE"""),46031.0)</f>
        <v>46031</v>
      </c>
      <c r="L652" s="27">
        <f>IFERROR(__xludf.DUMMYFUNCTION("""COMPUTED_VALUE"""),46031.0)</f>
        <v>46031</v>
      </c>
      <c r="M652" s="3"/>
      <c r="N652" s="3"/>
      <c r="O652" s="3" t="str">
        <f>IFERROR(VLOOKUP(C652,Sheet4!A652:F1439,6,0),"")</f>
        <v/>
      </c>
      <c r="Q652" s="2" t="str">
        <f t="shared" si="1"/>
        <v>09</v>
      </c>
    </row>
    <row r="653">
      <c r="A653" s="3" t="str">
        <f>IFERROR(__xludf.DUMMYFUNCTION("""COMPUTED_VALUE"""),"Pengecekan Power")</f>
        <v>Pengecekan Power</v>
      </c>
      <c r="B653" s="3" t="str">
        <f>IFERROR(__xludf.DUMMYFUNCTION("""COMPUTED_VALUE"""),"P1")</f>
        <v>P1</v>
      </c>
      <c r="C653" s="3" t="str">
        <f>IFERROR(__xludf.DUMMYFUNCTION("""COMPUTED_VALUE"""),"KKP005")</f>
        <v>KKP005</v>
      </c>
      <c r="D653" s="3" t="str">
        <f>IFERROR(__xludf.DUMMYFUNCTION("""COMPUTED_VALUE"""),"Pujianto")</f>
        <v>Pujianto</v>
      </c>
      <c r="E653" s="3" t="str">
        <f>IFERROR(__xludf.DUMMYFUNCTION("""COMPUTED_VALUE"""),"MBP")</f>
        <v>MBP</v>
      </c>
      <c r="F653" s="3" t="str">
        <f>IFERROR(__xludf.DUMMYFUNCTION("""COMPUTED_VALUE"""),"Winda Sokenda")</f>
        <v>Winda Sokenda</v>
      </c>
      <c r="G653" s="3" t="str">
        <f>IFERROR(__xludf.DUMMYFUNCTION("""COMPUTED_VALUE"""),"Barito Raya")</f>
        <v>Barito Raya</v>
      </c>
      <c r="H653" s="3" t="str">
        <f>IFERROR(__xludf.DUMMYFUNCTION("""COMPUTED_VALUE"""),"Preventive")</f>
        <v>Preventive</v>
      </c>
      <c r="I653" s="3" t="str">
        <f>IFERROR(__xludf.DUMMYFUNCTION("""COMPUTED_VALUE"""),"MCB trip/Power upnormal")</f>
        <v>MCB trip/Power upnormal</v>
      </c>
      <c r="J653" s="3" t="str">
        <f>IFERROR(__xludf.DUMMYFUNCTION("""COMPUTED_VALUE"""),"On Progress")</f>
        <v>On Progress</v>
      </c>
      <c r="K653" s="27">
        <f>IFERROR(__xludf.DUMMYFUNCTION("""COMPUTED_VALUE"""),46031.0)</f>
        <v>46031</v>
      </c>
      <c r="L653" s="27">
        <f>IFERROR(__xludf.DUMMYFUNCTION("""COMPUTED_VALUE"""),46031.0)</f>
        <v>46031</v>
      </c>
      <c r="M653" s="3" t="str">
        <f>IFERROR(__xludf.DUMMYFUNCTION("""COMPUTED_VALUE"""),"Done")</f>
        <v>Done</v>
      </c>
      <c r="N653" s="3"/>
      <c r="O653" s="3" t="str">
        <f>IFERROR(VLOOKUP(C653,Sheet4!A653:F1440,6,0),"")</f>
        <v/>
      </c>
      <c r="Q653" s="2" t="str">
        <f t="shared" si="1"/>
        <v>09</v>
      </c>
    </row>
    <row r="654">
      <c r="A654" s="3" t="str">
        <f>IFERROR(__xludf.DUMMYFUNCTION("""COMPUTED_VALUE"""),"PM")</f>
        <v>PM</v>
      </c>
      <c r="B654" s="3" t="str">
        <f>IFERROR(__xludf.DUMMYFUNCTION("""COMPUTED_VALUE"""),"P2")</f>
        <v>P2</v>
      </c>
      <c r="C654" s="3"/>
      <c r="D654" s="3" t="str">
        <f>IFERROR(__xludf.DUMMYFUNCTION("""COMPUTED_VALUE"""),"Trisno Susanto")</f>
        <v>Trisno Susanto</v>
      </c>
      <c r="E654" s="3" t="str">
        <f>IFERROR(__xludf.DUMMYFUNCTION("""COMPUTED_VALUE"""),"PM")</f>
        <v>PM</v>
      </c>
      <c r="F654" s="3" t="str">
        <f>IFERROR(__xludf.DUMMYFUNCTION("""COMPUTED_VALUE"""),"Winda Sokenda")</f>
        <v>Winda Sokenda</v>
      </c>
      <c r="G654" s="3" t="str">
        <f>IFERROR(__xludf.DUMMYFUNCTION("""COMPUTED_VALUE"""),"Barito Raya")</f>
        <v>Barito Raya</v>
      </c>
      <c r="H654" s="3" t="str">
        <f>IFERROR(__xludf.DUMMYFUNCTION("""COMPUTED_VALUE"""),"Preventive")</f>
        <v>Preventive</v>
      </c>
      <c r="I654" s="3" t="str">
        <f>IFERROR(__xludf.DUMMYFUNCTION("""COMPUTED_VALUE"""),"Preventive Maintenance")</f>
        <v>Preventive Maintenance</v>
      </c>
      <c r="J654" s="3" t="str">
        <f>IFERROR(__xludf.DUMMYFUNCTION("""COMPUTED_VALUE"""),"On Progress")</f>
        <v>On Progress</v>
      </c>
      <c r="K654" s="27">
        <f>IFERROR(__xludf.DUMMYFUNCTION("""COMPUTED_VALUE"""),46031.0)</f>
        <v>46031</v>
      </c>
      <c r="L654" s="27">
        <f>IFERROR(__xludf.DUMMYFUNCTION("""COMPUTED_VALUE"""),46031.0)</f>
        <v>46031</v>
      </c>
      <c r="M654" s="3" t="str">
        <f>IFERROR(__xludf.DUMMYFUNCTION("""COMPUTED_VALUE"""),"Done")</f>
        <v>Done</v>
      </c>
      <c r="N654" s="3"/>
      <c r="O654" s="3" t="str">
        <f>IFERROR(VLOOKUP(C654,Sheet4!A654:F1441,6,0),"")</f>
        <v/>
      </c>
      <c r="Q654" s="2" t="str">
        <f t="shared" si="1"/>
        <v>09</v>
      </c>
    </row>
    <row r="655">
      <c r="A655" s="3" t="str">
        <f>IFERROR(__xludf.DUMMYFUNCTION("""COMPUTED_VALUE"""),"PM")</f>
        <v>PM</v>
      </c>
      <c r="B655" s="3" t="str">
        <f>IFERROR(__xludf.DUMMYFUNCTION("""COMPUTED_VALUE"""),"P2")</f>
        <v>P2</v>
      </c>
      <c r="C655" s="3"/>
      <c r="D655" s="3" t="str">
        <f>IFERROR(__xludf.DUMMYFUNCTION("""COMPUTED_VALUE"""),"Khilal dawai katiri")</f>
        <v>Khilal dawai katiri</v>
      </c>
      <c r="E655" s="3" t="str">
        <f>IFERROR(__xludf.DUMMYFUNCTION("""COMPUTED_VALUE"""),"MBP")</f>
        <v>MBP</v>
      </c>
      <c r="F655" s="3" t="str">
        <f>IFERROR(__xludf.DUMMYFUNCTION("""COMPUTED_VALUE"""),"Winda Sokenda")</f>
        <v>Winda Sokenda</v>
      </c>
      <c r="G655" s="3" t="str">
        <f>IFERROR(__xludf.DUMMYFUNCTION("""COMPUTED_VALUE"""),"Barito Raya")</f>
        <v>Barito Raya</v>
      </c>
      <c r="H655" s="3" t="str">
        <f>IFERROR(__xludf.DUMMYFUNCTION("""COMPUTED_VALUE"""),"Preventive")</f>
        <v>Preventive</v>
      </c>
      <c r="I655" s="3" t="str">
        <f>IFERROR(__xludf.DUMMYFUNCTION("""COMPUTED_VALUE"""),"Preventive Maintenance")</f>
        <v>Preventive Maintenance</v>
      </c>
      <c r="J655" s="3" t="str">
        <f>IFERROR(__xludf.DUMMYFUNCTION("""COMPUTED_VALUE"""),"On Progress")</f>
        <v>On Progress</v>
      </c>
      <c r="K655" s="27">
        <f>IFERROR(__xludf.DUMMYFUNCTION("""COMPUTED_VALUE"""),46031.0)</f>
        <v>46031</v>
      </c>
      <c r="L655" s="27">
        <f>IFERROR(__xludf.DUMMYFUNCTION("""COMPUTED_VALUE"""),46031.0)</f>
        <v>46031</v>
      </c>
      <c r="M655" s="3" t="str">
        <f>IFERROR(__xludf.DUMMYFUNCTION("""COMPUTED_VALUE"""),"Done")</f>
        <v>Done</v>
      </c>
      <c r="N655" s="3"/>
      <c r="O655" s="3" t="str">
        <f>IFERROR(VLOOKUP(C655,Sheet4!A655:F1442,6,0),"")</f>
        <v/>
      </c>
      <c r="Q655" s="2" t="str">
        <f t="shared" si="1"/>
        <v>09</v>
      </c>
    </row>
    <row r="656">
      <c r="A656" s="3" t="str">
        <f>IFERROR(__xludf.DUMMYFUNCTION("""COMPUTED_VALUE"""),"PM")</f>
        <v>PM</v>
      </c>
      <c r="B656" s="3" t="str">
        <f>IFERROR(__xludf.DUMMYFUNCTION("""COMPUTED_VALUE"""),"P2")</f>
        <v>P2</v>
      </c>
      <c r="C656" s="3"/>
      <c r="D656" s="3" t="str">
        <f>IFERROR(__xludf.DUMMYFUNCTION("""COMPUTED_VALUE"""),"Riko setiadi")</f>
        <v>Riko setiadi</v>
      </c>
      <c r="E656" s="3" t="str">
        <f>IFERROR(__xludf.DUMMYFUNCTION("""COMPUTED_VALUE"""),"PM")</f>
        <v>PM</v>
      </c>
      <c r="F656" s="3" t="str">
        <f>IFERROR(__xludf.DUMMYFUNCTION("""COMPUTED_VALUE"""),"Winda Sokenda")</f>
        <v>Winda Sokenda</v>
      </c>
      <c r="G656" s="3" t="str">
        <f>IFERROR(__xludf.DUMMYFUNCTION("""COMPUTED_VALUE"""),"Barito Raya")</f>
        <v>Barito Raya</v>
      </c>
      <c r="H656" s="3" t="str">
        <f>IFERROR(__xludf.DUMMYFUNCTION("""COMPUTED_VALUE"""),"Preventive")</f>
        <v>Preventive</v>
      </c>
      <c r="I656" s="3" t="str">
        <f>IFERROR(__xludf.DUMMYFUNCTION("""COMPUTED_VALUE"""),"Preventive Maintenance")</f>
        <v>Preventive Maintenance</v>
      </c>
      <c r="J656" s="3" t="str">
        <f>IFERROR(__xludf.DUMMYFUNCTION("""COMPUTED_VALUE"""),"On Progress")</f>
        <v>On Progress</v>
      </c>
      <c r="K656" s="27">
        <f>IFERROR(__xludf.DUMMYFUNCTION("""COMPUTED_VALUE"""),46031.0)</f>
        <v>46031</v>
      </c>
      <c r="L656" s="27">
        <f>IFERROR(__xludf.DUMMYFUNCTION("""COMPUTED_VALUE"""),46031.0)</f>
        <v>46031</v>
      </c>
      <c r="M656" s="3" t="str">
        <f>IFERROR(__xludf.DUMMYFUNCTION("""COMPUTED_VALUE"""),"Done")</f>
        <v>Done</v>
      </c>
      <c r="N656" s="3"/>
      <c r="O656" s="3" t="str">
        <f>IFERROR(VLOOKUP(C656,Sheet4!A656:F1443,6,0),"")</f>
        <v/>
      </c>
      <c r="Q656" s="2" t="str">
        <f t="shared" si="1"/>
        <v>09</v>
      </c>
    </row>
    <row r="657">
      <c r="A657" s="3" t="str">
        <f>IFERROR(__xludf.DUMMYFUNCTION("""COMPUTED_VALUE"""),"Standby On Call")</f>
        <v>Standby On Call</v>
      </c>
      <c r="B657" s="3" t="str">
        <f>IFERROR(__xludf.DUMMYFUNCTION("""COMPUTED_VALUE"""),"P3")</f>
        <v>P3</v>
      </c>
      <c r="C657" s="3"/>
      <c r="D657" s="3" t="str">
        <f>IFERROR(__xludf.DUMMYFUNCTION("""COMPUTED_VALUE"""),"Ahmad")</f>
        <v>Ahmad</v>
      </c>
      <c r="E657" s="3" t="str">
        <f>IFERROR(__xludf.DUMMYFUNCTION("""COMPUTED_VALUE"""),"TE")</f>
        <v>TE</v>
      </c>
      <c r="F657" s="3" t="str">
        <f>IFERROR(__xludf.DUMMYFUNCTION("""COMPUTED_VALUE"""),"Doni Damara")</f>
        <v>Doni Damara</v>
      </c>
      <c r="G657" s="3" t="str">
        <f>IFERROR(__xludf.DUMMYFUNCTION("""COMPUTED_VALUE"""),"Palangkaraya")</f>
        <v>Palangkaraya</v>
      </c>
      <c r="H657" s="3" t="str">
        <f>IFERROR(__xludf.DUMMYFUNCTION("""COMPUTED_VALUE"""),"Standby")</f>
        <v>Standby</v>
      </c>
      <c r="I657" s="3" t="str">
        <f>IFERROR(__xludf.DUMMYFUNCTION("""COMPUTED_VALUE"""),"Standby On Call")</f>
        <v>Standby On Call</v>
      </c>
      <c r="J657" s="3" t="str">
        <f>IFERROR(__xludf.DUMMYFUNCTION("""COMPUTED_VALUE"""),"Standby")</f>
        <v>Standby</v>
      </c>
      <c r="K657" s="27">
        <f>IFERROR(__xludf.DUMMYFUNCTION("""COMPUTED_VALUE"""),46031.0)</f>
        <v>46031</v>
      </c>
      <c r="L657" s="3"/>
      <c r="M657" s="3" t="str">
        <f>IFERROR(__xludf.DUMMYFUNCTION("""COMPUTED_VALUE"""),"Waiting Update")</f>
        <v>Waiting Update</v>
      </c>
      <c r="N657" s="3"/>
      <c r="O657" s="3" t="str">
        <f>IFERROR(VLOOKUP(C657,Sheet4!A657:F1444,6,0),"")</f>
        <v/>
      </c>
      <c r="Q657" s="2" t="str">
        <f t="shared" si="1"/>
        <v>09</v>
      </c>
    </row>
    <row r="658">
      <c r="A658" s="3" t="str">
        <f>IFERROR(__xludf.DUMMYFUNCTION("""COMPUTED_VALUE"""),"Standby On Call")</f>
        <v>Standby On Call</v>
      </c>
      <c r="B658" s="3" t="str">
        <f>IFERROR(__xludf.DUMMYFUNCTION("""COMPUTED_VALUE"""),"P3")</f>
        <v>P3</v>
      </c>
      <c r="C658" s="3"/>
      <c r="D658" s="3" t="str">
        <f>IFERROR(__xludf.DUMMYFUNCTION("""COMPUTED_VALUE"""),"Ahmad Setiawan")</f>
        <v>Ahmad Setiawan</v>
      </c>
      <c r="E658" s="3" t="str">
        <f>IFERROR(__xludf.DUMMYFUNCTION("""COMPUTED_VALUE"""),"TE")</f>
        <v>TE</v>
      </c>
      <c r="F658" s="3" t="str">
        <f>IFERROR(__xludf.DUMMYFUNCTION("""COMPUTED_VALUE"""),"Doni Damara")</f>
        <v>Doni Damara</v>
      </c>
      <c r="G658" s="3" t="str">
        <f>IFERROR(__xludf.DUMMYFUNCTION("""COMPUTED_VALUE"""),"Palangkaraya")</f>
        <v>Palangkaraya</v>
      </c>
      <c r="H658" s="3" t="str">
        <f>IFERROR(__xludf.DUMMYFUNCTION("""COMPUTED_VALUE"""),"Standby")</f>
        <v>Standby</v>
      </c>
      <c r="I658" s="3" t="str">
        <f>IFERROR(__xludf.DUMMYFUNCTION("""COMPUTED_VALUE"""),"Standby On Call")</f>
        <v>Standby On Call</v>
      </c>
      <c r="J658" s="3" t="str">
        <f>IFERROR(__xludf.DUMMYFUNCTION("""COMPUTED_VALUE"""),"Standby")</f>
        <v>Standby</v>
      </c>
      <c r="K658" s="27">
        <f>IFERROR(__xludf.DUMMYFUNCTION("""COMPUTED_VALUE"""),46031.0)</f>
        <v>46031</v>
      </c>
      <c r="L658" s="3"/>
      <c r="M658" s="3" t="str">
        <f>IFERROR(__xludf.DUMMYFUNCTION("""COMPUTED_VALUE"""),"Waiting Update")</f>
        <v>Waiting Update</v>
      </c>
      <c r="N658" s="3"/>
      <c r="O658" s="3" t="str">
        <f>IFERROR(VLOOKUP(C658,Sheet4!A658:F1445,6,0),"")</f>
        <v/>
      </c>
      <c r="Q658" s="2" t="str">
        <f t="shared" si="1"/>
        <v>09</v>
      </c>
    </row>
    <row r="659">
      <c r="A659" s="3" t="str">
        <f>IFERROR(__xludf.DUMMYFUNCTION("""COMPUTED_VALUE"""),"Cell down")</f>
        <v>Cell down</v>
      </c>
      <c r="B659" s="3" t="str">
        <f>IFERROR(__xludf.DUMMYFUNCTION("""COMPUTED_VALUE"""),"P1")</f>
        <v>P1</v>
      </c>
      <c r="C659" s="3" t="str">
        <f>IFERROR(__xludf.DUMMYFUNCTION("""COMPUTED_VALUE"""),"PPS019")</f>
        <v>PPS019</v>
      </c>
      <c r="D659" s="3" t="str">
        <f>IFERROR(__xludf.DUMMYFUNCTION("""COMPUTED_VALUE"""),"Oky Bangkit Pamungkas")</f>
        <v>Oky Bangkit Pamungkas</v>
      </c>
      <c r="E659" s="3" t="str">
        <f>IFERROR(__xludf.DUMMYFUNCTION("""COMPUTED_VALUE"""),"TE")</f>
        <v>TE</v>
      </c>
      <c r="F659" s="3" t="str">
        <f>IFERROR(__xludf.DUMMYFUNCTION("""COMPUTED_VALUE"""),"Doni Damara")</f>
        <v>Doni Damara</v>
      </c>
      <c r="G659" s="3" t="str">
        <f>IFERROR(__xludf.DUMMYFUNCTION("""COMPUTED_VALUE"""),"Palangkaraya")</f>
        <v>Palangkaraya</v>
      </c>
      <c r="H659" s="3" t="str">
        <f>IFERROR(__xludf.DUMMYFUNCTION("""COMPUTED_VALUE"""),"Corrective")</f>
        <v>Corrective</v>
      </c>
      <c r="I659" s="3" t="str">
        <f>IFERROR(__xludf.DUMMYFUNCTION("""COMPUTED_VALUE"""),"Replace Optik,RRU/Soket Power/Replace GPS")</f>
        <v>Replace Optik,RRU/Soket Power/Replace GPS</v>
      </c>
      <c r="J659" s="3" t="str">
        <f>IFERROR(__xludf.DUMMYFUNCTION("""COMPUTED_VALUE"""),"On Progress")</f>
        <v>On Progress</v>
      </c>
      <c r="K659" s="27">
        <f>IFERROR(__xludf.DUMMYFUNCTION("""COMPUTED_VALUE"""),46031.0)</f>
        <v>46031</v>
      </c>
      <c r="L659" s="3"/>
      <c r="M659" s="3" t="str">
        <f>IFERROR(__xludf.DUMMYFUNCTION("""COMPUTED_VALUE"""),"Waiting Update")</f>
        <v>Waiting Update</v>
      </c>
      <c r="N659" s="3"/>
      <c r="O659" s="3" t="str">
        <f>IFERROR(VLOOKUP(C659,Sheet4!A659:F1446,6,0),"")</f>
        <v/>
      </c>
      <c r="Q659" s="2" t="str">
        <f t="shared" si="1"/>
        <v>09</v>
      </c>
    </row>
    <row r="660">
      <c r="A660" s="3" t="str">
        <f>IFERROR(__xludf.DUMMYFUNCTION("""COMPUTED_VALUE"""),"Cell down")</f>
        <v>Cell down</v>
      </c>
      <c r="B660" s="3" t="str">
        <f>IFERROR(__xludf.DUMMYFUNCTION("""COMPUTED_VALUE"""),"P1")</f>
        <v>P1</v>
      </c>
      <c r="C660" s="3" t="str">
        <f>IFERROR(__xludf.DUMMYFUNCTION("""COMPUTED_VALUE"""),"PLK046")</f>
        <v>PLK046</v>
      </c>
      <c r="D660" s="3" t="str">
        <f>IFERROR(__xludf.DUMMYFUNCTION("""COMPUTED_VALUE"""),"Jumadi")</f>
        <v>Jumadi</v>
      </c>
      <c r="E660" s="3" t="str">
        <f>IFERROR(__xludf.DUMMYFUNCTION("""COMPUTED_VALUE"""),"TE")</f>
        <v>TE</v>
      </c>
      <c r="F660" s="3" t="str">
        <f>IFERROR(__xludf.DUMMYFUNCTION("""COMPUTED_VALUE"""),"Doni Damara")</f>
        <v>Doni Damara</v>
      </c>
      <c r="G660" s="3" t="str">
        <f>IFERROR(__xludf.DUMMYFUNCTION("""COMPUTED_VALUE"""),"Palangkaraya")</f>
        <v>Palangkaraya</v>
      </c>
      <c r="H660" s="3" t="str">
        <f>IFERROR(__xludf.DUMMYFUNCTION("""COMPUTED_VALUE"""),"Corrective")</f>
        <v>Corrective</v>
      </c>
      <c r="I660" s="3" t="str">
        <f>IFERROR(__xludf.DUMMYFUNCTION("""COMPUTED_VALUE"""),"Replace Optik,RRU/Soket Power/Replace GPS")</f>
        <v>Replace Optik,RRU/Soket Power/Replace GPS</v>
      </c>
      <c r="J660" s="3" t="str">
        <f>IFERROR(__xludf.DUMMYFUNCTION("""COMPUTED_VALUE"""),"On Progress")</f>
        <v>On Progress</v>
      </c>
      <c r="K660" s="27">
        <f>IFERROR(__xludf.DUMMYFUNCTION("""COMPUTED_VALUE"""),46031.0)</f>
        <v>46031</v>
      </c>
      <c r="L660" s="3"/>
      <c r="M660" s="3" t="str">
        <f>IFERROR(__xludf.DUMMYFUNCTION("""COMPUTED_VALUE"""),"Waiting Update")</f>
        <v>Waiting Update</v>
      </c>
      <c r="N660" s="3"/>
      <c r="O660" s="3" t="str">
        <f>IFERROR(VLOOKUP(C660,Sheet4!A660:F1447,6,0),"")</f>
        <v/>
      </c>
      <c r="Q660" s="2" t="str">
        <f t="shared" si="1"/>
        <v>09</v>
      </c>
    </row>
    <row r="661">
      <c r="A661" s="3" t="str">
        <f>IFERROR(__xludf.DUMMYFUNCTION("""COMPUTED_VALUE"""),"Cell down")</f>
        <v>Cell down</v>
      </c>
      <c r="B661" s="3" t="str">
        <f>IFERROR(__xludf.DUMMYFUNCTION("""COMPUTED_VALUE"""),"P1")</f>
        <v>P1</v>
      </c>
      <c r="C661" s="3" t="str">
        <f>IFERROR(__xludf.DUMMYFUNCTION("""COMPUTED_VALUE"""),"PLK046")</f>
        <v>PLK046</v>
      </c>
      <c r="D661" s="3" t="str">
        <f>IFERROR(__xludf.DUMMYFUNCTION("""COMPUTED_VALUE"""),"james jimbris")</f>
        <v>james jimbris</v>
      </c>
      <c r="E661" s="3" t="str">
        <f>IFERROR(__xludf.DUMMYFUNCTION("""COMPUTED_VALUE"""),"TE")</f>
        <v>TE</v>
      </c>
      <c r="F661" s="3" t="str">
        <f>IFERROR(__xludf.DUMMYFUNCTION("""COMPUTED_VALUE"""),"Doni Damara")</f>
        <v>Doni Damara</v>
      </c>
      <c r="G661" s="3" t="str">
        <f>IFERROR(__xludf.DUMMYFUNCTION("""COMPUTED_VALUE"""),"Palangkaraya")</f>
        <v>Palangkaraya</v>
      </c>
      <c r="H661" s="3" t="str">
        <f>IFERROR(__xludf.DUMMYFUNCTION("""COMPUTED_VALUE"""),"Corrective")</f>
        <v>Corrective</v>
      </c>
      <c r="I661" s="3" t="str">
        <f>IFERROR(__xludf.DUMMYFUNCTION("""COMPUTED_VALUE"""),"Replace Optik,RRU/Soket Power/Replace GPS")</f>
        <v>Replace Optik,RRU/Soket Power/Replace GPS</v>
      </c>
      <c r="J661" s="3" t="str">
        <f>IFERROR(__xludf.DUMMYFUNCTION("""COMPUTED_VALUE"""),"On Progress")</f>
        <v>On Progress</v>
      </c>
      <c r="K661" s="27">
        <f>IFERROR(__xludf.DUMMYFUNCTION("""COMPUTED_VALUE"""),46031.0)</f>
        <v>46031</v>
      </c>
      <c r="L661" s="3"/>
      <c r="M661" s="3" t="str">
        <f>IFERROR(__xludf.DUMMYFUNCTION("""COMPUTED_VALUE"""),"Waiting Update")</f>
        <v>Waiting Update</v>
      </c>
      <c r="N661" s="3"/>
      <c r="O661" s="3" t="str">
        <f>IFERROR(VLOOKUP(C661,Sheet4!A661:F1448,6,0),"")</f>
        <v/>
      </c>
      <c r="Q661" s="2" t="str">
        <f t="shared" si="1"/>
        <v>09</v>
      </c>
    </row>
    <row r="662">
      <c r="A662" s="3" t="str">
        <f>IFERROR(__xludf.DUMMYFUNCTION("""COMPUTED_VALUE"""),"Cell down")</f>
        <v>Cell down</v>
      </c>
      <c r="B662" s="3" t="str">
        <f>IFERROR(__xludf.DUMMYFUNCTION("""COMPUTED_VALUE"""),"P1")</f>
        <v>P1</v>
      </c>
      <c r="C662" s="3" t="str">
        <f>IFERROR(__xludf.DUMMYFUNCTION("""COMPUTED_VALUE"""),"PLK242")</f>
        <v>PLK242</v>
      </c>
      <c r="D662" s="3" t="str">
        <f>IFERROR(__xludf.DUMMYFUNCTION("""COMPUTED_VALUE"""),"Adi Bowo Santoso")</f>
        <v>Adi Bowo Santoso</v>
      </c>
      <c r="E662" s="3" t="str">
        <f>IFERROR(__xludf.DUMMYFUNCTION("""COMPUTED_VALUE"""),"TE")</f>
        <v>TE</v>
      </c>
      <c r="F662" s="3" t="str">
        <f>IFERROR(__xludf.DUMMYFUNCTION("""COMPUTED_VALUE"""),"Doni Damara")</f>
        <v>Doni Damara</v>
      </c>
      <c r="G662" s="3" t="str">
        <f>IFERROR(__xludf.DUMMYFUNCTION("""COMPUTED_VALUE"""),"Palangkaraya")</f>
        <v>Palangkaraya</v>
      </c>
      <c r="H662" s="3" t="str">
        <f>IFERROR(__xludf.DUMMYFUNCTION("""COMPUTED_VALUE"""),"Corrective")</f>
        <v>Corrective</v>
      </c>
      <c r="I662" s="3" t="str">
        <f>IFERROR(__xludf.DUMMYFUNCTION("""COMPUTED_VALUE"""),"Replace Optik,RRU/Soket Power/Replace GPS")</f>
        <v>Replace Optik,RRU/Soket Power/Replace GPS</v>
      </c>
      <c r="J662" s="3" t="str">
        <f>IFERROR(__xludf.DUMMYFUNCTION("""COMPUTED_VALUE"""),"On Progress")</f>
        <v>On Progress</v>
      </c>
      <c r="K662" s="27">
        <f>IFERROR(__xludf.DUMMYFUNCTION("""COMPUTED_VALUE"""),46031.0)</f>
        <v>46031</v>
      </c>
      <c r="L662" s="3"/>
      <c r="M662" s="3" t="str">
        <f>IFERROR(__xludf.DUMMYFUNCTION("""COMPUTED_VALUE"""),"Waiting Update")</f>
        <v>Waiting Update</v>
      </c>
      <c r="N662" s="3"/>
      <c r="O662" s="3" t="str">
        <f>IFERROR(VLOOKUP(C662,Sheet4!A662:F1449,6,0),"")</f>
        <v/>
      </c>
      <c r="Q662" s="2" t="str">
        <f t="shared" si="1"/>
        <v>09</v>
      </c>
    </row>
    <row r="663">
      <c r="A663" s="3" t="str">
        <f>IFERROR(__xludf.DUMMYFUNCTION("""COMPUTED_VALUE"""),"Cell down")</f>
        <v>Cell down</v>
      </c>
      <c r="B663" s="3" t="str">
        <f>IFERROR(__xludf.DUMMYFUNCTION("""COMPUTED_VALUE"""),"P1")</f>
        <v>P1</v>
      </c>
      <c r="C663" s="3" t="str">
        <f>IFERROR(__xludf.DUMMYFUNCTION("""COMPUTED_VALUE"""),"PPS250")</f>
        <v>PPS250</v>
      </c>
      <c r="D663" s="3" t="str">
        <f>IFERROR(__xludf.DUMMYFUNCTION("""COMPUTED_VALUE"""),"Yahya Muhamad")</f>
        <v>Yahya Muhamad</v>
      </c>
      <c r="E663" s="3" t="str">
        <f>IFERROR(__xludf.DUMMYFUNCTION("""COMPUTED_VALUE"""),"TE")</f>
        <v>TE</v>
      </c>
      <c r="F663" s="3" t="str">
        <f>IFERROR(__xludf.DUMMYFUNCTION("""COMPUTED_VALUE"""),"Doni Damara")</f>
        <v>Doni Damara</v>
      </c>
      <c r="G663" s="3" t="str">
        <f>IFERROR(__xludf.DUMMYFUNCTION("""COMPUTED_VALUE"""),"Palangkaraya")</f>
        <v>Palangkaraya</v>
      </c>
      <c r="H663" s="3" t="str">
        <f>IFERROR(__xludf.DUMMYFUNCTION("""COMPUTED_VALUE"""),"Corrective")</f>
        <v>Corrective</v>
      </c>
      <c r="I663" s="3" t="str">
        <f>IFERROR(__xludf.DUMMYFUNCTION("""COMPUTED_VALUE"""),"Replace Optik,RRU/Soket Power/Replace GPS")</f>
        <v>Replace Optik,RRU/Soket Power/Replace GPS</v>
      </c>
      <c r="J663" s="3" t="str">
        <f>IFERROR(__xludf.DUMMYFUNCTION("""COMPUTED_VALUE"""),"On Progress")</f>
        <v>On Progress</v>
      </c>
      <c r="K663" s="27">
        <f>IFERROR(__xludf.DUMMYFUNCTION("""COMPUTED_VALUE"""),46031.0)</f>
        <v>46031</v>
      </c>
      <c r="L663" s="3"/>
      <c r="M663" s="3" t="str">
        <f>IFERROR(__xludf.DUMMYFUNCTION("""COMPUTED_VALUE"""),"Waiting Update")</f>
        <v>Waiting Update</v>
      </c>
      <c r="N663" s="3"/>
      <c r="O663" s="3" t="str">
        <f>IFERROR(VLOOKUP(C663,Sheet4!A663:F1450,6,0),"")</f>
        <v/>
      </c>
      <c r="Q663" s="2" t="str">
        <f t="shared" si="1"/>
        <v>09</v>
      </c>
    </row>
    <row r="664">
      <c r="A664" s="3" t="str">
        <f>IFERROR(__xludf.DUMMYFUNCTION("""COMPUTED_VALUE"""),"Cell down")</f>
        <v>Cell down</v>
      </c>
      <c r="B664" s="3" t="str">
        <f>IFERROR(__xludf.DUMMYFUNCTION("""COMPUTED_VALUE"""),"P1")</f>
        <v>P1</v>
      </c>
      <c r="C664" s="3" t="str">
        <f>IFERROR(__xludf.DUMMYFUNCTION("""COMPUTED_VALUE"""),"PPS250")</f>
        <v>PPS250</v>
      </c>
      <c r="D664" s="3" t="str">
        <f>IFERROR(__xludf.DUMMYFUNCTION("""COMPUTED_VALUE"""),"Muhamad Rayhan")</f>
        <v>Muhamad Rayhan</v>
      </c>
      <c r="E664" s="3" t="str">
        <f>IFERROR(__xludf.DUMMYFUNCTION("""COMPUTED_VALUE"""),"TE")</f>
        <v>TE</v>
      </c>
      <c r="F664" s="3" t="str">
        <f>IFERROR(__xludf.DUMMYFUNCTION("""COMPUTED_VALUE"""),"Doni Damara")</f>
        <v>Doni Damara</v>
      </c>
      <c r="G664" s="3" t="str">
        <f>IFERROR(__xludf.DUMMYFUNCTION("""COMPUTED_VALUE"""),"Palangkaraya")</f>
        <v>Palangkaraya</v>
      </c>
      <c r="H664" s="3" t="str">
        <f>IFERROR(__xludf.DUMMYFUNCTION("""COMPUTED_VALUE"""),"Corrective")</f>
        <v>Corrective</v>
      </c>
      <c r="I664" s="3" t="str">
        <f>IFERROR(__xludf.DUMMYFUNCTION("""COMPUTED_VALUE"""),"Replace Optik,RRU/Soket Power/Replace GPS")</f>
        <v>Replace Optik,RRU/Soket Power/Replace GPS</v>
      </c>
      <c r="J664" s="3" t="str">
        <f>IFERROR(__xludf.DUMMYFUNCTION("""COMPUTED_VALUE"""),"On Progress")</f>
        <v>On Progress</v>
      </c>
      <c r="K664" s="27">
        <f>IFERROR(__xludf.DUMMYFUNCTION("""COMPUTED_VALUE"""),46031.0)</f>
        <v>46031</v>
      </c>
      <c r="L664" s="3"/>
      <c r="M664" s="3" t="str">
        <f>IFERROR(__xludf.DUMMYFUNCTION("""COMPUTED_VALUE"""),"Waiting Update")</f>
        <v>Waiting Update</v>
      </c>
      <c r="N664" s="3"/>
      <c r="O664" s="3" t="str">
        <f>IFERROR(VLOOKUP(C664,Sheet4!A664:F1451,6,0),"")</f>
        <v/>
      </c>
      <c r="Q664" s="2" t="str">
        <f t="shared" si="1"/>
        <v>09</v>
      </c>
    </row>
    <row r="665">
      <c r="A665" s="3" t="str">
        <f>IFERROR(__xludf.DUMMYFUNCTION("""COMPUTED_VALUE"""),"Cell down")</f>
        <v>Cell down</v>
      </c>
      <c r="B665" s="3" t="str">
        <f>IFERROR(__xludf.DUMMYFUNCTION("""COMPUTED_VALUE"""),"P1")</f>
        <v>P1</v>
      </c>
      <c r="C665" s="3" t="str">
        <f>IFERROR(__xludf.DUMMYFUNCTION("""COMPUTED_VALUE"""),"KKN018")</f>
        <v>KKN018</v>
      </c>
      <c r="D665" s="3" t="str">
        <f>IFERROR(__xludf.DUMMYFUNCTION("""COMPUTED_VALUE"""),"Leonard")</f>
        <v>Leonard</v>
      </c>
      <c r="E665" s="3" t="str">
        <f>IFERROR(__xludf.DUMMYFUNCTION("""COMPUTED_VALUE"""),"TE")</f>
        <v>TE</v>
      </c>
      <c r="F665" s="3" t="str">
        <f>IFERROR(__xludf.DUMMYFUNCTION("""COMPUTED_VALUE"""),"Doni Damara")</f>
        <v>Doni Damara</v>
      </c>
      <c r="G665" s="3" t="str">
        <f>IFERROR(__xludf.DUMMYFUNCTION("""COMPUTED_VALUE"""),"Palangkaraya")</f>
        <v>Palangkaraya</v>
      </c>
      <c r="H665" s="3" t="str">
        <f>IFERROR(__xludf.DUMMYFUNCTION("""COMPUTED_VALUE"""),"Corrective")</f>
        <v>Corrective</v>
      </c>
      <c r="I665" s="3" t="str">
        <f>IFERROR(__xludf.DUMMYFUNCTION("""COMPUTED_VALUE"""),"Replace Optik,RRU/Soket Power/Replace GPS")</f>
        <v>Replace Optik,RRU/Soket Power/Replace GPS</v>
      </c>
      <c r="J665" s="3" t="str">
        <f>IFERROR(__xludf.DUMMYFUNCTION("""COMPUTED_VALUE"""),"On Progress")</f>
        <v>On Progress</v>
      </c>
      <c r="K665" s="27">
        <f>IFERROR(__xludf.DUMMYFUNCTION("""COMPUTED_VALUE"""),46031.0)</f>
        <v>46031</v>
      </c>
      <c r="L665" s="3"/>
      <c r="M665" s="3" t="str">
        <f>IFERROR(__xludf.DUMMYFUNCTION("""COMPUTED_VALUE"""),"Waiting Update")</f>
        <v>Waiting Update</v>
      </c>
      <c r="N665" s="3"/>
      <c r="O665" s="3" t="str">
        <f>IFERROR(VLOOKUP(C665,Sheet4!A665:F1452,6,0),"")</f>
        <v/>
      </c>
      <c r="Q665" s="2" t="str">
        <f t="shared" si="1"/>
        <v>09</v>
      </c>
    </row>
    <row r="666">
      <c r="A666" s="3" t="str">
        <f>IFERROR(__xludf.DUMMYFUNCTION("""COMPUTED_VALUE"""),"Cell down")</f>
        <v>Cell down</v>
      </c>
      <c r="B666" s="3" t="str">
        <f>IFERROR(__xludf.DUMMYFUNCTION("""COMPUTED_VALUE"""),"P1")</f>
        <v>P1</v>
      </c>
      <c r="C666" s="3" t="str">
        <f>IFERROR(__xludf.DUMMYFUNCTION("""COMPUTED_VALUE"""),"KKN018")</f>
        <v>KKN018</v>
      </c>
      <c r="D666" s="3" t="str">
        <f>IFERROR(__xludf.DUMMYFUNCTION("""COMPUTED_VALUE"""),"Aulia Rahman")</f>
        <v>Aulia Rahman</v>
      </c>
      <c r="E666" s="3" t="str">
        <f>IFERROR(__xludf.DUMMYFUNCTION("""COMPUTED_VALUE"""),"TE")</f>
        <v>TE</v>
      </c>
      <c r="F666" s="3" t="str">
        <f>IFERROR(__xludf.DUMMYFUNCTION("""COMPUTED_VALUE"""),"Doni Damara")</f>
        <v>Doni Damara</v>
      </c>
      <c r="G666" s="3" t="str">
        <f>IFERROR(__xludf.DUMMYFUNCTION("""COMPUTED_VALUE"""),"Palangkaraya")</f>
        <v>Palangkaraya</v>
      </c>
      <c r="H666" s="3" t="str">
        <f>IFERROR(__xludf.DUMMYFUNCTION("""COMPUTED_VALUE"""),"Corrective")</f>
        <v>Corrective</v>
      </c>
      <c r="I666" s="3" t="str">
        <f>IFERROR(__xludf.DUMMYFUNCTION("""COMPUTED_VALUE"""),"Replace Optik,RRU/Soket Power/Replace GPS")</f>
        <v>Replace Optik,RRU/Soket Power/Replace GPS</v>
      </c>
      <c r="J666" s="3" t="str">
        <f>IFERROR(__xludf.DUMMYFUNCTION("""COMPUTED_VALUE"""),"On Progress")</f>
        <v>On Progress</v>
      </c>
      <c r="K666" s="27">
        <f>IFERROR(__xludf.DUMMYFUNCTION("""COMPUTED_VALUE"""),46031.0)</f>
        <v>46031</v>
      </c>
      <c r="L666" s="3"/>
      <c r="M666" s="3" t="str">
        <f>IFERROR(__xludf.DUMMYFUNCTION("""COMPUTED_VALUE"""),"Waiting Update")</f>
        <v>Waiting Update</v>
      </c>
      <c r="N666" s="3"/>
      <c r="O666" s="3" t="str">
        <f>IFERROR(VLOOKUP(C666,Sheet4!A666:F1453,6,0),"")</f>
        <v/>
      </c>
      <c r="Q666" s="2" t="str">
        <f t="shared" si="1"/>
        <v>09</v>
      </c>
    </row>
    <row r="667">
      <c r="A667" s="3" t="str">
        <f>IFERROR(__xludf.DUMMYFUNCTION("""COMPUTED_VALUE"""),"Cell down")</f>
        <v>Cell down</v>
      </c>
      <c r="B667" s="3" t="str">
        <f>IFERROR(__xludf.DUMMYFUNCTION("""COMPUTED_VALUE"""),"P1")</f>
        <v>P1</v>
      </c>
      <c r="C667" s="3" t="str">
        <f>IFERROR(__xludf.DUMMYFUNCTION("""COMPUTED_VALUE"""),"KSN037")</f>
        <v>KSN037</v>
      </c>
      <c r="D667" s="3" t="str">
        <f>IFERROR(__xludf.DUMMYFUNCTION("""COMPUTED_VALUE"""),"Muhammad Mukhlis")</f>
        <v>Muhammad Mukhlis</v>
      </c>
      <c r="E667" s="3" t="str">
        <f>IFERROR(__xludf.DUMMYFUNCTION("""COMPUTED_VALUE"""),"TE")</f>
        <v>TE</v>
      </c>
      <c r="F667" s="3" t="str">
        <f>IFERROR(__xludf.DUMMYFUNCTION("""COMPUTED_VALUE"""),"Doni Damara")</f>
        <v>Doni Damara</v>
      </c>
      <c r="G667" s="3" t="str">
        <f>IFERROR(__xludf.DUMMYFUNCTION("""COMPUTED_VALUE"""),"Palangkaraya")</f>
        <v>Palangkaraya</v>
      </c>
      <c r="H667" s="3" t="str">
        <f>IFERROR(__xludf.DUMMYFUNCTION("""COMPUTED_VALUE"""),"Corrective")</f>
        <v>Corrective</v>
      </c>
      <c r="I667" s="3" t="str">
        <f>IFERROR(__xludf.DUMMYFUNCTION("""COMPUTED_VALUE"""),"Replace Optik,RRU/Soket Power/Replace GPS")</f>
        <v>Replace Optik,RRU/Soket Power/Replace GPS</v>
      </c>
      <c r="J667" s="3" t="str">
        <f>IFERROR(__xludf.DUMMYFUNCTION("""COMPUTED_VALUE"""),"On Progress")</f>
        <v>On Progress</v>
      </c>
      <c r="K667" s="27">
        <f>IFERROR(__xludf.DUMMYFUNCTION("""COMPUTED_VALUE"""),46031.0)</f>
        <v>46031</v>
      </c>
      <c r="L667" s="3"/>
      <c r="M667" s="3" t="str">
        <f>IFERROR(__xludf.DUMMYFUNCTION("""COMPUTED_VALUE"""),"Waiting Update")</f>
        <v>Waiting Update</v>
      </c>
      <c r="N667" s="3"/>
      <c r="O667" s="3" t="str">
        <f>IFERROR(VLOOKUP(C667,Sheet4!A667:F1454,6,0),"")</f>
        <v/>
      </c>
      <c r="Q667" s="2" t="str">
        <f t="shared" si="1"/>
        <v>09</v>
      </c>
    </row>
    <row r="668">
      <c r="A668" s="3" t="str">
        <f>IFERROR(__xludf.DUMMYFUNCTION("""COMPUTED_VALUE"""),"Pengecekan battrey")</f>
        <v>Pengecekan battrey</v>
      </c>
      <c r="B668" s="3" t="str">
        <f>IFERROR(__xludf.DUMMYFUNCTION("""COMPUTED_VALUE"""),"P2")</f>
        <v>P2</v>
      </c>
      <c r="C668" s="3" t="str">
        <f>IFERROR(__xludf.DUMMYFUNCTION("""COMPUTED_VALUE"""),"KSN028")</f>
        <v>KSN028</v>
      </c>
      <c r="D668" s="3" t="str">
        <f>IFERROR(__xludf.DUMMYFUNCTION("""COMPUTED_VALUE"""),"Muhammad Mukti")</f>
        <v>Muhammad Mukti</v>
      </c>
      <c r="E668" s="3" t="str">
        <f>IFERROR(__xludf.DUMMYFUNCTION("""COMPUTED_VALUE"""),"TE")</f>
        <v>TE</v>
      </c>
      <c r="F668" s="3" t="str">
        <f>IFERROR(__xludf.DUMMYFUNCTION("""COMPUTED_VALUE"""),"Doni Damara")</f>
        <v>Doni Damara</v>
      </c>
      <c r="G668" s="3" t="str">
        <f>IFERROR(__xludf.DUMMYFUNCTION("""COMPUTED_VALUE"""),"Palangkaraya")</f>
        <v>Palangkaraya</v>
      </c>
      <c r="H668" s="3" t="str">
        <f>IFERROR(__xludf.DUMMYFUNCTION("""COMPUTED_VALUE"""),"Preventive")</f>
        <v>Preventive</v>
      </c>
      <c r="I668" s="3" t="str">
        <f>IFERROR(__xludf.DUMMYFUNCTION("""COMPUTED_VALUE"""),"Pengukuran dan pengambilan data log serta input Gdoc BBT")</f>
        <v>Pengukuran dan pengambilan data log serta input Gdoc BBT</v>
      </c>
      <c r="J668" s="3" t="str">
        <f>IFERROR(__xludf.DUMMYFUNCTION("""COMPUTED_VALUE"""),"On Progress")</f>
        <v>On Progress</v>
      </c>
      <c r="K668" s="27">
        <f>IFERROR(__xludf.DUMMYFUNCTION("""COMPUTED_VALUE"""),46031.0)</f>
        <v>46031</v>
      </c>
      <c r="L668" s="3"/>
      <c r="M668" s="3" t="str">
        <f>IFERROR(__xludf.DUMMYFUNCTION("""COMPUTED_VALUE"""),"Waiting Update")</f>
        <v>Waiting Update</v>
      </c>
      <c r="N668" s="3"/>
      <c r="O668" s="3" t="str">
        <f>IFERROR(VLOOKUP(C668,Sheet4!A668:F1455,6,0),"")</f>
        <v/>
      </c>
      <c r="Q668" s="2" t="str">
        <f t="shared" si="1"/>
        <v>09</v>
      </c>
    </row>
    <row r="669">
      <c r="A669" s="3" t="str">
        <f>IFERROR(__xludf.DUMMYFUNCTION("""COMPUTED_VALUE"""),"Tshoot Genset")</f>
        <v>Tshoot Genset</v>
      </c>
      <c r="B669" s="3" t="str">
        <f>IFERROR(__xludf.DUMMYFUNCTION("""COMPUTED_VALUE"""),"P1")</f>
        <v>P1</v>
      </c>
      <c r="C669" s="3" t="str">
        <f>IFERROR(__xludf.DUMMYFUNCTION("""COMPUTED_VALUE"""),"KSN150")</f>
        <v>KSN150</v>
      </c>
      <c r="D669" s="3" t="str">
        <f>IFERROR(__xludf.DUMMYFUNCTION("""COMPUTED_VALUE"""),"melky.O.Tulangow")</f>
        <v>melky.O.Tulangow</v>
      </c>
      <c r="E669" s="3" t="str">
        <f>IFERROR(__xludf.DUMMYFUNCTION("""COMPUTED_VALUE"""),"TE")</f>
        <v>TE</v>
      </c>
      <c r="F669" s="3" t="str">
        <f>IFERROR(__xludf.DUMMYFUNCTION("""COMPUTED_VALUE"""),"Doni Damara")</f>
        <v>Doni Damara</v>
      </c>
      <c r="G669" s="3" t="str">
        <f>IFERROR(__xludf.DUMMYFUNCTION("""COMPUTED_VALUE"""),"Palangkaraya")</f>
        <v>Palangkaraya</v>
      </c>
      <c r="H669" s="3" t="str">
        <f>IFERROR(__xludf.DUMMYFUNCTION("""COMPUTED_VALUE"""),"Corrective")</f>
        <v>Corrective</v>
      </c>
      <c r="I669" s="3" t="str">
        <f>IFERROR(__xludf.DUMMYFUNCTION("""COMPUTED_VALUE"""),"Perbaikan Auto,pergantian relay,timer, yang berhubungan genset")</f>
        <v>Perbaikan Auto,pergantian relay,timer, yang berhubungan genset</v>
      </c>
      <c r="J669" s="3" t="str">
        <f>IFERROR(__xludf.DUMMYFUNCTION("""COMPUTED_VALUE"""),"On Progress")</f>
        <v>On Progress</v>
      </c>
      <c r="K669" s="27">
        <f>IFERROR(__xludf.DUMMYFUNCTION("""COMPUTED_VALUE"""),46031.0)</f>
        <v>46031</v>
      </c>
      <c r="L669" s="3"/>
      <c r="M669" s="3" t="str">
        <f>IFERROR(__xludf.DUMMYFUNCTION("""COMPUTED_VALUE"""),"Waiting Update")</f>
        <v>Waiting Update</v>
      </c>
      <c r="N669" s="3"/>
      <c r="O669" s="3">
        <f>IFERROR(VLOOKUP(C669,Sheet4!A669:F1456,6,0),"")</f>
        <v>112496</v>
      </c>
      <c r="Q669" s="2" t="str">
        <f t="shared" si="1"/>
        <v>09</v>
      </c>
    </row>
    <row r="670">
      <c r="A670" s="3" t="str">
        <f>IFERROR(__xludf.DUMMYFUNCTION("""COMPUTED_VALUE"""),"Standby On Call")</f>
        <v>Standby On Call</v>
      </c>
      <c r="B670" s="3" t="str">
        <f>IFERROR(__xludf.DUMMYFUNCTION("""COMPUTED_VALUE"""),"P3")</f>
        <v>P3</v>
      </c>
      <c r="C670" s="3" t="str">
        <f>IFERROR(__xludf.DUMMYFUNCTION("""COMPUTED_VALUE"""),"PLK022")</f>
        <v>PLK022</v>
      </c>
      <c r="D670" s="3" t="str">
        <f>IFERROR(__xludf.DUMMYFUNCTION("""COMPUTED_VALUE"""),"Indra")</f>
        <v>Indra</v>
      </c>
      <c r="E670" s="3" t="str">
        <f>IFERROR(__xludf.DUMMYFUNCTION("""COMPUTED_VALUE"""),"PM")</f>
        <v>PM</v>
      </c>
      <c r="F670" s="3" t="str">
        <f>IFERROR(__xludf.DUMMYFUNCTION("""COMPUTED_VALUE"""),"Doni Damara")</f>
        <v>Doni Damara</v>
      </c>
      <c r="G670" s="3" t="str">
        <f>IFERROR(__xludf.DUMMYFUNCTION("""COMPUTED_VALUE"""),"Palangkaraya")</f>
        <v>Palangkaraya</v>
      </c>
      <c r="H670" s="3" t="str">
        <f>IFERROR(__xludf.DUMMYFUNCTION("""COMPUTED_VALUE"""),"Standby")</f>
        <v>Standby</v>
      </c>
      <c r="I670" s="3" t="str">
        <f>IFERROR(__xludf.DUMMYFUNCTION("""COMPUTED_VALUE"""),"Standby On Call")</f>
        <v>Standby On Call</v>
      </c>
      <c r="J670" s="3" t="str">
        <f>IFERROR(__xludf.DUMMYFUNCTION("""COMPUTED_VALUE"""),"On Progress")</f>
        <v>On Progress</v>
      </c>
      <c r="K670" s="27">
        <f>IFERROR(__xludf.DUMMYFUNCTION("""COMPUTED_VALUE"""),46031.0)</f>
        <v>46031</v>
      </c>
      <c r="L670" s="3"/>
      <c r="M670" s="3" t="str">
        <f>IFERROR(__xludf.DUMMYFUNCTION("""COMPUTED_VALUE"""),"Waiting Update")</f>
        <v>Waiting Update</v>
      </c>
      <c r="N670" s="3"/>
      <c r="O670" s="3" t="str">
        <f>IFERROR(VLOOKUP(C670,Sheet4!A670:F1457,6,0),"")</f>
        <v/>
      </c>
      <c r="Q670" s="2" t="str">
        <f t="shared" si="1"/>
        <v>09</v>
      </c>
    </row>
    <row r="671">
      <c r="A671" s="3" t="str">
        <f>IFERROR(__xludf.DUMMYFUNCTION("""COMPUTED_VALUE"""),"Standby On Call")</f>
        <v>Standby On Call</v>
      </c>
      <c r="B671" s="3" t="str">
        <f>IFERROR(__xludf.DUMMYFUNCTION("""COMPUTED_VALUE"""),"P3")</f>
        <v>P3</v>
      </c>
      <c r="C671" s="3" t="str">
        <f>IFERROR(__xludf.DUMMYFUNCTION("""COMPUTED_VALUE"""),"PLK018")</f>
        <v>PLK018</v>
      </c>
      <c r="D671" s="3" t="str">
        <f>IFERROR(__xludf.DUMMYFUNCTION("""COMPUTED_VALUE"""),"Darli")</f>
        <v>Darli</v>
      </c>
      <c r="E671" s="3" t="str">
        <f>IFERROR(__xludf.DUMMYFUNCTION("""COMPUTED_VALUE"""),"PM")</f>
        <v>PM</v>
      </c>
      <c r="F671" s="3" t="str">
        <f>IFERROR(__xludf.DUMMYFUNCTION("""COMPUTED_VALUE"""),"Doni Damara")</f>
        <v>Doni Damara</v>
      </c>
      <c r="G671" s="3" t="str">
        <f>IFERROR(__xludf.DUMMYFUNCTION("""COMPUTED_VALUE"""),"Palangkaraya")</f>
        <v>Palangkaraya</v>
      </c>
      <c r="H671" s="3" t="str">
        <f>IFERROR(__xludf.DUMMYFUNCTION("""COMPUTED_VALUE"""),"Standby")</f>
        <v>Standby</v>
      </c>
      <c r="I671" s="3" t="str">
        <f>IFERROR(__xludf.DUMMYFUNCTION("""COMPUTED_VALUE"""),"Standby On Call")</f>
        <v>Standby On Call</v>
      </c>
      <c r="J671" s="3" t="str">
        <f>IFERROR(__xludf.DUMMYFUNCTION("""COMPUTED_VALUE"""),"On Progress")</f>
        <v>On Progress</v>
      </c>
      <c r="K671" s="27">
        <f>IFERROR(__xludf.DUMMYFUNCTION("""COMPUTED_VALUE"""),46031.0)</f>
        <v>46031</v>
      </c>
      <c r="L671" s="3"/>
      <c r="M671" s="3" t="str">
        <f>IFERROR(__xludf.DUMMYFUNCTION("""COMPUTED_VALUE"""),"Waiting Update")</f>
        <v>Waiting Update</v>
      </c>
      <c r="N671" s="3"/>
      <c r="O671" s="3" t="str">
        <f>IFERROR(VLOOKUP(C671,Sheet4!A671:F1458,6,0),"")</f>
        <v/>
      </c>
      <c r="Q671" s="2" t="str">
        <f t="shared" si="1"/>
        <v>09</v>
      </c>
    </row>
    <row r="672">
      <c r="A672" s="3" t="str">
        <f>IFERROR(__xludf.DUMMYFUNCTION("""COMPUTED_VALUE"""),"Standby On Call")</f>
        <v>Standby On Call</v>
      </c>
      <c r="B672" s="3" t="str">
        <f>IFERROR(__xludf.DUMMYFUNCTION("""COMPUTED_VALUE"""),"P3")</f>
        <v>P3</v>
      </c>
      <c r="C672" s="3"/>
      <c r="D672" s="3" t="str">
        <f>IFERROR(__xludf.DUMMYFUNCTION("""COMPUTED_VALUE"""),"Sarwono")</f>
        <v>Sarwono</v>
      </c>
      <c r="E672" s="3" t="str">
        <f>IFERROR(__xludf.DUMMYFUNCTION("""COMPUTED_VALUE"""),"CME")</f>
        <v>CME</v>
      </c>
      <c r="F672" s="3" t="str">
        <f>IFERROR(__xludf.DUMMYFUNCTION("""COMPUTED_VALUE"""),"Doni Damara")</f>
        <v>Doni Damara</v>
      </c>
      <c r="G672" s="3" t="str">
        <f>IFERROR(__xludf.DUMMYFUNCTION("""COMPUTED_VALUE"""),"Palangkaraya")</f>
        <v>Palangkaraya</v>
      </c>
      <c r="H672" s="3" t="str">
        <f>IFERROR(__xludf.DUMMYFUNCTION("""COMPUTED_VALUE"""),"Standby")</f>
        <v>Standby</v>
      </c>
      <c r="I672" s="3" t="str">
        <f>IFERROR(__xludf.DUMMYFUNCTION("""COMPUTED_VALUE"""),"Standby On Call")</f>
        <v>Standby On Call</v>
      </c>
      <c r="J672" s="3" t="str">
        <f>IFERROR(__xludf.DUMMYFUNCTION("""COMPUTED_VALUE"""),"Standby")</f>
        <v>Standby</v>
      </c>
      <c r="K672" s="27">
        <f>IFERROR(__xludf.DUMMYFUNCTION("""COMPUTED_VALUE"""),46031.0)</f>
        <v>46031</v>
      </c>
      <c r="L672" s="3"/>
      <c r="M672" s="3" t="str">
        <f>IFERROR(__xludf.DUMMYFUNCTION("""COMPUTED_VALUE"""),"Waiting Update")</f>
        <v>Waiting Update</v>
      </c>
      <c r="N672" s="3"/>
      <c r="O672" s="3" t="str">
        <f>IFERROR(VLOOKUP(C672,Sheet4!A672:F1459,6,0),"")</f>
        <v/>
      </c>
      <c r="Q672" s="2" t="str">
        <f t="shared" si="1"/>
        <v>09</v>
      </c>
    </row>
    <row r="673">
      <c r="A673" s="3" t="str">
        <f>IFERROR(__xludf.DUMMYFUNCTION("""COMPUTED_VALUE"""),"Standby On Call")</f>
        <v>Standby On Call</v>
      </c>
      <c r="B673" s="3" t="str">
        <f>IFERROR(__xludf.DUMMYFUNCTION("""COMPUTED_VALUE"""),"P3")</f>
        <v>P3</v>
      </c>
      <c r="C673" s="3"/>
      <c r="D673" s="3" t="str">
        <f>IFERROR(__xludf.DUMMYFUNCTION("""COMPUTED_VALUE"""),"Purwanto")</f>
        <v>Purwanto</v>
      </c>
      <c r="E673" s="3" t="str">
        <f>IFERROR(__xludf.DUMMYFUNCTION("""COMPUTED_VALUE"""),"MBP")</f>
        <v>MBP</v>
      </c>
      <c r="F673" s="3" t="str">
        <f>IFERROR(__xludf.DUMMYFUNCTION("""COMPUTED_VALUE"""),"Doni Damara")</f>
        <v>Doni Damara</v>
      </c>
      <c r="G673" s="3" t="str">
        <f>IFERROR(__xludf.DUMMYFUNCTION("""COMPUTED_VALUE"""),"Palangkaraya")</f>
        <v>Palangkaraya</v>
      </c>
      <c r="H673" s="3" t="str">
        <f>IFERROR(__xludf.DUMMYFUNCTION("""COMPUTED_VALUE"""),"Standby")</f>
        <v>Standby</v>
      </c>
      <c r="I673" s="3" t="str">
        <f>IFERROR(__xludf.DUMMYFUNCTION("""COMPUTED_VALUE"""),"Standby On Call")</f>
        <v>Standby On Call</v>
      </c>
      <c r="J673" s="3" t="str">
        <f>IFERROR(__xludf.DUMMYFUNCTION("""COMPUTED_VALUE"""),"Standby")</f>
        <v>Standby</v>
      </c>
      <c r="K673" s="27">
        <f>IFERROR(__xludf.DUMMYFUNCTION("""COMPUTED_VALUE"""),46031.0)</f>
        <v>46031</v>
      </c>
      <c r="L673" s="3"/>
      <c r="M673" s="3" t="str">
        <f>IFERROR(__xludf.DUMMYFUNCTION("""COMPUTED_VALUE"""),"Waiting Update")</f>
        <v>Waiting Update</v>
      </c>
      <c r="N673" s="3"/>
      <c r="O673" s="3" t="str">
        <f>IFERROR(VLOOKUP(C673,Sheet4!A673:F1460,6,0),"")</f>
        <v/>
      </c>
      <c r="Q673" s="2" t="str">
        <f t="shared" si="1"/>
        <v>09</v>
      </c>
    </row>
    <row r="674">
      <c r="A674" s="3" t="str">
        <f>IFERROR(__xludf.DUMMYFUNCTION("""COMPUTED_VALUE"""),"Standby On Call")</f>
        <v>Standby On Call</v>
      </c>
      <c r="B674" s="3" t="str">
        <f>IFERROR(__xludf.DUMMYFUNCTION("""COMPUTED_VALUE"""),"P3")</f>
        <v>P3</v>
      </c>
      <c r="C674" s="3"/>
      <c r="D674" s="3" t="str">
        <f>IFERROR(__xludf.DUMMYFUNCTION("""COMPUTED_VALUE"""),"Agus muliana pamungkas")</f>
        <v>Agus muliana pamungkas</v>
      </c>
      <c r="E674" s="3" t="str">
        <f>IFERROR(__xludf.DUMMYFUNCTION("""COMPUTED_VALUE"""),"MBP")</f>
        <v>MBP</v>
      </c>
      <c r="F674" s="3" t="str">
        <f>IFERROR(__xludf.DUMMYFUNCTION("""COMPUTED_VALUE"""),"Doni Damara")</f>
        <v>Doni Damara</v>
      </c>
      <c r="G674" s="3" t="str">
        <f>IFERROR(__xludf.DUMMYFUNCTION("""COMPUTED_VALUE"""),"Palangkaraya")</f>
        <v>Palangkaraya</v>
      </c>
      <c r="H674" s="3" t="str">
        <f>IFERROR(__xludf.DUMMYFUNCTION("""COMPUTED_VALUE"""),"Standby")</f>
        <v>Standby</v>
      </c>
      <c r="I674" s="3" t="str">
        <f>IFERROR(__xludf.DUMMYFUNCTION("""COMPUTED_VALUE"""),"Standby On Call")</f>
        <v>Standby On Call</v>
      </c>
      <c r="J674" s="3" t="str">
        <f>IFERROR(__xludf.DUMMYFUNCTION("""COMPUTED_VALUE"""),"Standby")</f>
        <v>Standby</v>
      </c>
      <c r="K674" s="27">
        <f>IFERROR(__xludf.DUMMYFUNCTION("""COMPUTED_VALUE"""),46031.0)</f>
        <v>46031</v>
      </c>
      <c r="L674" s="3"/>
      <c r="M674" s="3" t="str">
        <f>IFERROR(__xludf.DUMMYFUNCTION("""COMPUTED_VALUE"""),"Waiting Update")</f>
        <v>Waiting Update</v>
      </c>
      <c r="N674" s="3"/>
      <c r="O674" s="3" t="str">
        <f>IFERROR(VLOOKUP(C674,Sheet4!A674:F1461,6,0),"")</f>
        <v/>
      </c>
      <c r="Q674" s="2" t="str">
        <f t="shared" si="1"/>
        <v>09</v>
      </c>
    </row>
    <row r="675">
      <c r="A675" s="3" t="str">
        <f>IFERROR(__xludf.DUMMYFUNCTION("""COMPUTED_VALUE"""),"Standby On Call")</f>
        <v>Standby On Call</v>
      </c>
      <c r="B675" s="3" t="str">
        <f>IFERROR(__xludf.DUMMYFUNCTION("""COMPUTED_VALUE"""),"P3")</f>
        <v>P3</v>
      </c>
      <c r="C675" s="3"/>
      <c r="D675" s="3" t="str">
        <f>IFERROR(__xludf.DUMMYFUNCTION("""COMPUTED_VALUE"""),"Sairaji")</f>
        <v>Sairaji</v>
      </c>
      <c r="E675" s="3" t="str">
        <f>IFERROR(__xludf.DUMMYFUNCTION("""COMPUTED_VALUE"""),"MBP")</f>
        <v>MBP</v>
      </c>
      <c r="F675" s="3" t="str">
        <f>IFERROR(__xludf.DUMMYFUNCTION("""COMPUTED_VALUE"""),"Doni Damara")</f>
        <v>Doni Damara</v>
      </c>
      <c r="G675" s="3" t="str">
        <f>IFERROR(__xludf.DUMMYFUNCTION("""COMPUTED_VALUE"""),"Palangkaraya")</f>
        <v>Palangkaraya</v>
      </c>
      <c r="H675" s="3" t="str">
        <f>IFERROR(__xludf.DUMMYFUNCTION("""COMPUTED_VALUE"""),"Standby")</f>
        <v>Standby</v>
      </c>
      <c r="I675" s="3" t="str">
        <f>IFERROR(__xludf.DUMMYFUNCTION("""COMPUTED_VALUE"""),"Standby On Call")</f>
        <v>Standby On Call</v>
      </c>
      <c r="J675" s="3" t="str">
        <f>IFERROR(__xludf.DUMMYFUNCTION("""COMPUTED_VALUE"""),"Standby")</f>
        <v>Standby</v>
      </c>
      <c r="K675" s="27">
        <f>IFERROR(__xludf.DUMMYFUNCTION("""COMPUTED_VALUE"""),46031.0)</f>
        <v>46031</v>
      </c>
      <c r="L675" s="3"/>
      <c r="M675" s="3" t="str">
        <f>IFERROR(__xludf.DUMMYFUNCTION("""COMPUTED_VALUE"""),"Waiting Update")</f>
        <v>Waiting Update</v>
      </c>
      <c r="N675" s="3"/>
      <c r="O675" s="3" t="str">
        <f>IFERROR(VLOOKUP(C675,Sheet4!A675:F1462,6,0),"")</f>
        <v/>
      </c>
      <c r="Q675" s="2" t="str">
        <f t="shared" si="1"/>
        <v>09</v>
      </c>
    </row>
    <row r="676">
      <c r="A676" s="3" t="str">
        <f>IFERROR(__xludf.DUMMYFUNCTION("""COMPUTED_VALUE"""),"Standby On Call")</f>
        <v>Standby On Call</v>
      </c>
      <c r="B676" s="3" t="str">
        <f>IFERROR(__xludf.DUMMYFUNCTION("""COMPUTED_VALUE"""),"P3")</f>
        <v>P3</v>
      </c>
      <c r="C676" s="3"/>
      <c r="D676" s="3" t="str">
        <f>IFERROR(__xludf.DUMMYFUNCTION("""COMPUTED_VALUE"""),"hory yusmanto")</f>
        <v>hory yusmanto</v>
      </c>
      <c r="E676" s="3" t="str">
        <f>IFERROR(__xludf.DUMMYFUNCTION("""COMPUTED_VALUE"""),"MBP")</f>
        <v>MBP</v>
      </c>
      <c r="F676" s="3" t="str">
        <f>IFERROR(__xludf.DUMMYFUNCTION("""COMPUTED_VALUE"""),"Doni Damara")</f>
        <v>Doni Damara</v>
      </c>
      <c r="G676" s="3" t="str">
        <f>IFERROR(__xludf.DUMMYFUNCTION("""COMPUTED_VALUE"""),"Palangkaraya")</f>
        <v>Palangkaraya</v>
      </c>
      <c r="H676" s="3" t="str">
        <f>IFERROR(__xludf.DUMMYFUNCTION("""COMPUTED_VALUE"""),"Standby")</f>
        <v>Standby</v>
      </c>
      <c r="I676" s="3" t="str">
        <f>IFERROR(__xludf.DUMMYFUNCTION("""COMPUTED_VALUE"""),"Standby On Call")</f>
        <v>Standby On Call</v>
      </c>
      <c r="J676" s="3" t="str">
        <f>IFERROR(__xludf.DUMMYFUNCTION("""COMPUTED_VALUE"""),"Standby")</f>
        <v>Standby</v>
      </c>
      <c r="K676" s="27">
        <f>IFERROR(__xludf.DUMMYFUNCTION("""COMPUTED_VALUE"""),46031.0)</f>
        <v>46031</v>
      </c>
      <c r="L676" s="3"/>
      <c r="M676" s="3" t="str">
        <f>IFERROR(__xludf.DUMMYFUNCTION("""COMPUTED_VALUE"""),"Waiting Update")</f>
        <v>Waiting Update</v>
      </c>
      <c r="N676" s="3"/>
      <c r="O676" s="3" t="str">
        <f>IFERROR(VLOOKUP(C676,Sheet4!A676:F1463,6,0),"")</f>
        <v/>
      </c>
      <c r="Q676" s="2" t="str">
        <f t="shared" si="1"/>
        <v>09</v>
      </c>
    </row>
    <row r="677">
      <c r="A677" s="3" t="str">
        <f>IFERROR(__xludf.DUMMYFUNCTION("""COMPUTED_VALUE"""),"Standby On Call")</f>
        <v>Standby On Call</v>
      </c>
      <c r="B677" s="3" t="str">
        <f>IFERROR(__xludf.DUMMYFUNCTION("""COMPUTED_VALUE"""),"P3")</f>
        <v>P3</v>
      </c>
      <c r="C677" s="3"/>
      <c r="D677" s="3" t="str">
        <f>IFERROR(__xludf.DUMMYFUNCTION("""COMPUTED_VALUE"""),"Putra wardana")</f>
        <v>Putra wardana</v>
      </c>
      <c r="E677" s="3" t="str">
        <f>IFERROR(__xludf.DUMMYFUNCTION("""COMPUTED_VALUE"""),"TE")</f>
        <v>TE</v>
      </c>
      <c r="F677" s="3" t="str">
        <f>IFERROR(__xludf.DUMMYFUNCTION("""COMPUTED_VALUE"""),"Winda Sokenda")</f>
        <v>Winda Sokenda</v>
      </c>
      <c r="G677" s="3" t="str">
        <f>IFERROR(__xludf.DUMMYFUNCTION("""COMPUTED_VALUE"""),"Barito Raya")</f>
        <v>Barito Raya</v>
      </c>
      <c r="H677" s="3" t="str">
        <f>IFERROR(__xludf.DUMMYFUNCTION("""COMPUTED_VALUE"""),"Standby")</f>
        <v>Standby</v>
      </c>
      <c r="I677" s="3" t="str">
        <f>IFERROR(__xludf.DUMMYFUNCTION("""COMPUTED_VALUE"""),"Standby On Call")</f>
        <v>Standby On Call</v>
      </c>
      <c r="J677" s="3"/>
      <c r="K677" s="27">
        <f>IFERROR(__xludf.DUMMYFUNCTION("""COMPUTED_VALUE"""),46034.0)</f>
        <v>46034</v>
      </c>
      <c r="L677" s="27">
        <f>IFERROR(__xludf.DUMMYFUNCTION("""COMPUTED_VALUE"""),46034.0)</f>
        <v>46034</v>
      </c>
      <c r="M677" s="3"/>
      <c r="N677" s="3"/>
      <c r="O677" s="3" t="str">
        <f>IFERROR(VLOOKUP(C677,Sheet4!A677:F1464,6,0),"")</f>
        <v/>
      </c>
      <c r="Q677" s="2" t="str">
        <f t="shared" si="1"/>
        <v>12</v>
      </c>
    </row>
    <row r="678">
      <c r="A678" s="3" t="str">
        <f>IFERROR(__xludf.DUMMYFUNCTION("""COMPUTED_VALUE"""),"Cell down")</f>
        <v>Cell down</v>
      </c>
      <c r="B678" s="3" t="str">
        <f>IFERROR(__xludf.DUMMYFUNCTION("""COMPUTED_VALUE"""),"P1")</f>
        <v>P1</v>
      </c>
      <c r="C678" s="3" t="str">
        <f>IFERROR(__xludf.DUMMYFUNCTION("""COMPUTED_VALUE"""),"BNT004")</f>
        <v>BNT004</v>
      </c>
      <c r="D678" s="3" t="str">
        <f>IFERROR(__xludf.DUMMYFUNCTION("""COMPUTED_VALUE"""),"Sailillah")</f>
        <v>Sailillah</v>
      </c>
      <c r="E678" s="3" t="str">
        <f>IFERROR(__xludf.DUMMYFUNCTION("""COMPUTED_VALUE"""),"TE")</f>
        <v>TE</v>
      </c>
      <c r="F678" s="3" t="str">
        <f>IFERROR(__xludf.DUMMYFUNCTION("""COMPUTED_VALUE"""),"Winda Sokenda")</f>
        <v>Winda Sokenda</v>
      </c>
      <c r="G678" s="3" t="str">
        <f>IFERROR(__xludf.DUMMYFUNCTION("""COMPUTED_VALUE"""),"Barito Raya")</f>
        <v>Barito Raya</v>
      </c>
      <c r="H678" s="3" t="str">
        <f>IFERROR(__xludf.DUMMYFUNCTION("""COMPUTED_VALUE"""),"Corrective")</f>
        <v>Corrective</v>
      </c>
      <c r="I678" s="3" t="str">
        <f>IFERROR(__xludf.DUMMYFUNCTION("""COMPUTED_VALUE"""),"Replace Optik,RRU/Soket Power/Replace GPS")</f>
        <v>Replace Optik,RRU/Soket Power/Replace GPS</v>
      </c>
      <c r="J678" s="3" t="str">
        <f>IFERROR(__xludf.DUMMYFUNCTION("""COMPUTED_VALUE"""),"On Progress")</f>
        <v>On Progress</v>
      </c>
      <c r="K678" s="27">
        <f>IFERROR(__xludf.DUMMYFUNCTION("""COMPUTED_VALUE"""),46034.0)</f>
        <v>46034</v>
      </c>
      <c r="L678" s="27">
        <f>IFERROR(__xludf.DUMMYFUNCTION("""COMPUTED_VALUE"""),46034.0)</f>
        <v>46034</v>
      </c>
      <c r="M678" s="3" t="str">
        <f>IFERROR(__xludf.DUMMYFUNCTION("""COMPUTED_VALUE"""),"Pending")</f>
        <v>Pending</v>
      </c>
      <c r="N678" s="3" t="str">
        <f>IFERROR(__xludf.DUMMYFUNCTION("""COMPUTED_VALUE"""),"Waiting part RRU &amp; Antena GPS")</f>
        <v>Waiting part RRU &amp; Antena GPS</v>
      </c>
      <c r="O678" s="3" t="str">
        <f>IFERROR(VLOOKUP(C678,Sheet4!A678:F1465,6,0),"")</f>
        <v/>
      </c>
      <c r="Q678" s="2" t="str">
        <f t="shared" si="1"/>
        <v>12</v>
      </c>
    </row>
    <row r="679">
      <c r="A679" s="3" t="str">
        <f>IFERROR(__xludf.DUMMYFUNCTION("""COMPUTED_VALUE"""),"Cell down")</f>
        <v>Cell down</v>
      </c>
      <c r="B679" s="3" t="str">
        <f>IFERROR(__xludf.DUMMYFUNCTION("""COMPUTED_VALUE"""),"P1")</f>
        <v>P1</v>
      </c>
      <c r="C679" s="3" t="str">
        <f>IFERROR(__xludf.DUMMYFUNCTION("""COMPUTED_VALUE"""),"BNT004")</f>
        <v>BNT004</v>
      </c>
      <c r="D679" s="3" t="str">
        <f>IFERROR(__xludf.DUMMYFUNCTION("""COMPUTED_VALUE"""),"Tiviansyah")</f>
        <v>Tiviansyah</v>
      </c>
      <c r="E679" s="3" t="str">
        <f>IFERROR(__xludf.DUMMYFUNCTION("""COMPUTED_VALUE"""),"TE")</f>
        <v>TE</v>
      </c>
      <c r="F679" s="3" t="str">
        <f>IFERROR(__xludf.DUMMYFUNCTION("""COMPUTED_VALUE"""),"Winda Sokenda")</f>
        <v>Winda Sokenda</v>
      </c>
      <c r="G679" s="3" t="str">
        <f>IFERROR(__xludf.DUMMYFUNCTION("""COMPUTED_VALUE"""),"Barito Raya")</f>
        <v>Barito Raya</v>
      </c>
      <c r="H679" s="3" t="str">
        <f>IFERROR(__xludf.DUMMYFUNCTION("""COMPUTED_VALUE"""),"Corrective")</f>
        <v>Corrective</v>
      </c>
      <c r="I679" s="3" t="str">
        <f>IFERROR(__xludf.DUMMYFUNCTION("""COMPUTED_VALUE"""),"Replace Optik,RRU/Soket Power/Replace GPS")</f>
        <v>Replace Optik,RRU/Soket Power/Replace GPS</v>
      </c>
      <c r="J679" s="3" t="str">
        <f>IFERROR(__xludf.DUMMYFUNCTION("""COMPUTED_VALUE"""),"On Progress")</f>
        <v>On Progress</v>
      </c>
      <c r="K679" s="27">
        <f>IFERROR(__xludf.DUMMYFUNCTION("""COMPUTED_VALUE"""),46034.0)</f>
        <v>46034</v>
      </c>
      <c r="L679" s="27">
        <f>IFERROR(__xludf.DUMMYFUNCTION("""COMPUTED_VALUE"""),46034.0)</f>
        <v>46034</v>
      </c>
      <c r="M679" s="3" t="str">
        <f>IFERROR(__xludf.DUMMYFUNCTION("""COMPUTED_VALUE"""),"Pending")</f>
        <v>Pending</v>
      </c>
      <c r="N679" s="3" t="str">
        <f>IFERROR(__xludf.DUMMYFUNCTION("""COMPUTED_VALUE"""),"Waiting part RRU &amp; Antena GPS")</f>
        <v>Waiting part RRU &amp; Antena GPS</v>
      </c>
      <c r="O679" s="3" t="str">
        <f>IFERROR(VLOOKUP(C679,Sheet4!A679:F1466,6,0),"")</f>
        <v/>
      </c>
      <c r="Q679" s="2" t="str">
        <f t="shared" si="1"/>
        <v>12</v>
      </c>
    </row>
    <row r="680">
      <c r="A680" s="3" t="str">
        <f>IFERROR(__xludf.DUMMYFUNCTION("""COMPUTED_VALUE"""),"Pengecekan Power")</f>
        <v>Pengecekan Power</v>
      </c>
      <c r="B680" s="3" t="str">
        <f>IFERROR(__xludf.DUMMYFUNCTION("""COMPUTED_VALUE"""),"P1")</f>
        <v>P1</v>
      </c>
      <c r="C680" s="3" t="str">
        <f>IFERROR(__xludf.DUMMYFUNCTION("""COMPUTED_VALUE"""),"MTW063")</f>
        <v>MTW063</v>
      </c>
      <c r="D680" s="3" t="str">
        <f>IFERROR(__xludf.DUMMYFUNCTION("""COMPUTED_VALUE"""),"munawir akhmad")</f>
        <v>munawir akhmad</v>
      </c>
      <c r="E680" s="3" t="str">
        <f>IFERROR(__xludf.DUMMYFUNCTION("""COMPUTED_VALUE"""),"TE")</f>
        <v>TE</v>
      </c>
      <c r="F680" s="3" t="str">
        <f>IFERROR(__xludf.DUMMYFUNCTION("""COMPUTED_VALUE"""),"Winda Sokenda")</f>
        <v>Winda Sokenda</v>
      </c>
      <c r="G680" s="3" t="str">
        <f>IFERROR(__xludf.DUMMYFUNCTION("""COMPUTED_VALUE"""),"Barito Raya")</f>
        <v>Barito Raya</v>
      </c>
      <c r="H680" s="3" t="str">
        <f>IFERROR(__xludf.DUMMYFUNCTION("""COMPUTED_VALUE"""),"Preventive")</f>
        <v>Preventive</v>
      </c>
      <c r="I680" s="3" t="str">
        <f>IFERROR(__xludf.DUMMYFUNCTION("""COMPUTED_VALUE"""),"MCB trip/Power upnormal")</f>
        <v>MCB trip/Power upnormal</v>
      </c>
      <c r="J680" s="3" t="str">
        <f>IFERROR(__xludf.DUMMYFUNCTION("""COMPUTED_VALUE"""),"On Progress")</f>
        <v>On Progress</v>
      </c>
      <c r="K680" s="27">
        <f>IFERROR(__xludf.DUMMYFUNCTION("""COMPUTED_VALUE"""),46034.0)</f>
        <v>46034</v>
      </c>
      <c r="L680" s="27">
        <f>IFERROR(__xludf.DUMMYFUNCTION("""COMPUTED_VALUE"""),46034.0)</f>
        <v>46034</v>
      </c>
      <c r="M680" s="3" t="str">
        <f>IFERROR(__xludf.DUMMYFUNCTION("""COMPUTED_VALUE"""),"Done")</f>
        <v>Done</v>
      </c>
      <c r="N680" s="3"/>
      <c r="O680" s="3" t="str">
        <f>IFERROR(VLOOKUP(C680,Sheet4!A680:F1467,6,0),"")</f>
        <v/>
      </c>
      <c r="Q680" s="2" t="str">
        <f t="shared" si="1"/>
        <v>12</v>
      </c>
    </row>
    <row r="681">
      <c r="A681" s="3" t="str">
        <f>IFERROR(__xludf.DUMMYFUNCTION("""COMPUTED_VALUE"""),"Pengecekan Power")</f>
        <v>Pengecekan Power</v>
      </c>
      <c r="B681" s="3" t="str">
        <f>IFERROR(__xludf.DUMMYFUNCTION("""COMPUTED_VALUE"""),"P1")</f>
        <v>P1</v>
      </c>
      <c r="C681" s="3" t="str">
        <f>IFERROR(__xludf.DUMMYFUNCTION("""COMPUTED_VALUE"""),"MTW063")</f>
        <v>MTW063</v>
      </c>
      <c r="D681" s="3" t="str">
        <f>IFERROR(__xludf.DUMMYFUNCTION("""COMPUTED_VALUE"""),"Riki Hidayat")</f>
        <v>Riki Hidayat</v>
      </c>
      <c r="E681" s="3" t="str">
        <f>IFERROR(__xludf.DUMMYFUNCTION("""COMPUTED_VALUE"""),"TE")</f>
        <v>TE</v>
      </c>
      <c r="F681" s="3" t="str">
        <f>IFERROR(__xludf.DUMMYFUNCTION("""COMPUTED_VALUE"""),"Winda Sokenda")</f>
        <v>Winda Sokenda</v>
      </c>
      <c r="G681" s="3" t="str">
        <f>IFERROR(__xludf.DUMMYFUNCTION("""COMPUTED_VALUE"""),"Barito Raya")</f>
        <v>Barito Raya</v>
      </c>
      <c r="H681" s="3" t="str">
        <f>IFERROR(__xludf.DUMMYFUNCTION("""COMPUTED_VALUE"""),"Preventive")</f>
        <v>Preventive</v>
      </c>
      <c r="I681" s="3" t="str">
        <f>IFERROR(__xludf.DUMMYFUNCTION("""COMPUTED_VALUE"""),"MCB trip/Power upnormal")</f>
        <v>MCB trip/Power upnormal</v>
      </c>
      <c r="J681" s="3" t="str">
        <f>IFERROR(__xludf.DUMMYFUNCTION("""COMPUTED_VALUE"""),"On Progress")</f>
        <v>On Progress</v>
      </c>
      <c r="K681" s="27">
        <f>IFERROR(__xludf.DUMMYFUNCTION("""COMPUTED_VALUE"""),46034.0)</f>
        <v>46034</v>
      </c>
      <c r="L681" s="27">
        <f>IFERROR(__xludf.DUMMYFUNCTION("""COMPUTED_VALUE"""),46034.0)</f>
        <v>46034</v>
      </c>
      <c r="M681" s="3" t="str">
        <f>IFERROR(__xludf.DUMMYFUNCTION("""COMPUTED_VALUE"""),"Done")</f>
        <v>Done</v>
      </c>
      <c r="N681" s="3"/>
      <c r="O681" s="3" t="str">
        <f>IFERROR(VLOOKUP(C681,Sheet4!A681:F1468,6,0),"")</f>
        <v/>
      </c>
      <c r="Q681" s="2" t="str">
        <f t="shared" si="1"/>
        <v>12</v>
      </c>
    </row>
    <row r="682">
      <c r="A682" s="3" t="str">
        <f>IFERROR(__xludf.DUMMYFUNCTION("""COMPUTED_VALUE"""),"Pengecekan Power")</f>
        <v>Pengecekan Power</v>
      </c>
      <c r="B682" s="3" t="str">
        <f>IFERROR(__xludf.DUMMYFUNCTION("""COMPUTED_VALUE"""),"P1")</f>
        <v>P1</v>
      </c>
      <c r="C682" s="3" t="str">
        <f>IFERROR(__xludf.DUMMYFUNCTION("""COMPUTED_VALUE"""),"PRC009")</f>
        <v>PRC009</v>
      </c>
      <c r="D682" s="3" t="str">
        <f>IFERROR(__xludf.DUMMYFUNCTION("""COMPUTED_VALUE"""),"Murjani")</f>
        <v>Murjani</v>
      </c>
      <c r="E682" s="3" t="str">
        <f>IFERROR(__xludf.DUMMYFUNCTION("""COMPUTED_VALUE"""),"TE")</f>
        <v>TE</v>
      </c>
      <c r="F682" s="3" t="str">
        <f>IFERROR(__xludf.DUMMYFUNCTION("""COMPUTED_VALUE"""),"Winda Sokenda")</f>
        <v>Winda Sokenda</v>
      </c>
      <c r="G682" s="3" t="str">
        <f>IFERROR(__xludf.DUMMYFUNCTION("""COMPUTED_VALUE"""),"Barito Raya")</f>
        <v>Barito Raya</v>
      </c>
      <c r="H682" s="3" t="str">
        <f>IFERROR(__xludf.DUMMYFUNCTION("""COMPUTED_VALUE"""),"Preventive")</f>
        <v>Preventive</v>
      </c>
      <c r="I682" s="3" t="str">
        <f>IFERROR(__xludf.DUMMYFUNCTION("""COMPUTED_VALUE"""),"MCB trip/Power upnormal")</f>
        <v>MCB trip/Power upnormal</v>
      </c>
      <c r="J682" s="3" t="str">
        <f>IFERROR(__xludf.DUMMYFUNCTION("""COMPUTED_VALUE"""),"On Progress")</f>
        <v>On Progress</v>
      </c>
      <c r="K682" s="27">
        <f>IFERROR(__xludf.DUMMYFUNCTION("""COMPUTED_VALUE"""),46034.0)</f>
        <v>46034</v>
      </c>
      <c r="L682" s="27">
        <f>IFERROR(__xludf.DUMMYFUNCTION("""COMPUTED_VALUE"""),46034.0)</f>
        <v>46034</v>
      </c>
      <c r="M682" s="3" t="str">
        <f>IFERROR(__xludf.DUMMYFUNCTION("""COMPUTED_VALUE"""),"Done")</f>
        <v>Done</v>
      </c>
      <c r="N682" s="3"/>
      <c r="O682" s="3" t="str">
        <f>IFERROR(VLOOKUP(C682,Sheet4!A682:F1469,6,0),"")</f>
        <v/>
      </c>
      <c r="Q682" s="2" t="str">
        <f t="shared" si="1"/>
        <v>12</v>
      </c>
    </row>
    <row r="683">
      <c r="A683" s="3" t="str">
        <f>IFERROR(__xludf.DUMMYFUNCTION("""COMPUTED_VALUE"""),"Sick")</f>
        <v>Sick</v>
      </c>
      <c r="B683" s="3" t="str">
        <f>IFERROR(__xludf.DUMMYFUNCTION("""COMPUTED_VALUE"""),"P3")</f>
        <v>P3</v>
      </c>
      <c r="C683" s="3"/>
      <c r="D683" s="3" t="str">
        <f>IFERROR(__xludf.DUMMYFUNCTION("""COMPUTED_VALUE"""),"Armadi")</f>
        <v>Armadi</v>
      </c>
      <c r="E683" s="3" t="str">
        <f>IFERROR(__xludf.DUMMYFUNCTION("""COMPUTED_VALUE"""),"TE")</f>
        <v>TE</v>
      </c>
      <c r="F683" s="3" t="str">
        <f>IFERROR(__xludf.DUMMYFUNCTION("""COMPUTED_VALUE"""),"Winda Sokenda")</f>
        <v>Winda Sokenda</v>
      </c>
      <c r="G683" s="3" t="str">
        <f>IFERROR(__xludf.DUMMYFUNCTION("""COMPUTED_VALUE"""),"Barito Raya")</f>
        <v>Barito Raya</v>
      </c>
      <c r="H683" s="3" t="str">
        <f>IFERROR(__xludf.DUMMYFUNCTION("""COMPUTED_VALUE"""),"Sick")</f>
        <v>Sick</v>
      </c>
      <c r="I683" s="3" t="str">
        <f>IFERROR(__xludf.DUMMYFUNCTION("""COMPUTED_VALUE"""),"Sick")</f>
        <v>Sick</v>
      </c>
      <c r="J683" s="3"/>
      <c r="K683" s="27">
        <f>IFERROR(__xludf.DUMMYFUNCTION("""COMPUTED_VALUE"""),46034.0)</f>
        <v>46034</v>
      </c>
      <c r="L683" s="27">
        <f>IFERROR(__xludf.DUMMYFUNCTION("""COMPUTED_VALUE"""),46034.0)</f>
        <v>46034</v>
      </c>
      <c r="M683" s="3"/>
      <c r="N683" s="3"/>
      <c r="O683" s="3" t="str">
        <f>IFERROR(VLOOKUP(C683,Sheet4!A683:F1470,6,0),"")</f>
        <v/>
      </c>
      <c r="Q683" s="2" t="str">
        <f t="shared" si="1"/>
        <v>12</v>
      </c>
    </row>
    <row r="684">
      <c r="A684" s="3" t="str">
        <f>IFERROR(__xludf.DUMMYFUNCTION("""COMPUTED_VALUE"""),"PM")</f>
        <v>PM</v>
      </c>
      <c r="B684" s="3" t="str">
        <f>IFERROR(__xludf.DUMMYFUNCTION("""COMPUTED_VALUE"""),"P2")</f>
        <v>P2</v>
      </c>
      <c r="C684" s="3" t="str">
        <f>IFERROR(__xludf.DUMMYFUNCTION("""COMPUTED_VALUE"""),"KKP034")</f>
        <v>KKP034</v>
      </c>
      <c r="D684" s="3" t="str">
        <f>IFERROR(__xludf.DUMMYFUNCTION("""COMPUTED_VALUE"""),"Reynaldy Ricardo Putra")</f>
        <v>Reynaldy Ricardo Putra</v>
      </c>
      <c r="E684" s="3" t="str">
        <f>IFERROR(__xludf.DUMMYFUNCTION("""COMPUTED_VALUE"""),"TE")</f>
        <v>TE</v>
      </c>
      <c r="F684" s="3" t="str">
        <f>IFERROR(__xludf.DUMMYFUNCTION("""COMPUTED_VALUE"""),"Winda Sokenda")</f>
        <v>Winda Sokenda</v>
      </c>
      <c r="G684" s="3" t="str">
        <f>IFERROR(__xludf.DUMMYFUNCTION("""COMPUTED_VALUE"""),"Barito Raya")</f>
        <v>Barito Raya</v>
      </c>
      <c r="H684" s="3" t="str">
        <f>IFERROR(__xludf.DUMMYFUNCTION("""COMPUTED_VALUE"""),"Preventive")</f>
        <v>Preventive</v>
      </c>
      <c r="I684" s="3" t="str">
        <f>IFERROR(__xludf.DUMMYFUNCTION("""COMPUTED_VALUE"""),"Preventive Maintenance")</f>
        <v>Preventive Maintenance</v>
      </c>
      <c r="J684" s="3" t="str">
        <f>IFERROR(__xludf.DUMMYFUNCTION("""COMPUTED_VALUE"""),"On Progress")</f>
        <v>On Progress</v>
      </c>
      <c r="K684" s="27">
        <f>IFERROR(__xludf.DUMMYFUNCTION("""COMPUTED_VALUE"""),46034.0)</f>
        <v>46034</v>
      </c>
      <c r="L684" s="27">
        <f>IFERROR(__xludf.DUMMYFUNCTION("""COMPUTED_VALUE"""),46034.0)</f>
        <v>46034</v>
      </c>
      <c r="M684" s="3" t="str">
        <f>IFERROR(__xludf.DUMMYFUNCTION("""COMPUTED_VALUE"""),"Done")</f>
        <v>Done</v>
      </c>
      <c r="N684" s="3"/>
      <c r="O684" s="3">
        <f>IFERROR(VLOOKUP(C684,Sheet4!A684:F1471,6,0),"")</f>
        <v>11441518</v>
      </c>
      <c r="Q684" s="2" t="str">
        <f t="shared" si="1"/>
        <v>12</v>
      </c>
    </row>
    <row r="685">
      <c r="A685" s="3" t="str">
        <f>IFERROR(__xludf.DUMMYFUNCTION("""COMPUTED_VALUE"""),"Site Down")</f>
        <v>Site Down</v>
      </c>
      <c r="B685" s="3" t="str">
        <f>IFERROR(__xludf.DUMMYFUNCTION("""COMPUTED_VALUE"""),"P1")</f>
        <v>P1</v>
      </c>
      <c r="C685" s="3" t="str">
        <f>IFERROR(__xludf.DUMMYFUNCTION("""COMPUTED_VALUE"""),"KKP074")</f>
        <v>KKP074</v>
      </c>
      <c r="D685" s="3" t="str">
        <f>IFERROR(__xludf.DUMMYFUNCTION("""COMPUTED_VALUE"""),"Sahrul Saputra")</f>
        <v>Sahrul Saputra</v>
      </c>
      <c r="E685" s="3" t="str">
        <f>IFERROR(__xludf.DUMMYFUNCTION("""COMPUTED_VALUE"""),"TE")</f>
        <v>TE</v>
      </c>
      <c r="F685" s="3" t="str">
        <f>IFERROR(__xludf.DUMMYFUNCTION("""COMPUTED_VALUE"""),"Winda Sokenda")</f>
        <v>Winda Sokenda</v>
      </c>
      <c r="G685" s="3" t="str">
        <f>IFERROR(__xludf.DUMMYFUNCTION("""COMPUTED_VALUE"""),"Barito Raya")</f>
        <v>Barito Raya</v>
      </c>
      <c r="H685" s="3" t="str">
        <f>IFERROR(__xludf.DUMMYFUNCTION("""COMPUTED_VALUE"""),"Corrective")</f>
        <v>Corrective</v>
      </c>
      <c r="I685" s="3" t="str">
        <f>IFERROR(__xludf.DUMMYFUNCTION("""COMPUTED_VALUE"""),"Pemadaman,MCB Trip,Transmisi problem")</f>
        <v>Pemadaman,MCB Trip,Transmisi problem</v>
      </c>
      <c r="J685" s="3" t="str">
        <f>IFERROR(__xludf.DUMMYFUNCTION("""COMPUTED_VALUE"""),"On Progress")</f>
        <v>On Progress</v>
      </c>
      <c r="K685" s="27">
        <f>IFERROR(__xludf.DUMMYFUNCTION("""COMPUTED_VALUE"""),46034.0)</f>
        <v>46034</v>
      </c>
      <c r="L685" s="27">
        <f>IFERROR(__xludf.DUMMYFUNCTION("""COMPUTED_VALUE"""),46034.0)</f>
        <v>46034</v>
      </c>
      <c r="M685" s="3" t="str">
        <f>IFERROR(__xludf.DUMMYFUNCTION("""COMPUTED_VALUE"""),"Done")</f>
        <v>Done</v>
      </c>
      <c r="N685" s="3"/>
      <c r="O685" s="3" t="str">
        <f>IFERROR(VLOOKUP(C685,Sheet4!A685:F1472,6,0),"")</f>
        <v/>
      </c>
      <c r="Q685" s="2" t="str">
        <f t="shared" si="1"/>
        <v>12</v>
      </c>
    </row>
    <row r="686">
      <c r="A686" s="3" t="str">
        <f>IFERROR(__xludf.DUMMYFUNCTION("""COMPUTED_VALUE"""),"Standby On Call")</f>
        <v>Standby On Call</v>
      </c>
      <c r="B686" s="3" t="str">
        <f>IFERROR(__xludf.DUMMYFUNCTION("""COMPUTED_VALUE"""),"P3")</f>
        <v>P3</v>
      </c>
      <c r="C686" s="3"/>
      <c r="D686" s="3" t="str">
        <f>IFERROR(__xludf.DUMMYFUNCTION("""COMPUTED_VALUE"""),"Harun Nurasyid")</f>
        <v>Harun Nurasyid</v>
      </c>
      <c r="E686" s="3" t="str">
        <f>IFERROR(__xludf.DUMMYFUNCTION("""COMPUTED_VALUE"""),"CME")</f>
        <v>CME</v>
      </c>
      <c r="F686" s="3" t="str">
        <f>IFERROR(__xludf.DUMMYFUNCTION("""COMPUTED_VALUE"""),"Winda Sokenda")</f>
        <v>Winda Sokenda</v>
      </c>
      <c r="G686" s="3" t="str">
        <f>IFERROR(__xludf.DUMMYFUNCTION("""COMPUTED_VALUE"""),"Barito Raya")</f>
        <v>Barito Raya</v>
      </c>
      <c r="H686" s="3" t="str">
        <f>IFERROR(__xludf.DUMMYFUNCTION("""COMPUTED_VALUE"""),"Standby")</f>
        <v>Standby</v>
      </c>
      <c r="I686" s="3" t="str">
        <f>IFERROR(__xludf.DUMMYFUNCTION("""COMPUTED_VALUE"""),"Standby On Call")</f>
        <v>Standby On Call</v>
      </c>
      <c r="J686" s="3"/>
      <c r="K686" s="27">
        <f>IFERROR(__xludf.DUMMYFUNCTION("""COMPUTED_VALUE"""),46034.0)</f>
        <v>46034</v>
      </c>
      <c r="L686" s="27">
        <f>IFERROR(__xludf.DUMMYFUNCTION("""COMPUTED_VALUE"""),46034.0)</f>
        <v>46034</v>
      </c>
      <c r="M686" s="3"/>
      <c r="N686" s="3"/>
      <c r="O686" s="3" t="str">
        <f>IFERROR(VLOOKUP(C686,Sheet4!A686:F1473,6,0),"")</f>
        <v/>
      </c>
      <c r="Q686" s="2" t="str">
        <f t="shared" si="1"/>
        <v>12</v>
      </c>
    </row>
    <row r="687">
      <c r="A687" s="3" t="str">
        <f>IFERROR(__xludf.DUMMYFUNCTION("""COMPUTED_VALUE"""),"Standby On Call")</f>
        <v>Standby On Call</v>
      </c>
      <c r="B687" s="3" t="str">
        <f>IFERROR(__xludf.DUMMYFUNCTION("""COMPUTED_VALUE"""),"P3")</f>
        <v>P3</v>
      </c>
      <c r="C687" s="3"/>
      <c r="D687" s="3" t="str">
        <f>IFERROR(__xludf.DUMMYFUNCTION("""COMPUTED_VALUE"""),"Nurhayat")</f>
        <v>Nurhayat</v>
      </c>
      <c r="E687" s="3" t="str">
        <f>IFERROR(__xludf.DUMMYFUNCTION("""COMPUTED_VALUE"""),"MBP")</f>
        <v>MBP</v>
      </c>
      <c r="F687" s="3" t="str">
        <f>IFERROR(__xludf.DUMMYFUNCTION("""COMPUTED_VALUE"""),"Winda Sokenda")</f>
        <v>Winda Sokenda</v>
      </c>
      <c r="G687" s="3" t="str">
        <f>IFERROR(__xludf.DUMMYFUNCTION("""COMPUTED_VALUE"""),"Barito Raya")</f>
        <v>Barito Raya</v>
      </c>
      <c r="H687" s="3" t="str">
        <f>IFERROR(__xludf.DUMMYFUNCTION("""COMPUTED_VALUE"""),"Standby")</f>
        <v>Standby</v>
      </c>
      <c r="I687" s="3" t="str">
        <f>IFERROR(__xludf.DUMMYFUNCTION("""COMPUTED_VALUE"""),"Standby On Call")</f>
        <v>Standby On Call</v>
      </c>
      <c r="J687" s="3"/>
      <c r="K687" s="27">
        <f>IFERROR(__xludf.DUMMYFUNCTION("""COMPUTED_VALUE"""),46034.0)</f>
        <v>46034</v>
      </c>
      <c r="L687" s="27">
        <f>IFERROR(__xludf.DUMMYFUNCTION("""COMPUTED_VALUE"""),46034.0)</f>
        <v>46034</v>
      </c>
      <c r="M687" s="3"/>
      <c r="N687" s="3"/>
      <c r="O687" s="3" t="str">
        <f>IFERROR(VLOOKUP(C687,Sheet4!A687:F1474,6,0),"")</f>
        <v/>
      </c>
      <c r="Q687" s="2" t="str">
        <f t="shared" si="1"/>
        <v>12</v>
      </c>
    </row>
    <row r="688">
      <c r="A688" s="3" t="str">
        <f>IFERROR(__xludf.DUMMYFUNCTION("""COMPUTED_VALUE"""),"Standby On Call")</f>
        <v>Standby On Call</v>
      </c>
      <c r="B688" s="3" t="str">
        <f>IFERROR(__xludf.DUMMYFUNCTION("""COMPUTED_VALUE"""),"P3")</f>
        <v>P3</v>
      </c>
      <c r="C688" s="3"/>
      <c r="D688" s="3" t="str">
        <f>IFERROR(__xludf.DUMMYFUNCTION("""COMPUTED_VALUE"""),"Taklim")</f>
        <v>Taklim</v>
      </c>
      <c r="E688" s="3" t="str">
        <f>IFERROR(__xludf.DUMMYFUNCTION("""COMPUTED_VALUE"""),"MBP")</f>
        <v>MBP</v>
      </c>
      <c r="F688" s="3" t="str">
        <f>IFERROR(__xludf.DUMMYFUNCTION("""COMPUTED_VALUE"""),"Winda Sokenda")</f>
        <v>Winda Sokenda</v>
      </c>
      <c r="G688" s="3" t="str">
        <f>IFERROR(__xludf.DUMMYFUNCTION("""COMPUTED_VALUE"""),"Barito Raya")</f>
        <v>Barito Raya</v>
      </c>
      <c r="H688" s="3" t="str">
        <f>IFERROR(__xludf.DUMMYFUNCTION("""COMPUTED_VALUE"""),"Standby")</f>
        <v>Standby</v>
      </c>
      <c r="I688" s="3" t="str">
        <f>IFERROR(__xludf.DUMMYFUNCTION("""COMPUTED_VALUE"""),"Standby On Call")</f>
        <v>Standby On Call</v>
      </c>
      <c r="J688" s="3"/>
      <c r="K688" s="27">
        <f>IFERROR(__xludf.DUMMYFUNCTION("""COMPUTED_VALUE"""),46034.0)</f>
        <v>46034</v>
      </c>
      <c r="L688" s="27">
        <f>IFERROR(__xludf.DUMMYFUNCTION("""COMPUTED_VALUE"""),46034.0)</f>
        <v>46034</v>
      </c>
      <c r="M688" s="3"/>
      <c r="N688" s="3"/>
      <c r="O688" s="3" t="str">
        <f>IFERROR(VLOOKUP(C688,Sheet4!A688:F1475,6,0),"")</f>
        <v/>
      </c>
      <c r="Q688" s="2" t="str">
        <f t="shared" si="1"/>
        <v>12</v>
      </c>
    </row>
    <row r="689">
      <c r="A689" s="3" t="str">
        <f>IFERROR(__xludf.DUMMYFUNCTION("""COMPUTED_VALUE"""),"Standby On Call")</f>
        <v>Standby On Call</v>
      </c>
      <c r="B689" s="3" t="str">
        <f>IFERROR(__xludf.DUMMYFUNCTION("""COMPUTED_VALUE"""),"P3")</f>
        <v>P3</v>
      </c>
      <c r="C689" s="3"/>
      <c r="D689" s="3" t="str">
        <f>IFERROR(__xludf.DUMMYFUNCTION("""COMPUTED_VALUE"""),"Ahmad Muzakir")</f>
        <v>Ahmad Muzakir</v>
      </c>
      <c r="E689" s="3" t="str">
        <f>IFERROR(__xludf.DUMMYFUNCTION("""COMPUTED_VALUE"""),"MBP")</f>
        <v>MBP</v>
      </c>
      <c r="F689" s="3" t="str">
        <f>IFERROR(__xludf.DUMMYFUNCTION("""COMPUTED_VALUE"""),"Winda Sokenda")</f>
        <v>Winda Sokenda</v>
      </c>
      <c r="G689" s="3" t="str">
        <f>IFERROR(__xludf.DUMMYFUNCTION("""COMPUTED_VALUE"""),"Barito Raya")</f>
        <v>Barito Raya</v>
      </c>
      <c r="H689" s="3" t="str">
        <f>IFERROR(__xludf.DUMMYFUNCTION("""COMPUTED_VALUE"""),"Standby")</f>
        <v>Standby</v>
      </c>
      <c r="I689" s="3" t="str">
        <f>IFERROR(__xludf.DUMMYFUNCTION("""COMPUTED_VALUE"""),"Standby On Call")</f>
        <v>Standby On Call</v>
      </c>
      <c r="J689" s="3"/>
      <c r="K689" s="27">
        <f>IFERROR(__xludf.DUMMYFUNCTION("""COMPUTED_VALUE"""),46034.0)</f>
        <v>46034</v>
      </c>
      <c r="L689" s="27">
        <f>IFERROR(__xludf.DUMMYFUNCTION("""COMPUTED_VALUE"""),46034.0)</f>
        <v>46034</v>
      </c>
      <c r="M689" s="3"/>
      <c r="N689" s="3"/>
      <c r="O689" s="3" t="str">
        <f>IFERROR(VLOOKUP(C689,Sheet4!A689:F1476,6,0),"")</f>
        <v/>
      </c>
      <c r="Q689" s="2" t="str">
        <f t="shared" si="1"/>
        <v>12</v>
      </c>
    </row>
    <row r="690">
      <c r="A690" s="3" t="str">
        <f>IFERROR(__xludf.DUMMYFUNCTION("""COMPUTED_VALUE"""),"Standby On Call")</f>
        <v>Standby On Call</v>
      </c>
      <c r="B690" s="3" t="str">
        <f>IFERROR(__xludf.DUMMYFUNCTION("""COMPUTED_VALUE"""),"P3")</f>
        <v>P3</v>
      </c>
      <c r="C690" s="3"/>
      <c r="D690" s="3" t="str">
        <f>IFERROR(__xludf.DUMMYFUNCTION("""COMPUTED_VALUE"""),"Alfi Syahri")</f>
        <v>Alfi Syahri</v>
      </c>
      <c r="E690" s="3" t="str">
        <f>IFERROR(__xludf.DUMMYFUNCTION("""COMPUTED_VALUE"""),"CME")</f>
        <v>CME</v>
      </c>
      <c r="F690" s="3" t="str">
        <f>IFERROR(__xludf.DUMMYFUNCTION("""COMPUTED_VALUE"""),"Winda Sokenda")</f>
        <v>Winda Sokenda</v>
      </c>
      <c r="G690" s="3" t="str">
        <f>IFERROR(__xludf.DUMMYFUNCTION("""COMPUTED_VALUE"""),"Barito Raya")</f>
        <v>Barito Raya</v>
      </c>
      <c r="H690" s="3" t="str">
        <f>IFERROR(__xludf.DUMMYFUNCTION("""COMPUTED_VALUE"""),"Standby")</f>
        <v>Standby</v>
      </c>
      <c r="I690" s="3" t="str">
        <f>IFERROR(__xludf.DUMMYFUNCTION("""COMPUTED_VALUE"""),"Standby On Call")</f>
        <v>Standby On Call</v>
      </c>
      <c r="J690" s="3"/>
      <c r="K690" s="27">
        <f>IFERROR(__xludf.DUMMYFUNCTION("""COMPUTED_VALUE"""),46034.0)</f>
        <v>46034</v>
      </c>
      <c r="L690" s="27">
        <f>IFERROR(__xludf.DUMMYFUNCTION("""COMPUTED_VALUE"""),46034.0)</f>
        <v>46034</v>
      </c>
      <c r="M690" s="3"/>
      <c r="N690" s="3"/>
      <c r="O690" s="3" t="str">
        <f>IFERROR(VLOOKUP(C690,Sheet4!A690:F1477,6,0),"")</f>
        <v/>
      </c>
      <c r="Q690" s="2" t="str">
        <f t="shared" si="1"/>
        <v>12</v>
      </c>
    </row>
    <row r="691">
      <c r="A691" s="3" t="str">
        <f>IFERROR(__xludf.DUMMYFUNCTION("""COMPUTED_VALUE"""),"Standby On Call")</f>
        <v>Standby On Call</v>
      </c>
      <c r="B691" s="3" t="str">
        <f>IFERROR(__xludf.DUMMYFUNCTION("""COMPUTED_VALUE"""),"P3")</f>
        <v>P3</v>
      </c>
      <c r="C691" s="3"/>
      <c r="D691" s="3" t="str">
        <f>IFERROR(__xludf.DUMMYFUNCTION("""COMPUTED_VALUE"""),"Pujianto")</f>
        <v>Pujianto</v>
      </c>
      <c r="E691" s="3" t="str">
        <f>IFERROR(__xludf.DUMMYFUNCTION("""COMPUTED_VALUE"""),"MBP")</f>
        <v>MBP</v>
      </c>
      <c r="F691" s="3" t="str">
        <f>IFERROR(__xludf.DUMMYFUNCTION("""COMPUTED_VALUE"""),"Winda Sokenda")</f>
        <v>Winda Sokenda</v>
      </c>
      <c r="G691" s="3" t="str">
        <f>IFERROR(__xludf.DUMMYFUNCTION("""COMPUTED_VALUE"""),"Barito Raya")</f>
        <v>Barito Raya</v>
      </c>
      <c r="H691" s="3" t="str">
        <f>IFERROR(__xludf.DUMMYFUNCTION("""COMPUTED_VALUE"""),"Standby")</f>
        <v>Standby</v>
      </c>
      <c r="I691" s="3" t="str">
        <f>IFERROR(__xludf.DUMMYFUNCTION("""COMPUTED_VALUE"""),"Standby On Call")</f>
        <v>Standby On Call</v>
      </c>
      <c r="J691" s="3"/>
      <c r="K691" s="27">
        <f>IFERROR(__xludf.DUMMYFUNCTION("""COMPUTED_VALUE"""),46034.0)</f>
        <v>46034</v>
      </c>
      <c r="L691" s="27">
        <f>IFERROR(__xludf.DUMMYFUNCTION("""COMPUTED_VALUE"""),46034.0)</f>
        <v>46034</v>
      </c>
      <c r="M691" s="3"/>
      <c r="N691" s="3"/>
      <c r="O691" s="3" t="str">
        <f>IFERROR(VLOOKUP(C691,Sheet4!A691:F1478,6,0),"")</f>
        <v/>
      </c>
      <c r="Q691" s="2" t="str">
        <f t="shared" si="1"/>
        <v>12</v>
      </c>
    </row>
    <row r="692">
      <c r="A692" s="3" t="str">
        <f>IFERROR(__xludf.DUMMYFUNCTION("""COMPUTED_VALUE"""),"PM")</f>
        <v>PM</v>
      </c>
      <c r="B692" s="3" t="str">
        <f>IFERROR(__xludf.DUMMYFUNCTION("""COMPUTED_VALUE"""),"P2")</f>
        <v>P2</v>
      </c>
      <c r="C692" s="3"/>
      <c r="D692" s="3" t="str">
        <f>IFERROR(__xludf.DUMMYFUNCTION("""COMPUTED_VALUE"""),"Trisno Susanto")</f>
        <v>Trisno Susanto</v>
      </c>
      <c r="E692" s="3" t="str">
        <f>IFERROR(__xludf.DUMMYFUNCTION("""COMPUTED_VALUE"""),"PM")</f>
        <v>PM</v>
      </c>
      <c r="F692" s="3" t="str">
        <f>IFERROR(__xludf.DUMMYFUNCTION("""COMPUTED_VALUE"""),"Winda Sokenda")</f>
        <v>Winda Sokenda</v>
      </c>
      <c r="G692" s="3" t="str">
        <f>IFERROR(__xludf.DUMMYFUNCTION("""COMPUTED_VALUE"""),"Barito Raya")</f>
        <v>Barito Raya</v>
      </c>
      <c r="H692" s="3" t="str">
        <f>IFERROR(__xludf.DUMMYFUNCTION("""COMPUTED_VALUE"""),"Preventive")</f>
        <v>Preventive</v>
      </c>
      <c r="I692" s="3" t="str">
        <f>IFERROR(__xludf.DUMMYFUNCTION("""COMPUTED_VALUE"""),"Preventive Maintenance")</f>
        <v>Preventive Maintenance</v>
      </c>
      <c r="J692" s="3" t="str">
        <f>IFERROR(__xludf.DUMMYFUNCTION("""COMPUTED_VALUE"""),"On Progress")</f>
        <v>On Progress</v>
      </c>
      <c r="K692" s="27">
        <f>IFERROR(__xludf.DUMMYFUNCTION("""COMPUTED_VALUE"""),46034.0)</f>
        <v>46034</v>
      </c>
      <c r="L692" s="27">
        <f>IFERROR(__xludf.DUMMYFUNCTION("""COMPUTED_VALUE"""),46034.0)</f>
        <v>46034</v>
      </c>
      <c r="M692" s="3" t="str">
        <f>IFERROR(__xludf.DUMMYFUNCTION("""COMPUTED_VALUE"""),"Done")</f>
        <v>Done</v>
      </c>
      <c r="N692" s="3"/>
      <c r="O692" s="3" t="str">
        <f>IFERROR(VLOOKUP(C692,Sheet4!A692:F1479,6,0),"")</f>
        <v/>
      </c>
      <c r="Q692" s="2" t="str">
        <f t="shared" si="1"/>
        <v>12</v>
      </c>
    </row>
    <row r="693">
      <c r="A693" s="3" t="str">
        <f>IFERROR(__xludf.DUMMYFUNCTION("""COMPUTED_VALUE"""),"PM")</f>
        <v>PM</v>
      </c>
      <c r="B693" s="3" t="str">
        <f>IFERROR(__xludf.DUMMYFUNCTION("""COMPUTED_VALUE"""),"P2")</f>
        <v>P2</v>
      </c>
      <c r="C693" s="3"/>
      <c r="D693" s="3" t="str">
        <f>IFERROR(__xludf.DUMMYFUNCTION("""COMPUTED_VALUE"""),"Khilal dawai katiri")</f>
        <v>Khilal dawai katiri</v>
      </c>
      <c r="E693" s="3" t="str">
        <f>IFERROR(__xludf.DUMMYFUNCTION("""COMPUTED_VALUE"""),"MBP")</f>
        <v>MBP</v>
      </c>
      <c r="F693" s="3" t="str">
        <f>IFERROR(__xludf.DUMMYFUNCTION("""COMPUTED_VALUE"""),"Winda Sokenda")</f>
        <v>Winda Sokenda</v>
      </c>
      <c r="G693" s="3" t="str">
        <f>IFERROR(__xludf.DUMMYFUNCTION("""COMPUTED_VALUE"""),"Barito Raya")</f>
        <v>Barito Raya</v>
      </c>
      <c r="H693" s="3" t="str">
        <f>IFERROR(__xludf.DUMMYFUNCTION("""COMPUTED_VALUE"""),"Preventive")</f>
        <v>Preventive</v>
      </c>
      <c r="I693" s="3" t="str">
        <f>IFERROR(__xludf.DUMMYFUNCTION("""COMPUTED_VALUE"""),"Preventive Maintenance")</f>
        <v>Preventive Maintenance</v>
      </c>
      <c r="J693" s="3" t="str">
        <f>IFERROR(__xludf.DUMMYFUNCTION("""COMPUTED_VALUE"""),"On Progress")</f>
        <v>On Progress</v>
      </c>
      <c r="K693" s="27">
        <f>IFERROR(__xludf.DUMMYFUNCTION("""COMPUTED_VALUE"""),46034.0)</f>
        <v>46034</v>
      </c>
      <c r="L693" s="27">
        <f>IFERROR(__xludf.DUMMYFUNCTION("""COMPUTED_VALUE"""),46034.0)</f>
        <v>46034</v>
      </c>
      <c r="M693" s="3" t="str">
        <f>IFERROR(__xludf.DUMMYFUNCTION("""COMPUTED_VALUE"""),"Done")</f>
        <v>Done</v>
      </c>
      <c r="N693" s="3"/>
      <c r="O693" s="3" t="str">
        <f>IFERROR(VLOOKUP(C693,Sheet4!A693:F1480,6,0),"")</f>
        <v/>
      </c>
      <c r="Q693" s="2" t="str">
        <f t="shared" si="1"/>
        <v>12</v>
      </c>
    </row>
    <row r="694">
      <c r="A694" s="3" t="str">
        <f>IFERROR(__xludf.DUMMYFUNCTION("""COMPUTED_VALUE"""),"PM")</f>
        <v>PM</v>
      </c>
      <c r="B694" s="3" t="str">
        <f>IFERROR(__xludf.DUMMYFUNCTION("""COMPUTED_VALUE"""),"P2")</f>
        <v>P2</v>
      </c>
      <c r="C694" s="3" t="str">
        <f>IFERROR(__xludf.DUMMYFUNCTION("""COMPUTED_VALUE"""),"MTW056")</f>
        <v>MTW056</v>
      </c>
      <c r="D694" s="3" t="str">
        <f>IFERROR(__xludf.DUMMYFUNCTION("""COMPUTED_VALUE"""),"Riko setiadi")</f>
        <v>Riko setiadi</v>
      </c>
      <c r="E694" s="3" t="str">
        <f>IFERROR(__xludf.DUMMYFUNCTION("""COMPUTED_VALUE"""),"PM")</f>
        <v>PM</v>
      </c>
      <c r="F694" s="3" t="str">
        <f>IFERROR(__xludf.DUMMYFUNCTION("""COMPUTED_VALUE"""),"Winda Sokenda")</f>
        <v>Winda Sokenda</v>
      </c>
      <c r="G694" s="3" t="str">
        <f>IFERROR(__xludf.DUMMYFUNCTION("""COMPUTED_VALUE"""),"Barito Raya")</f>
        <v>Barito Raya</v>
      </c>
      <c r="H694" s="3" t="str">
        <f>IFERROR(__xludf.DUMMYFUNCTION("""COMPUTED_VALUE"""),"Preventive")</f>
        <v>Preventive</v>
      </c>
      <c r="I694" s="3" t="str">
        <f>IFERROR(__xludf.DUMMYFUNCTION("""COMPUTED_VALUE"""),"Preventive Maintenance")</f>
        <v>Preventive Maintenance</v>
      </c>
      <c r="J694" s="3" t="str">
        <f>IFERROR(__xludf.DUMMYFUNCTION("""COMPUTED_VALUE"""),"On Progress")</f>
        <v>On Progress</v>
      </c>
      <c r="K694" s="27">
        <f>IFERROR(__xludf.DUMMYFUNCTION("""COMPUTED_VALUE"""),46034.0)</f>
        <v>46034</v>
      </c>
      <c r="L694" s="27">
        <f>IFERROR(__xludf.DUMMYFUNCTION("""COMPUTED_VALUE"""),46034.0)</f>
        <v>46034</v>
      </c>
      <c r="M694" s="3" t="str">
        <f>IFERROR(__xludf.DUMMYFUNCTION("""COMPUTED_VALUE"""),"Done")</f>
        <v>Done</v>
      </c>
      <c r="N694" s="3"/>
      <c r="O694" s="3" t="str">
        <f>IFERROR(VLOOKUP(C694,Sheet4!A694:F1481,6,0),"")</f>
        <v/>
      </c>
      <c r="Q694" s="2" t="str">
        <f t="shared" si="1"/>
        <v>12</v>
      </c>
    </row>
    <row r="695">
      <c r="A695" s="3" t="str">
        <f>IFERROR(__xludf.DUMMYFUNCTION("""COMPUTED_VALUE"""),"Cell down")</f>
        <v>Cell down</v>
      </c>
      <c r="B695" s="3" t="str">
        <f>IFERROR(__xludf.DUMMYFUNCTION("""COMPUTED_VALUE"""),"P1")</f>
        <v>P1</v>
      </c>
      <c r="C695" s="3" t="str">
        <f>IFERROR(__xludf.DUMMYFUNCTION("""COMPUTED_VALUE"""),"PLK242")</f>
        <v>PLK242</v>
      </c>
      <c r="D695" s="3" t="str">
        <f>IFERROR(__xludf.DUMMYFUNCTION("""COMPUTED_VALUE"""),"Ahmad")</f>
        <v>Ahmad</v>
      </c>
      <c r="E695" s="3" t="str">
        <f>IFERROR(__xludf.DUMMYFUNCTION("""COMPUTED_VALUE"""),"TE")</f>
        <v>TE</v>
      </c>
      <c r="F695" s="3" t="str">
        <f>IFERROR(__xludf.DUMMYFUNCTION("""COMPUTED_VALUE"""),"Doni Damara")</f>
        <v>Doni Damara</v>
      </c>
      <c r="G695" s="3" t="str">
        <f>IFERROR(__xludf.DUMMYFUNCTION("""COMPUTED_VALUE"""),"Palangkaraya")</f>
        <v>Palangkaraya</v>
      </c>
      <c r="H695" s="3" t="str">
        <f>IFERROR(__xludf.DUMMYFUNCTION("""COMPUTED_VALUE"""),"Corrective")</f>
        <v>Corrective</v>
      </c>
      <c r="I695" s="3" t="str">
        <f>IFERROR(__xludf.DUMMYFUNCTION("""COMPUTED_VALUE"""),"Replace Optik,RRU/Soket Power/Replace GPS")</f>
        <v>Replace Optik,RRU/Soket Power/Replace GPS</v>
      </c>
      <c r="J695" s="3" t="str">
        <f>IFERROR(__xludf.DUMMYFUNCTION("""COMPUTED_VALUE"""),"On Progress")</f>
        <v>On Progress</v>
      </c>
      <c r="K695" s="27">
        <f>IFERROR(__xludf.DUMMYFUNCTION("""COMPUTED_VALUE"""),46034.0)</f>
        <v>46034</v>
      </c>
      <c r="L695" s="3"/>
      <c r="M695" s="3" t="str">
        <f>IFERROR(__xludf.DUMMYFUNCTION("""COMPUTED_VALUE"""),"Waiting Update")</f>
        <v>Waiting Update</v>
      </c>
      <c r="N695" s="3"/>
      <c r="O695" s="3" t="str">
        <f>IFERROR(VLOOKUP(C695,Sheet4!A695:F1482,6,0),"")</f>
        <v/>
      </c>
      <c r="Q695" s="2" t="str">
        <f t="shared" si="1"/>
        <v>12</v>
      </c>
    </row>
    <row r="696">
      <c r="A696" s="3" t="str">
        <f>IFERROR(__xludf.DUMMYFUNCTION("""COMPUTED_VALUE"""),"Site Down")</f>
        <v>Site Down</v>
      </c>
      <c r="B696" s="3" t="str">
        <f>IFERROR(__xludf.DUMMYFUNCTION("""COMPUTED_VALUE"""),"P1")</f>
        <v>P1</v>
      </c>
      <c r="C696" s="3" t="str">
        <f>IFERROR(__xludf.DUMMYFUNCTION("""COMPUTED_VALUE"""),"KSN721")</f>
        <v>KSN721</v>
      </c>
      <c r="D696" s="3" t="str">
        <f>IFERROR(__xludf.DUMMYFUNCTION("""COMPUTED_VALUE"""),"Fahmi")</f>
        <v>Fahmi</v>
      </c>
      <c r="E696" s="3" t="str">
        <f>IFERROR(__xludf.DUMMYFUNCTION("""COMPUTED_VALUE"""),"TE")</f>
        <v>TE</v>
      </c>
      <c r="F696" s="3" t="str">
        <f>IFERROR(__xludf.DUMMYFUNCTION("""COMPUTED_VALUE"""),"Doni Damara")</f>
        <v>Doni Damara</v>
      </c>
      <c r="G696" s="3" t="str">
        <f>IFERROR(__xludf.DUMMYFUNCTION("""COMPUTED_VALUE"""),"Palangkaraya")</f>
        <v>Palangkaraya</v>
      </c>
      <c r="H696" s="3" t="str">
        <f>IFERROR(__xludf.DUMMYFUNCTION("""COMPUTED_VALUE"""),"Corrective")</f>
        <v>Corrective</v>
      </c>
      <c r="I696" s="3" t="str">
        <f>IFERROR(__xludf.DUMMYFUNCTION("""COMPUTED_VALUE"""),"Pemadaman,MCB Trip,Transmisi problem")</f>
        <v>Pemadaman,MCB Trip,Transmisi problem</v>
      </c>
      <c r="J696" s="3" t="str">
        <f>IFERROR(__xludf.DUMMYFUNCTION("""COMPUTED_VALUE"""),"On Progress")</f>
        <v>On Progress</v>
      </c>
      <c r="K696" s="27">
        <f>IFERROR(__xludf.DUMMYFUNCTION("""COMPUTED_VALUE"""),46034.0)</f>
        <v>46034</v>
      </c>
      <c r="L696" s="3"/>
      <c r="M696" s="3" t="str">
        <f>IFERROR(__xludf.DUMMYFUNCTION("""COMPUTED_VALUE"""),"Waiting Update")</f>
        <v>Waiting Update</v>
      </c>
      <c r="N696" s="3"/>
      <c r="O696" s="3">
        <f>IFERROR(VLOOKUP(C696,Sheet4!A696:F1483,6,0),"")</f>
        <v>11334753</v>
      </c>
      <c r="Q696" s="2" t="str">
        <f t="shared" si="1"/>
        <v>12</v>
      </c>
    </row>
    <row r="697">
      <c r="A697" s="3" t="str">
        <f>IFERROR(__xludf.DUMMYFUNCTION("""COMPUTED_VALUE"""),"Cell down")</f>
        <v>Cell down</v>
      </c>
      <c r="B697" s="3" t="str">
        <f>IFERROR(__xludf.DUMMYFUNCTION("""COMPUTED_VALUE"""),"P1")</f>
        <v>P1</v>
      </c>
      <c r="C697" s="3" t="str">
        <f>IFERROR(__xludf.DUMMYFUNCTION("""COMPUTED_VALUE"""),"PLK046")</f>
        <v>PLK046</v>
      </c>
      <c r="D697" s="3" t="str">
        <f>IFERROR(__xludf.DUMMYFUNCTION("""COMPUTED_VALUE"""),"Oky Bangkit Pamungkas")</f>
        <v>Oky Bangkit Pamungkas</v>
      </c>
      <c r="E697" s="3" t="str">
        <f>IFERROR(__xludf.DUMMYFUNCTION("""COMPUTED_VALUE"""),"TE")</f>
        <v>TE</v>
      </c>
      <c r="F697" s="3" t="str">
        <f>IFERROR(__xludf.DUMMYFUNCTION("""COMPUTED_VALUE"""),"Doni Damara")</f>
        <v>Doni Damara</v>
      </c>
      <c r="G697" s="3" t="str">
        <f>IFERROR(__xludf.DUMMYFUNCTION("""COMPUTED_VALUE"""),"Palangkaraya")</f>
        <v>Palangkaraya</v>
      </c>
      <c r="H697" s="3" t="str">
        <f>IFERROR(__xludf.DUMMYFUNCTION("""COMPUTED_VALUE"""),"Corrective")</f>
        <v>Corrective</v>
      </c>
      <c r="I697" s="3" t="str">
        <f>IFERROR(__xludf.DUMMYFUNCTION("""COMPUTED_VALUE"""),"Replace Optik,RRU/Soket Power/Replace GPS")</f>
        <v>Replace Optik,RRU/Soket Power/Replace GPS</v>
      </c>
      <c r="J697" s="3" t="str">
        <f>IFERROR(__xludf.DUMMYFUNCTION("""COMPUTED_VALUE"""),"On Progress")</f>
        <v>On Progress</v>
      </c>
      <c r="K697" s="27">
        <f>IFERROR(__xludf.DUMMYFUNCTION("""COMPUTED_VALUE"""),46034.0)</f>
        <v>46034</v>
      </c>
      <c r="L697" s="3"/>
      <c r="M697" s="3" t="str">
        <f>IFERROR(__xludf.DUMMYFUNCTION("""COMPUTED_VALUE"""),"Waiting Update")</f>
        <v>Waiting Update</v>
      </c>
      <c r="N697" s="3"/>
      <c r="O697" s="3" t="str">
        <f>IFERROR(VLOOKUP(C697,Sheet4!A697:F1484,6,0),"")</f>
        <v/>
      </c>
      <c r="Q697" s="2" t="str">
        <f t="shared" si="1"/>
        <v>12</v>
      </c>
    </row>
    <row r="698">
      <c r="A698" s="3" t="str">
        <f>IFERROR(__xludf.DUMMYFUNCTION("""COMPUTED_VALUE"""),"Cell down")</f>
        <v>Cell down</v>
      </c>
      <c r="B698" s="3" t="str">
        <f>IFERROR(__xludf.DUMMYFUNCTION("""COMPUTED_VALUE"""),"P1")</f>
        <v>P1</v>
      </c>
      <c r="C698" s="3" t="str">
        <f>IFERROR(__xludf.DUMMYFUNCTION("""COMPUTED_VALUE"""),"PLK242")</f>
        <v>PLK242</v>
      </c>
      <c r="D698" s="3" t="str">
        <f>IFERROR(__xludf.DUMMYFUNCTION("""COMPUTED_VALUE"""),"Jumadi")</f>
        <v>Jumadi</v>
      </c>
      <c r="E698" s="3" t="str">
        <f>IFERROR(__xludf.DUMMYFUNCTION("""COMPUTED_VALUE"""),"TE")</f>
        <v>TE</v>
      </c>
      <c r="F698" s="3" t="str">
        <f>IFERROR(__xludf.DUMMYFUNCTION("""COMPUTED_VALUE"""),"Doni Damara")</f>
        <v>Doni Damara</v>
      </c>
      <c r="G698" s="3" t="str">
        <f>IFERROR(__xludf.DUMMYFUNCTION("""COMPUTED_VALUE"""),"Palangkaraya")</f>
        <v>Palangkaraya</v>
      </c>
      <c r="H698" s="3" t="str">
        <f>IFERROR(__xludf.DUMMYFUNCTION("""COMPUTED_VALUE"""),"Corrective")</f>
        <v>Corrective</v>
      </c>
      <c r="I698" s="3" t="str">
        <f>IFERROR(__xludf.DUMMYFUNCTION("""COMPUTED_VALUE"""),"Replace Optik,RRU/Soket Power/Replace GPS")</f>
        <v>Replace Optik,RRU/Soket Power/Replace GPS</v>
      </c>
      <c r="J698" s="3" t="str">
        <f>IFERROR(__xludf.DUMMYFUNCTION("""COMPUTED_VALUE"""),"On Progress")</f>
        <v>On Progress</v>
      </c>
      <c r="K698" s="27">
        <f>IFERROR(__xludf.DUMMYFUNCTION("""COMPUTED_VALUE"""),46034.0)</f>
        <v>46034</v>
      </c>
      <c r="L698" s="3"/>
      <c r="M698" s="3" t="str">
        <f>IFERROR(__xludf.DUMMYFUNCTION("""COMPUTED_VALUE"""),"Waiting Update")</f>
        <v>Waiting Update</v>
      </c>
      <c r="N698" s="3"/>
      <c r="O698" s="3" t="str">
        <f>IFERROR(VLOOKUP(C698,Sheet4!A698:F1485,6,0),"")</f>
        <v/>
      </c>
      <c r="Q698" s="2" t="str">
        <f t="shared" si="1"/>
        <v>12</v>
      </c>
    </row>
    <row r="699">
      <c r="A699" s="3" t="str">
        <f>IFERROR(__xludf.DUMMYFUNCTION("""COMPUTED_VALUE"""),"Cell down")</f>
        <v>Cell down</v>
      </c>
      <c r="B699" s="3" t="str">
        <f>IFERROR(__xludf.DUMMYFUNCTION("""COMPUTED_VALUE"""),"P1")</f>
        <v>P1</v>
      </c>
      <c r="C699" s="3" t="str">
        <f>IFERROR(__xludf.DUMMYFUNCTION("""COMPUTED_VALUE"""),"KSN721")</f>
        <v>KSN721</v>
      </c>
      <c r="D699" s="3" t="str">
        <f>IFERROR(__xludf.DUMMYFUNCTION("""COMPUTED_VALUE"""),"james jimbris")</f>
        <v>james jimbris</v>
      </c>
      <c r="E699" s="3" t="str">
        <f>IFERROR(__xludf.DUMMYFUNCTION("""COMPUTED_VALUE"""),"TE")</f>
        <v>TE</v>
      </c>
      <c r="F699" s="3" t="str">
        <f>IFERROR(__xludf.DUMMYFUNCTION("""COMPUTED_VALUE"""),"Doni Damara")</f>
        <v>Doni Damara</v>
      </c>
      <c r="G699" s="3" t="str">
        <f>IFERROR(__xludf.DUMMYFUNCTION("""COMPUTED_VALUE"""),"Palangkaraya")</f>
        <v>Palangkaraya</v>
      </c>
      <c r="H699" s="3" t="str">
        <f>IFERROR(__xludf.DUMMYFUNCTION("""COMPUTED_VALUE"""),"Corrective")</f>
        <v>Corrective</v>
      </c>
      <c r="I699" s="3" t="str">
        <f>IFERROR(__xludf.DUMMYFUNCTION("""COMPUTED_VALUE"""),"Replace Optik,RRU/Soket Power/Replace GPS")</f>
        <v>Replace Optik,RRU/Soket Power/Replace GPS</v>
      </c>
      <c r="J699" s="3" t="str">
        <f>IFERROR(__xludf.DUMMYFUNCTION("""COMPUTED_VALUE"""),"On Progress")</f>
        <v>On Progress</v>
      </c>
      <c r="K699" s="27">
        <f>IFERROR(__xludf.DUMMYFUNCTION("""COMPUTED_VALUE"""),46034.0)</f>
        <v>46034</v>
      </c>
      <c r="L699" s="3"/>
      <c r="M699" s="3" t="str">
        <f>IFERROR(__xludf.DUMMYFUNCTION("""COMPUTED_VALUE"""),"Waiting Update")</f>
        <v>Waiting Update</v>
      </c>
      <c r="N699" s="3"/>
      <c r="O699" s="3">
        <f>IFERROR(VLOOKUP(C699,Sheet4!A699:F1486,6,0),"")</f>
        <v>11334753</v>
      </c>
      <c r="Q699" s="2" t="str">
        <f t="shared" si="1"/>
        <v>12</v>
      </c>
    </row>
    <row r="700">
      <c r="A700" s="3" t="str">
        <f>IFERROR(__xludf.DUMMYFUNCTION("""COMPUTED_VALUE"""),"Pengecekan battrey")</f>
        <v>Pengecekan battrey</v>
      </c>
      <c r="B700" s="3" t="str">
        <f>IFERROR(__xludf.DUMMYFUNCTION("""COMPUTED_VALUE"""),"P2")</f>
        <v>P2</v>
      </c>
      <c r="C700" s="3" t="str">
        <f>IFERROR(__xludf.DUMMYFUNCTION("""COMPUTED_VALUE"""),"PLK029")</f>
        <v>PLK029</v>
      </c>
      <c r="D700" s="3" t="str">
        <f>IFERROR(__xludf.DUMMYFUNCTION("""COMPUTED_VALUE"""),"Adi Bowo Santoso")</f>
        <v>Adi Bowo Santoso</v>
      </c>
      <c r="E700" s="3" t="str">
        <f>IFERROR(__xludf.DUMMYFUNCTION("""COMPUTED_VALUE"""),"TE")</f>
        <v>TE</v>
      </c>
      <c r="F700" s="3" t="str">
        <f>IFERROR(__xludf.DUMMYFUNCTION("""COMPUTED_VALUE"""),"Doni Damara")</f>
        <v>Doni Damara</v>
      </c>
      <c r="G700" s="3" t="str">
        <f>IFERROR(__xludf.DUMMYFUNCTION("""COMPUTED_VALUE"""),"Palangkaraya")</f>
        <v>Palangkaraya</v>
      </c>
      <c r="H700" s="3" t="str">
        <f>IFERROR(__xludf.DUMMYFUNCTION("""COMPUTED_VALUE"""),"Preventive")</f>
        <v>Preventive</v>
      </c>
      <c r="I700" s="3" t="str">
        <f>IFERROR(__xludf.DUMMYFUNCTION("""COMPUTED_VALUE"""),"Pengukuran dan pengambilan data log serta input Gdoc BBT")</f>
        <v>Pengukuran dan pengambilan data log serta input Gdoc BBT</v>
      </c>
      <c r="J700" s="3" t="str">
        <f>IFERROR(__xludf.DUMMYFUNCTION("""COMPUTED_VALUE"""),"On Progress")</f>
        <v>On Progress</v>
      </c>
      <c r="K700" s="27">
        <f>IFERROR(__xludf.DUMMYFUNCTION("""COMPUTED_VALUE"""),46034.0)</f>
        <v>46034</v>
      </c>
      <c r="L700" s="3"/>
      <c r="M700" s="3" t="str">
        <f>IFERROR(__xludf.DUMMYFUNCTION("""COMPUTED_VALUE"""),"Waiting Update")</f>
        <v>Waiting Update</v>
      </c>
      <c r="N700" s="3"/>
      <c r="O700" s="3" t="str">
        <f>IFERROR(VLOOKUP(C700,Sheet4!A700:F1487,6,0),"")</f>
        <v/>
      </c>
      <c r="Q700" s="2" t="str">
        <f t="shared" si="1"/>
        <v>12</v>
      </c>
    </row>
    <row r="701">
      <c r="A701" s="3" t="str">
        <f>IFERROR(__xludf.DUMMYFUNCTION("""COMPUTED_VALUE"""),"Cell down")</f>
        <v>Cell down</v>
      </c>
      <c r="B701" s="3" t="str">
        <f>IFERROR(__xludf.DUMMYFUNCTION("""COMPUTED_VALUE"""),"P1")</f>
        <v>P1</v>
      </c>
      <c r="C701" s="3" t="str">
        <f>IFERROR(__xludf.DUMMYFUNCTION("""COMPUTED_VALUE"""),"PPS250")</f>
        <v>PPS250</v>
      </c>
      <c r="D701" s="3" t="str">
        <f>IFERROR(__xludf.DUMMYFUNCTION("""COMPUTED_VALUE"""),"Yahya Muhamad")</f>
        <v>Yahya Muhamad</v>
      </c>
      <c r="E701" s="3" t="str">
        <f>IFERROR(__xludf.DUMMYFUNCTION("""COMPUTED_VALUE"""),"TE")</f>
        <v>TE</v>
      </c>
      <c r="F701" s="3" t="str">
        <f>IFERROR(__xludf.DUMMYFUNCTION("""COMPUTED_VALUE"""),"Doni Damara")</f>
        <v>Doni Damara</v>
      </c>
      <c r="G701" s="3" t="str">
        <f>IFERROR(__xludf.DUMMYFUNCTION("""COMPUTED_VALUE"""),"Palangkaraya")</f>
        <v>Palangkaraya</v>
      </c>
      <c r="H701" s="3" t="str">
        <f>IFERROR(__xludf.DUMMYFUNCTION("""COMPUTED_VALUE"""),"Corrective")</f>
        <v>Corrective</v>
      </c>
      <c r="I701" s="3" t="str">
        <f>IFERROR(__xludf.DUMMYFUNCTION("""COMPUTED_VALUE"""),"Replace Optik,RRU/Soket Power/Replace GPS")</f>
        <v>Replace Optik,RRU/Soket Power/Replace GPS</v>
      </c>
      <c r="J701" s="3" t="str">
        <f>IFERROR(__xludf.DUMMYFUNCTION("""COMPUTED_VALUE"""),"On Progress")</f>
        <v>On Progress</v>
      </c>
      <c r="K701" s="27">
        <f>IFERROR(__xludf.DUMMYFUNCTION("""COMPUTED_VALUE"""),46034.0)</f>
        <v>46034</v>
      </c>
      <c r="L701" s="3"/>
      <c r="M701" s="3" t="str">
        <f>IFERROR(__xludf.DUMMYFUNCTION("""COMPUTED_VALUE"""),"Waiting Update")</f>
        <v>Waiting Update</v>
      </c>
      <c r="N701" s="3"/>
      <c r="O701" s="3" t="str">
        <f>IFERROR(VLOOKUP(C701,Sheet4!A701:F1488,6,0),"")</f>
        <v/>
      </c>
      <c r="Q701" s="2" t="str">
        <f t="shared" si="1"/>
        <v>12</v>
      </c>
    </row>
    <row r="702">
      <c r="A702" s="3" t="str">
        <f>IFERROR(__xludf.DUMMYFUNCTION("""COMPUTED_VALUE"""),"Cell down")</f>
        <v>Cell down</v>
      </c>
      <c r="B702" s="3" t="str">
        <f>IFERROR(__xludf.DUMMYFUNCTION("""COMPUTED_VALUE"""),"P1")</f>
        <v>P1</v>
      </c>
      <c r="C702" s="3" t="str">
        <f>IFERROR(__xludf.DUMMYFUNCTION("""COMPUTED_VALUE"""),"PPS250")</f>
        <v>PPS250</v>
      </c>
      <c r="D702" s="3" t="str">
        <f>IFERROR(__xludf.DUMMYFUNCTION("""COMPUTED_VALUE"""),"Muhamad Rayhan")</f>
        <v>Muhamad Rayhan</v>
      </c>
      <c r="E702" s="3" t="str">
        <f>IFERROR(__xludf.DUMMYFUNCTION("""COMPUTED_VALUE"""),"TE")</f>
        <v>TE</v>
      </c>
      <c r="F702" s="3" t="str">
        <f>IFERROR(__xludf.DUMMYFUNCTION("""COMPUTED_VALUE"""),"Doni Damara")</f>
        <v>Doni Damara</v>
      </c>
      <c r="G702" s="3" t="str">
        <f>IFERROR(__xludf.DUMMYFUNCTION("""COMPUTED_VALUE"""),"Palangkaraya")</f>
        <v>Palangkaraya</v>
      </c>
      <c r="H702" s="3" t="str">
        <f>IFERROR(__xludf.DUMMYFUNCTION("""COMPUTED_VALUE"""),"Corrective")</f>
        <v>Corrective</v>
      </c>
      <c r="I702" s="3" t="str">
        <f>IFERROR(__xludf.DUMMYFUNCTION("""COMPUTED_VALUE"""),"Replace Optik,RRU/Soket Power/Replace GPS")</f>
        <v>Replace Optik,RRU/Soket Power/Replace GPS</v>
      </c>
      <c r="J702" s="3" t="str">
        <f>IFERROR(__xludf.DUMMYFUNCTION("""COMPUTED_VALUE"""),"On Progress")</f>
        <v>On Progress</v>
      </c>
      <c r="K702" s="27">
        <f>IFERROR(__xludf.DUMMYFUNCTION("""COMPUTED_VALUE"""),46034.0)</f>
        <v>46034</v>
      </c>
      <c r="L702" s="3"/>
      <c r="M702" s="3" t="str">
        <f>IFERROR(__xludf.DUMMYFUNCTION("""COMPUTED_VALUE"""),"Waiting Update")</f>
        <v>Waiting Update</v>
      </c>
      <c r="N702" s="3"/>
      <c r="O702" s="3" t="str">
        <f>IFERROR(VLOOKUP(C702,Sheet4!A702:F1489,6,0),"")</f>
        <v/>
      </c>
      <c r="Q702" s="2" t="str">
        <f t="shared" si="1"/>
        <v>12</v>
      </c>
    </row>
    <row r="703">
      <c r="A703" s="3" t="str">
        <f>IFERROR(__xludf.DUMMYFUNCTION("""COMPUTED_VALUE"""),"Cell down")</f>
        <v>Cell down</v>
      </c>
      <c r="B703" s="3" t="str">
        <f>IFERROR(__xludf.DUMMYFUNCTION("""COMPUTED_VALUE"""),"P1")</f>
        <v>P1</v>
      </c>
      <c r="C703" s="3" t="str">
        <f>IFERROR(__xludf.DUMMYFUNCTION("""COMPUTED_VALUE"""),"KKN018")</f>
        <v>KKN018</v>
      </c>
      <c r="D703" s="3" t="str">
        <f>IFERROR(__xludf.DUMMYFUNCTION("""COMPUTED_VALUE"""),"Leonard")</f>
        <v>Leonard</v>
      </c>
      <c r="E703" s="3" t="str">
        <f>IFERROR(__xludf.DUMMYFUNCTION("""COMPUTED_VALUE"""),"TE")</f>
        <v>TE</v>
      </c>
      <c r="F703" s="3" t="str">
        <f>IFERROR(__xludf.DUMMYFUNCTION("""COMPUTED_VALUE"""),"Doni Damara")</f>
        <v>Doni Damara</v>
      </c>
      <c r="G703" s="3" t="str">
        <f>IFERROR(__xludf.DUMMYFUNCTION("""COMPUTED_VALUE"""),"Palangkaraya")</f>
        <v>Palangkaraya</v>
      </c>
      <c r="H703" s="3" t="str">
        <f>IFERROR(__xludf.DUMMYFUNCTION("""COMPUTED_VALUE"""),"Corrective")</f>
        <v>Corrective</v>
      </c>
      <c r="I703" s="3" t="str">
        <f>IFERROR(__xludf.DUMMYFUNCTION("""COMPUTED_VALUE"""),"Replace Optik,RRU/Soket Power/Replace GPS")</f>
        <v>Replace Optik,RRU/Soket Power/Replace GPS</v>
      </c>
      <c r="J703" s="3" t="str">
        <f>IFERROR(__xludf.DUMMYFUNCTION("""COMPUTED_VALUE"""),"On Progress")</f>
        <v>On Progress</v>
      </c>
      <c r="K703" s="27">
        <f>IFERROR(__xludf.DUMMYFUNCTION("""COMPUTED_VALUE"""),46034.0)</f>
        <v>46034</v>
      </c>
      <c r="L703" s="3"/>
      <c r="M703" s="3" t="str">
        <f>IFERROR(__xludf.DUMMYFUNCTION("""COMPUTED_VALUE"""),"Waiting Update")</f>
        <v>Waiting Update</v>
      </c>
      <c r="N703" s="3"/>
      <c r="O703" s="3" t="str">
        <f>IFERROR(VLOOKUP(C703,Sheet4!A703:F1490,6,0),"")</f>
        <v/>
      </c>
      <c r="Q703" s="2" t="str">
        <f t="shared" si="1"/>
        <v>12</v>
      </c>
    </row>
    <row r="704">
      <c r="A704" s="3" t="str">
        <f>IFERROR(__xludf.DUMMYFUNCTION("""COMPUTED_VALUE"""),"Cell down")</f>
        <v>Cell down</v>
      </c>
      <c r="B704" s="3" t="str">
        <f>IFERROR(__xludf.DUMMYFUNCTION("""COMPUTED_VALUE"""),"P1")</f>
        <v>P1</v>
      </c>
      <c r="C704" s="3" t="str">
        <f>IFERROR(__xludf.DUMMYFUNCTION("""COMPUTED_VALUE"""),"KKN018")</f>
        <v>KKN018</v>
      </c>
      <c r="D704" s="3" t="str">
        <f>IFERROR(__xludf.DUMMYFUNCTION("""COMPUTED_VALUE"""),"Aulia Rahman")</f>
        <v>Aulia Rahman</v>
      </c>
      <c r="E704" s="3" t="str">
        <f>IFERROR(__xludf.DUMMYFUNCTION("""COMPUTED_VALUE"""),"TE")</f>
        <v>TE</v>
      </c>
      <c r="F704" s="3" t="str">
        <f>IFERROR(__xludf.DUMMYFUNCTION("""COMPUTED_VALUE"""),"Doni Damara")</f>
        <v>Doni Damara</v>
      </c>
      <c r="G704" s="3" t="str">
        <f>IFERROR(__xludf.DUMMYFUNCTION("""COMPUTED_VALUE"""),"Palangkaraya")</f>
        <v>Palangkaraya</v>
      </c>
      <c r="H704" s="3" t="str">
        <f>IFERROR(__xludf.DUMMYFUNCTION("""COMPUTED_VALUE"""),"Corrective")</f>
        <v>Corrective</v>
      </c>
      <c r="I704" s="3" t="str">
        <f>IFERROR(__xludf.DUMMYFUNCTION("""COMPUTED_VALUE"""),"Replace Optik,RRU/Soket Power/Replace GPS")</f>
        <v>Replace Optik,RRU/Soket Power/Replace GPS</v>
      </c>
      <c r="J704" s="3" t="str">
        <f>IFERROR(__xludf.DUMMYFUNCTION("""COMPUTED_VALUE"""),"On Progress")</f>
        <v>On Progress</v>
      </c>
      <c r="K704" s="27">
        <f>IFERROR(__xludf.DUMMYFUNCTION("""COMPUTED_VALUE"""),46034.0)</f>
        <v>46034</v>
      </c>
      <c r="L704" s="3"/>
      <c r="M704" s="3" t="str">
        <f>IFERROR(__xludf.DUMMYFUNCTION("""COMPUTED_VALUE"""),"Waiting Update")</f>
        <v>Waiting Update</v>
      </c>
      <c r="N704" s="3"/>
      <c r="O704" s="3" t="str">
        <f>IFERROR(VLOOKUP(C704,Sheet4!A704:F1491,6,0),"")</f>
        <v/>
      </c>
      <c r="Q704" s="2" t="str">
        <f t="shared" si="1"/>
        <v>12</v>
      </c>
    </row>
    <row r="705">
      <c r="A705" s="3" t="str">
        <f>IFERROR(__xludf.DUMMYFUNCTION("""COMPUTED_VALUE"""),"Cell down")</f>
        <v>Cell down</v>
      </c>
      <c r="B705" s="3" t="str">
        <f>IFERROR(__xludf.DUMMYFUNCTION("""COMPUTED_VALUE"""),"P1")</f>
        <v>P1</v>
      </c>
      <c r="C705" s="3" t="str">
        <f>IFERROR(__xludf.DUMMYFUNCTION("""COMPUTED_VALUE"""),"KSN021")</f>
        <v>KSN021</v>
      </c>
      <c r="D705" s="3" t="str">
        <f>IFERROR(__xludf.DUMMYFUNCTION("""COMPUTED_VALUE"""),"Muhammad Mukhlis")</f>
        <v>Muhammad Mukhlis</v>
      </c>
      <c r="E705" s="3" t="str">
        <f>IFERROR(__xludf.DUMMYFUNCTION("""COMPUTED_VALUE"""),"TE")</f>
        <v>TE</v>
      </c>
      <c r="F705" s="3" t="str">
        <f>IFERROR(__xludf.DUMMYFUNCTION("""COMPUTED_VALUE"""),"Doni Damara")</f>
        <v>Doni Damara</v>
      </c>
      <c r="G705" s="3" t="str">
        <f>IFERROR(__xludf.DUMMYFUNCTION("""COMPUTED_VALUE"""),"Palangkaraya")</f>
        <v>Palangkaraya</v>
      </c>
      <c r="H705" s="3" t="str">
        <f>IFERROR(__xludf.DUMMYFUNCTION("""COMPUTED_VALUE"""),"Corrective")</f>
        <v>Corrective</v>
      </c>
      <c r="I705" s="3" t="str">
        <f>IFERROR(__xludf.DUMMYFUNCTION("""COMPUTED_VALUE"""),"Replace Optik,RRU/Soket Power/Replace GPS")</f>
        <v>Replace Optik,RRU/Soket Power/Replace GPS</v>
      </c>
      <c r="J705" s="3" t="str">
        <f>IFERROR(__xludf.DUMMYFUNCTION("""COMPUTED_VALUE"""),"On Progress")</f>
        <v>On Progress</v>
      </c>
      <c r="K705" s="27">
        <f>IFERROR(__xludf.DUMMYFUNCTION("""COMPUTED_VALUE"""),46034.0)</f>
        <v>46034</v>
      </c>
      <c r="L705" s="3"/>
      <c r="M705" s="3" t="str">
        <f>IFERROR(__xludf.DUMMYFUNCTION("""COMPUTED_VALUE"""),"Waiting Update")</f>
        <v>Waiting Update</v>
      </c>
      <c r="N705" s="3"/>
      <c r="O705" s="3" t="str">
        <f>IFERROR(VLOOKUP(C705,Sheet4!A705:F1492,6,0),"")</f>
        <v/>
      </c>
      <c r="Q705" s="2" t="str">
        <f t="shared" si="1"/>
        <v>12</v>
      </c>
    </row>
    <row r="706">
      <c r="A706" s="3" t="str">
        <f>IFERROR(__xludf.DUMMYFUNCTION("""COMPUTED_VALUE"""),"Pengecekan Power")</f>
        <v>Pengecekan Power</v>
      </c>
      <c r="B706" s="3" t="str">
        <f>IFERROR(__xludf.DUMMYFUNCTION("""COMPUTED_VALUE"""),"P1")</f>
        <v>P1</v>
      </c>
      <c r="C706" s="3" t="str">
        <f>IFERROR(__xludf.DUMMYFUNCTION("""COMPUTED_VALUE"""),"KSN037")</f>
        <v>KSN037</v>
      </c>
      <c r="D706" s="3" t="str">
        <f>IFERROR(__xludf.DUMMYFUNCTION("""COMPUTED_VALUE"""),"Muhammad Mukti")</f>
        <v>Muhammad Mukti</v>
      </c>
      <c r="E706" s="3" t="str">
        <f>IFERROR(__xludf.DUMMYFUNCTION("""COMPUTED_VALUE"""),"TE")</f>
        <v>TE</v>
      </c>
      <c r="F706" s="3" t="str">
        <f>IFERROR(__xludf.DUMMYFUNCTION("""COMPUTED_VALUE"""),"Doni Damara")</f>
        <v>Doni Damara</v>
      </c>
      <c r="G706" s="3" t="str">
        <f>IFERROR(__xludf.DUMMYFUNCTION("""COMPUTED_VALUE"""),"Palangkaraya")</f>
        <v>Palangkaraya</v>
      </c>
      <c r="H706" s="3" t="str">
        <f>IFERROR(__xludf.DUMMYFUNCTION("""COMPUTED_VALUE"""),"Preventive")</f>
        <v>Preventive</v>
      </c>
      <c r="I706" s="3" t="str">
        <f>IFERROR(__xludf.DUMMYFUNCTION("""COMPUTED_VALUE"""),"MCB trip/Power upnormal")</f>
        <v>MCB trip/Power upnormal</v>
      </c>
      <c r="J706" s="3" t="str">
        <f>IFERROR(__xludf.DUMMYFUNCTION("""COMPUTED_VALUE"""),"On Progress")</f>
        <v>On Progress</v>
      </c>
      <c r="K706" s="27">
        <f>IFERROR(__xludf.DUMMYFUNCTION("""COMPUTED_VALUE"""),46034.0)</f>
        <v>46034</v>
      </c>
      <c r="L706" s="3"/>
      <c r="M706" s="3" t="str">
        <f>IFERROR(__xludf.DUMMYFUNCTION("""COMPUTED_VALUE"""),"Waiting Update")</f>
        <v>Waiting Update</v>
      </c>
      <c r="N706" s="3"/>
      <c r="O706" s="3" t="str">
        <f>IFERROR(VLOOKUP(C706,Sheet4!A706:F1493,6,0),"")</f>
        <v/>
      </c>
      <c r="Q706" s="2" t="str">
        <f t="shared" si="1"/>
        <v>12</v>
      </c>
    </row>
    <row r="707">
      <c r="A707" s="3" t="str">
        <f>IFERROR(__xludf.DUMMYFUNCTION("""COMPUTED_VALUE"""),"Tshoot Genset")</f>
        <v>Tshoot Genset</v>
      </c>
      <c r="B707" s="3" t="str">
        <f>IFERROR(__xludf.DUMMYFUNCTION("""COMPUTED_VALUE"""),"P1")</f>
        <v>P1</v>
      </c>
      <c r="C707" s="3" t="str">
        <f>IFERROR(__xludf.DUMMYFUNCTION("""COMPUTED_VALUE"""),"KSN150")</f>
        <v>KSN150</v>
      </c>
      <c r="D707" s="3" t="str">
        <f>IFERROR(__xludf.DUMMYFUNCTION("""COMPUTED_VALUE"""),"melky.O.Tulangow")</f>
        <v>melky.O.Tulangow</v>
      </c>
      <c r="E707" s="3" t="str">
        <f>IFERROR(__xludf.DUMMYFUNCTION("""COMPUTED_VALUE"""),"TE")</f>
        <v>TE</v>
      </c>
      <c r="F707" s="3" t="str">
        <f>IFERROR(__xludf.DUMMYFUNCTION("""COMPUTED_VALUE"""),"Doni Damara")</f>
        <v>Doni Damara</v>
      </c>
      <c r="G707" s="3" t="str">
        <f>IFERROR(__xludf.DUMMYFUNCTION("""COMPUTED_VALUE"""),"Palangkaraya")</f>
        <v>Palangkaraya</v>
      </c>
      <c r="H707" s="3" t="str">
        <f>IFERROR(__xludf.DUMMYFUNCTION("""COMPUTED_VALUE"""),"Corrective")</f>
        <v>Corrective</v>
      </c>
      <c r="I707" s="3" t="str">
        <f>IFERROR(__xludf.DUMMYFUNCTION("""COMPUTED_VALUE"""),"Perbaikan Auto,pergantian relay,timer, yang berhubungan genset")</f>
        <v>Perbaikan Auto,pergantian relay,timer, yang berhubungan genset</v>
      </c>
      <c r="J707" s="3" t="str">
        <f>IFERROR(__xludf.DUMMYFUNCTION("""COMPUTED_VALUE"""),"On Progress")</f>
        <v>On Progress</v>
      </c>
      <c r="K707" s="27">
        <f>IFERROR(__xludf.DUMMYFUNCTION("""COMPUTED_VALUE"""),46034.0)</f>
        <v>46034</v>
      </c>
      <c r="L707" s="3"/>
      <c r="M707" s="3" t="str">
        <f>IFERROR(__xludf.DUMMYFUNCTION("""COMPUTED_VALUE"""),"Waiting Update")</f>
        <v>Waiting Update</v>
      </c>
      <c r="N707" s="3"/>
      <c r="O707" s="3">
        <f>IFERROR(VLOOKUP(C707,Sheet4!A707:F1494,6,0),"")</f>
        <v>112496</v>
      </c>
      <c r="Q707" s="2" t="str">
        <f t="shared" si="1"/>
        <v>12</v>
      </c>
    </row>
    <row r="708">
      <c r="A708" s="3" t="str">
        <f>IFERROR(__xludf.DUMMYFUNCTION("""COMPUTED_VALUE"""),"Standby On Call")</f>
        <v>Standby On Call</v>
      </c>
      <c r="B708" s="3" t="str">
        <f>IFERROR(__xludf.DUMMYFUNCTION("""COMPUTED_VALUE"""),"P3")</f>
        <v>P3</v>
      </c>
      <c r="C708" s="3" t="str">
        <f>IFERROR(__xludf.DUMMYFUNCTION("""COMPUTED_VALUE"""),"KSN003")</f>
        <v>KSN003</v>
      </c>
      <c r="D708" s="3" t="str">
        <f>IFERROR(__xludf.DUMMYFUNCTION("""COMPUTED_VALUE"""),"Indra")</f>
        <v>Indra</v>
      </c>
      <c r="E708" s="3" t="str">
        <f>IFERROR(__xludf.DUMMYFUNCTION("""COMPUTED_VALUE"""),"PM")</f>
        <v>PM</v>
      </c>
      <c r="F708" s="3" t="str">
        <f>IFERROR(__xludf.DUMMYFUNCTION("""COMPUTED_VALUE"""),"Doni Damara")</f>
        <v>Doni Damara</v>
      </c>
      <c r="G708" s="3" t="str">
        <f>IFERROR(__xludf.DUMMYFUNCTION("""COMPUTED_VALUE"""),"Palangkaraya")</f>
        <v>Palangkaraya</v>
      </c>
      <c r="H708" s="3" t="str">
        <f>IFERROR(__xludf.DUMMYFUNCTION("""COMPUTED_VALUE"""),"Standby")</f>
        <v>Standby</v>
      </c>
      <c r="I708" s="3" t="str">
        <f>IFERROR(__xludf.DUMMYFUNCTION("""COMPUTED_VALUE"""),"Standby On Call")</f>
        <v>Standby On Call</v>
      </c>
      <c r="J708" s="3" t="str">
        <f>IFERROR(__xludf.DUMMYFUNCTION("""COMPUTED_VALUE"""),"On Progress")</f>
        <v>On Progress</v>
      </c>
      <c r="K708" s="27">
        <f>IFERROR(__xludf.DUMMYFUNCTION("""COMPUTED_VALUE"""),46034.0)</f>
        <v>46034</v>
      </c>
      <c r="L708" s="3"/>
      <c r="M708" s="3" t="str">
        <f>IFERROR(__xludf.DUMMYFUNCTION("""COMPUTED_VALUE"""),"Waiting Update")</f>
        <v>Waiting Update</v>
      </c>
      <c r="N708" s="3"/>
      <c r="O708" s="3" t="str">
        <f>IFERROR(VLOOKUP(C708,Sheet4!A708:F1495,6,0),"")</f>
        <v/>
      </c>
      <c r="Q708" s="2" t="str">
        <f t="shared" si="1"/>
        <v>12</v>
      </c>
    </row>
    <row r="709">
      <c r="A709" s="3" t="str">
        <f>IFERROR(__xludf.DUMMYFUNCTION("""COMPUTED_VALUE"""),"Standby On Call")</f>
        <v>Standby On Call</v>
      </c>
      <c r="B709" s="3" t="str">
        <f>IFERROR(__xludf.DUMMYFUNCTION("""COMPUTED_VALUE"""),"P3")</f>
        <v>P3</v>
      </c>
      <c r="C709" s="3" t="str">
        <f>IFERROR(__xludf.DUMMYFUNCTION("""COMPUTED_VALUE"""),"KSN023")</f>
        <v>KSN023</v>
      </c>
      <c r="D709" s="3" t="str">
        <f>IFERROR(__xludf.DUMMYFUNCTION("""COMPUTED_VALUE"""),"Darli")</f>
        <v>Darli</v>
      </c>
      <c r="E709" s="3" t="str">
        <f>IFERROR(__xludf.DUMMYFUNCTION("""COMPUTED_VALUE"""),"PM")</f>
        <v>PM</v>
      </c>
      <c r="F709" s="3" t="str">
        <f>IFERROR(__xludf.DUMMYFUNCTION("""COMPUTED_VALUE"""),"Doni Damara")</f>
        <v>Doni Damara</v>
      </c>
      <c r="G709" s="3" t="str">
        <f>IFERROR(__xludf.DUMMYFUNCTION("""COMPUTED_VALUE"""),"Palangkaraya")</f>
        <v>Palangkaraya</v>
      </c>
      <c r="H709" s="3" t="str">
        <f>IFERROR(__xludf.DUMMYFUNCTION("""COMPUTED_VALUE"""),"Standby")</f>
        <v>Standby</v>
      </c>
      <c r="I709" s="3" t="str">
        <f>IFERROR(__xludf.DUMMYFUNCTION("""COMPUTED_VALUE"""),"Standby On Call")</f>
        <v>Standby On Call</v>
      </c>
      <c r="J709" s="3" t="str">
        <f>IFERROR(__xludf.DUMMYFUNCTION("""COMPUTED_VALUE"""),"On Progress")</f>
        <v>On Progress</v>
      </c>
      <c r="K709" s="27">
        <f>IFERROR(__xludf.DUMMYFUNCTION("""COMPUTED_VALUE"""),46034.0)</f>
        <v>46034</v>
      </c>
      <c r="L709" s="3"/>
      <c r="M709" s="3" t="str">
        <f>IFERROR(__xludf.DUMMYFUNCTION("""COMPUTED_VALUE"""),"Waiting Update")</f>
        <v>Waiting Update</v>
      </c>
      <c r="N709" s="3"/>
      <c r="O709" s="3" t="str">
        <f>IFERROR(VLOOKUP(C709,Sheet4!A709:F1496,6,0),"")</f>
        <v/>
      </c>
      <c r="Q709" s="2" t="str">
        <f t="shared" si="1"/>
        <v>12</v>
      </c>
    </row>
    <row r="710">
      <c r="A710" s="3" t="str">
        <f>IFERROR(__xludf.DUMMYFUNCTION("""COMPUTED_VALUE"""),"Standby On Call")</f>
        <v>Standby On Call</v>
      </c>
      <c r="B710" s="3" t="str">
        <f>IFERROR(__xludf.DUMMYFUNCTION("""COMPUTED_VALUE"""),"P3")</f>
        <v>P3</v>
      </c>
      <c r="C710" s="3"/>
      <c r="D710" s="3" t="str">
        <f>IFERROR(__xludf.DUMMYFUNCTION("""COMPUTED_VALUE"""),"Sarwono")</f>
        <v>Sarwono</v>
      </c>
      <c r="E710" s="3" t="str">
        <f>IFERROR(__xludf.DUMMYFUNCTION("""COMPUTED_VALUE"""),"CME")</f>
        <v>CME</v>
      </c>
      <c r="F710" s="3" t="str">
        <f>IFERROR(__xludf.DUMMYFUNCTION("""COMPUTED_VALUE"""),"Doni Damara")</f>
        <v>Doni Damara</v>
      </c>
      <c r="G710" s="3" t="str">
        <f>IFERROR(__xludf.DUMMYFUNCTION("""COMPUTED_VALUE"""),"Palangkaraya")</f>
        <v>Palangkaraya</v>
      </c>
      <c r="H710" s="3" t="str">
        <f>IFERROR(__xludf.DUMMYFUNCTION("""COMPUTED_VALUE"""),"Standby")</f>
        <v>Standby</v>
      </c>
      <c r="I710" s="3" t="str">
        <f>IFERROR(__xludf.DUMMYFUNCTION("""COMPUTED_VALUE"""),"Standby On Call")</f>
        <v>Standby On Call</v>
      </c>
      <c r="J710" s="3" t="str">
        <f>IFERROR(__xludf.DUMMYFUNCTION("""COMPUTED_VALUE"""),"Standby")</f>
        <v>Standby</v>
      </c>
      <c r="K710" s="27">
        <f>IFERROR(__xludf.DUMMYFUNCTION("""COMPUTED_VALUE"""),46034.0)</f>
        <v>46034</v>
      </c>
      <c r="L710" s="3"/>
      <c r="M710" s="3" t="str">
        <f>IFERROR(__xludf.DUMMYFUNCTION("""COMPUTED_VALUE"""),"Waiting Update")</f>
        <v>Waiting Update</v>
      </c>
      <c r="N710" s="3"/>
      <c r="O710" s="3" t="str">
        <f>IFERROR(VLOOKUP(C710,Sheet4!A710:F1497,6,0),"")</f>
        <v/>
      </c>
      <c r="Q710" s="2" t="str">
        <f t="shared" si="1"/>
        <v>12</v>
      </c>
    </row>
    <row r="711">
      <c r="A711" s="3" t="str">
        <f>IFERROR(__xludf.DUMMYFUNCTION("""COMPUTED_VALUE"""),"Standby On Call")</f>
        <v>Standby On Call</v>
      </c>
      <c r="B711" s="3" t="str">
        <f>IFERROR(__xludf.DUMMYFUNCTION("""COMPUTED_VALUE"""),"P3")</f>
        <v>P3</v>
      </c>
      <c r="C711" s="3"/>
      <c r="D711" s="3" t="str">
        <f>IFERROR(__xludf.DUMMYFUNCTION("""COMPUTED_VALUE"""),"Purwanto")</f>
        <v>Purwanto</v>
      </c>
      <c r="E711" s="3" t="str">
        <f>IFERROR(__xludf.DUMMYFUNCTION("""COMPUTED_VALUE"""),"MBP")</f>
        <v>MBP</v>
      </c>
      <c r="F711" s="3" t="str">
        <f>IFERROR(__xludf.DUMMYFUNCTION("""COMPUTED_VALUE"""),"Doni Damara")</f>
        <v>Doni Damara</v>
      </c>
      <c r="G711" s="3" t="str">
        <f>IFERROR(__xludf.DUMMYFUNCTION("""COMPUTED_VALUE"""),"Palangkaraya")</f>
        <v>Palangkaraya</v>
      </c>
      <c r="H711" s="3" t="str">
        <f>IFERROR(__xludf.DUMMYFUNCTION("""COMPUTED_VALUE"""),"Standby")</f>
        <v>Standby</v>
      </c>
      <c r="I711" s="3" t="str">
        <f>IFERROR(__xludf.DUMMYFUNCTION("""COMPUTED_VALUE"""),"Standby On Call")</f>
        <v>Standby On Call</v>
      </c>
      <c r="J711" s="3" t="str">
        <f>IFERROR(__xludf.DUMMYFUNCTION("""COMPUTED_VALUE"""),"Standby")</f>
        <v>Standby</v>
      </c>
      <c r="K711" s="27">
        <f>IFERROR(__xludf.DUMMYFUNCTION("""COMPUTED_VALUE"""),46034.0)</f>
        <v>46034</v>
      </c>
      <c r="L711" s="3"/>
      <c r="M711" s="3" t="str">
        <f>IFERROR(__xludf.DUMMYFUNCTION("""COMPUTED_VALUE"""),"Waiting Update")</f>
        <v>Waiting Update</v>
      </c>
      <c r="N711" s="3"/>
      <c r="O711" s="3" t="str">
        <f>IFERROR(VLOOKUP(C711,Sheet4!A711:F1498,6,0),"")</f>
        <v/>
      </c>
      <c r="Q711" s="2" t="str">
        <f t="shared" si="1"/>
        <v>12</v>
      </c>
    </row>
    <row r="712">
      <c r="A712" s="3" t="str">
        <f>IFERROR(__xludf.DUMMYFUNCTION("""COMPUTED_VALUE"""),"Standby On Call")</f>
        <v>Standby On Call</v>
      </c>
      <c r="B712" s="3" t="str">
        <f>IFERROR(__xludf.DUMMYFUNCTION("""COMPUTED_VALUE"""),"P3")</f>
        <v>P3</v>
      </c>
      <c r="C712" s="3"/>
      <c r="D712" s="3" t="str">
        <f>IFERROR(__xludf.DUMMYFUNCTION("""COMPUTED_VALUE"""),"Agus muliana pamungkas")</f>
        <v>Agus muliana pamungkas</v>
      </c>
      <c r="E712" s="3" t="str">
        <f>IFERROR(__xludf.DUMMYFUNCTION("""COMPUTED_VALUE"""),"MBP")</f>
        <v>MBP</v>
      </c>
      <c r="F712" s="3" t="str">
        <f>IFERROR(__xludf.DUMMYFUNCTION("""COMPUTED_VALUE"""),"Doni Damara")</f>
        <v>Doni Damara</v>
      </c>
      <c r="G712" s="3" t="str">
        <f>IFERROR(__xludf.DUMMYFUNCTION("""COMPUTED_VALUE"""),"Palangkaraya")</f>
        <v>Palangkaraya</v>
      </c>
      <c r="H712" s="3" t="str">
        <f>IFERROR(__xludf.DUMMYFUNCTION("""COMPUTED_VALUE"""),"Standby")</f>
        <v>Standby</v>
      </c>
      <c r="I712" s="3" t="str">
        <f>IFERROR(__xludf.DUMMYFUNCTION("""COMPUTED_VALUE"""),"Standby On Call")</f>
        <v>Standby On Call</v>
      </c>
      <c r="J712" s="3" t="str">
        <f>IFERROR(__xludf.DUMMYFUNCTION("""COMPUTED_VALUE"""),"Standby")</f>
        <v>Standby</v>
      </c>
      <c r="K712" s="27">
        <f>IFERROR(__xludf.DUMMYFUNCTION("""COMPUTED_VALUE"""),46034.0)</f>
        <v>46034</v>
      </c>
      <c r="L712" s="3"/>
      <c r="M712" s="3" t="str">
        <f>IFERROR(__xludf.DUMMYFUNCTION("""COMPUTED_VALUE"""),"Waiting Update")</f>
        <v>Waiting Update</v>
      </c>
      <c r="N712" s="3"/>
      <c r="O712" s="3" t="str">
        <f>IFERROR(VLOOKUP(C712,Sheet4!A712:F1499,6,0),"")</f>
        <v/>
      </c>
      <c r="Q712" s="2" t="str">
        <f t="shared" si="1"/>
        <v>12</v>
      </c>
    </row>
    <row r="713">
      <c r="A713" s="3" t="str">
        <f>IFERROR(__xludf.DUMMYFUNCTION("""COMPUTED_VALUE"""),"Standby On Call")</f>
        <v>Standby On Call</v>
      </c>
      <c r="B713" s="3" t="str">
        <f>IFERROR(__xludf.DUMMYFUNCTION("""COMPUTED_VALUE"""),"P3")</f>
        <v>P3</v>
      </c>
      <c r="C713" s="3"/>
      <c r="D713" s="3" t="str">
        <f>IFERROR(__xludf.DUMMYFUNCTION("""COMPUTED_VALUE"""),"Sairaji")</f>
        <v>Sairaji</v>
      </c>
      <c r="E713" s="3" t="str">
        <f>IFERROR(__xludf.DUMMYFUNCTION("""COMPUTED_VALUE"""),"MBP")</f>
        <v>MBP</v>
      </c>
      <c r="F713" s="3" t="str">
        <f>IFERROR(__xludf.DUMMYFUNCTION("""COMPUTED_VALUE"""),"Doni Damara")</f>
        <v>Doni Damara</v>
      </c>
      <c r="G713" s="3" t="str">
        <f>IFERROR(__xludf.DUMMYFUNCTION("""COMPUTED_VALUE"""),"Palangkaraya")</f>
        <v>Palangkaraya</v>
      </c>
      <c r="H713" s="3" t="str">
        <f>IFERROR(__xludf.DUMMYFUNCTION("""COMPUTED_VALUE"""),"Standby")</f>
        <v>Standby</v>
      </c>
      <c r="I713" s="3" t="str">
        <f>IFERROR(__xludf.DUMMYFUNCTION("""COMPUTED_VALUE"""),"Standby On Call")</f>
        <v>Standby On Call</v>
      </c>
      <c r="J713" s="3" t="str">
        <f>IFERROR(__xludf.DUMMYFUNCTION("""COMPUTED_VALUE"""),"Standby")</f>
        <v>Standby</v>
      </c>
      <c r="K713" s="27">
        <f>IFERROR(__xludf.DUMMYFUNCTION("""COMPUTED_VALUE"""),46034.0)</f>
        <v>46034</v>
      </c>
      <c r="L713" s="3"/>
      <c r="M713" s="3" t="str">
        <f>IFERROR(__xludf.DUMMYFUNCTION("""COMPUTED_VALUE"""),"Waiting Update")</f>
        <v>Waiting Update</v>
      </c>
      <c r="N713" s="3"/>
      <c r="O713" s="3" t="str">
        <f>IFERROR(VLOOKUP(C713,Sheet4!A713:F1500,6,0),"")</f>
        <v/>
      </c>
      <c r="Q713" s="2" t="str">
        <f t="shared" si="1"/>
        <v>12</v>
      </c>
    </row>
    <row r="714">
      <c r="A714" s="3" t="str">
        <f>IFERROR(__xludf.DUMMYFUNCTION("""COMPUTED_VALUE"""),"Standby On Call")</f>
        <v>Standby On Call</v>
      </c>
      <c r="B714" s="3" t="str">
        <f>IFERROR(__xludf.DUMMYFUNCTION("""COMPUTED_VALUE"""),"P3")</f>
        <v>P3</v>
      </c>
      <c r="C714" s="3"/>
      <c r="D714" s="3" t="str">
        <f>IFERROR(__xludf.DUMMYFUNCTION("""COMPUTED_VALUE"""),"hory yusmanto")</f>
        <v>hory yusmanto</v>
      </c>
      <c r="E714" s="3" t="str">
        <f>IFERROR(__xludf.DUMMYFUNCTION("""COMPUTED_VALUE"""),"MBP")</f>
        <v>MBP</v>
      </c>
      <c r="F714" s="3" t="str">
        <f>IFERROR(__xludf.DUMMYFUNCTION("""COMPUTED_VALUE"""),"Doni Damara")</f>
        <v>Doni Damara</v>
      </c>
      <c r="G714" s="3" t="str">
        <f>IFERROR(__xludf.DUMMYFUNCTION("""COMPUTED_VALUE"""),"Palangkaraya")</f>
        <v>Palangkaraya</v>
      </c>
      <c r="H714" s="3" t="str">
        <f>IFERROR(__xludf.DUMMYFUNCTION("""COMPUTED_VALUE"""),"Standby")</f>
        <v>Standby</v>
      </c>
      <c r="I714" s="3" t="str">
        <f>IFERROR(__xludf.DUMMYFUNCTION("""COMPUTED_VALUE"""),"Standby On Call")</f>
        <v>Standby On Call</v>
      </c>
      <c r="J714" s="3" t="str">
        <f>IFERROR(__xludf.DUMMYFUNCTION("""COMPUTED_VALUE"""),"Standby")</f>
        <v>Standby</v>
      </c>
      <c r="K714" s="27">
        <f>IFERROR(__xludf.DUMMYFUNCTION("""COMPUTED_VALUE"""),46034.0)</f>
        <v>46034</v>
      </c>
      <c r="L714" s="3"/>
      <c r="M714" s="3" t="str">
        <f>IFERROR(__xludf.DUMMYFUNCTION("""COMPUTED_VALUE"""),"Waiting Update")</f>
        <v>Waiting Update</v>
      </c>
      <c r="N714" s="3"/>
      <c r="O714" s="3" t="str">
        <f>IFERROR(VLOOKUP(C714,Sheet4!A714:F1501,6,0),"")</f>
        <v/>
      </c>
      <c r="Q714" s="2" t="str">
        <f t="shared" si="1"/>
        <v>12</v>
      </c>
    </row>
    <row r="715">
      <c r="A715" s="3" t="str">
        <f>IFERROR(__xludf.DUMMYFUNCTION("""COMPUTED_VALUE"""),"Pengawalan akses Vendor")</f>
        <v>Pengawalan akses Vendor</v>
      </c>
      <c r="B715" s="3" t="str">
        <f>IFERROR(__xludf.DUMMYFUNCTION("""COMPUTED_VALUE"""),"P3")</f>
        <v>P3</v>
      </c>
      <c r="C715" s="3" t="str">
        <f>IFERROR(__xludf.DUMMYFUNCTION("""COMPUTED_VALUE"""),"BNT013")</f>
        <v>BNT013</v>
      </c>
      <c r="D715" s="3" t="str">
        <f>IFERROR(__xludf.DUMMYFUNCTION("""COMPUTED_VALUE"""),"Putra wardana")</f>
        <v>Putra wardana</v>
      </c>
      <c r="E715" s="3" t="str">
        <f>IFERROR(__xludf.DUMMYFUNCTION("""COMPUTED_VALUE"""),"TE")</f>
        <v>TE</v>
      </c>
      <c r="F715" s="3" t="str">
        <f>IFERROR(__xludf.DUMMYFUNCTION("""COMPUTED_VALUE"""),"Winda Sokenda")</f>
        <v>Winda Sokenda</v>
      </c>
      <c r="G715" s="3" t="str">
        <f>IFERROR(__xludf.DUMMYFUNCTION("""COMPUTED_VALUE"""),"Barito Raya")</f>
        <v>Barito Raya</v>
      </c>
      <c r="H715" s="3" t="str">
        <f>IFERROR(__xludf.DUMMYFUNCTION("""COMPUTED_VALUE"""),"Preventive")</f>
        <v>Preventive</v>
      </c>
      <c r="I715" s="3" t="str">
        <f>IFERROR(__xludf.DUMMYFUNCTION("""COMPUTED_VALUE"""),"Pengawalan akses Vendor")</f>
        <v>Pengawalan akses Vendor</v>
      </c>
      <c r="J715" s="3" t="str">
        <f>IFERROR(__xludf.DUMMYFUNCTION("""COMPUTED_VALUE"""),"On Progress")</f>
        <v>On Progress</v>
      </c>
      <c r="K715" s="27">
        <f>IFERROR(__xludf.DUMMYFUNCTION("""COMPUTED_VALUE"""),46035.0)</f>
        <v>46035</v>
      </c>
      <c r="L715" s="27">
        <f>IFERROR(__xludf.DUMMYFUNCTION("""COMPUTED_VALUE"""),46035.0)</f>
        <v>46035</v>
      </c>
      <c r="M715" s="3" t="str">
        <f>IFERROR(__xludf.DUMMYFUNCTION("""COMPUTED_VALUE"""),"Waiting Update")</f>
        <v>Waiting Update</v>
      </c>
      <c r="N715" s="3"/>
      <c r="O715" s="3" t="str">
        <f>IFERROR(VLOOKUP(C715,Sheet4!A715:F1502,6,0),"")</f>
        <v/>
      </c>
      <c r="Q715" s="2" t="str">
        <f t="shared" si="1"/>
        <v>13</v>
      </c>
    </row>
    <row r="716">
      <c r="A716" s="3" t="str">
        <f>IFERROR(__xludf.DUMMYFUNCTION("""COMPUTED_VALUE"""),"Cell down")</f>
        <v>Cell down</v>
      </c>
      <c r="B716" s="3" t="str">
        <f>IFERROR(__xludf.DUMMYFUNCTION("""COMPUTED_VALUE"""),"P1")</f>
        <v>P1</v>
      </c>
      <c r="C716" s="3" t="str">
        <f>IFERROR(__xludf.DUMMYFUNCTION("""COMPUTED_VALUE"""),"BNT004")</f>
        <v>BNT004</v>
      </c>
      <c r="D716" s="3" t="str">
        <f>IFERROR(__xludf.DUMMYFUNCTION("""COMPUTED_VALUE"""),"Sailillah")</f>
        <v>Sailillah</v>
      </c>
      <c r="E716" s="3" t="str">
        <f>IFERROR(__xludf.DUMMYFUNCTION("""COMPUTED_VALUE"""),"TE")</f>
        <v>TE</v>
      </c>
      <c r="F716" s="3" t="str">
        <f>IFERROR(__xludf.DUMMYFUNCTION("""COMPUTED_VALUE"""),"Winda Sokenda")</f>
        <v>Winda Sokenda</v>
      </c>
      <c r="G716" s="3" t="str">
        <f>IFERROR(__xludf.DUMMYFUNCTION("""COMPUTED_VALUE"""),"Barito Raya")</f>
        <v>Barito Raya</v>
      </c>
      <c r="H716" s="3" t="str">
        <f>IFERROR(__xludf.DUMMYFUNCTION("""COMPUTED_VALUE"""),"Corrective")</f>
        <v>Corrective</v>
      </c>
      <c r="I716" s="3" t="str">
        <f>IFERROR(__xludf.DUMMYFUNCTION("""COMPUTED_VALUE"""),"Replace Optik,RRU/Soket Power/Replace GPS")</f>
        <v>Replace Optik,RRU/Soket Power/Replace GPS</v>
      </c>
      <c r="J716" s="3" t="str">
        <f>IFERROR(__xludf.DUMMYFUNCTION("""COMPUTED_VALUE"""),"Waiting Material")</f>
        <v>Waiting Material</v>
      </c>
      <c r="K716" s="27">
        <f>IFERROR(__xludf.DUMMYFUNCTION("""COMPUTED_VALUE"""),46035.0)</f>
        <v>46035</v>
      </c>
      <c r="L716" s="27">
        <f>IFERROR(__xludf.DUMMYFUNCTION("""COMPUTED_VALUE"""),46035.0)</f>
        <v>46035</v>
      </c>
      <c r="M716" s="3" t="str">
        <f>IFERROR(__xludf.DUMMYFUNCTION("""COMPUTED_VALUE"""),"Waiting Update")</f>
        <v>Waiting Update</v>
      </c>
      <c r="N716" s="3"/>
      <c r="O716" s="3" t="str">
        <f>IFERROR(VLOOKUP(C716,Sheet4!A716:F1503,6,0),"")</f>
        <v/>
      </c>
      <c r="Q716" s="2" t="str">
        <f t="shared" si="1"/>
        <v>13</v>
      </c>
    </row>
    <row r="717">
      <c r="A717" s="3" t="str">
        <f>IFERROR(__xludf.DUMMYFUNCTION("""COMPUTED_VALUE"""),"Cell down")</f>
        <v>Cell down</v>
      </c>
      <c r="B717" s="3" t="str">
        <f>IFERROR(__xludf.DUMMYFUNCTION("""COMPUTED_VALUE"""),"P1")</f>
        <v>P1</v>
      </c>
      <c r="C717" s="3" t="str">
        <f>IFERROR(__xludf.DUMMYFUNCTION("""COMPUTED_VALUE"""),"BNT004")</f>
        <v>BNT004</v>
      </c>
      <c r="D717" s="3" t="str">
        <f>IFERROR(__xludf.DUMMYFUNCTION("""COMPUTED_VALUE"""),"Tiviansyah")</f>
        <v>Tiviansyah</v>
      </c>
      <c r="E717" s="3" t="str">
        <f>IFERROR(__xludf.DUMMYFUNCTION("""COMPUTED_VALUE"""),"TE")</f>
        <v>TE</v>
      </c>
      <c r="F717" s="3" t="str">
        <f>IFERROR(__xludf.DUMMYFUNCTION("""COMPUTED_VALUE"""),"Winda Sokenda")</f>
        <v>Winda Sokenda</v>
      </c>
      <c r="G717" s="3" t="str">
        <f>IFERROR(__xludf.DUMMYFUNCTION("""COMPUTED_VALUE"""),"Barito Raya")</f>
        <v>Barito Raya</v>
      </c>
      <c r="H717" s="3" t="str">
        <f>IFERROR(__xludf.DUMMYFUNCTION("""COMPUTED_VALUE"""),"Corrective")</f>
        <v>Corrective</v>
      </c>
      <c r="I717" s="3" t="str">
        <f>IFERROR(__xludf.DUMMYFUNCTION("""COMPUTED_VALUE"""),"Replace Optik,RRU/Soket Power/Replace GPS")</f>
        <v>Replace Optik,RRU/Soket Power/Replace GPS</v>
      </c>
      <c r="J717" s="3" t="str">
        <f>IFERROR(__xludf.DUMMYFUNCTION("""COMPUTED_VALUE"""),"Waiting Material")</f>
        <v>Waiting Material</v>
      </c>
      <c r="K717" s="27">
        <f>IFERROR(__xludf.DUMMYFUNCTION("""COMPUTED_VALUE"""),46035.0)</f>
        <v>46035</v>
      </c>
      <c r="L717" s="27">
        <f>IFERROR(__xludf.DUMMYFUNCTION("""COMPUTED_VALUE"""),46035.0)</f>
        <v>46035</v>
      </c>
      <c r="M717" s="3" t="str">
        <f>IFERROR(__xludf.DUMMYFUNCTION("""COMPUTED_VALUE"""),"Waiting Update")</f>
        <v>Waiting Update</v>
      </c>
      <c r="N717" s="3"/>
      <c r="O717" s="3" t="str">
        <f>IFERROR(VLOOKUP(C717,Sheet4!A717:F1504,6,0),"")</f>
        <v/>
      </c>
      <c r="Q717" s="2" t="str">
        <f t="shared" si="1"/>
        <v>13</v>
      </c>
    </row>
    <row r="718">
      <c r="A718" s="3" t="str">
        <f>IFERROR(__xludf.DUMMYFUNCTION("""COMPUTED_VALUE"""),"Standby On Call")</f>
        <v>Standby On Call</v>
      </c>
      <c r="B718" s="3" t="str">
        <f>IFERROR(__xludf.DUMMYFUNCTION("""COMPUTED_VALUE"""),"P3")</f>
        <v>P3</v>
      </c>
      <c r="C718" s="3"/>
      <c r="D718" s="3" t="str">
        <f>IFERROR(__xludf.DUMMYFUNCTION("""COMPUTED_VALUE"""),"munawir akhmad")</f>
        <v>munawir akhmad</v>
      </c>
      <c r="E718" s="3" t="str">
        <f>IFERROR(__xludf.DUMMYFUNCTION("""COMPUTED_VALUE"""),"TE")</f>
        <v>TE</v>
      </c>
      <c r="F718" s="3" t="str">
        <f>IFERROR(__xludf.DUMMYFUNCTION("""COMPUTED_VALUE"""),"Winda Sokenda")</f>
        <v>Winda Sokenda</v>
      </c>
      <c r="G718" s="3" t="str">
        <f>IFERROR(__xludf.DUMMYFUNCTION("""COMPUTED_VALUE"""),"Barito Raya")</f>
        <v>Barito Raya</v>
      </c>
      <c r="H718" s="3" t="str">
        <f>IFERROR(__xludf.DUMMYFUNCTION("""COMPUTED_VALUE"""),"Standby")</f>
        <v>Standby</v>
      </c>
      <c r="I718" s="3" t="str">
        <f>IFERROR(__xludf.DUMMYFUNCTION("""COMPUTED_VALUE"""),"Standby On Call")</f>
        <v>Standby On Call</v>
      </c>
      <c r="J718" s="3"/>
      <c r="K718" s="27">
        <f>IFERROR(__xludf.DUMMYFUNCTION("""COMPUTED_VALUE"""),46035.0)</f>
        <v>46035</v>
      </c>
      <c r="L718" s="27">
        <f>IFERROR(__xludf.DUMMYFUNCTION("""COMPUTED_VALUE"""),46035.0)</f>
        <v>46035</v>
      </c>
      <c r="M718" s="3"/>
      <c r="N718" s="3"/>
      <c r="O718" s="3" t="str">
        <f>IFERROR(VLOOKUP(C718,Sheet4!A718:F1505,6,0),"")</f>
        <v/>
      </c>
      <c r="Q718" s="2" t="str">
        <f t="shared" si="1"/>
        <v>13</v>
      </c>
    </row>
    <row r="719">
      <c r="A719" s="3" t="str">
        <f>IFERROR(__xludf.DUMMYFUNCTION("""COMPUTED_VALUE"""),"Standby On Call")</f>
        <v>Standby On Call</v>
      </c>
      <c r="B719" s="3" t="str">
        <f>IFERROR(__xludf.DUMMYFUNCTION("""COMPUTED_VALUE"""),"P3")</f>
        <v>P3</v>
      </c>
      <c r="C719" s="3"/>
      <c r="D719" s="3" t="str">
        <f>IFERROR(__xludf.DUMMYFUNCTION("""COMPUTED_VALUE"""),"Riki Hidayat")</f>
        <v>Riki Hidayat</v>
      </c>
      <c r="E719" s="3" t="str">
        <f>IFERROR(__xludf.DUMMYFUNCTION("""COMPUTED_VALUE"""),"TE")</f>
        <v>TE</v>
      </c>
      <c r="F719" s="3" t="str">
        <f>IFERROR(__xludf.DUMMYFUNCTION("""COMPUTED_VALUE"""),"Winda Sokenda")</f>
        <v>Winda Sokenda</v>
      </c>
      <c r="G719" s="3" t="str">
        <f>IFERROR(__xludf.DUMMYFUNCTION("""COMPUTED_VALUE"""),"Barito Raya")</f>
        <v>Barito Raya</v>
      </c>
      <c r="H719" s="3" t="str">
        <f>IFERROR(__xludf.DUMMYFUNCTION("""COMPUTED_VALUE"""),"Standby")</f>
        <v>Standby</v>
      </c>
      <c r="I719" s="3" t="str">
        <f>IFERROR(__xludf.DUMMYFUNCTION("""COMPUTED_VALUE"""),"Standby On Call")</f>
        <v>Standby On Call</v>
      </c>
      <c r="J719" s="3"/>
      <c r="K719" s="27">
        <f>IFERROR(__xludf.DUMMYFUNCTION("""COMPUTED_VALUE"""),46035.0)</f>
        <v>46035</v>
      </c>
      <c r="L719" s="27">
        <f>IFERROR(__xludf.DUMMYFUNCTION("""COMPUTED_VALUE"""),46035.0)</f>
        <v>46035</v>
      </c>
      <c r="M719" s="3"/>
      <c r="N719" s="3"/>
      <c r="O719" s="3" t="str">
        <f>IFERROR(VLOOKUP(C719,Sheet4!A719:F1506,6,0),"")</f>
        <v/>
      </c>
      <c r="Q719" s="2" t="str">
        <f t="shared" si="1"/>
        <v>13</v>
      </c>
    </row>
    <row r="720">
      <c r="A720" s="3" t="str">
        <f>IFERROR(__xludf.DUMMYFUNCTION("""COMPUTED_VALUE"""),"Tshoot Genset")</f>
        <v>Tshoot Genset</v>
      </c>
      <c r="B720" s="3" t="str">
        <f>IFERROR(__xludf.DUMMYFUNCTION("""COMPUTED_VALUE"""),"P1")</f>
        <v>P1</v>
      </c>
      <c r="C720" s="3" t="str">
        <f>IFERROR(__xludf.DUMMYFUNCTION("""COMPUTED_VALUE"""),"PRC023")</f>
        <v>PRC023</v>
      </c>
      <c r="D720" s="3" t="str">
        <f>IFERROR(__xludf.DUMMYFUNCTION("""COMPUTED_VALUE"""),"Murjani")</f>
        <v>Murjani</v>
      </c>
      <c r="E720" s="3" t="str">
        <f>IFERROR(__xludf.DUMMYFUNCTION("""COMPUTED_VALUE"""),"TE")</f>
        <v>TE</v>
      </c>
      <c r="F720" s="3" t="str">
        <f>IFERROR(__xludf.DUMMYFUNCTION("""COMPUTED_VALUE"""),"Winda Sokenda")</f>
        <v>Winda Sokenda</v>
      </c>
      <c r="G720" s="3" t="str">
        <f>IFERROR(__xludf.DUMMYFUNCTION("""COMPUTED_VALUE"""),"Barito Raya")</f>
        <v>Barito Raya</v>
      </c>
      <c r="H720" s="3" t="str">
        <f>IFERROR(__xludf.DUMMYFUNCTION("""COMPUTED_VALUE"""),"Corrective")</f>
        <v>Corrective</v>
      </c>
      <c r="I720" s="3" t="str">
        <f>IFERROR(__xludf.DUMMYFUNCTION("""COMPUTED_VALUE"""),"Perbaikan Auto,pergantian relay,timer, yang berhubungan genset")</f>
        <v>Perbaikan Auto,pergantian relay,timer, yang berhubungan genset</v>
      </c>
      <c r="J720" s="3" t="str">
        <f>IFERROR(__xludf.DUMMYFUNCTION("""COMPUTED_VALUE"""),"On Progress")</f>
        <v>On Progress</v>
      </c>
      <c r="K720" s="27">
        <f>IFERROR(__xludf.DUMMYFUNCTION("""COMPUTED_VALUE"""),46035.0)</f>
        <v>46035</v>
      </c>
      <c r="L720" s="27">
        <f>IFERROR(__xludf.DUMMYFUNCTION("""COMPUTED_VALUE"""),46035.0)</f>
        <v>46035</v>
      </c>
      <c r="M720" s="3" t="str">
        <f>IFERROR(__xludf.DUMMYFUNCTION("""COMPUTED_VALUE"""),"Waiting Update")</f>
        <v>Waiting Update</v>
      </c>
      <c r="N720" s="3"/>
      <c r="O720" s="3">
        <f>IFERROR(VLOOKUP(C720,Sheet4!A720:F1507,6,0),"")</f>
        <v>11480614</v>
      </c>
      <c r="Q720" s="2" t="str">
        <f t="shared" si="1"/>
        <v>13</v>
      </c>
    </row>
    <row r="721">
      <c r="A721" s="3" t="str">
        <f>IFERROR(__xludf.DUMMYFUNCTION("""COMPUTED_VALUE"""),"Pengecekan Power")</f>
        <v>Pengecekan Power</v>
      </c>
      <c r="B721" s="3" t="str">
        <f>IFERROR(__xludf.DUMMYFUNCTION("""COMPUTED_VALUE"""),"P1")</f>
        <v>P1</v>
      </c>
      <c r="C721" s="3" t="str">
        <f>IFERROR(__xludf.DUMMYFUNCTION("""COMPUTED_VALUE"""),"COH957")</f>
        <v>COH957</v>
      </c>
      <c r="D721" s="3" t="str">
        <f>IFERROR(__xludf.DUMMYFUNCTION("""COMPUTED_VALUE"""),"Armadi")</f>
        <v>Armadi</v>
      </c>
      <c r="E721" s="3" t="str">
        <f>IFERROR(__xludf.DUMMYFUNCTION("""COMPUTED_VALUE"""),"TE")</f>
        <v>TE</v>
      </c>
      <c r="F721" s="3" t="str">
        <f>IFERROR(__xludf.DUMMYFUNCTION("""COMPUTED_VALUE"""),"Winda Sokenda")</f>
        <v>Winda Sokenda</v>
      </c>
      <c r="G721" s="3" t="str">
        <f>IFERROR(__xludf.DUMMYFUNCTION("""COMPUTED_VALUE"""),"Barito Raya")</f>
        <v>Barito Raya</v>
      </c>
      <c r="H721" s="3" t="str">
        <f>IFERROR(__xludf.DUMMYFUNCTION("""COMPUTED_VALUE"""),"Preventive")</f>
        <v>Preventive</v>
      </c>
      <c r="I721" s="3" t="str">
        <f>IFERROR(__xludf.DUMMYFUNCTION("""COMPUTED_VALUE"""),"MCB trip/Power upnormal")</f>
        <v>MCB trip/Power upnormal</v>
      </c>
      <c r="J721" s="3" t="str">
        <f>IFERROR(__xludf.DUMMYFUNCTION("""COMPUTED_VALUE"""),"On Progress")</f>
        <v>On Progress</v>
      </c>
      <c r="K721" s="27">
        <f>IFERROR(__xludf.DUMMYFUNCTION("""COMPUTED_VALUE"""),46035.0)</f>
        <v>46035</v>
      </c>
      <c r="L721" s="27">
        <f>IFERROR(__xludf.DUMMYFUNCTION("""COMPUTED_VALUE"""),46035.0)</f>
        <v>46035</v>
      </c>
      <c r="M721" s="3" t="str">
        <f>IFERROR(__xludf.DUMMYFUNCTION("""COMPUTED_VALUE"""),"Waiting Update")</f>
        <v>Waiting Update</v>
      </c>
      <c r="N721" s="3"/>
      <c r="O721" s="3" t="str">
        <f>IFERROR(VLOOKUP(C721,Sheet4!A721:F1508,6,0),"")</f>
        <v/>
      </c>
      <c r="Q721" s="2" t="str">
        <f t="shared" si="1"/>
        <v>13</v>
      </c>
    </row>
    <row r="722">
      <c r="A722" s="3" t="str">
        <f>IFERROR(__xludf.DUMMYFUNCTION("""COMPUTED_VALUE"""),"PM")</f>
        <v>PM</v>
      </c>
      <c r="B722" s="3" t="str">
        <f>IFERROR(__xludf.DUMMYFUNCTION("""COMPUTED_VALUE"""),"P2")</f>
        <v>P2</v>
      </c>
      <c r="C722" s="3"/>
      <c r="D722" s="3" t="str">
        <f>IFERROR(__xludf.DUMMYFUNCTION("""COMPUTED_VALUE"""),"Reynaldy Ricardo Putra")</f>
        <v>Reynaldy Ricardo Putra</v>
      </c>
      <c r="E722" s="3" t="str">
        <f>IFERROR(__xludf.DUMMYFUNCTION("""COMPUTED_VALUE"""),"TE")</f>
        <v>TE</v>
      </c>
      <c r="F722" s="3" t="str">
        <f>IFERROR(__xludf.DUMMYFUNCTION("""COMPUTED_VALUE"""),"Winda Sokenda")</f>
        <v>Winda Sokenda</v>
      </c>
      <c r="G722" s="3" t="str">
        <f>IFERROR(__xludf.DUMMYFUNCTION("""COMPUTED_VALUE"""),"Barito Raya")</f>
        <v>Barito Raya</v>
      </c>
      <c r="H722" s="3" t="str">
        <f>IFERROR(__xludf.DUMMYFUNCTION("""COMPUTED_VALUE"""),"Preventive")</f>
        <v>Preventive</v>
      </c>
      <c r="I722" s="3" t="str">
        <f>IFERROR(__xludf.DUMMYFUNCTION("""COMPUTED_VALUE"""),"Preventive Maintenance")</f>
        <v>Preventive Maintenance</v>
      </c>
      <c r="J722" s="3" t="str">
        <f>IFERROR(__xludf.DUMMYFUNCTION("""COMPUTED_VALUE"""),"On Progress")</f>
        <v>On Progress</v>
      </c>
      <c r="K722" s="27">
        <f>IFERROR(__xludf.DUMMYFUNCTION("""COMPUTED_VALUE"""),46035.0)</f>
        <v>46035</v>
      </c>
      <c r="L722" s="27">
        <f>IFERROR(__xludf.DUMMYFUNCTION("""COMPUTED_VALUE"""),46035.0)</f>
        <v>46035</v>
      </c>
      <c r="M722" s="3" t="str">
        <f>IFERROR(__xludf.DUMMYFUNCTION("""COMPUTED_VALUE"""),"Waiting Update")</f>
        <v>Waiting Update</v>
      </c>
      <c r="N722" s="3"/>
      <c r="O722" s="3" t="str">
        <f>IFERROR(VLOOKUP(C722,Sheet4!A722:F1509,6,0),"")</f>
        <v/>
      </c>
      <c r="Q722" s="2" t="str">
        <f t="shared" si="1"/>
        <v>13</v>
      </c>
    </row>
    <row r="723">
      <c r="A723" s="3" t="str">
        <f>IFERROR(__xludf.DUMMYFUNCTION("""COMPUTED_VALUE"""),"Site Down")</f>
        <v>Site Down</v>
      </c>
      <c r="B723" s="3" t="str">
        <f>IFERROR(__xludf.DUMMYFUNCTION("""COMPUTED_VALUE"""),"P1")</f>
        <v>P1</v>
      </c>
      <c r="C723" s="3" t="str">
        <f>IFERROR(__xludf.DUMMYFUNCTION("""COMPUTED_VALUE"""),"KKP016")</f>
        <v>KKP016</v>
      </c>
      <c r="D723" s="3" t="str">
        <f>IFERROR(__xludf.DUMMYFUNCTION("""COMPUTED_VALUE"""),"Sahrul Saputra")</f>
        <v>Sahrul Saputra</v>
      </c>
      <c r="E723" s="3" t="str">
        <f>IFERROR(__xludf.DUMMYFUNCTION("""COMPUTED_VALUE"""),"TE")</f>
        <v>TE</v>
      </c>
      <c r="F723" s="3" t="str">
        <f>IFERROR(__xludf.DUMMYFUNCTION("""COMPUTED_VALUE"""),"Winda Sokenda")</f>
        <v>Winda Sokenda</v>
      </c>
      <c r="G723" s="3" t="str">
        <f>IFERROR(__xludf.DUMMYFUNCTION("""COMPUTED_VALUE"""),"Barito Raya")</f>
        <v>Barito Raya</v>
      </c>
      <c r="H723" s="3" t="str">
        <f>IFERROR(__xludf.DUMMYFUNCTION("""COMPUTED_VALUE"""),"Corrective")</f>
        <v>Corrective</v>
      </c>
      <c r="I723" s="3" t="str">
        <f>IFERROR(__xludf.DUMMYFUNCTION("""COMPUTED_VALUE"""),"Pemadaman,MCB Trip,Transmisi problem")</f>
        <v>Pemadaman,MCB Trip,Transmisi problem</v>
      </c>
      <c r="J723" s="3" t="str">
        <f>IFERROR(__xludf.DUMMYFUNCTION("""COMPUTED_VALUE"""),"On Progress")</f>
        <v>On Progress</v>
      </c>
      <c r="K723" s="27">
        <f>IFERROR(__xludf.DUMMYFUNCTION("""COMPUTED_VALUE"""),46035.0)</f>
        <v>46035</v>
      </c>
      <c r="L723" s="27">
        <f>IFERROR(__xludf.DUMMYFUNCTION("""COMPUTED_VALUE"""),46035.0)</f>
        <v>46035</v>
      </c>
      <c r="M723" s="3" t="str">
        <f>IFERROR(__xludf.DUMMYFUNCTION("""COMPUTED_VALUE"""),"Waiting Update")</f>
        <v>Waiting Update</v>
      </c>
      <c r="N723" s="3"/>
      <c r="O723" s="3" t="str">
        <f>IFERROR(VLOOKUP(C723,Sheet4!A723:F1510,6,0),"")</f>
        <v/>
      </c>
      <c r="Q723" s="2" t="str">
        <f t="shared" si="1"/>
        <v>13</v>
      </c>
    </row>
    <row r="724">
      <c r="A724" s="3" t="str">
        <f>IFERROR(__xludf.DUMMYFUNCTION("""COMPUTED_VALUE"""),"Standby On Call")</f>
        <v>Standby On Call</v>
      </c>
      <c r="B724" s="3" t="str">
        <f>IFERROR(__xludf.DUMMYFUNCTION("""COMPUTED_VALUE"""),"P3")</f>
        <v>P3</v>
      </c>
      <c r="C724" s="3"/>
      <c r="D724" s="3" t="str">
        <f>IFERROR(__xludf.DUMMYFUNCTION("""COMPUTED_VALUE"""),"Nurhayat")</f>
        <v>Nurhayat</v>
      </c>
      <c r="E724" s="3" t="str">
        <f>IFERROR(__xludf.DUMMYFUNCTION("""COMPUTED_VALUE"""),"MBP")</f>
        <v>MBP</v>
      </c>
      <c r="F724" s="3" t="str">
        <f>IFERROR(__xludf.DUMMYFUNCTION("""COMPUTED_VALUE"""),"Winda Sokenda")</f>
        <v>Winda Sokenda</v>
      </c>
      <c r="G724" s="3" t="str">
        <f>IFERROR(__xludf.DUMMYFUNCTION("""COMPUTED_VALUE"""),"Barito Raya")</f>
        <v>Barito Raya</v>
      </c>
      <c r="H724" s="3" t="str">
        <f>IFERROR(__xludf.DUMMYFUNCTION("""COMPUTED_VALUE"""),"Standby")</f>
        <v>Standby</v>
      </c>
      <c r="I724" s="3" t="str">
        <f>IFERROR(__xludf.DUMMYFUNCTION("""COMPUTED_VALUE"""),"Standby On Call")</f>
        <v>Standby On Call</v>
      </c>
      <c r="J724" s="3"/>
      <c r="K724" s="27">
        <f>IFERROR(__xludf.DUMMYFUNCTION("""COMPUTED_VALUE"""),46035.0)</f>
        <v>46035</v>
      </c>
      <c r="L724" s="27">
        <f>IFERROR(__xludf.DUMMYFUNCTION("""COMPUTED_VALUE"""),46035.0)</f>
        <v>46035</v>
      </c>
      <c r="M724" s="3"/>
      <c r="N724" s="3"/>
      <c r="O724" s="3" t="str">
        <f>IFERROR(VLOOKUP(C724,Sheet4!A724:F1511,6,0),"")</f>
        <v/>
      </c>
      <c r="Q724" s="2" t="str">
        <f t="shared" si="1"/>
        <v>13</v>
      </c>
    </row>
    <row r="725">
      <c r="A725" s="3" t="str">
        <f>IFERROR(__xludf.DUMMYFUNCTION("""COMPUTED_VALUE"""),"Standby On Call")</f>
        <v>Standby On Call</v>
      </c>
      <c r="B725" s="3" t="str">
        <f>IFERROR(__xludf.DUMMYFUNCTION("""COMPUTED_VALUE"""),"P3")</f>
        <v>P3</v>
      </c>
      <c r="C725" s="3"/>
      <c r="D725" s="3" t="str">
        <f>IFERROR(__xludf.DUMMYFUNCTION("""COMPUTED_VALUE"""),"Harun Nurasyid")</f>
        <v>Harun Nurasyid</v>
      </c>
      <c r="E725" s="3" t="str">
        <f>IFERROR(__xludf.DUMMYFUNCTION("""COMPUTED_VALUE"""),"CME")</f>
        <v>CME</v>
      </c>
      <c r="F725" s="3" t="str">
        <f>IFERROR(__xludf.DUMMYFUNCTION("""COMPUTED_VALUE"""),"Winda Sokenda")</f>
        <v>Winda Sokenda</v>
      </c>
      <c r="G725" s="3" t="str">
        <f>IFERROR(__xludf.DUMMYFUNCTION("""COMPUTED_VALUE"""),"Barito Raya")</f>
        <v>Barito Raya</v>
      </c>
      <c r="H725" s="3" t="str">
        <f>IFERROR(__xludf.DUMMYFUNCTION("""COMPUTED_VALUE"""),"Standby")</f>
        <v>Standby</v>
      </c>
      <c r="I725" s="3" t="str">
        <f>IFERROR(__xludf.DUMMYFUNCTION("""COMPUTED_VALUE"""),"Standby On Call")</f>
        <v>Standby On Call</v>
      </c>
      <c r="J725" s="3"/>
      <c r="K725" s="27">
        <f>IFERROR(__xludf.DUMMYFUNCTION("""COMPUTED_VALUE"""),46035.0)</f>
        <v>46035</v>
      </c>
      <c r="L725" s="27">
        <f>IFERROR(__xludf.DUMMYFUNCTION("""COMPUTED_VALUE"""),46035.0)</f>
        <v>46035</v>
      </c>
      <c r="M725" s="3"/>
      <c r="N725" s="3"/>
      <c r="O725" s="3" t="str">
        <f>IFERROR(VLOOKUP(C725,Sheet4!A725:F1512,6,0),"")</f>
        <v/>
      </c>
      <c r="Q725" s="2" t="str">
        <f t="shared" si="1"/>
        <v>13</v>
      </c>
    </row>
    <row r="726">
      <c r="A726" s="3" t="str">
        <f>IFERROR(__xludf.DUMMYFUNCTION("""COMPUTED_VALUE"""),"Standby On Call")</f>
        <v>Standby On Call</v>
      </c>
      <c r="B726" s="3" t="str">
        <f>IFERROR(__xludf.DUMMYFUNCTION("""COMPUTED_VALUE"""),"P3")</f>
        <v>P3</v>
      </c>
      <c r="C726" s="3"/>
      <c r="D726" s="3" t="str">
        <f>IFERROR(__xludf.DUMMYFUNCTION("""COMPUTED_VALUE"""),"Taklim")</f>
        <v>Taklim</v>
      </c>
      <c r="E726" s="3" t="str">
        <f>IFERROR(__xludf.DUMMYFUNCTION("""COMPUTED_VALUE"""),"MBP")</f>
        <v>MBP</v>
      </c>
      <c r="F726" s="3" t="str">
        <f>IFERROR(__xludf.DUMMYFUNCTION("""COMPUTED_VALUE"""),"Winda Sokenda")</f>
        <v>Winda Sokenda</v>
      </c>
      <c r="G726" s="3" t="str">
        <f>IFERROR(__xludf.DUMMYFUNCTION("""COMPUTED_VALUE"""),"Barito Raya")</f>
        <v>Barito Raya</v>
      </c>
      <c r="H726" s="3" t="str">
        <f>IFERROR(__xludf.DUMMYFUNCTION("""COMPUTED_VALUE"""),"Standby")</f>
        <v>Standby</v>
      </c>
      <c r="I726" s="3" t="str">
        <f>IFERROR(__xludf.DUMMYFUNCTION("""COMPUTED_VALUE"""),"Standby On Call")</f>
        <v>Standby On Call</v>
      </c>
      <c r="J726" s="3"/>
      <c r="K726" s="27">
        <f>IFERROR(__xludf.DUMMYFUNCTION("""COMPUTED_VALUE"""),46035.0)</f>
        <v>46035</v>
      </c>
      <c r="L726" s="27">
        <f>IFERROR(__xludf.DUMMYFUNCTION("""COMPUTED_VALUE"""),46035.0)</f>
        <v>46035</v>
      </c>
      <c r="M726" s="3"/>
      <c r="N726" s="3"/>
      <c r="O726" s="3" t="str">
        <f>IFERROR(VLOOKUP(C726,Sheet4!A726:F1513,6,0),"")</f>
        <v/>
      </c>
      <c r="Q726" s="2" t="str">
        <f t="shared" si="1"/>
        <v>13</v>
      </c>
    </row>
    <row r="727">
      <c r="A727" s="3" t="str">
        <f>IFERROR(__xludf.DUMMYFUNCTION("""COMPUTED_VALUE"""),"Standby On Call")</f>
        <v>Standby On Call</v>
      </c>
      <c r="B727" s="3" t="str">
        <f>IFERROR(__xludf.DUMMYFUNCTION("""COMPUTED_VALUE"""),"P3")</f>
        <v>P3</v>
      </c>
      <c r="C727" s="3"/>
      <c r="D727" s="3" t="str">
        <f>IFERROR(__xludf.DUMMYFUNCTION("""COMPUTED_VALUE"""),"Ahmad Muzakir")</f>
        <v>Ahmad Muzakir</v>
      </c>
      <c r="E727" s="3" t="str">
        <f>IFERROR(__xludf.DUMMYFUNCTION("""COMPUTED_VALUE"""),"MBP")</f>
        <v>MBP</v>
      </c>
      <c r="F727" s="3" t="str">
        <f>IFERROR(__xludf.DUMMYFUNCTION("""COMPUTED_VALUE"""),"Winda Sokenda")</f>
        <v>Winda Sokenda</v>
      </c>
      <c r="G727" s="3" t="str">
        <f>IFERROR(__xludf.DUMMYFUNCTION("""COMPUTED_VALUE"""),"Barito Raya")</f>
        <v>Barito Raya</v>
      </c>
      <c r="H727" s="3" t="str">
        <f>IFERROR(__xludf.DUMMYFUNCTION("""COMPUTED_VALUE"""),"Standby")</f>
        <v>Standby</v>
      </c>
      <c r="I727" s="3" t="str">
        <f>IFERROR(__xludf.DUMMYFUNCTION("""COMPUTED_VALUE"""),"Standby On Call")</f>
        <v>Standby On Call</v>
      </c>
      <c r="J727" s="3"/>
      <c r="K727" s="27">
        <f>IFERROR(__xludf.DUMMYFUNCTION("""COMPUTED_VALUE"""),46035.0)</f>
        <v>46035</v>
      </c>
      <c r="L727" s="27">
        <f>IFERROR(__xludf.DUMMYFUNCTION("""COMPUTED_VALUE"""),46035.0)</f>
        <v>46035</v>
      </c>
      <c r="M727" s="3"/>
      <c r="N727" s="3"/>
      <c r="O727" s="3" t="str">
        <f>IFERROR(VLOOKUP(C727,Sheet4!A727:F1514,6,0),"")</f>
        <v/>
      </c>
      <c r="Q727" s="2" t="str">
        <f t="shared" si="1"/>
        <v>13</v>
      </c>
    </row>
    <row r="728">
      <c r="A728" s="3" t="str">
        <f>IFERROR(__xludf.DUMMYFUNCTION("""COMPUTED_VALUE"""),"Standby On Call")</f>
        <v>Standby On Call</v>
      </c>
      <c r="B728" s="3" t="str">
        <f>IFERROR(__xludf.DUMMYFUNCTION("""COMPUTED_VALUE"""),"P3")</f>
        <v>P3</v>
      </c>
      <c r="C728" s="3"/>
      <c r="D728" s="3" t="str">
        <f>IFERROR(__xludf.DUMMYFUNCTION("""COMPUTED_VALUE"""),"Alfi Syahri")</f>
        <v>Alfi Syahri</v>
      </c>
      <c r="E728" s="3" t="str">
        <f>IFERROR(__xludf.DUMMYFUNCTION("""COMPUTED_VALUE"""),"CME")</f>
        <v>CME</v>
      </c>
      <c r="F728" s="3" t="str">
        <f>IFERROR(__xludf.DUMMYFUNCTION("""COMPUTED_VALUE"""),"Winda Sokenda")</f>
        <v>Winda Sokenda</v>
      </c>
      <c r="G728" s="3" t="str">
        <f>IFERROR(__xludf.DUMMYFUNCTION("""COMPUTED_VALUE"""),"Barito Raya")</f>
        <v>Barito Raya</v>
      </c>
      <c r="H728" s="3" t="str">
        <f>IFERROR(__xludf.DUMMYFUNCTION("""COMPUTED_VALUE"""),"Standby")</f>
        <v>Standby</v>
      </c>
      <c r="I728" s="3" t="str">
        <f>IFERROR(__xludf.DUMMYFUNCTION("""COMPUTED_VALUE"""),"Standby On Call")</f>
        <v>Standby On Call</v>
      </c>
      <c r="J728" s="3"/>
      <c r="K728" s="27">
        <f>IFERROR(__xludf.DUMMYFUNCTION("""COMPUTED_VALUE"""),46035.0)</f>
        <v>46035</v>
      </c>
      <c r="L728" s="27">
        <f>IFERROR(__xludf.DUMMYFUNCTION("""COMPUTED_VALUE"""),46035.0)</f>
        <v>46035</v>
      </c>
      <c r="M728" s="3"/>
      <c r="N728" s="3"/>
      <c r="O728" s="3" t="str">
        <f>IFERROR(VLOOKUP(C728,Sheet4!A728:F1515,6,0),"")</f>
        <v/>
      </c>
      <c r="Q728" s="2" t="str">
        <f t="shared" si="1"/>
        <v>13</v>
      </c>
    </row>
    <row r="729">
      <c r="A729" s="3" t="str">
        <f>IFERROR(__xludf.DUMMYFUNCTION("""COMPUTED_VALUE"""),"Pengecekan Power")</f>
        <v>Pengecekan Power</v>
      </c>
      <c r="B729" s="3" t="str">
        <f>IFERROR(__xludf.DUMMYFUNCTION("""COMPUTED_VALUE"""),"P1")</f>
        <v>P1</v>
      </c>
      <c r="C729" s="3" t="str">
        <f>IFERROR(__xludf.DUMMYFUNCTION("""COMPUTED_VALUE"""),"KKP095")</f>
        <v>KKP095</v>
      </c>
      <c r="D729" s="3" t="str">
        <f>IFERROR(__xludf.DUMMYFUNCTION("""COMPUTED_VALUE"""),"Pujianto")</f>
        <v>Pujianto</v>
      </c>
      <c r="E729" s="3" t="str">
        <f>IFERROR(__xludf.DUMMYFUNCTION("""COMPUTED_VALUE"""),"MBP")</f>
        <v>MBP</v>
      </c>
      <c r="F729" s="3" t="str">
        <f>IFERROR(__xludf.DUMMYFUNCTION("""COMPUTED_VALUE"""),"Winda Sokenda")</f>
        <v>Winda Sokenda</v>
      </c>
      <c r="G729" s="3" t="str">
        <f>IFERROR(__xludf.DUMMYFUNCTION("""COMPUTED_VALUE"""),"Barito Raya")</f>
        <v>Barito Raya</v>
      </c>
      <c r="H729" s="3" t="str">
        <f>IFERROR(__xludf.DUMMYFUNCTION("""COMPUTED_VALUE"""),"Preventive")</f>
        <v>Preventive</v>
      </c>
      <c r="I729" s="3" t="str">
        <f>IFERROR(__xludf.DUMMYFUNCTION("""COMPUTED_VALUE"""),"MCB trip/Power upnormal")</f>
        <v>MCB trip/Power upnormal</v>
      </c>
      <c r="J729" s="3" t="str">
        <f>IFERROR(__xludf.DUMMYFUNCTION("""COMPUTED_VALUE"""),"On Progress")</f>
        <v>On Progress</v>
      </c>
      <c r="K729" s="27">
        <f>IFERROR(__xludf.DUMMYFUNCTION("""COMPUTED_VALUE"""),46035.0)</f>
        <v>46035</v>
      </c>
      <c r="L729" s="27">
        <f>IFERROR(__xludf.DUMMYFUNCTION("""COMPUTED_VALUE"""),46035.0)</f>
        <v>46035</v>
      </c>
      <c r="M729" s="3" t="str">
        <f>IFERROR(__xludf.DUMMYFUNCTION("""COMPUTED_VALUE"""),"Waiting Update")</f>
        <v>Waiting Update</v>
      </c>
      <c r="N729" s="3"/>
      <c r="O729" s="3" t="str">
        <f>IFERROR(VLOOKUP(C729,Sheet4!A729:F1516,6,0),"")</f>
        <v/>
      </c>
      <c r="Q729" s="2" t="str">
        <f t="shared" si="1"/>
        <v>13</v>
      </c>
    </row>
    <row r="730">
      <c r="A730" s="3" t="str">
        <f>IFERROR(__xludf.DUMMYFUNCTION("""COMPUTED_VALUE"""),"PM")</f>
        <v>PM</v>
      </c>
      <c r="B730" s="3" t="str">
        <f>IFERROR(__xludf.DUMMYFUNCTION("""COMPUTED_VALUE"""),"P2")</f>
        <v>P2</v>
      </c>
      <c r="C730" s="3"/>
      <c r="D730" s="3" t="str">
        <f>IFERROR(__xludf.DUMMYFUNCTION("""COMPUTED_VALUE"""),"Trisno Susanto")</f>
        <v>Trisno Susanto</v>
      </c>
      <c r="E730" s="3" t="str">
        <f>IFERROR(__xludf.DUMMYFUNCTION("""COMPUTED_VALUE"""),"PM")</f>
        <v>PM</v>
      </c>
      <c r="F730" s="3" t="str">
        <f>IFERROR(__xludf.DUMMYFUNCTION("""COMPUTED_VALUE"""),"Winda Sokenda")</f>
        <v>Winda Sokenda</v>
      </c>
      <c r="G730" s="3" t="str">
        <f>IFERROR(__xludf.DUMMYFUNCTION("""COMPUTED_VALUE"""),"Barito Raya")</f>
        <v>Barito Raya</v>
      </c>
      <c r="H730" s="3" t="str">
        <f>IFERROR(__xludf.DUMMYFUNCTION("""COMPUTED_VALUE"""),"Preventive")</f>
        <v>Preventive</v>
      </c>
      <c r="I730" s="3" t="str">
        <f>IFERROR(__xludf.DUMMYFUNCTION("""COMPUTED_VALUE"""),"Preventive Maintenance")</f>
        <v>Preventive Maintenance</v>
      </c>
      <c r="J730" s="3" t="str">
        <f>IFERROR(__xludf.DUMMYFUNCTION("""COMPUTED_VALUE"""),"On Progress")</f>
        <v>On Progress</v>
      </c>
      <c r="K730" s="27">
        <f>IFERROR(__xludf.DUMMYFUNCTION("""COMPUTED_VALUE"""),46035.0)</f>
        <v>46035</v>
      </c>
      <c r="L730" s="27">
        <f>IFERROR(__xludf.DUMMYFUNCTION("""COMPUTED_VALUE"""),46035.0)</f>
        <v>46035</v>
      </c>
      <c r="M730" s="3" t="str">
        <f>IFERROR(__xludf.DUMMYFUNCTION("""COMPUTED_VALUE"""),"Waiting Update")</f>
        <v>Waiting Update</v>
      </c>
      <c r="N730" s="3"/>
      <c r="O730" s="3" t="str">
        <f>IFERROR(VLOOKUP(C730,Sheet4!A730:F1517,6,0),"")</f>
        <v/>
      </c>
      <c r="Q730" s="2" t="str">
        <f t="shared" si="1"/>
        <v>13</v>
      </c>
    </row>
    <row r="731">
      <c r="A731" s="3" t="str">
        <f>IFERROR(__xludf.DUMMYFUNCTION("""COMPUTED_VALUE"""),"PM")</f>
        <v>PM</v>
      </c>
      <c r="B731" s="3" t="str">
        <f>IFERROR(__xludf.DUMMYFUNCTION("""COMPUTED_VALUE"""),"P2")</f>
        <v>P2</v>
      </c>
      <c r="C731" s="3"/>
      <c r="D731" s="3" t="str">
        <f>IFERROR(__xludf.DUMMYFUNCTION("""COMPUTED_VALUE"""),"Khilal dawai katiri")</f>
        <v>Khilal dawai katiri</v>
      </c>
      <c r="E731" s="3" t="str">
        <f>IFERROR(__xludf.DUMMYFUNCTION("""COMPUTED_VALUE"""),"MBP")</f>
        <v>MBP</v>
      </c>
      <c r="F731" s="3" t="str">
        <f>IFERROR(__xludf.DUMMYFUNCTION("""COMPUTED_VALUE"""),"Winda Sokenda")</f>
        <v>Winda Sokenda</v>
      </c>
      <c r="G731" s="3" t="str">
        <f>IFERROR(__xludf.DUMMYFUNCTION("""COMPUTED_VALUE"""),"Barito Raya")</f>
        <v>Barito Raya</v>
      </c>
      <c r="H731" s="3" t="str">
        <f>IFERROR(__xludf.DUMMYFUNCTION("""COMPUTED_VALUE"""),"Preventive")</f>
        <v>Preventive</v>
      </c>
      <c r="I731" s="3" t="str">
        <f>IFERROR(__xludf.DUMMYFUNCTION("""COMPUTED_VALUE"""),"Preventive Maintenance")</f>
        <v>Preventive Maintenance</v>
      </c>
      <c r="J731" s="3" t="str">
        <f>IFERROR(__xludf.DUMMYFUNCTION("""COMPUTED_VALUE"""),"On Progress")</f>
        <v>On Progress</v>
      </c>
      <c r="K731" s="27">
        <f>IFERROR(__xludf.DUMMYFUNCTION("""COMPUTED_VALUE"""),46035.0)</f>
        <v>46035</v>
      </c>
      <c r="L731" s="27">
        <f>IFERROR(__xludf.DUMMYFUNCTION("""COMPUTED_VALUE"""),46035.0)</f>
        <v>46035</v>
      </c>
      <c r="M731" s="3" t="str">
        <f>IFERROR(__xludf.DUMMYFUNCTION("""COMPUTED_VALUE"""),"Waiting Update")</f>
        <v>Waiting Update</v>
      </c>
      <c r="N731" s="3"/>
      <c r="O731" s="3" t="str">
        <f>IFERROR(VLOOKUP(C731,Sheet4!A731:F1518,6,0),"")</f>
        <v/>
      </c>
      <c r="Q731" s="2" t="str">
        <f t="shared" si="1"/>
        <v>13</v>
      </c>
    </row>
    <row r="732">
      <c r="A732" s="3" t="str">
        <f>IFERROR(__xludf.DUMMYFUNCTION("""COMPUTED_VALUE"""),"PM")</f>
        <v>PM</v>
      </c>
      <c r="B732" s="3" t="str">
        <f>IFERROR(__xludf.DUMMYFUNCTION("""COMPUTED_VALUE"""),"P2")</f>
        <v>P2</v>
      </c>
      <c r="C732" s="3" t="str">
        <f>IFERROR(__xludf.DUMMYFUNCTION("""COMPUTED_VALUE"""),"MTW176")</f>
        <v>MTW176</v>
      </c>
      <c r="D732" s="3" t="str">
        <f>IFERROR(__xludf.DUMMYFUNCTION("""COMPUTED_VALUE"""),"Riko setiadi")</f>
        <v>Riko setiadi</v>
      </c>
      <c r="E732" s="3" t="str">
        <f>IFERROR(__xludf.DUMMYFUNCTION("""COMPUTED_VALUE"""),"PM")</f>
        <v>PM</v>
      </c>
      <c r="F732" s="3" t="str">
        <f>IFERROR(__xludf.DUMMYFUNCTION("""COMPUTED_VALUE"""),"Winda Sokenda")</f>
        <v>Winda Sokenda</v>
      </c>
      <c r="G732" s="3" t="str">
        <f>IFERROR(__xludf.DUMMYFUNCTION("""COMPUTED_VALUE"""),"Barito Raya")</f>
        <v>Barito Raya</v>
      </c>
      <c r="H732" s="3" t="str">
        <f>IFERROR(__xludf.DUMMYFUNCTION("""COMPUTED_VALUE"""),"Preventive")</f>
        <v>Preventive</v>
      </c>
      <c r="I732" s="3" t="str">
        <f>IFERROR(__xludf.DUMMYFUNCTION("""COMPUTED_VALUE"""),"Preventive Maintenance")</f>
        <v>Preventive Maintenance</v>
      </c>
      <c r="J732" s="3" t="str">
        <f>IFERROR(__xludf.DUMMYFUNCTION("""COMPUTED_VALUE"""),"On Progress")</f>
        <v>On Progress</v>
      </c>
      <c r="K732" s="27">
        <f>IFERROR(__xludf.DUMMYFUNCTION("""COMPUTED_VALUE"""),46035.0)</f>
        <v>46035</v>
      </c>
      <c r="L732" s="27">
        <f>IFERROR(__xludf.DUMMYFUNCTION("""COMPUTED_VALUE"""),46035.0)</f>
        <v>46035</v>
      </c>
      <c r="M732" s="3" t="str">
        <f>IFERROR(__xludf.DUMMYFUNCTION("""COMPUTED_VALUE"""),"Waiting Update")</f>
        <v>Waiting Update</v>
      </c>
      <c r="N732" s="3"/>
      <c r="O732" s="3" t="str">
        <f>IFERROR(VLOOKUP(C732,Sheet4!A732:F1519,6,0),"")</f>
        <v/>
      </c>
      <c r="Q732" s="2" t="str">
        <f t="shared" si="1"/>
        <v>13</v>
      </c>
    </row>
    <row r="733">
      <c r="A733" s="3" t="str">
        <f>IFERROR(__xludf.DUMMYFUNCTION("""COMPUTED_VALUE"""),"Cell down")</f>
        <v>Cell down</v>
      </c>
      <c r="B733" s="3" t="str">
        <f>IFERROR(__xludf.DUMMYFUNCTION("""COMPUTED_VALUE"""),"P1")</f>
        <v>P1</v>
      </c>
      <c r="C733" s="3" t="str">
        <f>IFERROR(__xludf.DUMMYFUNCTION("""COMPUTED_VALUE"""),"PLK242")</f>
        <v>PLK242</v>
      </c>
      <c r="D733" s="3" t="str">
        <f>IFERROR(__xludf.DUMMYFUNCTION("""COMPUTED_VALUE"""),"Ahmad")</f>
        <v>Ahmad</v>
      </c>
      <c r="E733" s="3" t="str">
        <f>IFERROR(__xludf.DUMMYFUNCTION("""COMPUTED_VALUE"""),"TE")</f>
        <v>TE</v>
      </c>
      <c r="F733" s="3" t="str">
        <f>IFERROR(__xludf.DUMMYFUNCTION("""COMPUTED_VALUE"""),"Doni Damara")</f>
        <v>Doni Damara</v>
      </c>
      <c r="G733" s="3" t="str">
        <f>IFERROR(__xludf.DUMMYFUNCTION("""COMPUTED_VALUE"""),"Palangkaraya")</f>
        <v>Palangkaraya</v>
      </c>
      <c r="H733" s="3" t="str">
        <f>IFERROR(__xludf.DUMMYFUNCTION("""COMPUTED_VALUE"""),"Corrective")</f>
        <v>Corrective</v>
      </c>
      <c r="I733" s="3" t="str">
        <f>IFERROR(__xludf.DUMMYFUNCTION("""COMPUTED_VALUE"""),"Replace Optik,RRU/Soket Power/Replace GPS")</f>
        <v>Replace Optik,RRU/Soket Power/Replace GPS</v>
      </c>
      <c r="J733" s="3" t="str">
        <f>IFERROR(__xludf.DUMMYFUNCTION("""COMPUTED_VALUE"""),"On Progress")</f>
        <v>On Progress</v>
      </c>
      <c r="K733" s="27">
        <f>IFERROR(__xludf.DUMMYFUNCTION("""COMPUTED_VALUE"""),46035.0)</f>
        <v>46035</v>
      </c>
      <c r="L733" s="27">
        <f>IFERROR(__xludf.DUMMYFUNCTION("""COMPUTED_VALUE"""),46035.0)</f>
        <v>46035</v>
      </c>
      <c r="M733" s="3" t="str">
        <f>IFERROR(__xludf.DUMMYFUNCTION("""COMPUTED_VALUE"""),"Done")</f>
        <v>Done</v>
      </c>
      <c r="N733" s="3"/>
      <c r="O733" s="3" t="str">
        <f>IFERROR(VLOOKUP(C733,Sheet4!A733:F1520,6,0),"")</f>
        <v/>
      </c>
      <c r="Q733" s="2" t="str">
        <f t="shared" si="1"/>
        <v>13</v>
      </c>
    </row>
    <row r="734">
      <c r="A734" s="3" t="str">
        <f>IFERROR(__xludf.DUMMYFUNCTION("""COMPUTED_VALUE"""),"Site Down")</f>
        <v>Site Down</v>
      </c>
      <c r="B734" s="3" t="str">
        <f>IFERROR(__xludf.DUMMYFUNCTION("""COMPUTED_VALUE"""),"P1")</f>
        <v>P1</v>
      </c>
      <c r="C734" s="3" t="str">
        <f>IFERROR(__xludf.DUMMYFUNCTION("""COMPUTED_VALUE"""),"KSN721")</f>
        <v>KSN721</v>
      </c>
      <c r="D734" s="3" t="str">
        <f>IFERROR(__xludf.DUMMYFUNCTION("""COMPUTED_VALUE"""),"Fahmi")</f>
        <v>Fahmi</v>
      </c>
      <c r="E734" s="3" t="str">
        <f>IFERROR(__xludf.DUMMYFUNCTION("""COMPUTED_VALUE"""),"TE")</f>
        <v>TE</v>
      </c>
      <c r="F734" s="3" t="str">
        <f>IFERROR(__xludf.DUMMYFUNCTION("""COMPUTED_VALUE"""),"Doni Damara")</f>
        <v>Doni Damara</v>
      </c>
      <c r="G734" s="3" t="str">
        <f>IFERROR(__xludf.DUMMYFUNCTION("""COMPUTED_VALUE"""),"Palangkaraya")</f>
        <v>Palangkaraya</v>
      </c>
      <c r="H734" s="3" t="str">
        <f>IFERROR(__xludf.DUMMYFUNCTION("""COMPUTED_VALUE"""),"Corrective")</f>
        <v>Corrective</v>
      </c>
      <c r="I734" s="3" t="str">
        <f>IFERROR(__xludf.DUMMYFUNCTION("""COMPUTED_VALUE"""),"Pemadaman,MCB Trip,Transmisi problem")</f>
        <v>Pemadaman,MCB Trip,Transmisi problem</v>
      </c>
      <c r="J734" s="3" t="str">
        <f>IFERROR(__xludf.DUMMYFUNCTION("""COMPUTED_VALUE"""),"On Progress")</f>
        <v>On Progress</v>
      </c>
      <c r="K734" s="27">
        <f>IFERROR(__xludf.DUMMYFUNCTION("""COMPUTED_VALUE"""),46035.0)</f>
        <v>46035</v>
      </c>
      <c r="L734" s="27">
        <f>IFERROR(__xludf.DUMMYFUNCTION("""COMPUTED_VALUE"""),46035.0)</f>
        <v>46035</v>
      </c>
      <c r="M734" s="3" t="str">
        <f>IFERROR(__xludf.DUMMYFUNCTION("""COMPUTED_VALUE"""),"Done")</f>
        <v>Done</v>
      </c>
      <c r="N734" s="3"/>
      <c r="O734" s="3" t="str">
        <f>IFERROR(VLOOKUP(C734,Sheet4!A734:F1521,6,0),"")</f>
        <v/>
      </c>
      <c r="Q734" s="2" t="str">
        <f t="shared" si="1"/>
        <v>13</v>
      </c>
    </row>
    <row r="735">
      <c r="A735" s="3" t="str">
        <f>IFERROR(__xludf.DUMMYFUNCTION("""COMPUTED_VALUE"""),"Cell down")</f>
        <v>Cell down</v>
      </c>
      <c r="B735" s="3" t="str">
        <f>IFERROR(__xludf.DUMMYFUNCTION("""COMPUTED_VALUE"""),"P1")</f>
        <v>P1</v>
      </c>
      <c r="C735" s="3" t="str">
        <f>IFERROR(__xludf.DUMMYFUNCTION("""COMPUTED_VALUE"""),"PLK046")</f>
        <v>PLK046</v>
      </c>
      <c r="D735" s="3" t="str">
        <f>IFERROR(__xludf.DUMMYFUNCTION("""COMPUTED_VALUE"""),"Oky Bangkit Pamungkas")</f>
        <v>Oky Bangkit Pamungkas</v>
      </c>
      <c r="E735" s="3" t="str">
        <f>IFERROR(__xludf.DUMMYFUNCTION("""COMPUTED_VALUE"""),"TE")</f>
        <v>TE</v>
      </c>
      <c r="F735" s="3" t="str">
        <f>IFERROR(__xludf.DUMMYFUNCTION("""COMPUTED_VALUE"""),"Doni Damara")</f>
        <v>Doni Damara</v>
      </c>
      <c r="G735" s="3" t="str">
        <f>IFERROR(__xludf.DUMMYFUNCTION("""COMPUTED_VALUE"""),"Palangkaraya")</f>
        <v>Palangkaraya</v>
      </c>
      <c r="H735" s="3" t="str">
        <f>IFERROR(__xludf.DUMMYFUNCTION("""COMPUTED_VALUE"""),"Corrective")</f>
        <v>Corrective</v>
      </c>
      <c r="I735" s="3" t="str">
        <f>IFERROR(__xludf.DUMMYFUNCTION("""COMPUTED_VALUE"""),"Replace Optik,RRU/Soket Power/Replace GPS")</f>
        <v>Replace Optik,RRU/Soket Power/Replace GPS</v>
      </c>
      <c r="J735" s="3" t="str">
        <f>IFERROR(__xludf.DUMMYFUNCTION("""COMPUTED_VALUE"""),"On Progress")</f>
        <v>On Progress</v>
      </c>
      <c r="K735" s="27">
        <f>IFERROR(__xludf.DUMMYFUNCTION("""COMPUTED_VALUE"""),46035.0)</f>
        <v>46035</v>
      </c>
      <c r="L735" s="27">
        <f>IFERROR(__xludf.DUMMYFUNCTION("""COMPUTED_VALUE"""),46035.0)</f>
        <v>46035</v>
      </c>
      <c r="M735" s="3" t="str">
        <f>IFERROR(__xludf.DUMMYFUNCTION("""COMPUTED_VALUE"""),"Done")</f>
        <v>Done</v>
      </c>
      <c r="N735" s="3"/>
      <c r="O735" s="3" t="str">
        <f>IFERROR(VLOOKUP(C735,Sheet4!A735:F1522,6,0),"")</f>
        <v/>
      </c>
      <c r="Q735" s="2" t="str">
        <f t="shared" si="1"/>
        <v>13</v>
      </c>
    </row>
    <row r="736">
      <c r="A736" s="3" t="str">
        <f>IFERROR(__xludf.DUMMYFUNCTION("""COMPUTED_VALUE"""),"Cell down")</f>
        <v>Cell down</v>
      </c>
      <c r="B736" s="3" t="str">
        <f>IFERROR(__xludf.DUMMYFUNCTION("""COMPUTED_VALUE"""),"P1")</f>
        <v>P1</v>
      </c>
      <c r="C736" s="3" t="str">
        <f>IFERROR(__xludf.DUMMYFUNCTION("""COMPUTED_VALUE"""),"PLK242")</f>
        <v>PLK242</v>
      </c>
      <c r="D736" s="3" t="str">
        <f>IFERROR(__xludf.DUMMYFUNCTION("""COMPUTED_VALUE"""),"Jumadi")</f>
        <v>Jumadi</v>
      </c>
      <c r="E736" s="3" t="str">
        <f>IFERROR(__xludf.DUMMYFUNCTION("""COMPUTED_VALUE"""),"TE")</f>
        <v>TE</v>
      </c>
      <c r="F736" s="3" t="str">
        <f>IFERROR(__xludf.DUMMYFUNCTION("""COMPUTED_VALUE"""),"Doni Damara")</f>
        <v>Doni Damara</v>
      </c>
      <c r="G736" s="3" t="str">
        <f>IFERROR(__xludf.DUMMYFUNCTION("""COMPUTED_VALUE"""),"Palangkaraya")</f>
        <v>Palangkaraya</v>
      </c>
      <c r="H736" s="3" t="str">
        <f>IFERROR(__xludf.DUMMYFUNCTION("""COMPUTED_VALUE"""),"Corrective")</f>
        <v>Corrective</v>
      </c>
      <c r="I736" s="3" t="str">
        <f>IFERROR(__xludf.DUMMYFUNCTION("""COMPUTED_VALUE"""),"Replace Optik,RRU/Soket Power/Replace GPS")</f>
        <v>Replace Optik,RRU/Soket Power/Replace GPS</v>
      </c>
      <c r="J736" s="3" t="str">
        <f>IFERROR(__xludf.DUMMYFUNCTION("""COMPUTED_VALUE"""),"On Progress")</f>
        <v>On Progress</v>
      </c>
      <c r="K736" s="27">
        <f>IFERROR(__xludf.DUMMYFUNCTION("""COMPUTED_VALUE"""),46035.0)</f>
        <v>46035</v>
      </c>
      <c r="L736" s="27">
        <f>IFERROR(__xludf.DUMMYFUNCTION("""COMPUTED_VALUE"""),46035.0)</f>
        <v>46035</v>
      </c>
      <c r="M736" s="3" t="str">
        <f>IFERROR(__xludf.DUMMYFUNCTION("""COMPUTED_VALUE"""),"Done")</f>
        <v>Done</v>
      </c>
      <c r="N736" s="3"/>
      <c r="O736" s="3" t="str">
        <f>IFERROR(VLOOKUP(C736,Sheet4!A736:F1523,6,0),"")</f>
        <v/>
      </c>
      <c r="Q736" s="2" t="str">
        <f t="shared" si="1"/>
        <v>13</v>
      </c>
    </row>
    <row r="737">
      <c r="A737" s="3" t="str">
        <f>IFERROR(__xludf.DUMMYFUNCTION("""COMPUTED_VALUE"""),"Cell down")</f>
        <v>Cell down</v>
      </c>
      <c r="B737" s="3" t="str">
        <f>IFERROR(__xludf.DUMMYFUNCTION("""COMPUTED_VALUE"""),"P1")</f>
        <v>P1</v>
      </c>
      <c r="C737" s="3" t="str">
        <f>IFERROR(__xludf.DUMMYFUNCTION("""COMPUTED_VALUE"""),"KSN721")</f>
        <v>KSN721</v>
      </c>
      <c r="D737" s="3" t="str">
        <f>IFERROR(__xludf.DUMMYFUNCTION("""COMPUTED_VALUE"""),"james jimbris")</f>
        <v>james jimbris</v>
      </c>
      <c r="E737" s="3" t="str">
        <f>IFERROR(__xludf.DUMMYFUNCTION("""COMPUTED_VALUE"""),"TE")</f>
        <v>TE</v>
      </c>
      <c r="F737" s="3" t="str">
        <f>IFERROR(__xludf.DUMMYFUNCTION("""COMPUTED_VALUE"""),"Doni Damara")</f>
        <v>Doni Damara</v>
      </c>
      <c r="G737" s="3" t="str">
        <f>IFERROR(__xludf.DUMMYFUNCTION("""COMPUTED_VALUE"""),"Palangkaraya")</f>
        <v>Palangkaraya</v>
      </c>
      <c r="H737" s="3" t="str">
        <f>IFERROR(__xludf.DUMMYFUNCTION("""COMPUTED_VALUE"""),"Corrective")</f>
        <v>Corrective</v>
      </c>
      <c r="I737" s="3" t="str">
        <f>IFERROR(__xludf.DUMMYFUNCTION("""COMPUTED_VALUE"""),"Replace Optik,RRU/Soket Power/Replace GPS")</f>
        <v>Replace Optik,RRU/Soket Power/Replace GPS</v>
      </c>
      <c r="J737" s="3" t="str">
        <f>IFERROR(__xludf.DUMMYFUNCTION("""COMPUTED_VALUE"""),"On Progress")</f>
        <v>On Progress</v>
      </c>
      <c r="K737" s="27">
        <f>IFERROR(__xludf.DUMMYFUNCTION("""COMPUTED_VALUE"""),46035.0)</f>
        <v>46035</v>
      </c>
      <c r="L737" s="27">
        <f>IFERROR(__xludf.DUMMYFUNCTION("""COMPUTED_VALUE"""),46035.0)</f>
        <v>46035</v>
      </c>
      <c r="M737" s="3" t="str">
        <f>IFERROR(__xludf.DUMMYFUNCTION("""COMPUTED_VALUE"""),"Done")</f>
        <v>Done</v>
      </c>
      <c r="N737" s="3"/>
      <c r="O737" s="3" t="str">
        <f>IFERROR(VLOOKUP(C737,Sheet4!A737:F1524,6,0),"")</f>
        <v/>
      </c>
      <c r="Q737" s="2" t="str">
        <f t="shared" si="1"/>
        <v>13</v>
      </c>
    </row>
    <row r="738">
      <c r="A738" s="3" t="str">
        <f>IFERROR(__xludf.DUMMYFUNCTION("""COMPUTED_VALUE"""),"Pengecekan battrey")</f>
        <v>Pengecekan battrey</v>
      </c>
      <c r="B738" s="3" t="str">
        <f>IFERROR(__xludf.DUMMYFUNCTION("""COMPUTED_VALUE"""),"P2")</f>
        <v>P2</v>
      </c>
      <c r="C738" s="3" t="str">
        <f>IFERROR(__xludf.DUMMYFUNCTION("""COMPUTED_VALUE"""),"PLK029")</f>
        <v>PLK029</v>
      </c>
      <c r="D738" s="3" t="str">
        <f>IFERROR(__xludf.DUMMYFUNCTION("""COMPUTED_VALUE"""),"Adi Bowo Santoso")</f>
        <v>Adi Bowo Santoso</v>
      </c>
      <c r="E738" s="3" t="str">
        <f>IFERROR(__xludf.DUMMYFUNCTION("""COMPUTED_VALUE"""),"TE")</f>
        <v>TE</v>
      </c>
      <c r="F738" s="3" t="str">
        <f>IFERROR(__xludf.DUMMYFUNCTION("""COMPUTED_VALUE"""),"Doni Damara")</f>
        <v>Doni Damara</v>
      </c>
      <c r="G738" s="3" t="str">
        <f>IFERROR(__xludf.DUMMYFUNCTION("""COMPUTED_VALUE"""),"Palangkaraya")</f>
        <v>Palangkaraya</v>
      </c>
      <c r="H738" s="3" t="str">
        <f>IFERROR(__xludf.DUMMYFUNCTION("""COMPUTED_VALUE"""),"Preventive")</f>
        <v>Preventive</v>
      </c>
      <c r="I738" s="3" t="str">
        <f>IFERROR(__xludf.DUMMYFUNCTION("""COMPUTED_VALUE"""),"Pengukuran dan pengambilan data log serta input Gdoc BBT")</f>
        <v>Pengukuran dan pengambilan data log serta input Gdoc BBT</v>
      </c>
      <c r="J738" s="3" t="str">
        <f>IFERROR(__xludf.DUMMYFUNCTION("""COMPUTED_VALUE"""),"On Progress")</f>
        <v>On Progress</v>
      </c>
      <c r="K738" s="27">
        <f>IFERROR(__xludf.DUMMYFUNCTION("""COMPUTED_VALUE"""),46035.0)</f>
        <v>46035</v>
      </c>
      <c r="L738" s="27">
        <f>IFERROR(__xludf.DUMMYFUNCTION("""COMPUTED_VALUE"""),46035.0)</f>
        <v>46035</v>
      </c>
      <c r="M738" s="3" t="str">
        <f>IFERROR(__xludf.DUMMYFUNCTION("""COMPUTED_VALUE"""),"Done")</f>
        <v>Done</v>
      </c>
      <c r="N738" s="3"/>
      <c r="O738" s="3" t="str">
        <f>IFERROR(VLOOKUP(C738,Sheet4!A738:F1525,6,0),"")</f>
        <v/>
      </c>
      <c r="Q738" s="2" t="str">
        <f t="shared" si="1"/>
        <v>13</v>
      </c>
    </row>
    <row r="739">
      <c r="A739" s="3" t="str">
        <f>IFERROR(__xludf.DUMMYFUNCTION("""COMPUTED_VALUE"""),"Site Down")</f>
        <v>Site Down</v>
      </c>
      <c r="B739" s="3" t="str">
        <f>IFERROR(__xludf.DUMMYFUNCTION("""COMPUTED_VALUE"""),"P1")</f>
        <v>P1</v>
      </c>
      <c r="C739" s="3" t="str">
        <f>IFERROR(__xludf.DUMMYFUNCTION("""COMPUTED_VALUE"""),"SPT147")</f>
        <v>SPT147</v>
      </c>
      <c r="D739" s="3" t="str">
        <f>IFERROR(__xludf.DUMMYFUNCTION("""COMPUTED_VALUE"""),"Yahya Muhamad")</f>
        <v>Yahya Muhamad</v>
      </c>
      <c r="E739" s="3" t="str">
        <f>IFERROR(__xludf.DUMMYFUNCTION("""COMPUTED_VALUE"""),"TE")</f>
        <v>TE</v>
      </c>
      <c r="F739" s="3" t="str">
        <f>IFERROR(__xludf.DUMMYFUNCTION("""COMPUTED_VALUE"""),"Doni Damara")</f>
        <v>Doni Damara</v>
      </c>
      <c r="G739" s="3" t="str">
        <f>IFERROR(__xludf.DUMMYFUNCTION("""COMPUTED_VALUE"""),"Palangkaraya")</f>
        <v>Palangkaraya</v>
      </c>
      <c r="H739" s="3" t="str">
        <f>IFERROR(__xludf.DUMMYFUNCTION("""COMPUTED_VALUE"""),"Corrective")</f>
        <v>Corrective</v>
      </c>
      <c r="I739" s="3" t="str">
        <f>IFERROR(__xludf.DUMMYFUNCTION("""COMPUTED_VALUE"""),"Pemadaman,MCB Trip,Transmisi problem")</f>
        <v>Pemadaman,MCB Trip,Transmisi problem</v>
      </c>
      <c r="J739" s="3" t="str">
        <f>IFERROR(__xludf.DUMMYFUNCTION("""COMPUTED_VALUE"""),"On Progress")</f>
        <v>On Progress</v>
      </c>
      <c r="K739" s="27">
        <f>IFERROR(__xludf.DUMMYFUNCTION("""COMPUTED_VALUE"""),46035.0)</f>
        <v>46035</v>
      </c>
      <c r="L739" s="27">
        <f>IFERROR(__xludf.DUMMYFUNCTION("""COMPUTED_VALUE"""),46035.0)</f>
        <v>46035</v>
      </c>
      <c r="M739" s="3" t="str">
        <f>IFERROR(__xludf.DUMMYFUNCTION("""COMPUTED_VALUE"""),"Pending")</f>
        <v>Pending</v>
      </c>
      <c r="N739" s="3"/>
      <c r="O739" s="3" t="str">
        <f>IFERROR(VLOOKUP(C739,Sheet4!A739:F1526,6,0),"")</f>
        <v/>
      </c>
      <c r="Q739" s="2" t="str">
        <f t="shared" si="1"/>
        <v>13</v>
      </c>
    </row>
    <row r="740">
      <c r="A740" s="3" t="str">
        <f>IFERROR(__xludf.DUMMYFUNCTION("""COMPUTED_VALUE"""),"Site Down")</f>
        <v>Site Down</v>
      </c>
      <c r="B740" s="3" t="str">
        <f>IFERROR(__xludf.DUMMYFUNCTION("""COMPUTED_VALUE"""),"P1")</f>
        <v>P1</v>
      </c>
      <c r="C740" s="3" t="str">
        <f>IFERROR(__xludf.DUMMYFUNCTION("""COMPUTED_VALUE"""),"SPT147")</f>
        <v>SPT147</v>
      </c>
      <c r="D740" s="3" t="str">
        <f>IFERROR(__xludf.DUMMYFUNCTION("""COMPUTED_VALUE"""),"Muhamad Rayhan")</f>
        <v>Muhamad Rayhan</v>
      </c>
      <c r="E740" s="3" t="str">
        <f>IFERROR(__xludf.DUMMYFUNCTION("""COMPUTED_VALUE"""),"TE")</f>
        <v>TE</v>
      </c>
      <c r="F740" s="3" t="str">
        <f>IFERROR(__xludf.DUMMYFUNCTION("""COMPUTED_VALUE"""),"Doni Damara")</f>
        <v>Doni Damara</v>
      </c>
      <c r="G740" s="3" t="str">
        <f>IFERROR(__xludf.DUMMYFUNCTION("""COMPUTED_VALUE"""),"Palangkaraya")</f>
        <v>Palangkaraya</v>
      </c>
      <c r="H740" s="3" t="str">
        <f>IFERROR(__xludf.DUMMYFUNCTION("""COMPUTED_VALUE"""),"Corrective")</f>
        <v>Corrective</v>
      </c>
      <c r="I740" s="3" t="str">
        <f>IFERROR(__xludf.DUMMYFUNCTION("""COMPUTED_VALUE"""),"Pemadaman,MCB Trip,Transmisi problem")</f>
        <v>Pemadaman,MCB Trip,Transmisi problem</v>
      </c>
      <c r="J740" s="3" t="str">
        <f>IFERROR(__xludf.DUMMYFUNCTION("""COMPUTED_VALUE"""),"On Progress")</f>
        <v>On Progress</v>
      </c>
      <c r="K740" s="27">
        <f>IFERROR(__xludf.DUMMYFUNCTION("""COMPUTED_VALUE"""),46035.0)</f>
        <v>46035</v>
      </c>
      <c r="L740" s="27">
        <f>IFERROR(__xludf.DUMMYFUNCTION("""COMPUTED_VALUE"""),46035.0)</f>
        <v>46035</v>
      </c>
      <c r="M740" s="3" t="str">
        <f>IFERROR(__xludf.DUMMYFUNCTION("""COMPUTED_VALUE"""),"Pending")</f>
        <v>Pending</v>
      </c>
      <c r="N740" s="3"/>
      <c r="O740" s="3" t="str">
        <f>IFERROR(VLOOKUP(C740,Sheet4!A740:F1527,6,0),"")</f>
        <v/>
      </c>
      <c r="Q740" s="2" t="str">
        <f t="shared" si="1"/>
        <v>13</v>
      </c>
    </row>
    <row r="741">
      <c r="A741" s="3" t="str">
        <f>IFERROR(__xludf.DUMMYFUNCTION("""COMPUTED_VALUE"""),"Cell down")</f>
        <v>Cell down</v>
      </c>
      <c r="B741" s="3" t="str">
        <f>IFERROR(__xludf.DUMMYFUNCTION("""COMPUTED_VALUE"""),"P1")</f>
        <v>P1</v>
      </c>
      <c r="C741" s="3" t="str">
        <f>IFERROR(__xludf.DUMMYFUNCTION("""COMPUTED_VALUE"""),"KKN151")</f>
        <v>KKN151</v>
      </c>
      <c r="D741" s="3" t="str">
        <f>IFERROR(__xludf.DUMMYFUNCTION("""COMPUTED_VALUE"""),"Leonard")</f>
        <v>Leonard</v>
      </c>
      <c r="E741" s="3" t="str">
        <f>IFERROR(__xludf.DUMMYFUNCTION("""COMPUTED_VALUE"""),"TE")</f>
        <v>TE</v>
      </c>
      <c r="F741" s="3" t="str">
        <f>IFERROR(__xludf.DUMMYFUNCTION("""COMPUTED_VALUE"""),"Doni Damara")</f>
        <v>Doni Damara</v>
      </c>
      <c r="G741" s="3" t="str">
        <f>IFERROR(__xludf.DUMMYFUNCTION("""COMPUTED_VALUE"""),"Palangkaraya")</f>
        <v>Palangkaraya</v>
      </c>
      <c r="H741" s="3" t="str">
        <f>IFERROR(__xludf.DUMMYFUNCTION("""COMPUTED_VALUE"""),"Corrective")</f>
        <v>Corrective</v>
      </c>
      <c r="I741" s="3" t="str">
        <f>IFERROR(__xludf.DUMMYFUNCTION("""COMPUTED_VALUE"""),"Replace Optik,RRU/Soket Power/Replace GPS")</f>
        <v>Replace Optik,RRU/Soket Power/Replace GPS</v>
      </c>
      <c r="J741" s="3" t="str">
        <f>IFERROR(__xludf.DUMMYFUNCTION("""COMPUTED_VALUE"""),"On Progress")</f>
        <v>On Progress</v>
      </c>
      <c r="K741" s="27">
        <f>IFERROR(__xludf.DUMMYFUNCTION("""COMPUTED_VALUE"""),46035.0)</f>
        <v>46035</v>
      </c>
      <c r="L741" s="27">
        <f>IFERROR(__xludf.DUMMYFUNCTION("""COMPUTED_VALUE"""),46035.0)</f>
        <v>46035</v>
      </c>
      <c r="M741" s="3" t="str">
        <f>IFERROR(__xludf.DUMMYFUNCTION("""COMPUTED_VALUE"""),"Pending")</f>
        <v>Pending</v>
      </c>
      <c r="N741" s="3"/>
      <c r="O741" s="3" t="str">
        <f>IFERROR(VLOOKUP(C741,Sheet4!A741:F1528,6,0),"")</f>
        <v/>
      </c>
      <c r="Q741" s="2" t="str">
        <f t="shared" si="1"/>
        <v>13</v>
      </c>
    </row>
    <row r="742">
      <c r="A742" s="3" t="str">
        <f>IFERROR(__xludf.DUMMYFUNCTION("""COMPUTED_VALUE"""),"Cell down")</f>
        <v>Cell down</v>
      </c>
      <c r="B742" s="3" t="str">
        <f>IFERROR(__xludf.DUMMYFUNCTION("""COMPUTED_VALUE"""),"P1")</f>
        <v>P1</v>
      </c>
      <c r="C742" s="3" t="str">
        <f>IFERROR(__xludf.DUMMYFUNCTION("""COMPUTED_VALUE"""),"KKN151")</f>
        <v>KKN151</v>
      </c>
      <c r="D742" s="3" t="str">
        <f>IFERROR(__xludf.DUMMYFUNCTION("""COMPUTED_VALUE"""),"Aulia Rahman")</f>
        <v>Aulia Rahman</v>
      </c>
      <c r="E742" s="3" t="str">
        <f>IFERROR(__xludf.DUMMYFUNCTION("""COMPUTED_VALUE"""),"TE")</f>
        <v>TE</v>
      </c>
      <c r="F742" s="3" t="str">
        <f>IFERROR(__xludf.DUMMYFUNCTION("""COMPUTED_VALUE"""),"Doni Damara")</f>
        <v>Doni Damara</v>
      </c>
      <c r="G742" s="3" t="str">
        <f>IFERROR(__xludf.DUMMYFUNCTION("""COMPUTED_VALUE"""),"Palangkaraya")</f>
        <v>Palangkaraya</v>
      </c>
      <c r="H742" s="3" t="str">
        <f>IFERROR(__xludf.DUMMYFUNCTION("""COMPUTED_VALUE"""),"Corrective")</f>
        <v>Corrective</v>
      </c>
      <c r="I742" s="3" t="str">
        <f>IFERROR(__xludf.DUMMYFUNCTION("""COMPUTED_VALUE"""),"Replace Optik,RRU/Soket Power/Replace GPS")</f>
        <v>Replace Optik,RRU/Soket Power/Replace GPS</v>
      </c>
      <c r="J742" s="3" t="str">
        <f>IFERROR(__xludf.DUMMYFUNCTION("""COMPUTED_VALUE"""),"On Progress")</f>
        <v>On Progress</v>
      </c>
      <c r="K742" s="27">
        <f>IFERROR(__xludf.DUMMYFUNCTION("""COMPUTED_VALUE"""),46035.0)</f>
        <v>46035</v>
      </c>
      <c r="L742" s="27">
        <f>IFERROR(__xludf.DUMMYFUNCTION("""COMPUTED_VALUE"""),46035.0)</f>
        <v>46035</v>
      </c>
      <c r="M742" s="3" t="str">
        <f>IFERROR(__xludf.DUMMYFUNCTION("""COMPUTED_VALUE"""),"Pending")</f>
        <v>Pending</v>
      </c>
      <c r="N742" s="3"/>
      <c r="O742" s="3" t="str">
        <f>IFERROR(VLOOKUP(C742,Sheet4!A742:F1529,6,0),"")</f>
        <v/>
      </c>
      <c r="Q742" s="2" t="str">
        <f t="shared" si="1"/>
        <v>13</v>
      </c>
    </row>
    <row r="743">
      <c r="A743" s="3" t="str">
        <f>IFERROR(__xludf.DUMMYFUNCTION("""COMPUTED_VALUE"""),"Cell down")</f>
        <v>Cell down</v>
      </c>
      <c r="B743" s="3" t="str">
        <f>IFERROR(__xludf.DUMMYFUNCTION("""COMPUTED_VALUE"""),"P1")</f>
        <v>P1</v>
      </c>
      <c r="C743" s="3" t="str">
        <f>IFERROR(__xludf.DUMMYFUNCTION("""COMPUTED_VALUE"""),"KSN021")</f>
        <v>KSN021</v>
      </c>
      <c r="D743" s="3" t="str">
        <f>IFERROR(__xludf.DUMMYFUNCTION("""COMPUTED_VALUE"""),"Muhammad Mukhlis")</f>
        <v>Muhammad Mukhlis</v>
      </c>
      <c r="E743" s="3" t="str">
        <f>IFERROR(__xludf.DUMMYFUNCTION("""COMPUTED_VALUE"""),"TE")</f>
        <v>TE</v>
      </c>
      <c r="F743" s="3" t="str">
        <f>IFERROR(__xludf.DUMMYFUNCTION("""COMPUTED_VALUE"""),"Doni Damara")</f>
        <v>Doni Damara</v>
      </c>
      <c r="G743" s="3" t="str">
        <f>IFERROR(__xludf.DUMMYFUNCTION("""COMPUTED_VALUE"""),"Palangkaraya")</f>
        <v>Palangkaraya</v>
      </c>
      <c r="H743" s="3" t="str">
        <f>IFERROR(__xludf.DUMMYFUNCTION("""COMPUTED_VALUE"""),"Corrective")</f>
        <v>Corrective</v>
      </c>
      <c r="I743" s="3" t="str">
        <f>IFERROR(__xludf.DUMMYFUNCTION("""COMPUTED_VALUE"""),"Replace Optik,RRU/Soket Power/Replace GPS")</f>
        <v>Replace Optik,RRU/Soket Power/Replace GPS</v>
      </c>
      <c r="J743" s="3" t="str">
        <f>IFERROR(__xludf.DUMMYFUNCTION("""COMPUTED_VALUE"""),"On Progress")</f>
        <v>On Progress</v>
      </c>
      <c r="K743" s="27">
        <f>IFERROR(__xludf.DUMMYFUNCTION("""COMPUTED_VALUE"""),46035.0)</f>
        <v>46035</v>
      </c>
      <c r="L743" s="27">
        <f>IFERROR(__xludf.DUMMYFUNCTION("""COMPUTED_VALUE"""),46035.0)</f>
        <v>46035</v>
      </c>
      <c r="M743" s="3" t="str">
        <f>IFERROR(__xludf.DUMMYFUNCTION("""COMPUTED_VALUE"""),"Pending")</f>
        <v>Pending</v>
      </c>
      <c r="N743" s="3"/>
      <c r="O743" s="3" t="str">
        <f>IFERROR(VLOOKUP(C743,Sheet4!A743:F1530,6,0),"")</f>
        <v/>
      </c>
      <c r="Q743" s="2" t="str">
        <f t="shared" si="1"/>
        <v>13</v>
      </c>
    </row>
    <row r="744">
      <c r="A744" s="3" t="str">
        <f>IFERROR(__xludf.DUMMYFUNCTION("""COMPUTED_VALUE"""),"Pengecekan Power")</f>
        <v>Pengecekan Power</v>
      </c>
      <c r="B744" s="3" t="str">
        <f>IFERROR(__xludf.DUMMYFUNCTION("""COMPUTED_VALUE"""),"P1")</f>
        <v>P1</v>
      </c>
      <c r="C744" s="3" t="str">
        <f>IFERROR(__xludf.DUMMYFUNCTION("""COMPUTED_VALUE"""),"KSN037")</f>
        <v>KSN037</v>
      </c>
      <c r="D744" s="3" t="str">
        <f>IFERROR(__xludf.DUMMYFUNCTION("""COMPUTED_VALUE"""),"Muhammad Mukti")</f>
        <v>Muhammad Mukti</v>
      </c>
      <c r="E744" s="3" t="str">
        <f>IFERROR(__xludf.DUMMYFUNCTION("""COMPUTED_VALUE"""),"TE")</f>
        <v>TE</v>
      </c>
      <c r="F744" s="3" t="str">
        <f>IFERROR(__xludf.DUMMYFUNCTION("""COMPUTED_VALUE"""),"Doni Damara")</f>
        <v>Doni Damara</v>
      </c>
      <c r="G744" s="3" t="str">
        <f>IFERROR(__xludf.DUMMYFUNCTION("""COMPUTED_VALUE"""),"Palangkaraya")</f>
        <v>Palangkaraya</v>
      </c>
      <c r="H744" s="3" t="str">
        <f>IFERROR(__xludf.DUMMYFUNCTION("""COMPUTED_VALUE"""),"Preventive")</f>
        <v>Preventive</v>
      </c>
      <c r="I744" s="3" t="str">
        <f>IFERROR(__xludf.DUMMYFUNCTION("""COMPUTED_VALUE"""),"MCB trip/Power upnormal")</f>
        <v>MCB trip/Power upnormal</v>
      </c>
      <c r="J744" s="3" t="str">
        <f>IFERROR(__xludf.DUMMYFUNCTION("""COMPUTED_VALUE"""),"On Progress")</f>
        <v>On Progress</v>
      </c>
      <c r="K744" s="27">
        <f>IFERROR(__xludf.DUMMYFUNCTION("""COMPUTED_VALUE"""),46035.0)</f>
        <v>46035</v>
      </c>
      <c r="L744" s="27">
        <f>IFERROR(__xludf.DUMMYFUNCTION("""COMPUTED_VALUE"""),46035.0)</f>
        <v>46035</v>
      </c>
      <c r="M744" s="3" t="str">
        <f>IFERROR(__xludf.DUMMYFUNCTION("""COMPUTED_VALUE"""),"Done")</f>
        <v>Done</v>
      </c>
      <c r="N744" s="3"/>
      <c r="O744" s="3" t="str">
        <f>IFERROR(VLOOKUP(C744,Sheet4!A744:F1531,6,0),"")</f>
        <v/>
      </c>
      <c r="Q744" s="2" t="str">
        <f t="shared" si="1"/>
        <v>13</v>
      </c>
    </row>
    <row r="745">
      <c r="A745" s="3" t="str">
        <f>IFERROR(__xludf.DUMMYFUNCTION("""COMPUTED_VALUE"""),"Tshoot Genset")</f>
        <v>Tshoot Genset</v>
      </c>
      <c r="B745" s="3" t="str">
        <f>IFERROR(__xludf.DUMMYFUNCTION("""COMPUTED_VALUE"""),"P1")</f>
        <v>P1</v>
      </c>
      <c r="C745" s="3" t="str">
        <f>IFERROR(__xludf.DUMMYFUNCTION("""COMPUTED_VALUE"""),"KSN150")</f>
        <v>KSN150</v>
      </c>
      <c r="D745" s="3" t="str">
        <f>IFERROR(__xludf.DUMMYFUNCTION("""COMPUTED_VALUE"""),"melky.O.Tulangow")</f>
        <v>melky.O.Tulangow</v>
      </c>
      <c r="E745" s="3" t="str">
        <f>IFERROR(__xludf.DUMMYFUNCTION("""COMPUTED_VALUE"""),"TE")</f>
        <v>TE</v>
      </c>
      <c r="F745" s="3" t="str">
        <f>IFERROR(__xludf.DUMMYFUNCTION("""COMPUTED_VALUE"""),"Doni Damara")</f>
        <v>Doni Damara</v>
      </c>
      <c r="G745" s="3" t="str">
        <f>IFERROR(__xludf.DUMMYFUNCTION("""COMPUTED_VALUE"""),"Palangkaraya")</f>
        <v>Palangkaraya</v>
      </c>
      <c r="H745" s="3" t="str">
        <f>IFERROR(__xludf.DUMMYFUNCTION("""COMPUTED_VALUE"""),"Corrective")</f>
        <v>Corrective</v>
      </c>
      <c r="I745" s="3" t="str">
        <f>IFERROR(__xludf.DUMMYFUNCTION("""COMPUTED_VALUE"""),"Perbaikan Auto,pergantian relay,timer, yang berhubungan genset")</f>
        <v>Perbaikan Auto,pergantian relay,timer, yang berhubungan genset</v>
      </c>
      <c r="J745" s="3" t="str">
        <f>IFERROR(__xludf.DUMMYFUNCTION("""COMPUTED_VALUE"""),"On Progress")</f>
        <v>On Progress</v>
      </c>
      <c r="K745" s="27">
        <f>IFERROR(__xludf.DUMMYFUNCTION("""COMPUTED_VALUE"""),46035.0)</f>
        <v>46035</v>
      </c>
      <c r="L745" s="27">
        <f>IFERROR(__xludf.DUMMYFUNCTION("""COMPUTED_VALUE"""),46035.0)</f>
        <v>46035</v>
      </c>
      <c r="M745" s="3" t="str">
        <f>IFERROR(__xludf.DUMMYFUNCTION("""COMPUTED_VALUE"""),"Waiting Update")</f>
        <v>Waiting Update</v>
      </c>
      <c r="N745" s="3"/>
      <c r="O745" s="3" t="str">
        <f>IFERROR(VLOOKUP(C745,Sheet4!A745:F1532,6,0),"")</f>
        <v/>
      </c>
      <c r="Q745" s="2" t="str">
        <f t="shared" si="1"/>
        <v>13</v>
      </c>
    </row>
    <row r="746">
      <c r="A746" s="3" t="str">
        <f>IFERROR(__xludf.DUMMYFUNCTION("""COMPUTED_VALUE"""),"PM")</f>
        <v>PM</v>
      </c>
      <c r="B746" s="3" t="str">
        <f>IFERROR(__xludf.DUMMYFUNCTION("""COMPUTED_VALUE"""),"P2")</f>
        <v>P2</v>
      </c>
      <c r="C746" s="3" t="str">
        <f>IFERROR(__xludf.DUMMYFUNCTION("""COMPUTED_VALUE"""),"KSN710")</f>
        <v>KSN710</v>
      </c>
      <c r="D746" s="3" t="str">
        <f>IFERROR(__xludf.DUMMYFUNCTION("""COMPUTED_VALUE"""),"Indra")</f>
        <v>Indra</v>
      </c>
      <c r="E746" s="3" t="str">
        <f>IFERROR(__xludf.DUMMYFUNCTION("""COMPUTED_VALUE"""),"PM")</f>
        <v>PM</v>
      </c>
      <c r="F746" s="3" t="str">
        <f>IFERROR(__xludf.DUMMYFUNCTION("""COMPUTED_VALUE"""),"Doni Damara")</f>
        <v>Doni Damara</v>
      </c>
      <c r="G746" s="3" t="str">
        <f>IFERROR(__xludf.DUMMYFUNCTION("""COMPUTED_VALUE"""),"Palangkaraya")</f>
        <v>Palangkaraya</v>
      </c>
      <c r="H746" s="3" t="str">
        <f>IFERROR(__xludf.DUMMYFUNCTION("""COMPUTED_VALUE"""),"Preventive")</f>
        <v>Preventive</v>
      </c>
      <c r="I746" s="3" t="str">
        <f>IFERROR(__xludf.DUMMYFUNCTION("""COMPUTED_VALUE"""),"Preventive Maintenance")</f>
        <v>Preventive Maintenance</v>
      </c>
      <c r="J746" s="3" t="str">
        <f>IFERROR(__xludf.DUMMYFUNCTION("""COMPUTED_VALUE"""),"On Progress")</f>
        <v>On Progress</v>
      </c>
      <c r="K746" s="27">
        <f>IFERROR(__xludf.DUMMYFUNCTION("""COMPUTED_VALUE"""),46035.0)</f>
        <v>46035</v>
      </c>
      <c r="L746" s="27">
        <f>IFERROR(__xludf.DUMMYFUNCTION("""COMPUTED_VALUE"""),46035.0)</f>
        <v>46035</v>
      </c>
      <c r="M746" s="3" t="str">
        <f>IFERROR(__xludf.DUMMYFUNCTION("""COMPUTED_VALUE"""),"Waiting Update")</f>
        <v>Waiting Update</v>
      </c>
      <c r="N746" s="3"/>
      <c r="O746" s="3" t="str">
        <f>IFERROR(VLOOKUP(C746,Sheet4!A746:F1533,6,0),"")</f>
        <v/>
      </c>
      <c r="Q746" s="2" t="str">
        <f t="shared" si="1"/>
        <v>13</v>
      </c>
    </row>
    <row r="747">
      <c r="A747" s="3" t="str">
        <f>IFERROR(__xludf.DUMMYFUNCTION("""COMPUTED_VALUE"""),"PM")</f>
        <v>PM</v>
      </c>
      <c r="B747" s="3" t="str">
        <f>IFERROR(__xludf.DUMMYFUNCTION("""COMPUTED_VALUE"""),"P2")</f>
        <v>P2</v>
      </c>
      <c r="C747" s="3" t="str">
        <f>IFERROR(__xludf.DUMMYFUNCTION("""COMPUTED_VALUE"""),"KSN763")</f>
        <v>KSN763</v>
      </c>
      <c r="D747" s="3" t="str">
        <f>IFERROR(__xludf.DUMMYFUNCTION("""COMPUTED_VALUE"""),"Darli")</f>
        <v>Darli</v>
      </c>
      <c r="E747" s="3" t="str">
        <f>IFERROR(__xludf.DUMMYFUNCTION("""COMPUTED_VALUE"""),"PM")</f>
        <v>PM</v>
      </c>
      <c r="F747" s="3" t="str">
        <f>IFERROR(__xludf.DUMMYFUNCTION("""COMPUTED_VALUE"""),"Doni Damara")</f>
        <v>Doni Damara</v>
      </c>
      <c r="G747" s="3" t="str">
        <f>IFERROR(__xludf.DUMMYFUNCTION("""COMPUTED_VALUE"""),"Palangkaraya")</f>
        <v>Palangkaraya</v>
      </c>
      <c r="H747" s="3" t="str">
        <f>IFERROR(__xludf.DUMMYFUNCTION("""COMPUTED_VALUE"""),"Preventive")</f>
        <v>Preventive</v>
      </c>
      <c r="I747" s="3" t="str">
        <f>IFERROR(__xludf.DUMMYFUNCTION("""COMPUTED_VALUE"""),"Preventive Maintenance")</f>
        <v>Preventive Maintenance</v>
      </c>
      <c r="J747" s="3" t="str">
        <f>IFERROR(__xludf.DUMMYFUNCTION("""COMPUTED_VALUE"""),"On Progress")</f>
        <v>On Progress</v>
      </c>
      <c r="K747" s="27">
        <f>IFERROR(__xludf.DUMMYFUNCTION("""COMPUTED_VALUE"""),46035.0)</f>
        <v>46035</v>
      </c>
      <c r="L747" s="27">
        <f>IFERROR(__xludf.DUMMYFUNCTION("""COMPUTED_VALUE"""),46035.0)</f>
        <v>46035</v>
      </c>
      <c r="M747" s="3" t="str">
        <f>IFERROR(__xludf.DUMMYFUNCTION("""COMPUTED_VALUE"""),"Waiting Update")</f>
        <v>Waiting Update</v>
      </c>
      <c r="N747" s="3"/>
      <c r="O747" s="3" t="str">
        <f>IFERROR(VLOOKUP(C747,Sheet4!A747:F1534,6,0),"")</f>
        <v/>
      </c>
      <c r="Q747" s="2" t="str">
        <f t="shared" si="1"/>
        <v>13</v>
      </c>
    </row>
    <row r="748">
      <c r="A748" s="3" t="str">
        <f>IFERROR(__xludf.DUMMYFUNCTION("""COMPUTED_VALUE"""),"Standby On Call")</f>
        <v>Standby On Call</v>
      </c>
      <c r="B748" s="3" t="str">
        <f>IFERROR(__xludf.DUMMYFUNCTION("""COMPUTED_VALUE"""),"P3")</f>
        <v>P3</v>
      </c>
      <c r="C748" s="3"/>
      <c r="D748" s="3" t="str">
        <f>IFERROR(__xludf.DUMMYFUNCTION("""COMPUTED_VALUE"""),"Sarwono")</f>
        <v>Sarwono</v>
      </c>
      <c r="E748" s="3" t="str">
        <f>IFERROR(__xludf.DUMMYFUNCTION("""COMPUTED_VALUE"""),"CME")</f>
        <v>CME</v>
      </c>
      <c r="F748" s="3" t="str">
        <f>IFERROR(__xludf.DUMMYFUNCTION("""COMPUTED_VALUE"""),"Doni Damara")</f>
        <v>Doni Damara</v>
      </c>
      <c r="G748" s="3" t="str">
        <f>IFERROR(__xludf.DUMMYFUNCTION("""COMPUTED_VALUE"""),"Palangkaraya")</f>
        <v>Palangkaraya</v>
      </c>
      <c r="H748" s="3" t="str">
        <f>IFERROR(__xludf.DUMMYFUNCTION("""COMPUTED_VALUE"""),"Standby")</f>
        <v>Standby</v>
      </c>
      <c r="I748" s="3" t="str">
        <f>IFERROR(__xludf.DUMMYFUNCTION("""COMPUTED_VALUE"""),"Standby On Call")</f>
        <v>Standby On Call</v>
      </c>
      <c r="J748" s="3" t="str">
        <f>IFERROR(__xludf.DUMMYFUNCTION("""COMPUTED_VALUE"""),"Standby")</f>
        <v>Standby</v>
      </c>
      <c r="K748" s="27">
        <f>IFERROR(__xludf.DUMMYFUNCTION("""COMPUTED_VALUE"""),46035.0)</f>
        <v>46035</v>
      </c>
      <c r="L748" s="27">
        <f>IFERROR(__xludf.DUMMYFUNCTION("""COMPUTED_VALUE"""),46035.0)</f>
        <v>46035</v>
      </c>
      <c r="M748" s="3" t="str">
        <f>IFERROR(__xludf.DUMMYFUNCTION("""COMPUTED_VALUE"""),"Waiting Update")</f>
        <v>Waiting Update</v>
      </c>
      <c r="N748" s="3"/>
      <c r="O748" s="3" t="str">
        <f>IFERROR(VLOOKUP(C748,Sheet4!A748:F1535,6,0),"")</f>
        <v/>
      </c>
      <c r="Q748" s="2" t="str">
        <f t="shared" si="1"/>
        <v>13</v>
      </c>
    </row>
    <row r="749">
      <c r="A749" s="3" t="str">
        <f>IFERROR(__xludf.DUMMYFUNCTION("""COMPUTED_VALUE"""),"Standby On Call")</f>
        <v>Standby On Call</v>
      </c>
      <c r="B749" s="3" t="str">
        <f>IFERROR(__xludf.DUMMYFUNCTION("""COMPUTED_VALUE"""),"P3")</f>
        <v>P3</v>
      </c>
      <c r="C749" s="3"/>
      <c r="D749" s="3" t="str">
        <f>IFERROR(__xludf.DUMMYFUNCTION("""COMPUTED_VALUE"""),"Purwanto")</f>
        <v>Purwanto</v>
      </c>
      <c r="E749" s="3" t="str">
        <f>IFERROR(__xludf.DUMMYFUNCTION("""COMPUTED_VALUE"""),"MBP")</f>
        <v>MBP</v>
      </c>
      <c r="F749" s="3" t="str">
        <f>IFERROR(__xludf.DUMMYFUNCTION("""COMPUTED_VALUE"""),"Doni Damara")</f>
        <v>Doni Damara</v>
      </c>
      <c r="G749" s="3" t="str">
        <f>IFERROR(__xludf.DUMMYFUNCTION("""COMPUTED_VALUE"""),"Palangkaraya")</f>
        <v>Palangkaraya</v>
      </c>
      <c r="H749" s="3" t="str">
        <f>IFERROR(__xludf.DUMMYFUNCTION("""COMPUTED_VALUE"""),"Standby")</f>
        <v>Standby</v>
      </c>
      <c r="I749" s="3" t="str">
        <f>IFERROR(__xludf.DUMMYFUNCTION("""COMPUTED_VALUE"""),"Standby On Call")</f>
        <v>Standby On Call</v>
      </c>
      <c r="J749" s="3" t="str">
        <f>IFERROR(__xludf.DUMMYFUNCTION("""COMPUTED_VALUE"""),"Standby")</f>
        <v>Standby</v>
      </c>
      <c r="K749" s="27">
        <f>IFERROR(__xludf.DUMMYFUNCTION("""COMPUTED_VALUE"""),46035.0)</f>
        <v>46035</v>
      </c>
      <c r="L749" s="27">
        <f>IFERROR(__xludf.DUMMYFUNCTION("""COMPUTED_VALUE"""),46035.0)</f>
        <v>46035</v>
      </c>
      <c r="M749" s="3" t="str">
        <f>IFERROR(__xludf.DUMMYFUNCTION("""COMPUTED_VALUE"""),"Waiting Update")</f>
        <v>Waiting Update</v>
      </c>
      <c r="N749" s="3"/>
      <c r="O749" s="3" t="str">
        <f>IFERROR(VLOOKUP(C749,Sheet4!A749:F1536,6,0),"")</f>
        <v/>
      </c>
      <c r="Q749" s="2" t="str">
        <f t="shared" si="1"/>
        <v>13</v>
      </c>
    </row>
    <row r="750">
      <c r="A750" s="3" t="str">
        <f>IFERROR(__xludf.DUMMYFUNCTION("""COMPUTED_VALUE"""),"Standby On Call")</f>
        <v>Standby On Call</v>
      </c>
      <c r="B750" s="3" t="str">
        <f>IFERROR(__xludf.DUMMYFUNCTION("""COMPUTED_VALUE"""),"P3")</f>
        <v>P3</v>
      </c>
      <c r="C750" s="3"/>
      <c r="D750" s="3" t="str">
        <f>IFERROR(__xludf.DUMMYFUNCTION("""COMPUTED_VALUE"""),"Agus muliana pamungkas")</f>
        <v>Agus muliana pamungkas</v>
      </c>
      <c r="E750" s="3" t="str">
        <f>IFERROR(__xludf.DUMMYFUNCTION("""COMPUTED_VALUE"""),"MBP")</f>
        <v>MBP</v>
      </c>
      <c r="F750" s="3" t="str">
        <f>IFERROR(__xludf.DUMMYFUNCTION("""COMPUTED_VALUE"""),"Doni Damara")</f>
        <v>Doni Damara</v>
      </c>
      <c r="G750" s="3" t="str">
        <f>IFERROR(__xludf.DUMMYFUNCTION("""COMPUTED_VALUE"""),"Palangkaraya")</f>
        <v>Palangkaraya</v>
      </c>
      <c r="H750" s="3" t="str">
        <f>IFERROR(__xludf.DUMMYFUNCTION("""COMPUTED_VALUE"""),"Standby")</f>
        <v>Standby</v>
      </c>
      <c r="I750" s="3" t="str">
        <f>IFERROR(__xludf.DUMMYFUNCTION("""COMPUTED_VALUE"""),"Standby On Call")</f>
        <v>Standby On Call</v>
      </c>
      <c r="J750" s="3" t="str">
        <f>IFERROR(__xludf.DUMMYFUNCTION("""COMPUTED_VALUE"""),"Standby")</f>
        <v>Standby</v>
      </c>
      <c r="K750" s="27">
        <f>IFERROR(__xludf.DUMMYFUNCTION("""COMPUTED_VALUE"""),46035.0)</f>
        <v>46035</v>
      </c>
      <c r="L750" s="27">
        <f>IFERROR(__xludf.DUMMYFUNCTION("""COMPUTED_VALUE"""),46035.0)</f>
        <v>46035</v>
      </c>
      <c r="M750" s="3" t="str">
        <f>IFERROR(__xludf.DUMMYFUNCTION("""COMPUTED_VALUE"""),"Waiting Update")</f>
        <v>Waiting Update</v>
      </c>
      <c r="N750" s="3"/>
      <c r="O750" s="3" t="str">
        <f>IFERROR(VLOOKUP(C750,Sheet4!A750:F1537,6,0),"")</f>
        <v/>
      </c>
      <c r="Q750" s="2" t="str">
        <f t="shared" si="1"/>
        <v>13</v>
      </c>
    </row>
    <row r="751">
      <c r="A751" s="3" t="str">
        <f>IFERROR(__xludf.DUMMYFUNCTION("""COMPUTED_VALUE"""),"Standby On Call")</f>
        <v>Standby On Call</v>
      </c>
      <c r="B751" s="3" t="str">
        <f>IFERROR(__xludf.DUMMYFUNCTION("""COMPUTED_VALUE"""),"P3")</f>
        <v>P3</v>
      </c>
      <c r="C751" s="3"/>
      <c r="D751" s="3" t="str">
        <f>IFERROR(__xludf.DUMMYFUNCTION("""COMPUTED_VALUE"""),"Sairaji")</f>
        <v>Sairaji</v>
      </c>
      <c r="E751" s="3" t="str">
        <f>IFERROR(__xludf.DUMMYFUNCTION("""COMPUTED_VALUE"""),"MBP")</f>
        <v>MBP</v>
      </c>
      <c r="F751" s="3" t="str">
        <f>IFERROR(__xludf.DUMMYFUNCTION("""COMPUTED_VALUE"""),"Doni Damara")</f>
        <v>Doni Damara</v>
      </c>
      <c r="G751" s="3" t="str">
        <f>IFERROR(__xludf.DUMMYFUNCTION("""COMPUTED_VALUE"""),"Palangkaraya")</f>
        <v>Palangkaraya</v>
      </c>
      <c r="H751" s="3" t="str">
        <f>IFERROR(__xludf.DUMMYFUNCTION("""COMPUTED_VALUE"""),"Standby")</f>
        <v>Standby</v>
      </c>
      <c r="I751" s="3" t="str">
        <f>IFERROR(__xludf.DUMMYFUNCTION("""COMPUTED_VALUE"""),"Standby On Call")</f>
        <v>Standby On Call</v>
      </c>
      <c r="J751" s="3" t="str">
        <f>IFERROR(__xludf.DUMMYFUNCTION("""COMPUTED_VALUE"""),"Standby")</f>
        <v>Standby</v>
      </c>
      <c r="K751" s="27">
        <f>IFERROR(__xludf.DUMMYFUNCTION("""COMPUTED_VALUE"""),46035.0)</f>
        <v>46035</v>
      </c>
      <c r="L751" s="27">
        <f>IFERROR(__xludf.DUMMYFUNCTION("""COMPUTED_VALUE"""),46035.0)</f>
        <v>46035</v>
      </c>
      <c r="M751" s="3" t="str">
        <f>IFERROR(__xludf.DUMMYFUNCTION("""COMPUTED_VALUE"""),"Waiting Update")</f>
        <v>Waiting Update</v>
      </c>
      <c r="N751" s="3"/>
      <c r="O751" s="3" t="str">
        <f>IFERROR(VLOOKUP(C751,Sheet4!A751:F1538,6,0),"")</f>
        <v/>
      </c>
      <c r="Q751" s="2" t="str">
        <f t="shared" si="1"/>
        <v>13</v>
      </c>
    </row>
    <row r="752">
      <c r="A752" s="3" t="str">
        <f>IFERROR(__xludf.DUMMYFUNCTION("""COMPUTED_VALUE"""),"Standby On Call")</f>
        <v>Standby On Call</v>
      </c>
      <c r="B752" s="3" t="str">
        <f>IFERROR(__xludf.DUMMYFUNCTION("""COMPUTED_VALUE"""),"P3")</f>
        <v>P3</v>
      </c>
      <c r="C752" s="3"/>
      <c r="D752" s="3" t="str">
        <f>IFERROR(__xludf.DUMMYFUNCTION("""COMPUTED_VALUE"""),"hory yusmanto")</f>
        <v>hory yusmanto</v>
      </c>
      <c r="E752" s="3" t="str">
        <f>IFERROR(__xludf.DUMMYFUNCTION("""COMPUTED_VALUE"""),"MBP")</f>
        <v>MBP</v>
      </c>
      <c r="F752" s="3" t="str">
        <f>IFERROR(__xludf.DUMMYFUNCTION("""COMPUTED_VALUE"""),"Doni Damara")</f>
        <v>Doni Damara</v>
      </c>
      <c r="G752" s="3" t="str">
        <f>IFERROR(__xludf.DUMMYFUNCTION("""COMPUTED_VALUE"""),"Palangkaraya")</f>
        <v>Palangkaraya</v>
      </c>
      <c r="H752" s="3" t="str">
        <f>IFERROR(__xludf.DUMMYFUNCTION("""COMPUTED_VALUE"""),"Standby")</f>
        <v>Standby</v>
      </c>
      <c r="I752" s="3" t="str">
        <f>IFERROR(__xludf.DUMMYFUNCTION("""COMPUTED_VALUE"""),"Standby On Call")</f>
        <v>Standby On Call</v>
      </c>
      <c r="J752" s="3" t="str">
        <f>IFERROR(__xludf.DUMMYFUNCTION("""COMPUTED_VALUE"""),"Standby")</f>
        <v>Standby</v>
      </c>
      <c r="K752" s="27">
        <f>IFERROR(__xludf.DUMMYFUNCTION("""COMPUTED_VALUE"""),46035.0)</f>
        <v>46035</v>
      </c>
      <c r="L752" s="27">
        <f>IFERROR(__xludf.DUMMYFUNCTION("""COMPUTED_VALUE"""),46035.0)</f>
        <v>46035</v>
      </c>
      <c r="M752" s="3" t="str">
        <f>IFERROR(__xludf.DUMMYFUNCTION("""COMPUTED_VALUE"""),"Waiting Update")</f>
        <v>Waiting Update</v>
      </c>
      <c r="N752" s="3"/>
      <c r="O752" s="3" t="str">
        <f>IFERROR(VLOOKUP(C752,Sheet4!A752:F1539,6,0),"")</f>
        <v/>
      </c>
      <c r="Q752" s="2" t="str">
        <f t="shared" si="1"/>
        <v>13</v>
      </c>
    </row>
    <row r="753">
      <c r="A753" s="3" t="str">
        <f>IFERROR(__xludf.DUMMYFUNCTION("""COMPUTED_VALUE"""),"Site Down")</f>
        <v>Site Down</v>
      </c>
      <c r="B753" s="3" t="str">
        <f>IFERROR(__xludf.DUMMYFUNCTION("""COMPUTED_VALUE"""),"P1")</f>
        <v>P1</v>
      </c>
      <c r="C753" s="3" t="str">
        <f>IFERROR(__xludf.DUMMYFUNCTION("""COMPUTED_VALUE"""),"SPT147")</f>
        <v>SPT147</v>
      </c>
      <c r="D753" s="3" t="str">
        <f>IFERROR(__xludf.DUMMYFUNCTION("""COMPUTED_VALUE"""),"Oky Bangkit Pamungkas")</f>
        <v>Oky Bangkit Pamungkas</v>
      </c>
      <c r="E753" s="3" t="str">
        <f>IFERROR(__xludf.DUMMYFUNCTION("""COMPUTED_VALUE"""),"TE")</f>
        <v>TE</v>
      </c>
      <c r="F753" s="3" t="str">
        <f>IFERROR(__xludf.DUMMYFUNCTION("""COMPUTED_VALUE"""),"Doni Damara")</f>
        <v>Doni Damara</v>
      </c>
      <c r="G753" s="3" t="str">
        <f>IFERROR(__xludf.DUMMYFUNCTION("""COMPUTED_VALUE"""),"Palangkaraya")</f>
        <v>Palangkaraya</v>
      </c>
      <c r="H753" s="3" t="str">
        <f>IFERROR(__xludf.DUMMYFUNCTION("""COMPUTED_VALUE"""),"Corrective")</f>
        <v>Corrective</v>
      </c>
      <c r="I753" s="3" t="str">
        <f>IFERROR(__xludf.DUMMYFUNCTION("""COMPUTED_VALUE"""),"Pemadaman,MCB Trip,Transmisi problem")</f>
        <v>Pemadaman,MCB Trip,Transmisi problem</v>
      </c>
      <c r="J753" s="3" t="str">
        <f>IFERROR(__xludf.DUMMYFUNCTION("""COMPUTED_VALUE"""),"On Progress")</f>
        <v>On Progress</v>
      </c>
      <c r="K753" s="27">
        <f>IFERROR(__xludf.DUMMYFUNCTION("""COMPUTED_VALUE"""),46036.0)</f>
        <v>46036</v>
      </c>
      <c r="L753" s="27">
        <f>IFERROR(__xludf.DUMMYFUNCTION("""COMPUTED_VALUE"""),46036.0)</f>
        <v>46036</v>
      </c>
      <c r="M753" s="3" t="str">
        <f>IFERROR(__xludf.DUMMYFUNCTION("""COMPUTED_VALUE"""),"Pending")</f>
        <v>Pending</v>
      </c>
      <c r="N753" s="3"/>
      <c r="O753" s="3" t="str">
        <f>IFERROR(VLOOKUP(C753,Sheet4!A753:F1540,6,0),"")</f>
        <v/>
      </c>
      <c r="Q753" s="2" t="str">
        <f t="shared" si="1"/>
        <v>14</v>
      </c>
    </row>
    <row r="754">
      <c r="A754" s="3" t="str">
        <f>IFERROR(__xludf.DUMMYFUNCTION("""COMPUTED_VALUE"""),"PM")</f>
        <v>PM</v>
      </c>
      <c r="B754" s="3" t="str">
        <f>IFERROR(__xludf.DUMMYFUNCTION("""COMPUTED_VALUE"""),"P2")</f>
        <v>P2</v>
      </c>
      <c r="C754" s="3" t="str">
        <f>IFERROR(__xludf.DUMMYFUNCTION("""COMPUTED_VALUE"""),"KSN022")</f>
        <v>KSN022</v>
      </c>
      <c r="D754" s="3" t="str">
        <f>IFERROR(__xludf.DUMMYFUNCTION("""COMPUTED_VALUE"""),"Fahmi")</f>
        <v>Fahmi</v>
      </c>
      <c r="E754" s="3" t="str">
        <f>IFERROR(__xludf.DUMMYFUNCTION("""COMPUTED_VALUE"""),"TE")</f>
        <v>TE</v>
      </c>
      <c r="F754" s="3" t="str">
        <f>IFERROR(__xludf.DUMMYFUNCTION("""COMPUTED_VALUE"""),"Doni Damara")</f>
        <v>Doni Damara</v>
      </c>
      <c r="G754" s="3" t="str">
        <f>IFERROR(__xludf.DUMMYFUNCTION("""COMPUTED_VALUE"""),"Palangkaraya")</f>
        <v>Palangkaraya</v>
      </c>
      <c r="H754" s="3" t="str">
        <f>IFERROR(__xludf.DUMMYFUNCTION("""COMPUTED_VALUE"""),"Preventive")</f>
        <v>Preventive</v>
      </c>
      <c r="I754" s="3" t="str">
        <f>IFERROR(__xludf.DUMMYFUNCTION("""COMPUTED_VALUE"""),"Preventive Maintenance")</f>
        <v>Preventive Maintenance</v>
      </c>
      <c r="J754" s="3" t="str">
        <f>IFERROR(__xludf.DUMMYFUNCTION("""COMPUTED_VALUE"""),"On Progress")</f>
        <v>On Progress</v>
      </c>
      <c r="K754" s="27">
        <f>IFERROR(__xludf.DUMMYFUNCTION("""COMPUTED_VALUE"""),46036.0)</f>
        <v>46036</v>
      </c>
      <c r="L754" s="27">
        <f>IFERROR(__xludf.DUMMYFUNCTION("""COMPUTED_VALUE"""),46036.0)</f>
        <v>46036</v>
      </c>
      <c r="M754" s="3" t="str">
        <f>IFERROR(__xludf.DUMMYFUNCTION("""COMPUTED_VALUE"""),"Done")</f>
        <v>Done</v>
      </c>
      <c r="N754" s="3"/>
      <c r="O754" s="3" t="str">
        <f>IFERROR(VLOOKUP(C754,Sheet4!A754:F1541,6,0),"")</f>
        <v/>
      </c>
      <c r="Q754" s="2" t="str">
        <f t="shared" si="1"/>
        <v>14</v>
      </c>
    </row>
    <row r="755">
      <c r="A755" s="3" t="str">
        <f>IFERROR(__xludf.DUMMYFUNCTION("""COMPUTED_VALUE"""),"PM")</f>
        <v>PM</v>
      </c>
      <c r="B755" s="3" t="str">
        <f>IFERROR(__xludf.DUMMYFUNCTION("""COMPUTED_VALUE"""),"P2")</f>
        <v>P2</v>
      </c>
      <c r="C755" s="3" t="str">
        <f>IFERROR(__xludf.DUMMYFUNCTION("""COMPUTED_VALUE"""),"KSN008")</f>
        <v>KSN008</v>
      </c>
      <c r="D755" s="3" t="str">
        <f>IFERROR(__xludf.DUMMYFUNCTION("""COMPUTED_VALUE"""),"james jimbris")</f>
        <v>james jimbris</v>
      </c>
      <c r="E755" s="3" t="str">
        <f>IFERROR(__xludf.DUMMYFUNCTION("""COMPUTED_VALUE"""),"TE")</f>
        <v>TE</v>
      </c>
      <c r="F755" s="3" t="str">
        <f>IFERROR(__xludf.DUMMYFUNCTION("""COMPUTED_VALUE"""),"Doni Damara")</f>
        <v>Doni Damara</v>
      </c>
      <c r="G755" s="3" t="str">
        <f>IFERROR(__xludf.DUMMYFUNCTION("""COMPUTED_VALUE"""),"Palangkaraya")</f>
        <v>Palangkaraya</v>
      </c>
      <c r="H755" s="3" t="str">
        <f>IFERROR(__xludf.DUMMYFUNCTION("""COMPUTED_VALUE"""),"Preventive")</f>
        <v>Preventive</v>
      </c>
      <c r="I755" s="3" t="str">
        <f>IFERROR(__xludf.DUMMYFUNCTION("""COMPUTED_VALUE"""),"Preventive Maintenance")</f>
        <v>Preventive Maintenance</v>
      </c>
      <c r="J755" s="3" t="str">
        <f>IFERROR(__xludf.DUMMYFUNCTION("""COMPUTED_VALUE"""),"On Progress")</f>
        <v>On Progress</v>
      </c>
      <c r="K755" s="27">
        <f>IFERROR(__xludf.DUMMYFUNCTION("""COMPUTED_VALUE"""),46036.0)</f>
        <v>46036</v>
      </c>
      <c r="L755" s="27">
        <f>IFERROR(__xludf.DUMMYFUNCTION("""COMPUTED_VALUE"""),46036.0)</f>
        <v>46036</v>
      </c>
      <c r="M755" s="3" t="str">
        <f>IFERROR(__xludf.DUMMYFUNCTION("""COMPUTED_VALUE"""),"Done")</f>
        <v>Done</v>
      </c>
      <c r="N755" s="3"/>
      <c r="O755" s="3" t="str">
        <f>IFERROR(VLOOKUP(C755,Sheet4!A755:F1542,6,0),"")</f>
        <v/>
      </c>
      <c r="Q755" s="2" t="str">
        <f t="shared" si="1"/>
        <v>14</v>
      </c>
    </row>
    <row r="756">
      <c r="A756" s="3" t="str">
        <f>IFERROR(__xludf.DUMMYFUNCTION("""COMPUTED_VALUE"""),"Pengecekan battrey")</f>
        <v>Pengecekan battrey</v>
      </c>
      <c r="B756" s="3" t="str">
        <f>IFERROR(__xludf.DUMMYFUNCTION("""COMPUTED_VALUE"""),"P2")</f>
        <v>P2</v>
      </c>
      <c r="C756" s="3" t="str">
        <f>IFERROR(__xludf.DUMMYFUNCTION("""COMPUTED_VALUE"""),"PLK111")</f>
        <v>PLK111</v>
      </c>
      <c r="D756" s="3" t="str">
        <f>IFERROR(__xludf.DUMMYFUNCTION("""COMPUTED_VALUE"""),"Jumadi")</f>
        <v>Jumadi</v>
      </c>
      <c r="E756" s="3" t="str">
        <f>IFERROR(__xludf.DUMMYFUNCTION("""COMPUTED_VALUE"""),"TE")</f>
        <v>TE</v>
      </c>
      <c r="F756" s="3" t="str">
        <f>IFERROR(__xludf.DUMMYFUNCTION("""COMPUTED_VALUE"""),"Doni Damara")</f>
        <v>Doni Damara</v>
      </c>
      <c r="G756" s="3" t="str">
        <f>IFERROR(__xludf.DUMMYFUNCTION("""COMPUTED_VALUE"""),"Palangkaraya")</f>
        <v>Palangkaraya</v>
      </c>
      <c r="H756" s="3" t="str">
        <f>IFERROR(__xludf.DUMMYFUNCTION("""COMPUTED_VALUE"""),"Preventive")</f>
        <v>Preventive</v>
      </c>
      <c r="I756" s="3" t="str">
        <f>IFERROR(__xludf.DUMMYFUNCTION("""COMPUTED_VALUE"""),"Pengukuran dan pengambilan data log serta input Gdoc BBT")</f>
        <v>Pengukuran dan pengambilan data log serta input Gdoc BBT</v>
      </c>
      <c r="J756" s="3" t="str">
        <f>IFERROR(__xludf.DUMMYFUNCTION("""COMPUTED_VALUE"""),"On Progress")</f>
        <v>On Progress</v>
      </c>
      <c r="K756" s="27">
        <f>IFERROR(__xludf.DUMMYFUNCTION("""COMPUTED_VALUE"""),46036.0)</f>
        <v>46036</v>
      </c>
      <c r="L756" s="27">
        <f>IFERROR(__xludf.DUMMYFUNCTION("""COMPUTED_VALUE"""),46036.0)</f>
        <v>46036</v>
      </c>
      <c r="M756" s="3" t="str">
        <f>IFERROR(__xludf.DUMMYFUNCTION("""COMPUTED_VALUE"""),"Pending")</f>
        <v>Pending</v>
      </c>
      <c r="N756" s="3"/>
      <c r="O756" s="3" t="str">
        <f>IFERROR(VLOOKUP(C756,Sheet4!A756:F1543,6,0),"")</f>
        <v/>
      </c>
      <c r="Q756" s="2" t="str">
        <f t="shared" si="1"/>
        <v>14</v>
      </c>
    </row>
    <row r="757">
      <c r="A757" s="3" t="str">
        <f>IFERROR(__xludf.DUMMYFUNCTION("""COMPUTED_VALUE"""),"Cell down")</f>
        <v>Cell down</v>
      </c>
      <c r="B757" s="3" t="str">
        <f>IFERROR(__xludf.DUMMYFUNCTION("""COMPUTED_VALUE"""),"P1")</f>
        <v>P1</v>
      </c>
      <c r="C757" s="3" t="str">
        <f>IFERROR(__xludf.DUMMYFUNCTION("""COMPUTED_VALUE"""),"PLK020")</f>
        <v>PLK020</v>
      </c>
      <c r="D757" s="3" t="str">
        <f>IFERROR(__xludf.DUMMYFUNCTION("""COMPUTED_VALUE"""),"james jimbris")</f>
        <v>james jimbris</v>
      </c>
      <c r="E757" s="3" t="str">
        <f>IFERROR(__xludf.DUMMYFUNCTION("""COMPUTED_VALUE"""),"TE")</f>
        <v>TE</v>
      </c>
      <c r="F757" s="3" t="str">
        <f>IFERROR(__xludf.DUMMYFUNCTION("""COMPUTED_VALUE"""),"Doni Damara")</f>
        <v>Doni Damara</v>
      </c>
      <c r="G757" s="3" t="str">
        <f>IFERROR(__xludf.DUMMYFUNCTION("""COMPUTED_VALUE"""),"Palangkaraya")</f>
        <v>Palangkaraya</v>
      </c>
      <c r="H757" s="3" t="str">
        <f>IFERROR(__xludf.DUMMYFUNCTION("""COMPUTED_VALUE"""),"Corrective")</f>
        <v>Corrective</v>
      </c>
      <c r="I757" s="3" t="str">
        <f>IFERROR(__xludf.DUMMYFUNCTION("""COMPUTED_VALUE"""),"Replace Optik,RRU/Soket Power/Replace GPS")</f>
        <v>Replace Optik,RRU/Soket Power/Replace GPS</v>
      </c>
      <c r="J757" s="3" t="str">
        <f>IFERROR(__xludf.DUMMYFUNCTION("""COMPUTED_VALUE"""),"On Progress")</f>
        <v>On Progress</v>
      </c>
      <c r="K757" s="27">
        <f>IFERROR(__xludf.DUMMYFUNCTION("""COMPUTED_VALUE"""),46036.0)</f>
        <v>46036</v>
      </c>
      <c r="L757" s="27">
        <f>IFERROR(__xludf.DUMMYFUNCTION("""COMPUTED_VALUE"""),46036.0)</f>
        <v>46036</v>
      </c>
      <c r="M757" s="3" t="str">
        <f>IFERROR(__xludf.DUMMYFUNCTION("""COMPUTED_VALUE"""),"Pending")</f>
        <v>Pending</v>
      </c>
      <c r="N757" s="3"/>
      <c r="O757" s="3" t="str">
        <f>IFERROR(VLOOKUP(C757,Sheet4!A757:F1544,6,0),"")</f>
        <v/>
      </c>
      <c r="Q757" s="2" t="str">
        <f t="shared" si="1"/>
        <v>14</v>
      </c>
    </row>
    <row r="758">
      <c r="A758" s="3" t="str">
        <f>IFERROR(__xludf.DUMMYFUNCTION("""COMPUTED_VALUE"""),"Pengecekan Power")</f>
        <v>Pengecekan Power</v>
      </c>
      <c r="B758" s="3" t="str">
        <f>IFERROR(__xludf.DUMMYFUNCTION("""COMPUTED_VALUE"""),"P1")</f>
        <v>P1</v>
      </c>
      <c r="C758" s="3" t="str">
        <f>IFERROR(__xludf.DUMMYFUNCTION("""COMPUTED_VALUE"""),"PLK172")</f>
        <v>PLK172</v>
      </c>
      <c r="D758" s="3" t="str">
        <f>IFERROR(__xludf.DUMMYFUNCTION("""COMPUTED_VALUE"""),"Adi Bowo Santoso")</f>
        <v>Adi Bowo Santoso</v>
      </c>
      <c r="E758" s="3" t="str">
        <f>IFERROR(__xludf.DUMMYFUNCTION("""COMPUTED_VALUE"""),"TE")</f>
        <v>TE</v>
      </c>
      <c r="F758" s="3" t="str">
        <f>IFERROR(__xludf.DUMMYFUNCTION("""COMPUTED_VALUE"""),"Doni Damara")</f>
        <v>Doni Damara</v>
      </c>
      <c r="G758" s="3" t="str">
        <f>IFERROR(__xludf.DUMMYFUNCTION("""COMPUTED_VALUE"""),"Palangkaraya")</f>
        <v>Palangkaraya</v>
      </c>
      <c r="H758" s="3" t="str">
        <f>IFERROR(__xludf.DUMMYFUNCTION("""COMPUTED_VALUE"""),"Preventive")</f>
        <v>Preventive</v>
      </c>
      <c r="I758" s="3" t="str">
        <f>IFERROR(__xludf.DUMMYFUNCTION("""COMPUTED_VALUE"""),"MCB trip/Power upnormal")</f>
        <v>MCB trip/Power upnormal</v>
      </c>
      <c r="J758" s="3" t="str">
        <f>IFERROR(__xludf.DUMMYFUNCTION("""COMPUTED_VALUE"""),"On Progress")</f>
        <v>On Progress</v>
      </c>
      <c r="K758" s="27">
        <f>IFERROR(__xludf.DUMMYFUNCTION("""COMPUTED_VALUE"""),46036.0)</f>
        <v>46036</v>
      </c>
      <c r="L758" s="27">
        <f>IFERROR(__xludf.DUMMYFUNCTION("""COMPUTED_VALUE"""),46036.0)</f>
        <v>46036</v>
      </c>
      <c r="M758" s="3" t="str">
        <f>IFERROR(__xludf.DUMMYFUNCTION("""COMPUTED_VALUE"""),"Done")</f>
        <v>Done</v>
      </c>
      <c r="N758" s="3"/>
      <c r="O758" s="3" t="str">
        <f>IFERROR(VLOOKUP(C758,Sheet4!A758:F1545,6,0),"")</f>
        <v/>
      </c>
      <c r="Q758" s="2" t="str">
        <f t="shared" si="1"/>
        <v>14</v>
      </c>
    </row>
    <row r="759">
      <c r="A759" s="3" t="str">
        <f>IFERROR(__xludf.DUMMYFUNCTION("""COMPUTED_VALUE"""),"Site Down")</f>
        <v>Site Down</v>
      </c>
      <c r="B759" s="3" t="str">
        <f>IFERROR(__xludf.DUMMYFUNCTION("""COMPUTED_VALUE"""),"P1")</f>
        <v>P1</v>
      </c>
      <c r="C759" s="3" t="str">
        <f>IFERROR(__xludf.DUMMYFUNCTION("""COMPUTED_VALUE"""),"SPT147")</f>
        <v>SPT147</v>
      </c>
      <c r="D759" s="3" t="str">
        <f>IFERROR(__xludf.DUMMYFUNCTION("""COMPUTED_VALUE"""),"Yahya Muhamad")</f>
        <v>Yahya Muhamad</v>
      </c>
      <c r="E759" s="3" t="str">
        <f>IFERROR(__xludf.DUMMYFUNCTION("""COMPUTED_VALUE"""),"TE")</f>
        <v>TE</v>
      </c>
      <c r="F759" s="3" t="str">
        <f>IFERROR(__xludf.DUMMYFUNCTION("""COMPUTED_VALUE"""),"Doni Damara")</f>
        <v>Doni Damara</v>
      </c>
      <c r="G759" s="3" t="str">
        <f>IFERROR(__xludf.DUMMYFUNCTION("""COMPUTED_VALUE"""),"Palangkaraya")</f>
        <v>Palangkaraya</v>
      </c>
      <c r="H759" s="3" t="str">
        <f>IFERROR(__xludf.DUMMYFUNCTION("""COMPUTED_VALUE"""),"Corrective")</f>
        <v>Corrective</v>
      </c>
      <c r="I759" s="3" t="str">
        <f>IFERROR(__xludf.DUMMYFUNCTION("""COMPUTED_VALUE"""),"Pemadaman,MCB Trip,Transmisi problem")</f>
        <v>Pemadaman,MCB Trip,Transmisi problem</v>
      </c>
      <c r="J759" s="3" t="str">
        <f>IFERROR(__xludf.DUMMYFUNCTION("""COMPUTED_VALUE"""),"On Progress")</f>
        <v>On Progress</v>
      </c>
      <c r="K759" s="27">
        <f>IFERROR(__xludf.DUMMYFUNCTION("""COMPUTED_VALUE"""),46036.0)</f>
        <v>46036</v>
      </c>
      <c r="L759" s="27">
        <f>IFERROR(__xludf.DUMMYFUNCTION("""COMPUTED_VALUE"""),46036.0)</f>
        <v>46036</v>
      </c>
      <c r="M759" s="3" t="str">
        <f>IFERROR(__xludf.DUMMYFUNCTION("""COMPUTED_VALUE"""),"Pending")</f>
        <v>Pending</v>
      </c>
      <c r="N759" s="3"/>
      <c r="O759" s="3" t="str">
        <f>IFERROR(VLOOKUP(C759,Sheet4!A759:F1546,6,0),"")</f>
        <v/>
      </c>
      <c r="Q759" s="2" t="str">
        <f t="shared" si="1"/>
        <v>14</v>
      </c>
    </row>
    <row r="760">
      <c r="A760" s="3" t="str">
        <f>IFERROR(__xludf.DUMMYFUNCTION("""COMPUTED_VALUE"""),"Site Down")</f>
        <v>Site Down</v>
      </c>
      <c r="B760" s="3" t="str">
        <f>IFERROR(__xludf.DUMMYFUNCTION("""COMPUTED_VALUE"""),"P1")</f>
        <v>P1</v>
      </c>
      <c r="C760" s="3" t="str">
        <f>IFERROR(__xludf.DUMMYFUNCTION("""COMPUTED_VALUE"""),"SPT147")</f>
        <v>SPT147</v>
      </c>
      <c r="D760" s="3" t="str">
        <f>IFERROR(__xludf.DUMMYFUNCTION("""COMPUTED_VALUE"""),"Muhamad Rayhan")</f>
        <v>Muhamad Rayhan</v>
      </c>
      <c r="E760" s="3" t="str">
        <f>IFERROR(__xludf.DUMMYFUNCTION("""COMPUTED_VALUE"""),"TE")</f>
        <v>TE</v>
      </c>
      <c r="F760" s="3" t="str">
        <f>IFERROR(__xludf.DUMMYFUNCTION("""COMPUTED_VALUE"""),"Doni Damara")</f>
        <v>Doni Damara</v>
      </c>
      <c r="G760" s="3" t="str">
        <f>IFERROR(__xludf.DUMMYFUNCTION("""COMPUTED_VALUE"""),"Palangkaraya")</f>
        <v>Palangkaraya</v>
      </c>
      <c r="H760" s="3" t="str">
        <f>IFERROR(__xludf.DUMMYFUNCTION("""COMPUTED_VALUE"""),"Corrective")</f>
        <v>Corrective</v>
      </c>
      <c r="I760" s="3" t="str">
        <f>IFERROR(__xludf.DUMMYFUNCTION("""COMPUTED_VALUE"""),"Pemadaman,MCB Trip,Transmisi problem")</f>
        <v>Pemadaman,MCB Trip,Transmisi problem</v>
      </c>
      <c r="J760" s="3" t="str">
        <f>IFERROR(__xludf.DUMMYFUNCTION("""COMPUTED_VALUE"""),"On Progress")</f>
        <v>On Progress</v>
      </c>
      <c r="K760" s="27">
        <f>IFERROR(__xludf.DUMMYFUNCTION("""COMPUTED_VALUE"""),46036.0)</f>
        <v>46036</v>
      </c>
      <c r="L760" s="27">
        <f>IFERROR(__xludf.DUMMYFUNCTION("""COMPUTED_VALUE"""),46036.0)</f>
        <v>46036</v>
      </c>
      <c r="M760" s="3" t="str">
        <f>IFERROR(__xludf.DUMMYFUNCTION("""COMPUTED_VALUE"""),"Pending")</f>
        <v>Pending</v>
      </c>
      <c r="N760" s="3"/>
      <c r="O760" s="3" t="str">
        <f>IFERROR(VLOOKUP(C760,Sheet4!A760:F1547,6,0),"")</f>
        <v/>
      </c>
      <c r="Q760" s="2" t="str">
        <f t="shared" si="1"/>
        <v>14</v>
      </c>
    </row>
    <row r="761">
      <c r="A761" s="3" t="str">
        <f>IFERROR(__xludf.DUMMYFUNCTION("""COMPUTED_VALUE"""),"Cell down")</f>
        <v>Cell down</v>
      </c>
      <c r="B761" s="3" t="str">
        <f>IFERROR(__xludf.DUMMYFUNCTION("""COMPUTED_VALUE"""),"P1")</f>
        <v>P1</v>
      </c>
      <c r="C761" s="3" t="str">
        <f>IFERROR(__xludf.DUMMYFUNCTION("""COMPUTED_VALUE"""),"KKN151")</f>
        <v>KKN151</v>
      </c>
      <c r="D761" s="3" t="str">
        <f>IFERROR(__xludf.DUMMYFUNCTION("""COMPUTED_VALUE"""),"Leonard")</f>
        <v>Leonard</v>
      </c>
      <c r="E761" s="3" t="str">
        <f>IFERROR(__xludf.DUMMYFUNCTION("""COMPUTED_VALUE"""),"TE")</f>
        <v>TE</v>
      </c>
      <c r="F761" s="3" t="str">
        <f>IFERROR(__xludf.DUMMYFUNCTION("""COMPUTED_VALUE"""),"Doni Damara")</f>
        <v>Doni Damara</v>
      </c>
      <c r="G761" s="3" t="str">
        <f>IFERROR(__xludf.DUMMYFUNCTION("""COMPUTED_VALUE"""),"Palangkaraya")</f>
        <v>Palangkaraya</v>
      </c>
      <c r="H761" s="3" t="str">
        <f>IFERROR(__xludf.DUMMYFUNCTION("""COMPUTED_VALUE"""),"Corrective")</f>
        <v>Corrective</v>
      </c>
      <c r="I761" s="3" t="str">
        <f>IFERROR(__xludf.DUMMYFUNCTION("""COMPUTED_VALUE"""),"Replace Optik,RRU/Soket Power/Replace GPS")</f>
        <v>Replace Optik,RRU/Soket Power/Replace GPS</v>
      </c>
      <c r="J761" s="3" t="str">
        <f>IFERROR(__xludf.DUMMYFUNCTION("""COMPUTED_VALUE"""),"On Progress")</f>
        <v>On Progress</v>
      </c>
      <c r="K761" s="27">
        <f>IFERROR(__xludf.DUMMYFUNCTION("""COMPUTED_VALUE"""),46036.0)</f>
        <v>46036</v>
      </c>
      <c r="L761" s="27">
        <f>IFERROR(__xludf.DUMMYFUNCTION("""COMPUTED_VALUE"""),46036.0)</f>
        <v>46036</v>
      </c>
      <c r="M761" s="3" t="str">
        <f>IFERROR(__xludf.DUMMYFUNCTION("""COMPUTED_VALUE"""),"Pending")</f>
        <v>Pending</v>
      </c>
      <c r="N761" s="3"/>
      <c r="O761" s="3" t="str">
        <f>IFERROR(VLOOKUP(C761,Sheet4!A761:F1548,6,0),"")</f>
        <v/>
      </c>
      <c r="Q761" s="2" t="str">
        <f t="shared" si="1"/>
        <v>14</v>
      </c>
    </row>
    <row r="762">
      <c r="A762" s="3" t="str">
        <f>IFERROR(__xludf.DUMMYFUNCTION("""COMPUTED_VALUE"""),"Cell down")</f>
        <v>Cell down</v>
      </c>
      <c r="B762" s="3" t="str">
        <f>IFERROR(__xludf.DUMMYFUNCTION("""COMPUTED_VALUE"""),"P1")</f>
        <v>P1</v>
      </c>
      <c r="C762" s="3" t="str">
        <f>IFERROR(__xludf.DUMMYFUNCTION("""COMPUTED_VALUE"""),"KKN151")</f>
        <v>KKN151</v>
      </c>
      <c r="D762" s="3" t="str">
        <f>IFERROR(__xludf.DUMMYFUNCTION("""COMPUTED_VALUE"""),"Aulia Rahman")</f>
        <v>Aulia Rahman</v>
      </c>
      <c r="E762" s="3" t="str">
        <f>IFERROR(__xludf.DUMMYFUNCTION("""COMPUTED_VALUE"""),"TE")</f>
        <v>TE</v>
      </c>
      <c r="F762" s="3" t="str">
        <f>IFERROR(__xludf.DUMMYFUNCTION("""COMPUTED_VALUE"""),"Doni Damara")</f>
        <v>Doni Damara</v>
      </c>
      <c r="G762" s="3" t="str">
        <f>IFERROR(__xludf.DUMMYFUNCTION("""COMPUTED_VALUE"""),"Palangkaraya")</f>
        <v>Palangkaraya</v>
      </c>
      <c r="H762" s="3" t="str">
        <f>IFERROR(__xludf.DUMMYFUNCTION("""COMPUTED_VALUE"""),"Corrective")</f>
        <v>Corrective</v>
      </c>
      <c r="I762" s="3" t="str">
        <f>IFERROR(__xludf.DUMMYFUNCTION("""COMPUTED_VALUE"""),"Replace Optik,RRU/Soket Power/Replace GPS")</f>
        <v>Replace Optik,RRU/Soket Power/Replace GPS</v>
      </c>
      <c r="J762" s="3" t="str">
        <f>IFERROR(__xludf.DUMMYFUNCTION("""COMPUTED_VALUE"""),"On Progress")</f>
        <v>On Progress</v>
      </c>
      <c r="K762" s="27">
        <f>IFERROR(__xludf.DUMMYFUNCTION("""COMPUTED_VALUE"""),46036.0)</f>
        <v>46036</v>
      </c>
      <c r="L762" s="27">
        <f>IFERROR(__xludf.DUMMYFUNCTION("""COMPUTED_VALUE"""),46036.0)</f>
        <v>46036</v>
      </c>
      <c r="M762" s="3" t="str">
        <f>IFERROR(__xludf.DUMMYFUNCTION("""COMPUTED_VALUE"""),"Pending")</f>
        <v>Pending</v>
      </c>
      <c r="N762" s="3"/>
      <c r="O762" s="3" t="str">
        <f>IFERROR(VLOOKUP(C762,Sheet4!A762:F1549,6,0),"")</f>
        <v/>
      </c>
      <c r="Q762" s="2" t="str">
        <f t="shared" si="1"/>
        <v>14</v>
      </c>
    </row>
    <row r="763">
      <c r="A763" s="3" t="str">
        <f>IFERROR(__xludf.DUMMYFUNCTION("""COMPUTED_VALUE"""),"Cell down")</f>
        <v>Cell down</v>
      </c>
      <c r="B763" s="3" t="str">
        <f>IFERROR(__xludf.DUMMYFUNCTION("""COMPUTED_VALUE"""),"P1")</f>
        <v>P1</v>
      </c>
      <c r="C763" s="3" t="str">
        <f>IFERROR(__xludf.DUMMYFUNCTION("""COMPUTED_VALUE"""),"KSN021")</f>
        <v>KSN021</v>
      </c>
      <c r="D763" s="3" t="str">
        <f>IFERROR(__xludf.DUMMYFUNCTION("""COMPUTED_VALUE"""),"Muhammad Mukhlis")</f>
        <v>Muhammad Mukhlis</v>
      </c>
      <c r="E763" s="3" t="str">
        <f>IFERROR(__xludf.DUMMYFUNCTION("""COMPUTED_VALUE"""),"TE")</f>
        <v>TE</v>
      </c>
      <c r="F763" s="3" t="str">
        <f>IFERROR(__xludf.DUMMYFUNCTION("""COMPUTED_VALUE"""),"Doni Damara")</f>
        <v>Doni Damara</v>
      </c>
      <c r="G763" s="3" t="str">
        <f>IFERROR(__xludf.DUMMYFUNCTION("""COMPUTED_VALUE"""),"Palangkaraya")</f>
        <v>Palangkaraya</v>
      </c>
      <c r="H763" s="3" t="str">
        <f>IFERROR(__xludf.DUMMYFUNCTION("""COMPUTED_VALUE"""),"Corrective")</f>
        <v>Corrective</v>
      </c>
      <c r="I763" s="3" t="str">
        <f>IFERROR(__xludf.DUMMYFUNCTION("""COMPUTED_VALUE"""),"Replace Optik,RRU/Soket Power/Replace GPS")</f>
        <v>Replace Optik,RRU/Soket Power/Replace GPS</v>
      </c>
      <c r="J763" s="3" t="str">
        <f>IFERROR(__xludf.DUMMYFUNCTION("""COMPUTED_VALUE"""),"On Progress")</f>
        <v>On Progress</v>
      </c>
      <c r="K763" s="27">
        <f>IFERROR(__xludf.DUMMYFUNCTION("""COMPUTED_VALUE"""),46036.0)</f>
        <v>46036</v>
      </c>
      <c r="L763" s="27">
        <f>IFERROR(__xludf.DUMMYFUNCTION("""COMPUTED_VALUE"""),46036.0)</f>
        <v>46036</v>
      </c>
      <c r="M763" s="3" t="str">
        <f>IFERROR(__xludf.DUMMYFUNCTION("""COMPUTED_VALUE"""),"Waiting Update")</f>
        <v>Waiting Update</v>
      </c>
      <c r="N763" s="3"/>
      <c r="O763" s="3" t="str">
        <f>IFERROR(VLOOKUP(C763,Sheet4!A763:F1550,6,0),"")</f>
        <v/>
      </c>
      <c r="Q763" s="2" t="str">
        <f t="shared" si="1"/>
        <v>14</v>
      </c>
    </row>
    <row r="764">
      <c r="A764" s="3" t="str">
        <f>IFERROR(__xludf.DUMMYFUNCTION("""COMPUTED_VALUE"""),"Pengecekan Power")</f>
        <v>Pengecekan Power</v>
      </c>
      <c r="B764" s="3" t="str">
        <f>IFERROR(__xludf.DUMMYFUNCTION("""COMPUTED_VALUE"""),"P1")</f>
        <v>P1</v>
      </c>
      <c r="C764" s="3" t="str">
        <f>IFERROR(__xludf.DUMMYFUNCTION("""COMPUTED_VALUE"""),"KSN037")</f>
        <v>KSN037</v>
      </c>
      <c r="D764" s="3" t="str">
        <f>IFERROR(__xludf.DUMMYFUNCTION("""COMPUTED_VALUE"""),"Muhammad Mukti")</f>
        <v>Muhammad Mukti</v>
      </c>
      <c r="E764" s="3" t="str">
        <f>IFERROR(__xludf.DUMMYFUNCTION("""COMPUTED_VALUE"""),"TE")</f>
        <v>TE</v>
      </c>
      <c r="F764" s="3" t="str">
        <f>IFERROR(__xludf.DUMMYFUNCTION("""COMPUTED_VALUE"""),"Doni Damara")</f>
        <v>Doni Damara</v>
      </c>
      <c r="G764" s="3" t="str">
        <f>IFERROR(__xludf.DUMMYFUNCTION("""COMPUTED_VALUE"""),"Palangkaraya")</f>
        <v>Palangkaraya</v>
      </c>
      <c r="H764" s="3" t="str">
        <f>IFERROR(__xludf.DUMMYFUNCTION("""COMPUTED_VALUE"""),"Preventive")</f>
        <v>Preventive</v>
      </c>
      <c r="I764" s="3" t="str">
        <f>IFERROR(__xludf.DUMMYFUNCTION("""COMPUTED_VALUE"""),"MCB trip/Power upnormal")</f>
        <v>MCB trip/Power upnormal</v>
      </c>
      <c r="J764" s="3" t="str">
        <f>IFERROR(__xludf.DUMMYFUNCTION("""COMPUTED_VALUE"""),"On Progress")</f>
        <v>On Progress</v>
      </c>
      <c r="K764" s="27">
        <f>IFERROR(__xludf.DUMMYFUNCTION("""COMPUTED_VALUE"""),46036.0)</f>
        <v>46036</v>
      </c>
      <c r="L764" s="27">
        <f>IFERROR(__xludf.DUMMYFUNCTION("""COMPUTED_VALUE"""),46036.0)</f>
        <v>46036</v>
      </c>
      <c r="M764" s="3" t="str">
        <f>IFERROR(__xludf.DUMMYFUNCTION("""COMPUTED_VALUE"""),"Waiting Update")</f>
        <v>Waiting Update</v>
      </c>
      <c r="N764" s="3"/>
      <c r="O764" s="3" t="str">
        <f>IFERROR(VLOOKUP(C764,Sheet4!A764:F1551,6,0),"")</f>
        <v/>
      </c>
      <c r="Q764" s="2" t="str">
        <f t="shared" si="1"/>
        <v>14</v>
      </c>
    </row>
    <row r="765">
      <c r="A765" s="3" t="str">
        <f>IFERROR(__xludf.DUMMYFUNCTION("""COMPUTED_VALUE"""),"Tshoot Genset")</f>
        <v>Tshoot Genset</v>
      </c>
      <c r="B765" s="3" t="str">
        <f>IFERROR(__xludf.DUMMYFUNCTION("""COMPUTED_VALUE"""),"P1")</f>
        <v>P1</v>
      </c>
      <c r="C765" s="3" t="str">
        <f>IFERROR(__xludf.DUMMYFUNCTION("""COMPUTED_VALUE"""),"KSN150")</f>
        <v>KSN150</v>
      </c>
      <c r="D765" s="3" t="str">
        <f>IFERROR(__xludf.DUMMYFUNCTION("""COMPUTED_VALUE"""),"melky.O.Tulangow")</f>
        <v>melky.O.Tulangow</v>
      </c>
      <c r="E765" s="3" t="str">
        <f>IFERROR(__xludf.DUMMYFUNCTION("""COMPUTED_VALUE"""),"TE")</f>
        <v>TE</v>
      </c>
      <c r="F765" s="3" t="str">
        <f>IFERROR(__xludf.DUMMYFUNCTION("""COMPUTED_VALUE"""),"Doni Damara")</f>
        <v>Doni Damara</v>
      </c>
      <c r="G765" s="3" t="str">
        <f>IFERROR(__xludf.DUMMYFUNCTION("""COMPUTED_VALUE"""),"Palangkaraya")</f>
        <v>Palangkaraya</v>
      </c>
      <c r="H765" s="3" t="str">
        <f>IFERROR(__xludf.DUMMYFUNCTION("""COMPUTED_VALUE"""),"Corrective")</f>
        <v>Corrective</v>
      </c>
      <c r="I765" s="3" t="str">
        <f>IFERROR(__xludf.DUMMYFUNCTION("""COMPUTED_VALUE"""),"Perbaikan Auto,pergantian relay,timer, yang berhubungan genset")</f>
        <v>Perbaikan Auto,pergantian relay,timer, yang berhubungan genset</v>
      </c>
      <c r="J765" s="3" t="str">
        <f>IFERROR(__xludf.DUMMYFUNCTION("""COMPUTED_VALUE"""),"On Progress")</f>
        <v>On Progress</v>
      </c>
      <c r="K765" s="27">
        <f>IFERROR(__xludf.DUMMYFUNCTION("""COMPUTED_VALUE"""),46036.0)</f>
        <v>46036</v>
      </c>
      <c r="L765" s="27">
        <f>IFERROR(__xludf.DUMMYFUNCTION("""COMPUTED_VALUE"""),46036.0)</f>
        <v>46036</v>
      </c>
      <c r="M765" s="3" t="str">
        <f>IFERROR(__xludf.DUMMYFUNCTION("""COMPUTED_VALUE"""),"Waiting Update")</f>
        <v>Waiting Update</v>
      </c>
      <c r="N765" s="3"/>
      <c r="O765" s="3" t="str">
        <f>IFERROR(VLOOKUP(C765,Sheet4!A765:F1552,6,0),"")</f>
        <v/>
      </c>
      <c r="Q765" s="2" t="str">
        <f t="shared" si="1"/>
        <v>14</v>
      </c>
    </row>
    <row r="766">
      <c r="A766" s="3" t="str">
        <f>IFERROR(__xludf.DUMMYFUNCTION("""COMPUTED_VALUE"""),"PM")</f>
        <v>PM</v>
      </c>
      <c r="B766" s="3" t="str">
        <f>IFERROR(__xludf.DUMMYFUNCTION("""COMPUTED_VALUE"""),"P2")</f>
        <v>P2</v>
      </c>
      <c r="C766" s="3" t="str">
        <f>IFERROR(__xludf.DUMMYFUNCTION("""COMPUTED_VALUE"""),"KSN710")</f>
        <v>KSN710</v>
      </c>
      <c r="D766" s="3" t="str">
        <f>IFERROR(__xludf.DUMMYFUNCTION("""COMPUTED_VALUE"""),"Indra")</f>
        <v>Indra</v>
      </c>
      <c r="E766" s="3" t="str">
        <f>IFERROR(__xludf.DUMMYFUNCTION("""COMPUTED_VALUE"""),"PM")</f>
        <v>PM</v>
      </c>
      <c r="F766" s="3" t="str">
        <f>IFERROR(__xludf.DUMMYFUNCTION("""COMPUTED_VALUE"""),"Doni Damara")</f>
        <v>Doni Damara</v>
      </c>
      <c r="G766" s="3" t="str">
        <f>IFERROR(__xludf.DUMMYFUNCTION("""COMPUTED_VALUE"""),"Palangkaraya")</f>
        <v>Palangkaraya</v>
      </c>
      <c r="H766" s="3" t="str">
        <f>IFERROR(__xludf.DUMMYFUNCTION("""COMPUTED_VALUE"""),"Preventive")</f>
        <v>Preventive</v>
      </c>
      <c r="I766" s="3" t="str">
        <f>IFERROR(__xludf.DUMMYFUNCTION("""COMPUTED_VALUE"""),"Preventive Maintenance")</f>
        <v>Preventive Maintenance</v>
      </c>
      <c r="J766" s="3" t="str">
        <f>IFERROR(__xludf.DUMMYFUNCTION("""COMPUTED_VALUE"""),"On Progress")</f>
        <v>On Progress</v>
      </c>
      <c r="K766" s="27">
        <f>IFERROR(__xludf.DUMMYFUNCTION("""COMPUTED_VALUE"""),46036.0)</f>
        <v>46036</v>
      </c>
      <c r="L766" s="27">
        <f>IFERROR(__xludf.DUMMYFUNCTION("""COMPUTED_VALUE"""),46036.0)</f>
        <v>46036</v>
      </c>
      <c r="M766" s="3" t="str">
        <f>IFERROR(__xludf.DUMMYFUNCTION("""COMPUTED_VALUE"""),"Done")</f>
        <v>Done</v>
      </c>
      <c r="N766" s="3"/>
      <c r="O766" s="3" t="str">
        <f>IFERROR(VLOOKUP(C766,Sheet4!A766:F1553,6,0),"")</f>
        <v/>
      </c>
      <c r="Q766" s="2" t="str">
        <f t="shared" si="1"/>
        <v>14</v>
      </c>
    </row>
    <row r="767">
      <c r="A767" s="3" t="str">
        <f>IFERROR(__xludf.DUMMYFUNCTION("""COMPUTED_VALUE"""),"PM")</f>
        <v>PM</v>
      </c>
      <c r="B767" s="3" t="str">
        <f>IFERROR(__xludf.DUMMYFUNCTION("""COMPUTED_VALUE"""),"P2")</f>
        <v>P2</v>
      </c>
      <c r="C767" s="3" t="str">
        <f>IFERROR(__xludf.DUMMYFUNCTION("""COMPUTED_VALUE"""),"KSN763")</f>
        <v>KSN763</v>
      </c>
      <c r="D767" s="3" t="str">
        <f>IFERROR(__xludf.DUMMYFUNCTION("""COMPUTED_VALUE"""),"Darli")</f>
        <v>Darli</v>
      </c>
      <c r="E767" s="3" t="str">
        <f>IFERROR(__xludf.DUMMYFUNCTION("""COMPUTED_VALUE"""),"PM")</f>
        <v>PM</v>
      </c>
      <c r="F767" s="3" t="str">
        <f>IFERROR(__xludf.DUMMYFUNCTION("""COMPUTED_VALUE"""),"Doni Damara")</f>
        <v>Doni Damara</v>
      </c>
      <c r="G767" s="3" t="str">
        <f>IFERROR(__xludf.DUMMYFUNCTION("""COMPUTED_VALUE"""),"Palangkaraya")</f>
        <v>Palangkaraya</v>
      </c>
      <c r="H767" s="3" t="str">
        <f>IFERROR(__xludf.DUMMYFUNCTION("""COMPUTED_VALUE"""),"Preventive")</f>
        <v>Preventive</v>
      </c>
      <c r="I767" s="3" t="str">
        <f>IFERROR(__xludf.DUMMYFUNCTION("""COMPUTED_VALUE"""),"Preventive Maintenance")</f>
        <v>Preventive Maintenance</v>
      </c>
      <c r="J767" s="3" t="str">
        <f>IFERROR(__xludf.DUMMYFUNCTION("""COMPUTED_VALUE"""),"On Progress")</f>
        <v>On Progress</v>
      </c>
      <c r="K767" s="27">
        <f>IFERROR(__xludf.DUMMYFUNCTION("""COMPUTED_VALUE"""),46036.0)</f>
        <v>46036</v>
      </c>
      <c r="L767" s="27">
        <f>IFERROR(__xludf.DUMMYFUNCTION("""COMPUTED_VALUE"""),46036.0)</f>
        <v>46036</v>
      </c>
      <c r="M767" s="3" t="str">
        <f>IFERROR(__xludf.DUMMYFUNCTION("""COMPUTED_VALUE"""),"Done")</f>
        <v>Done</v>
      </c>
      <c r="N767" s="3"/>
      <c r="O767" s="3" t="str">
        <f>IFERROR(VLOOKUP(C767,Sheet4!A767:F1554,6,0),"")</f>
        <v/>
      </c>
      <c r="Q767" s="2" t="str">
        <f t="shared" si="1"/>
        <v>14</v>
      </c>
    </row>
    <row r="768">
      <c r="A768" s="3" t="str">
        <f>IFERROR(__xludf.DUMMYFUNCTION("""COMPUTED_VALUE"""),"PM")</f>
        <v>PM</v>
      </c>
      <c r="B768" s="3" t="str">
        <f>IFERROR(__xludf.DUMMYFUNCTION("""COMPUTED_VALUE"""),"P2")</f>
        <v>P2</v>
      </c>
      <c r="C768" s="3" t="str">
        <f>IFERROR(__xludf.DUMMYFUNCTION("""COMPUTED_VALUE"""),"PLK247")</f>
        <v>PLK247</v>
      </c>
      <c r="D768" s="3" t="str">
        <f>IFERROR(__xludf.DUMMYFUNCTION("""COMPUTED_VALUE"""),"Sarwono")</f>
        <v>Sarwono</v>
      </c>
      <c r="E768" s="3" t="str">
        <f>IFERROR(__xludf.DUMMYFUNCTION("""COMPUTED_VALUE"""),"CME")</f>
        <v>CME</v>
      </c>
      <c r="F768" s="3" t="str">
        <f>IFERROR(__xludf.DUMMYFUNCTION("""COMPUTED_VALUE"""),"Doni Damara")</f>
        <v>Doni Damara</v>
      </c>
      <c r="G768" s="3" t="str">
        <f>IFERROR(__xludf.DUMMYFUNCTION("""COMPUTED_VALUE"""),"Palangkaraya")</f>
        <v>Palangkaraya</v>
      </c>
      <c r="H768" s="3" t="str">
        <f>IFERROR(__xludf.DUMMYFUNCTION("""COMPUTED_VALUE"""),"Preventive")</f>
        <v>Preventive</v>
      </c>
      <c r="I768" s="3" t="str">
        <f>IFERROR(__xludf.DUMMYFUNCTION("""COMPUTED_VALUE"""),"Preventive Maintenance")</f>
        <v>Preventive Maintenance</v>
      </c>
      <c r="J768" s="3" t="str">
        <f>IFERROR(__xludf.DUMMYFUNCTION("""COMPUTED_VALUE"""),"On Progress")</f>
        <v>On Progress</v>
      </c>
      <c r="K768" s="27">
        <f>IFERROR(__xludf.DUMMYFUNCTION("""COMPUTED_VALUE"""),46036.0)</f>
        <v>46036</v>
      </c>
      <c r="L768" s="27">
        <f>IFERROR(__xludf.DUMMYFUNCTION("""COMPUTED_VALUE"""),46036.0)</f>
        <v>46036</v>
      </c>
      <c r="M768" s="3" t="str">
        <f>IFERROR(__xludf.DUMMYFUNCTION("""COMPUTED_VALUE"""),"Done")</f>
        <v>Done</v>
      </c>
      <c r="N768" s="3"/>
      <c r="O768" s="3" t="str">
        <f>IFERROR(VLOOKUP(C768,Sheet4!A768:F1555,6,0),"")</f>
        <v/>
      </c>
      <c r="Q768" s="2" t="str">
        <f t="shared" si="1"/>
        <v>14</v>
      </c>
    </row>
    <row r="769">
      <c r="A769" s="3" t="str">
        <f>IFERROR(__xludf.DUMMYFUNCTION("""COMPUTED_VALUE"""),"Pengecekan Power")</f>
        <v>Pengecekan Power</v>
      </c>
      <c r="B769" s="3" t="str">
        <f>IFERROR(__xludf.DUMMYFUNCTION("""COMPUTED_VALUE"""),"P1")</f>
        <v>P1</v>
      </c>
      <c r="C769" s="3" t="str">
        <f>IFERROR(__xludf.DUMMYFUNCTION("""COMPUTED_VALUE"""),"KSN037")</f>
        <v>KSN037</v>
      </c>
      <c r="D769" s="3" t="str">
        <f>IFERROR(__xludf.DUMMYFUNCTION("""COMPUTED_VALUE"""),"hory yusmanto")</f>
        <v>hory yusmanto</v>
      </c>
      <c r="E769" s="3" t="str">
        <f>IFERROR(__xludf.DUMMYFUNCTION("""COMPUTED_VALUE"""),"MBP")</f>
        <v>MBP</v>
      </c>
      <c r="F769" s="3" t="str">
        <f>IFERROR(__xludf.DUMMYFUNCTION("""COMPUTED_VALUE"""),"Doni Damara")</f>
        <v>Doni Damara</v>
      </c>
      <c r="G769" s="3" t="str">
        <f>IFERROR(__xludf.DUMMYFUNCTION("""COMPUTED_VALUE"""),"Palangkaraya")</f>
        <v>Palangkaraya</v>
      </c>
      <c r="H769" s="3" t="str">
        <f>IFERROR(__xludf.DUMMYFUNCTION("""COMPUTED_VALUE"""),"Preventive")</f>
        <v>Preventive</v>
      </c>
      <c r="I769" s="3" t="str">
        <f>IFERROR(__xludf.DUMMYFUNCTION("""COMPUTED_VALUE"""),"MCB trip/Power upnormal")</f>
        <v>MCB trip/Power upnormal</v>
      </c>
      <c r="J769" s="3" t="str">
        <f>IFERROR(__xludf.DUMMYFUNCTION("""COMPUTED_VALUE"""),"On Progress")</f>
        <v>On Progress</v>
      </c>
      <c r="K769" s="27">
        <f>IFERROR(__xludf.DUMMYFUNCTION("""COMPUTED_VALUE"""),46036.0)</f>
        <v>46036</v>
      </c>
      <c r="L769" s="27">
        <f>IFERROR(__xludf.DUMMYFUNCTION("""COMPUTED_VALUE"""),46036.0)</f>
        <v>46036</v>
      </c>
      <c r="M769" s="3" t="str">
        <f>IFERROR(__xludf.DUMMYFUNCTION("""COMPUTED_VALUE"""),"Waiting Update")</f>
        <v>Waiting Update</v>
      </c>
      <c r="N769" s="3"/>
      <c r="O769" s="3" t="str">
        <f>IFERROR(VLOOKUP(C769,Sheet4!A769:F1556,6,0),"")</f>
        <v/>
      </c>
      <c r="Q769" s="2" t="str">
        <f t="shared" si="1"/>
        <v>14</v>
      </c>
    </row>
    <row r="770">
      <c r="A770" s="3" t="str">
        <f>IFERROR(__xludf.DUMMYFUNCTION("""COMPUTED_VALUE"""),"Standby On Call")</f>
        <v>Standby On Call</v>
      </c>
      <c r="B770" s="3" t="str">
        <f>IFERROR(__xludf.DUMMYFUNCTION("""COMPUTED_VALUE"""),"P3")</f>
        <v>P3</v>
      </c>
      <c r="C770" s="3"/>
      <c r="D770" s="3" t="str">
        <f>IFERROR(__xludf.DUMMYFUNCTION("""COMPUTED_VALUE"""),"Agus muliana pamungkas")</f>
        <v>Agus muliana pamungkas</v>
      </c>
      <c r="E770" s="3" t="str">
        <f>IFERROR(__xludf.DUMMYFUNCTION("""COMPUTED_VALUE"""),"MBP")</f>
        <v>MBP</v>
      </c>
      <c r="F770" s="3" t="str">
        <f>IFERROR(__xludf.DUMMYFUNCTION("""COMPUTED_VALUE"""),"Doni Damara")</f>
        <v>Doni Damara</v>
      </c>
      <c r="G770" s="3" t="str">
        <f>IFERROR(__xludf.DUMMYFUNCTION("""COMPUTED_VALUE"""),"Palangkaraya")</f>
        <v>Palangkaraya</v>
      </c>
      <c r="H770" s="3" t="str">
        <f>IFERROR(__xludf.DUMMYFUNCTION("""COMPUTED_VALUE"""),"Standby")</f>
        <v>Standby</v>
      </c>
      <c r="I770" s="3" t="str">
        <f>IFERROR(__xludf.DUMMYFUNCTION("""COMPUTED_VALUE"""),"Standby On Call")</f>
        <v>Standby On Call</v>
      </c>
      <c r="J770" s="3" t="str">
        <f>IFERROR(__xludf.DUMMYFUNCTION("""COMPUTED_VALUE"""),"Standby")</f>
        <v>Standby</v>
      </c>
      <c r="K770" s="27">
        <f>IFERROR(__xludf.DUMMYFUNCTION("""COMPUTED_VALUE"""),46036.0)</f>
        <v>46036</v>
      </c>
      <c r="L770" s="27">
        <f>IFERROR(__xludf.DUMMYFUNCTION("""COMPUTED_VALUE"""),46036.0)</f>
        <v>46036</v>
      </c>
      <c r="M770" s="3"/>
      <c r="N770" s="3"/>
      <c r="O770" s="3" t="str">
        <f>IFERROR(VLOOKUP(C770,Sheet4!A770:F1557,6,0),"")</f>
        <v/>
      </c>
      <c r="Q770" s="2" t="str">
        <f t="shared" si="1"/>
        <v>14</v>
      </c>
    </row>
    <row r="771">
      <c r="A771" s="3" t="str">
        <f>IFERROR(__xludf.DUMMYFUNCTION("""COMPUTED_VALUE"""),"Standby On Call")</f>
        <v>Standby On Call</v>
      </c>
      <c r="B771" s="3" t="str">
        <f>IFERROR(__xludf.DUMMYFUNCTION("""COMPUTED_VALUE"""),"P3")</f>
        <v>P3</v>
      </c>
      <c r="C771" s="3"/>
      <c r="D771" s="3" t="str">
        <f>IFERROR(__xludf.DUMMYFUNCTION("""COMPUTED_VALUE"""),"Purwanto")</f>
        <v>Purwanto</v>
      </c>
      <c r="E771" s="3" t="str">
        <f>IFERROR(__xludf.DUMMYFUNCTION("""COMPUTED_VALUE"""),"MBP")</f>
        <v>MBP</v>
      </c>
      <c r="F771" s="3" t="str">
        <f>IFERROR(__xludf.DUMMYFUNCTION("""COMPUTED_VALUE"""),"Doni Damara")</f>
        <v>Doni Damara</v>
      </c>
      <c r="G771" s="3" t="str">
        <f>IFERROR(__xludf.DUMMYFUNCTION("""COMPUTED_VALUE"""),"Palangkaraya")</f>
        <v>Palangkaraya</v>
      </c>
      <c r="H771" s="3" t="str">
        <f>IFERROR(__xludf.DUMMYFUNCTION("""COMPUTED_VALUE"""),"Standby")</f>
        <v>Standby</v>
      </c>
      <c r="I771" s="3" t="str">
        <f>IFERROR(__xludf.DUMMYFUNCTION("""COMPUTED_VALUE"""),"Standby On Call")</f>
        <v>Standby On Call</v>
      </c>
      <c r="J771" s="3" t="str">
        <f>IFERROR(__xludf.DUMMYFUNCTION("""COMPUTED_VALUE"""),"Standby")</f>
        <v>Standby</v>
      </c>
      <c r="K771" s="27">
        <f>IFERROR(__xludf.DUMMYFUNCTION("""COMPUTED_VALUE"""),46036.0)</f>
        <v>46036</v>
      </c>
      <c r="L771" s="27">
        <f>IFERROR(__xludf.DUMMYFUNCTION("""COMPUTED_VALUE"""),46036.0)</f>
        <v>46036</v>
      </c>
      <c r="M771" s="3"/>
      <c r="N771" s="3"/>
      <c r="O771" s="3" t="str">
        <f>IFERROR(VLOOKUP(C771,Sheet4!A771:F1558,6,0),"")</f>
        <v/>
      </c>
      <c r="Q771" s="2" t="str">
        <f t="shared" si="1"/>
        <v>14</v>
      </c>
    </row>
    <row r="772">
      <c r="A772" s="3" t="str">
        <f>IFERROR(__xludf.DUMMYFUNCTION("""COMPUTED_VALUE"""),"Standby On Call")</f>
        <v>Standby On Call</v>
      </c>
      <c r="B772" s="3" t="str">
        <f>IFERROR(__xludf.DUMMYFUNCTION("""COMPUTED_VALUE"""),"P3")</f>
        <v>P3</v>
      </c>
      <c r="C772" s="3"/>
      <c r="D772" s="3" t="str">
        <f>IFERROR(__xludf.DUMMYFUNCTION("""COMPUTED_VALUE"""),"Sairaji")</f>
        <v>Sairaji</v>
      </c>
      <c r="E772" s="3" t="str">
        <f>IFERROR(__xludf.DUMMYFUNCTION("""COMPUTED_VALUE"""),"MBP")</f>
        <v>MBP</v>
      </c>
      <c r="F772" s="3" t="str">
        <f>IFERROR(__xludf.DUMMYFUNCTION("""COMPUTED_VALUE"""),"Doni Damara")</f>
        <v>Doni Damara</v>
      </c>
      <c r="G772" s="3" t="str">
        <f>IFERROR(__xludf.DUMMYFUNCTION("""COMPUTED_VALUE"""),"Palangkaraya")</f>
        <v>Palangkaraya</v>
      </c>
      <c r="H772" s="3" t="str">
        <f>IFERROR(__xludf.DUMMYFUNCTION("""COMPUTED_VALUE"""),"Standby")</f>
        <v>Standby</v>
      </c>
      <c r="I772" s="3" t="str">
        <f>IFERROR(__xludf.DUMMYFUNCTION("""COMPUTED_VALUE"""),"Standby On Call")</f>
        <v>Standby On Call</v>
      </c>
      <c r="J772" s="3" t="str">
        <f>IFERROR(__xludf.DUMMYFUNCTION("""COMPUTED_VALUE"""),"Standby")</f>
        <v>Standby</v>
      </c>
      <c r="K772" s="27">
        <f>IFERROR(__xludf.DUMMYFUNCTION("""COMPUTED_VALUE"""),46036.0)</f>
        <v>46036</v>
      </c>
      <c r="L772" s="3"/>
      <c r="M772" s="3"/>
      <c r="N772" s="3"/>
      <c r="O772" s="3" t="str">
        <f>IFERROR(VLOOKUP(C772,Sheet4!A772:F1559,6,0),"")</f>
        <v/>
      </c>
      <c r="Q772" s="2" t="str">
        <f t="shared" si="1"/>
        <v>14</v>
      </c>
    </row>
    <row r="773">
      <c r="A773" s="3" t="str">
        <f>IFERROR(__xludf.DUMMYFUNCTION("""COMPUTED_VALUE"""),"Standby On Call")</f>
        <v>Standby On Call</v>
      </c>
      <c r="B773" s="3" t="str">
        <f>IFERROR(__xludf.DUMMYFUNCTION("""COMPUTED_VALUE"""),"P3")</f>
        <v>P3</v>
      </c>
      <c r="C773" s="3"/>
      <c r="D773" s="3" t="str">
        <f>IFERROR(__xludf.DUMMYFUNCTION("""COMPUTED_VALUE"""),"hory yusmanto")</f>
        <v>hory yusmanto</v>
      </c>
      <c r="E773" s="3" t="str">
        <f>IFERROR(__xludf.DUMMYFUNCTION("""COMPUTED_VALUE"""),"MBP")</f>
        <v>MBP</v>
      </c>
      <c r="F773" s="3" t="str">
        <f>IFERROR(__xludf.DUMMYFUNCTION("""COMPUTED_VALUE"""),"Doni Damara")</f>
        <v>Doni Damara</v>
      </c>
      <c r="G773" s="3" t="str">
        <f>IFERROR(__xludf.DUMMYFUNCTION("""COMPUTED_VALUE"""),"Palangkaraya")</f>
        <v>Palangkaraya</v>
      </c>
      <c r="H773" s="3" t="str">
        <f>IFERROR(__xludf.DUMMYFUNCTION("""COMPUTED_VALUE"""),"Standby")</f>
        <v>Standby</v>
      </c>
      <c r="I773" s="3" t="str">
        <f>IFERROR(__xludf.DUMMYFUNCTION("""COMPUTED_VALUE"""),"Standby On Call")</f>
        <v>Standby On Call</v>
      </c>
      <c r="J773" s="3" t="str">
        <f>IFERROR(__xludf.DUMMYFUNCTION("""COMPUTED_VALUE"""),"Standby")</f>
        <v>Standby</v>
      </c>
      <c r="K773" s="27">
        <f>IFERROR(__xludf.DUMMYFUNCTION("""COMPUTED_VALUE"""),46036.0)</f>
        <v>46036</v>
      </c>
      <c r="L773" s="3"/>
      <c r="M773" s="3"/>
      <c r="N773" s="3"/>
      <c r="O773" s="3" t="str">
        <f>IFERROR(VLOOKUP(C773,Sheet4!A773:F1560,6,0),"")</f>
        <v/>
      </c>
      <c r="Q773" s="2" t="str">
        <f t="shared" si="1"/>
        <v>14</v>
      </c>
    </row>
    <row r="774">
      <c r="A774" s="3" t="str">
        <f>IFERROR(__xludf.DUMMYFUNCTION("""COMPUTED_VALUE"""),"Pengecekan Power")</f>
        <v>Pengecekan Power</v>
      </c>
      <c r="B774" s="3" t="str">
        <f>IFERROR(__xludf.DUMMYFUNCTION("""COMPUTED_VALUE"""),"P1")</f>
        <v>P1</v>
      </c>
      <c r="C774" s="3" t="str">
        <f>IFERROR(__xludf.DUMMYFUNCTION("""COMPUTED_VALUE"""),"BNT015")</f>
        <v>BNT015</v>
      </c>
      <c r="D774" s="3" t="str">
        <f>IFERROR(__xludf.DUMMYFUNCTION("""COMPUTED_VALUE"""),"Putra wardana")</f>
        <v>Putra wardana</v>
      </c>
      <c r="E774" s="3" t="str">
        <f>IFERROR(__xludf.DUMMYFUNCTION("""COMPUTED_VALUE"""),"TE")</f>
        <v>TE</v>
      </c>
      <c r="F774" s="3" t="str">
        <f>IFERROR(__xludf.DUMMYFUNCTION("""COMPUTED_VALUE"""),"Winda Sokenda")</f>
        <v>Winda Sokenda</v>
      </c>
      <c r="G774" s="3" t="str">
        <f>IFERROR(__xludf.DUMMYFUNCTION("""COMPUTED_VALUE"""),"Barito Raya")</f>
        <v>Barito Raya</v>
      </c>
      <c r="H774" s="3" t="str">
        <f>IFERROR(__xludf.DUMMYFUNCTION("""COMPUTED_VALUE"""),"Preventive")</f>
        <v>Preventive</v>
      </c>
      <c r="I774" s="3" t="str">
        <f>IFERROR(__xludf.DUMMYFUNCTION("""COMPUTED_VALUE"""),"MCB trip/Power upnormal")</f>
        <v>MCB trip/Power upnormal</v>
      </c>
      <c r="J774" s="3" t="str">
        <f>IFERROR(__xludf.DUMMYFUNCTION("""COMPUTED_VALUE"""),"On Progress")</f>
        <v>On Progress</v>
      </c>
      <c r="K774" s="27">
        <f>IFERROR(__xludf.DUMMYFUNCTION("""COMPUTED_VALUE"""),46036.0)</f>
        <v>46036</v>
      </c>
      <c r="L774" s="27">
        <f>IFERROR(__xludf.DUMMYFUNCTION("""COMPUTED_VALUE"""),46036.0)</f>
        <v>46036</v>
      </c>
      <c r="M774" s="3" t="str">
        <f>IFERROR(__xludf.DUMMYFUNCTION("""COMPUTED_VALUE"""),"Done")</f>
        <v>Done</v>
      </c>
      <c r="N774" s="3" t="str">
        <f>IFERROR(__xludf.DUMMYFUNCTION("""COMPUTED_VALUE"""),"Waiting LVD &amp; Ioboard")</f>
        <v>Waiting LVD &amp; Ioboard</v>
      </c>
      <c r="O774" s="3" t="str">
        <f>IFERROR(VLOOKUP(C774,Sheet4!A774:F1561,6,0),"")</f>
        <v/>
      </c>
      <c r="Q774" s="2" t="str">
        <f t="shared" si="1"/>
        <v>14</v>
      </c>
    </row>
    <row r="775">
      <c r="A775" s="3" t="str">
        <f>IFERROR(__xludf.DUMMYFUNCTION("""COMPUTED_VALUE"""),"Standby On Call")</f>
        <v>Standby On Call</v>
      </c>
      <c r="B775" s="3" t="str">
        <f>IFERROR(__xludf.DUMMYFUNCTION("""COMPUTED_VALUE"""),"P3")</f>
        <v>P3</v>
      </c>
      <c r="C775" s="3"/>
      <c r="D775" s="3" t="str">
        <f>IFERROR(__xludf.DUMMYFUNCTION("""COMPUTED_VALUE"""),"Sailillah")</f>
        <v>Sailillah</v>
      </c>
      <c r="E775" s="3" t="str">
        <f>IFERROR(__xludf.DUMMYFUNCTION("""COMPUTED_VALUE"""),"TE")</f>
        <v>TE</v>
      </c>
      <c r="F775" s="3" t="str">
        <f>IFERROR(__xludf.DUMMYFUNCTION("""COMPUTED_VALUE"""),"Winda Sokenda")</f>
        <v>Winda Sokenda</v>
      </c>
      <c r="G775" s="3" t="str">
        <f>IFERROR(__xludf.DUMMYFUNCTION("""COMPUTED_VALUE"""),"Barito Raya")</f>
        <v>Barito Raya</v>
      </c>
      <c r="H775" s="3" t="str">
        <f>IFERROR(__xludf.DUMMYFUNCTION("""COMPUTED_VALUE"""),"Standby")</f>
        <v>Standby</v>
      </c>
      <c r="I775" s="3" t="str">
        <f>IFERROR(__xludf.DUMMYFUNCTION("""COMPUTED_VALUE"""),"Standby On Call")</f>
        <v>Standby On Call</v>
      </c>
      <c r="J775" s="3"/>
      <c r="K775" s="27">
        <f>IFERROR(__xludf.DUMMYFUNCTION("""COMPUTED_VALUE"""),46036.0)</f>
        <v>46036</v>
      </c>
      <c r="L775" s="27">
        <f>IFERROR(__xludf.DUMMYFUNCTION("""COMPUTED_VALUE"""),46036.0)</f>
        <v>46036</v>
      </c>
      <c r="M775" s="3"/>
      <c r="N775" s="3"/>
      <c r="O775" s="3" t="str">
        <f>IFERROR(VLOOKUP(C775,Sheet4!A775:F1562,6,0),"")</f>
        <v/>
      </c>
      <c r="Q775" s="2" t="str">
        <f t="shared" si="1"/>
        <v>14</v>
      </c>
    </row>
    <row r="776">
      <c r="A776" s="3" t="str">
        <f>IFERROR(__xludf.DUMMYFUNCTION("""COMPUTED_VALUE"""),"Cell down")</f>
        <v>Cell down</v>
      </c>
      <c r="B776" s="3" t="str">
        <f>IFERROR(__xludf.DUMMYFUNCTION("""COMPUTED_VALUE"""),"P1")</f>
        <v>P1</v>
      </c>
      <c r="C776" s="3" t="str">
        <f>IFERROR(__xludf.DUMMYFUNCTION("""COMPUTED_VALUE"""),"BNT004")</f>
        <v>BNT004</v>
      </c>
      <c r="D776" s="3" t="str">
        <f>IFERROR(__xludf.DUMMYFUNCTION("""COMPUTED_VALUE"""),"Tiviansyah")</f>
        <v>Tiviansyah</v>
      </c>
      <c r="E776" s="3" t="str">
        <f>IFERROR(__xludf.DUMMYFUNCTION("""COMPUTED_VALUE"""),"TE")</f>
        <v>TE</v>
      </c>
      <c r="F776" s="3" t="str">
        <f>IFERROR(__xludf.DUMMYFUNCTION("""COMPUTED_VALUE"""),"Winda Sokenda")</f>
        <v>Winda Sokenda</v>
      </c>
      <c r="G776" s="3" t="str">
        <f>IFERROR(__xludf.DUMMYFUNCTION("""COMPUTED_VALUE"""),"Barito Raya")</f>
        <v>Barito Raya</v>
      </c>
      <c r="H776" s="3" t="str">
        <f>IFERROR(__xludf.DUMMYFUNCTION("""COMPUTED_VALUE"""),"Corrective")</f>
        <v>Corrective</v>
      </c>
      <c r="I776" s="3" t="str">
        <f>IFERROR(__xludf.DUMMYFUNCTION("""COMPUTED_VALUE"""),"Replace Optik,RRU/Soket Power/Replace GPS")</f>
        <v>Replace Optik,RRU/Soket Power/Replace GPS</v>
      </c>
      <c r="J776" s="3" t="str">
        <f>IFERROR(__xludf.DUMMYFUNCTION("""COMPUTED_VALUE"""),"On Progress")</f>
        <v>On Progress</v>
      </c>
      <c r="K776" s="27">
        <f>IFERROR(__xludf.DUMMYFUNCTION("""COMPUTED_VALUE"""),46036.0)</f>
        <v>46036</v>
      </c>
      <c r="L776" s="27">
        <f>IFERROR(__xludf.DUMMYFUNCTION("""COMPUTED_VALUE"""),46036.0)</f>
        <v>46036</v>
      </c>
      <c r="M776" s="3" t="str">
        <f>IFERROR(__xludf.DUMMYFUNCTION("""COMPUTED_VALUE"""),"Done")</f>
        <v>Done</v>
      </c>
      <c r="N776" s="3" t="str">
        <f>IFERROR(__xludf.DUMMYFUNCTION("""COMPUTED_VALUE"""),"Pending RRU")</f>
        <v>Pending RRU</v>
      </c>
      <c r="O776" s="3" t="str">
        <f>IFERROR(VLOOKUP(C776,Sheet4!A776:F1563,6,0),"")</f>
        <v/>
      </c>
      <c r="Q776" s="2" t="str">
        <f t="shared" si="1"/>
        <v>14</v>
      </c>
    </row>
    <row r="777">
      <c r="A777" s="3" t="str">
        <f>IFERROR(__xludf.DUMMYFUNCTION("""COMPUTED_VALUE"""),"Penambahan Modul Recti")</f>
        <v>Penambahan Modul Recti</v>
      </c>
      <c r="B777" s="3" t="str">
        <f>IFERROR(__xludf.DUMMYFUNCTION("""COMPUTED_VALUE"""),"P2")</f>
        <v>P2</v>
      </c>
      <c r="C777" s="3" t="str">
        <f>IFERROR(__xludf.DUMMYFUNCTION("""COMPUTED_VALUE"""),"MTW063")</f>
        <v>MTW063</v>
      </c>
      <c r="D777" s="3" t="str">
        <f>IFERROR(__xludf.DUMMYFUNCTION("""COMPUTED_VALUE"""),"munawir akhmad")</f>
        <v>munawir akhmad</v>
      </c>
      <c r="E777" s="3" t="str">
        <f>IFERROR(__xludf.DUMMYFUNCTION("""COMPUTED_VALUE"""),"TE")</f>
        <v>TE</v>
      </c>
      <c r="F777" s="3" t="str">
        <f>IFERROR(__xludf.DUMMYFUNCTION("""COMPUTED_VALUE"""),"Winda Sokenda")</f>
        <v>Winda Sokenda</v>
      </c>
      <c r="G777" s="3" t="str">
        <f>IFERROR(__xludf.DUMMYFUNCTION("""COMPUTED_VALUE"""),"Barito Raya")</f>
        <v>Barito Raya</v>
      </c>
      <c r="H777" s="3" t="str">
        <f>IFERROR(__xludf.DUMMYFUNCTION("""COMPUTED_VALUE"""),"Corrective")</f>
        <v>Corrective</v>
      </c>
      <c r="I777" s="3" t="str">
        <f>IFERROR(__xludf.DUMMYFUNCTION("""COMPUTED_VALUE"""),"Penambahan Modul Recti")</f>
        <v>Penambahan Modul Recti</v>
      </c>
      <c r="J777" s="3" t="str">
        <f>IFERROR(__xludf.DUMMYFUNCTION("""COMPUTED_VALUE"""),"On Progress")</f>
        <v>On Progress</v>
      </c>
      <c r="K777" s="27">
        <f>IFERROR(__xludf.DUMMYFUNCTION("""COMPUTED_VALUE"""),46036.0)</f>
        <v>46036</v>
      </c>
      <c r="L777" s="27">
        <f>IFERROR(__xludf.DUMMYFUNCTION("""COMPUTED_VALUE"""),46036.0)</f>
        <v>46036</v>
      </c>
      <c r="M777" s="3" t="str">
        <f>IFERROR(__xludf.DUMMYFUNCTION("""COMPUTED_VALUE"""),"Done")</f>
        <v>Done</v>
      </c>
      <c r="N777" s="3"/>
      <c r="O777" s="3" t="str">
        <f>IFERROR(VLOOKUP(C777,Sheet4!A777:F1564,6,0),"")</f>
        <v/>
      </c>
      <c r="Q777" s="2" t="str">
        <f t="shared" si="1"/>
        <v>14</v>
      </c>
    </row>
    <row r="778">
      <c r="A778" s="3" t="str">
        <f>IFERROR(__xludf.DUMMYFUNCTION("""COMPUTED_VALUE"""),"Sick")</f>
        <v>Sick</v>
      </c>
      <c r="B778" s="3" t="str">
        <f>IFERROR(__xludf.DUMMYFUNCTION("""COMPUTED_VALUE"""),"P3")</f>
        <v>P3</v>
      </c>
      <c r="C778" s="3"/>
      <c r="D778" s="3" t="str">
        <f>IFERROR(__xludf.DUMMYFUNCTION("""COMPUTED_VALUE"""),"Riki Hidayat")</f>
        <v>Riki Hidayat</v>
      </c>
      <c r="E778" s="3" t="str">
        <f>IFERROR(__xludf.DUMMYFUNCTION("""COMPUTED_VALUE"""),"TE")</f>
        <v>TE</v>
      </c>
      <c r="F778" s="3" t="str">
        <f>IFERROR(__xludf.DUMMYFUNCTION("""COMPUTED_VALUE"""),"Winda Sokenda")</f>
        <v>Winda Sokenda</v>
      </c>
      <c r="G778" s="3" t="str">
        <f>IFERROR(__xludf.DUMMYFUNCTION("""COMPUTED_VALUE"""),"Barito Raya")</f>
        <v>Barito Raya</v>
      </c>
      <c r="H778" s="3" t="str">
        <f>IFERROR(__xludf.DUMMYFUNCTION("""COMPUTED_VALUE"""),"Sick")</f>
        <v>Sick</v>
      </c>
      <c r="I778" s="3" t="str">
        <f>IFERROR(__xludf.DUMMYFUNCTION("""COMPUTED_VALUE"""),"Sick")</f>
        <v>Sick</v>
      </c>
      <c r="J778" s="3"/>
      <c r="K778" s="27">
        <f>IFERROR(__xludf.DUMMYFUNCTION("""COMPUTED_VALUE"""),46036.0)</f>
        <v>46036</v>
      </c>
      <c r="L778" s="27">
        <f>IFERROR(__xludf.DUMMYFUNCTION("""COMPUTED_VALUE"""),46036.0)</f>
        <v>46036</v>
      </c>
      <c r="M778" s="3"/>
      <c r="N778" s="3"/>
      <c r="O778" s="3" t="str">
        <f>IFERROR(VLOOKUP(C778,Sheet4!A778:F1565,6,0),"")</f>
        <v/>
      </c>
      <c r="Q778" s="2" t="str">
        <f t="shared" si="1"/>
        <v>14</v>
      </c>
    </row>
    <row r="779">
      <c r="A779" s="3" t="str">
        <f>IFERROR(__xludf.DUMMYFUNCTION("""COMPUTED_VALUE"""),"Pengecekan Power")</f>
        <v>Pengecekan Power</v>
      </c>
      <c r="B779" s="3" t="str">
        <f>IFERROR(__xludf.DUMMYFUNCTION("""COMPUTED_VALUE"""),"P1")</f>
        <v>P1</v>
      </c>
      <c r="C779" s="3" t="str">
        <f>IFERROR(__xludf.DUMMYFUNCTION("""COMPUTED_VALUE"""),"PRC190")</f>
        <v>PRC190</v>
      </c>
      <c r="D779" s="3" t="str">
        <f>IFERROR(__xludf.DUMMYFUNCTION("""COMPUTED_VALUE"""),"Murjani")</f>
        <v>Murjani</v>
      </c>
      <c r="E779" s="3" t="str">
        <f>IFERROR(__xludf.DUMMYFUNCTION("""COMPUTED_VALUE"""),"TE")</f>
        <v>TE</v>
      </c>
      <c r="F779" s="3" t="str">
        <f>IFERROR(__xludf.DUMMYFUNCTION("""COMPUTED_VALUE"""),"Winda Sokenda")</f>
        <v>Winda Sokenda</v>
      </c>
      <c r="G779" s="3" t="str">
        <f>IFERROR(__xludf.DUMMYFUNCTION("""COMPUTED_VALUE"""),"Barito Raya")</f>
        <v>Barito Raya</v>
      </c>
      <c r="H779" s="3" t="str">
        <f>IFERROR(__xludf.DUMMYFUNCTION("""COMPUTED_VALUE"""),"Preventive")</f>
        <v>Preventive</v>
      </c>
      <c r="I779" s="3" t="str">
        <f>IFERROR(__xludf.DUMMYFUNCTION("""COMPUTED_VALUE"""),"MCB trip/Power upnormal")</f>
        <v>MCB trip/Power upnormal</v>
      </c>
      <c r="J779" s="3" t="str">
        <f>IFERROR(__xludf.DUMMYFUNCTION("""COMPUTED_VALUE"""),"On Progress")</f>
        <v>On Progress</v>
      </c>
      <c r="K779" s="27">
        <f>IFERROR(__xludf.DUMMYFUNCTION("""COMPUTED_VALUE"""),46036.0)</f>
        <v>46036</v>
      </c>
      <c r="L779" s="27">
        <f>IFERROR(__xludf.DUMMYFUNCTION("""COMPUTED_VALUE"""),46036.0)</f>
        <v>46036</v>
      </c>
      <c r="M779" s="3" t="str">
        <f>IFERROR(__xludf.DUMMYFUNCTION("""COMPUTED_VALUE"""),"Done")</f>
        <v>Done</v>
      </c>
      <c r="N779" s="3"/>
      <c r="O779" s="3" t="str">
        <f>IFERROR(VLOOKUP(C779,Sheet4!A779:F1566,6,0),"")</f>
        <v/>
      </c>
      <c r="Q779" s="2" t="str">
        <f t="shared" si="1"/>
        <v>14</v>
      </c>
    </row>
    <row r="780">
      <c r="A780" s="3" t="str">
        <f>IFERROR(__xludf.DUMMYFUNCTION("""COMPUTED_VALUE"""),"Site Down")</f>
        <v>Site Down</v>
      </c>
      <c r="B780" s="3" t="str">
        <f>IFERROR(__xludf.DUMMYFUNCTION("""COMPUTED_VALUE"""),"P1")</f>
        <v>P1</v>
      </c>
      <c r="C780" s="3" t="str">
        <f>IFERROR(__xludf.DUMMYFUNCTION("""COMPUTED_VALUE"""),"KKP068")</f>
        <v>KKP068</v>
      </c>
      <c r="D780" s="3" t="str">
        <f>IFERROR(__xludf.DUMMYFUNCTION("""COMPUTED_VALUE"""),"Armadi")</f>
        <v>Armadi</v>
      </c>
      <c r="E780" s="3" t="str">
        <f>IFERROR(__xludf.DUMMYFUNCTION("""COMPUTED_VALUE"""),"TE")</f>
        <v>TE</v>
      </c>
      <c r="F780" s="3" t="str">
        <f>IFERROR(__xludf.DUMMYFUNCTION("""COMPUTED_VALUE"""),"Winda Sokenda")</f>
        <v>Winda Sokenda</v>
      </c>
      <c r="G780" s="3" t="str">
        <f>IFERROR(__xludf.DUMMYFUNCTION("""COMPUTED_VALUE"""),"Barito Raya")</f>
        <v>Barito Raya</v>
      </c>
      <c r="H780" s="3" t="str">
        <f>IFERROR(__xludf.DUMMYFUNCTION("""COMPUTED_VALUE"""),"Corrective")</f>
        <v>Corrective</v>
      </c>
      <c r="I780" s="3" t="str">
        <f>IFERROR(__xludf.DUMMYFUNCTION("""COMPUTED_VALUE"""),"Pemadaman,MCB Trip,Transmisi problem")</f>
        <v>Pemadaman,MCB Trip,Transmisi problem</v>
      </c>
      <c r="J780" s="3" t="str">
        <f>IFERROR(__xludf.DUMMYFUNCTION("""COMPUTED_VALUE"""),"On Progress")</f>
        <v>On Progress</v>
      </c>
      <c r="K780" s="27">
        <f>IFERROR(__xludf.DUMMYFUNCTION("""COMPUTED_VALUE"""),46036.0)</f>
        <v>46036</v>
      </c>
      <c r="L780" s="27">
        <f>IFERROR(__xludf.DUMMYFUNCTION("""COMPUTED_VALUE"""),46036.0)</f>
        <v>46036</v>
      </c>
      <c r="M780" s="3" t="str">
        <f>IFERROR(__xludf.DUMMYFUNCTION("""COMPUTED_VALUE"""),"Done")</f>
        <v>Done</v>
      </c>
      <c r="N780" s="3"/>
      <c r="O780" s="3" t="str">
        <f>IFERROR(VLOOKUP(C780,Sheet4!A780:F1567,6,0),"")</f>
        <v/>
      </c>
      <c r="Q780" s="2" t="str">
        <f t="shared" si="1"/>
        <v>14</v>
      </c>
    </row>
    <row r="781">
      <c r="A781" s="3" t="str">
        <f>IFERROR(__xludf.DUMMYFUNCTION("""COMPUTED_VALUE"""),"Site Down")</f>
        <v>Site Down</v>
      </c>
      <c r="B781" s="3" t="str">
        <f>IFERROR(__xludf.DUMMYFUNCTION("""COMPUTED_VALUE"""),"P1")</f>
        <v>P1</v>
      </c>
      <c r="C781" s="3" t="str">
        <f>IFERROR(__xludf.DUMMYFUNCTION("""COMPUTED_VALUE"""),"KKP208")</f>
        <v>KKP208</v>
      </c>
      <c r="D781" s="3" t="str">
        <f>IFERROR(__xludf.DUMMYFUNCTION("""COMPUTED_VALUE"""),"Reynaldy Ricardo Putra")</f>
        <v>Reynaldy Ricardo Putra</v>
      </c>
      <c r="E781" s="3" t="str">
        <f>IFERROR(__xludf.DUMMYFUNCTION("""COMPUTED_VALUE"""),"TE")</f>
        <v>TE</v>
      </c>
      <c r="F781" s="3" t="str">
        <f>IFERROR(__xludf.DUMMYFUNCTION("""COMPUTED_VALUE"""),"Winda Sokenda")</f>
        <v>Winda Sokenda</v>
      </c>
      <c r="G781" s="3" t="str">
        <f>IFERROR(__xludf.DUMMYFUNCTION("""COMPUTED_VALUE"""),"Barito Raya")</f>
        <v>Barito Raya</v>
      </c>
      <c r="H781" s="3" t="str">
        <f>IFERROR(__xludf.DUMMYFUNCTION("""COMPUTED_VALUE"""),"Corrective")</f>
        <v>Corrective</v>
      </c>
      <c r="I781" s="3" t="str">
        <f>IFERROR(__xludf.DUMMYFUNCTION("""COMPUTED_VALUE"""),"Pemadaman,MCB Trip,Transmisi problem")</f>
        <v>Pemadaman,MCB Trip,Transmisi problem</v>
      </c>
      <c r="J781" s="3" t="str">
        <f>IFERROR(__xludf.DUMMYFUNCTION("""COMPUTED_VALUE"""),"On Progress")</f>
        <v>On Progress</v>
      </c>
      <c r="K781" s="27">
        <f>IFERROR(__xludf.DUMMYFUNCTION("""COMPUTED_VALUE"""),46036.0)</f>
        <v>46036</v>
      </c>
      <c r="L781" s="27">
        <f>IFERROR(__xludf.DUMMYFUNCTION("""COMPUTED_VALUE"""),46036.0)</f>
        <v>46036</v>
      </c>
      <c r="M781" s="3" t="str">
        <f>IFERROR(__xludf.DUMMYFUNCTION("""COMPUTED_VALUE"""),"Done")</f>
        <v>Done</v>
      </c>
      <c r="N781" s="3"/>
      <c r="O781" s="3" t="str">
        <f>IFERROR(VLOOKUP(C781,Sheet4!A781:F1568,6,0),"")</f>
        <v/>
      </c>
      <c r="Q781" s="2" t="str">
        <f t="shared" si="1"/>
        <v>14</v>
      </c>
    </row>
    <row r="782">
      <c r="A782" s="3" t="str">
        <f>IFERROR(__xludf.DUMMYFUNCTION("""COMPUTED_VALUE"""),"Pengawalan akses Vendor")</f>
        <v>Pengawalan akses Vendor</v>
      </c>
      <c r="B782" s="3" t="str">
        <f>IFERROR(__xludf.DUMMYFUNCTION("""COMPUTED_VALUE"""),"P3")</f>
        <v>P3</v>
      </c>
      <c r="C782" s="3" t="str">
        <f>IFERROR(__xludf.DUMMYFUNCTION("""COMPUTED_VALUE"""),"KKP023")</f>
        <v>KKP023</v>
      </c>
      <c r="D782" s="3" t="str">
        <f>IFERROR(__xludf.DUMMYFUNCTION("""COMPUTED_VALUE"""),"Sahrul Saputra")</f>
        <v>Sahrul Saputra</v>
      </c>
      <c r="E782" s="3" t="str">
        <f>IFERROR(__xludf.DUMMYFUNCTION("""COMPUTED_VALUE"""),"TE")</f>
        <v>TE</v>
      </c>
      <c r="F782" s="3" t="str">
        <f>IFERROR(__xludf.DUMMYFUNCTION("""COMPUTED_VALUE"""),"Winda Sokenda")</f>
        <v>Winda Sokenda</v>
      </c>
      <c r="G782" s="3" t="str">
        <f>IFERROR(__xludf.DUMMYFUNCTION("""COMPUTED_VALUE"""),"Barito Raya")</f>
        <v>Barito Raya</v>
      </c>
      <c r="H782" s="3" t="str">
        <f>IFERROR(__xludf.DUMMYFUNCTION("""COMPUTED_VALUE"""),"Preventive")</f>
        <v>Preventive</v>
      </c>
      <c r="I782" s="3" t="str">
        <f>IFERROR(__xludf.DUMMYFUNCTION("""COMPUTED_VALUE"""),"Pengawalan akses Vendor")</f>
        <v>Pengawalan akses Vendor</v>
      </c>
      <c r="J782" s="3" t="str">
        <f>IFERROR(__xludf.DUMMYFUNCTION("""COMPUTED_VALUE"""),"On Progress")</f>
        <v>On Progress</v>
      </c>
      <c r="K782" s="27">
        <f>IFERROR(__xludf.DUMMYFUNCTION("""COMPUTED_VALUE"""),46036.0)</f>
        <v>46036</v>
      </c>
      <c r="L782" s="27">
        <f>IFERROR(__xludf.DUMMYFUNCTION("""COMPUTED_VALUE"""),46036.0)</f>
        <v>46036</v>
      </c>
      <c r="M782" s="3" t="str">
        <f>IFERROR(__xludf.DUMMYFUNCTION("""COMPUTED_VALUE"""),"Done")</f>
        <v>Done</v>
      </c>
      <c r="N782" s="3"/>
      <c r="O782" s="3" t="str">
        <f>IFERROR(VLOOKUP(C782,Sheet4!A782:F1569,6,0),"")</f>
        <v/>
      </c>
      <c r="Q782" s="2" t="str">
        <f t="shared" si="1"/>
        <v>14</v>
      </c>
    </row>
    <row r="783">
      <c r="A783" s="3" t="str">
        <f>IFERROR(__xludf.DUMMYFUNCTION("""COMPUTED_VALUE"""),"Standby On Call")</f>
        <v>Standby On Call</v>
      </c>
      <c r="B783" s="3" t="str">
        <f>IFERROR(__xludf.DUMMYFUNCTION("""COMPUTED_VALUE"""),"P3")</f>
        <v>P3</v>
      </c>
      <c r="C783" s="3"/>
      <c r="D783" s="3" t="str">
        <f>IFERROR(__xludf.DUMMYFUNCTION("""COMPUTED_VALUE"""),"Nurhayat")</f>
        <v>Nurhayat</v>
      </c>
      <c r="E783" s="3" t="str">
        <f>IFERROR(__xludf.DUMMYFUNCTION("""COMPUTED_VALUE"""),"MBP")</f>
        <v>MBP</v>
      </c>
      <c r="F783" s="3" t="str">
        <f>IFERROR(__xludf.DUMMYFUNCTION("""COMPUTED_VALUE"""),"Winda Sokenda")</f>
        <v>Winda Sokenda</v>
      </c>
      <c r="G783" s="3" t="str">
        <f>IFERROR(__xludf.DUMMYFUNCTION("""COMPUTED_VALUE"""),"Barito Raya")</f>
        <v>Barito Raya</v>
      </c>
      <c r="H783" s="3" t="str">
        <f>IFERROR(__xludf.DUMMYFUNCTION("""COMPUTED_VALUE"""),"Standby")</f>
        <v>Standby</v>
      </c>
      <c r="I783" s="3" t="str">
        <f>IFERROR(__xludf.DUMMYFUNCTION("""COMPUTED_VALUE"""),"Standby On Call")</f>
        <v>Standby On Call</v>
      </c>
      <c r="J783" s="3" t="str">
        <f>IFERROR(__xludf.DUMMYFUNCTION("""COMPUTED_VALUE"""),"Standby")</f>
        <v>Standby</v>
      </c>
      <c r="K783" s="27">
        <f>IFERROR(__xludf.DUMMYFUNCTION("""COMPUTED_VALUE"""),46036.0)</f>
        <v>46036</v>
      </c>
      <c r="L783" s="27">
        <f>IFERROR(__xludf.DUMMYFUNCTION("""COMPUTED_VALUE"""),46036.0)</f>
        <v>46036</v>
      </c>
      <c r="M783" s="3"/>
      <c r="N783" s="3"/>
      <c r="O783" s="3" t="str">
        <f>IFERROR(VLOOKUP(C783,Sheet4!A783:F1570,6,0),"")</f>
        <v/>
      </c>
      <c r="Q783" s="2" t="str">
        <f t="shared" si="1"/>
        <v>14</v>
      </c>
    </row>
    <row r="784">
      <c r="A784" s="3" t="str">
        <f>IFERROR(__xludf.DUMMYFUNCTION("""COMPUTED_VALUE"""),"Cell down")</f>
        <v>Cell down</v>
      </c>
      <c r="B784" s="3" t="str">
        <f>IFERROR(__xludf.DUMMYFUNCTION("""COMPUTED_VALUE"""),"P1")</f>
        <v>P1</v>
      </c>
      <c r="C784" s="3" t="str">
        <f>IFERROR(__xludf.DUMMYFUNCTION("""COMPUTED_VALUE"""),"BNT004")</f>
        <v>BNT004</v>
      </c>
      <c r="D784" s="3" t="str">
        <f>IFERROR(__xludf.DUMMYFUNCTION("""COMPUTED_VALUE"""),"Harun Nurasyid")</f>
        <v>Harun Nurasyid</v>
      </c>
      <c r="E784" s="3" t="str">
        <f>IFERROR(__xludf.DUMMYFUNCTION("""COMPUTED_VALUE"""),"CME")</f>
        <v>CME</v>
      </c>
      <c r="F784" s="3" t="str">
        <f>IFERROR(__xludf.DUMMYFUNCTION("""COMPUTED_VALUE"""),"Winda Sokenda")</f>
        <v>Winda Sokenda</v>
      </c>
      <c r="G784" s="3" t="str">
        <f>IFERROR(__xludf.DUMMYFUNCTION("""COMPUTED_VALUE"""),"Barito Raya")</f>
        <v>Barito Raya</v>
      </c>
      <c r="H784" s="3" t="str">
        <f>IFERROR(__xludf.DUMMYFUNCTION("""COMPUTED_VALUE"""),"Corrective")</f>
        <v>Corrective</v>
      </c>
      <c r="I784" s="3" t="str">
        <f>IFERROR(__xludf.DUMMYFUNCTION("""COMPUTED_VALUE"""),"Replace Optik,RRU/Soket Power/Replace GPS")</f>
        <v>Replace Optik,RRU/Soket Power/Replace GPS</v>
      </c>
      <c r="J784" s="3" t="str">
        <f>IFERROR(__xludf.DUMMYFUNCTION("""COMPUTED_VALUE"""),"On Progress")</f>
        <v>On Progress</v>
      </c>
      <c r="K784" s="27">
        <f>IFERROR(__xludf.DUMMYFUNCTION("""COMPUTED_VALUE"""),46036.0)</f>
        <v>46036</v>
      </c>
      <c r="L784" s="27">
        <f>IFERROR(__xludf.DUMMYFUNCTION("""COMPUTED_VALUE"""),46036.0)</f>
        <v>46036</v>
      </c>
      <c r="M784" s="3" t="str">
        <f>IFERROR(__xludf.DUMMYFUNCTION("""COMPUTED_VALUE"""),"Done")</f>
        <v>Done</v>
      </c>
      <c r="N784" s="3" t="str">
        <f>IFERROR(__xludf.DUMMYFUNCTION("""COMPUTED_VALUE"""),"Pending RRU")</f>
        <v>Pending RRU</v>
      </c>
      <c r="O784" s="3" t="str">
        <f>IFERROR(VLOOKUP(C784,Sheet4!A784:F1571,6,0),"")</f>
        <v/>
      </c>
      <c r="Q784" s="2" t="str">
        <f t="shared" si="1"/>
        <v>14</v>
      </c>
    </row>
    <row r="785">
      <c r="A785" s="3" t="str">
        <f>IFERROR(__xludf.DUMMYFUNCTION("""COMPUTED_VALUE"""),"Standby On Call")</f>
        <v>Standby On Call</v>
      </c>
      <c r="B785" s="3" t="str">
        <f>IFERROR(__xludf.DUMMYFUNCTION("""COMPUTED_VALUE"""),"P3")</f>
        <v>P3</v>
      </c>
      <c r="C785" s="3"/>
      <c r="D785" s="3" t="str">
        <f>IFERROR(__xludf.DUMMYFUNCTION("""COMPUTED_VALUE"""),"Taklim")</f>
        <v>Taklim</v>
      </c>
      <c r="E785" s="3" t="str">
        <f>IFERROR(__xludf.DUMMYFUNCTION("""COMPUTED_VALUE"""),"MBP")</f>
        <v>MBP</v>
      </c>
      <c r="F785" s="3" t="str">
        <f>IFERROR(__xludf.DUMMYFUNCTION("""COMPUTED_VALUE"""),"Winda Sokenda")</f>
        <v>Winda Sokenda</v>
      </c>
      <c r="G785" s="3" t="str">
        <f>IFERROR(__xludf.DUMMYFUNCTION("""COMPUTED_VALUE"""),"Barito Raya")</f>
        <v>Barito Raya</v>
      </c>
      <c r="H785" s="3" t="str">
        <f>IFERROR(__xludf.DUMMYFUNCTION("""COMPUTED_VALUE"""),"Standby")</f>
        <v>Standby</v>
      </c>
      <c r="I785" s="3" t="str">
        <f>IFERROR(__xludf.DUMMYFUNCTION("""COMPUTED_VALUE"""),"Standby On Call")</f>
        <v>Standby On Call</v>
      </c>
      <c r="J785" s="3" t="str">
        <f>IFERROR(__xludf.DUMMYFUNCTION("""COMPUTED_VALUE"""),"Standby")</f>
        <v>Standby</v>
      </c>
      <c r="K785" s="27">
        <f>IFERROR(__xludf.DUMMYFUNCTION("""COMPUTED_VALUE"""),46036.0)</f>
        <v>46036</v>
      </c>
      <c r="L785" s="27">
        <f>IFERROR(__xludf.DUMMYFUNCTION("""COMPUTED_VALUE"""),46036.0)</f>
        <v>46036</v>
      </c>
      <c r="M785" s="3"/>
      <c r="N785" s="3"/>
      <c r="O785" s="3" t="str">
        <f>IFERROR(VLOOKUP(C785,Sheet4!A785:F1572,6,0),"")</f>
        <v/>
      </c>
      <c r="Q785" s="2" t="str">
        <f t="shared" si="1"/>
        <v>14</v>
      </c>
    </row>
    <row r="786">
      <c r="A786" s="3" t="str">
        <f>IFERROR(__xludf.DUMMYFUNCTION("""COMPUTED_VALUE"""),"Pengecekan Power")</f>
        <v>Pengecekan Power</v>
      </c>
      <c r="B786" s="3" t="str">
        <f>IFERROR(__xludf.DUMMYFUNCTION("""COMPUTED_VALUE"""),"P1")</f>
        <v>P1</v>
      </c>
      <c r="C786" s="3" t="str">
        <f>IFERROR(__xludf.DUMMYFUNCTION("""COMPUTED_VALUE"""),"PRC190")</f>
        <v>PRC190</v>
      </c>
      <c r="D786" s="3" t="str">
        <f>IFERROR(__xludf.DUMMYFUNCTION("""COMPUTED_VALUE"""),"Ahmad Muzakir")</f>
        <v>Ahmad Muzakir</v>
      </c>
      <c r="E786" s="3" t="str">
        <f>IFERROR(__xludf.DUMMYFUNCTION("""COMPUTED_VALUE"""),"MBP")</f>
        <v>MBP</v>
      </c>
      <c r="F786" s="3" t="str">
        <f>IFERROR(__xludf.DUMMYFUNCTION("""COMPUTED_VALUE"""),"Winda Sokenda")</f>
        <v>Winda Sokenda</v>
      </c>
      <c r="G786" s="3" t="str">
        <f>IFERROR(__xludf.DUMMYFUNCTION("""COMPUTED_VALUE"""),"Barito Raya")</f>
        <v>Barito Raya</v>
      </c>
      <c r="H786" s="3" t="str">
        <f>IFERROR(__xludf.DUMMYFUNCTION("""COMPUTED_VALUE"""),"Preventive")</f>
        <v>Preventive</v>
      </c>
      <c r="I786" s="3" t="str">
        <f>IFERROR(__xludf.DUMMYFUNCTION("""COMPUTED_VALUE"""),"MCB trip/Power upnormal")</f>
        <v>MCB trip/Power upnormal</v>
      </c>
      <c r="J786" s="3" t="str">
        <f>IFERROR(__xludf.DUMMYFUNCTION("""COMPUTED_VALUE"""),"On Progress")</f>
        <v>On Progress</v>
      </c>
      <c r="K786" s="27">
        <f>IFERROR(__xludf.DUMMYFUNCTION("""COMPUTED_VALUE"""),46036.0)</f>
        <v>46036</v>
      </c>
      <c r="L786" s="27">
        <f>IFERROR(__xludf.DUMMYFUNCTION("""COMPUTED_VALUE"""),46036.0)</f>
        <v>46036</v>
      </c>
      <c r="M786" s="3" t="str">
        <f>IFERROR(__xludf.DUMMYFUNCTION("""COMPUTED_VALUE"""),"Pending")</f>
        <v>Pending</v>
      </c>
      <c r="N786" s="3"/>
      <c r="O786" s="3" t="str">
        <f>IFERROR(VLOOKUP(C786,Sheet4!A786:F1573,6,0),"")</f>
        <v/>
      </c>
      <c r="Q786" s="2" t="str">
        <f t="shared" si="1"/>
        <v>14</v>
      </c>
    </row>
    <row r="787">
      <c r="A787" s="3" t="str">
        <f>IFERROR(__xludf.DUMMYFUNCTION("""COMPUTED_VALUE"""),"PM")</f>
        <v>PM</v>
      </c>
      <c r="B787" s="3" t="str">
        <f>IFERROR(__xludf.DUMMYFUNCTION("""COMPUTED_VALUE"""),"P2")</f>
        <v>P2</v>
      </c>
      <c r="C787" s="3" t="str">
        <f>IFERROR(__xludf.DUMMYFUNCTION("""COMPUTED_VALUE"""),"BNT007")</f>
        <v>BNT007</v>
      </c>
      <c r="D787" s="3" t="str">
        <f>IFERROR(__xludf.DUMMYFUNCTION("""COMPUTED_VALUE"""),"Trisno Susanto")</f>
        <v>Trisno Susanto</v>
      </c>
      <c r="E787" s="3" t="str">
        <f>IFERROR(__xludf.DUMMYFUNCTION("""COMPUTED_VALUE"""),"PM")</f>
        <v>PM</v>
      </c>
      <c r="F787" s="3" t="str">
        <f>IFERROR(__xludf.DUMMYFUNCTION("""COMPUTED_VALUE"""),"Winda Sokenda")</f>
        <v>Winda Sokenda</v>
      </c>
      <c r="G787" s="3" t="str">
        <f>IFERROR(__xludf.DUMMYFUNCTION("""COMPUTED_VALUE"""),"Barito Raya")</f>
        <v>Barito Raya</v>
      </c>
      <c r="H787" s="3" t="str">
        <f>IFERROR(__xludf.DUMMYFUNCTION("""COMPUTED_VALUE"""),"Preventive")</f>
        <v>Preventive</v>
      </c>
      <c r="I787" s="3" t="str">
        <f>IFERROR(__xludf.DUMMYFUNCTION("""COMPUTED_VALUE"""),"Preventive Maintenance")</f>
        <v>Preventive Maintenance</v>
      </c>
      <c r="J787" s="3" t="str">
        <f>IFERROR(__xludf.DUMMYFUNCTION("""COMPUTED_VALUE"""),"On Progress")</f>
        <v>On Progress</v>
      </c>
      <c r="K787" s="27">
        <f>IFERROR(__xludf.DUMMYFUNCTION("""COMPUTED_VALUE"""),46036.0)</f>
        <v>46036</v>
      </c>
      <c r="L787" s="27">
        <f>IFERROR(__xludf.DUMMYFUNCTION("""COMPUTED_VALUE"""),46036.0)</f>
        <v>46036</v>
      </c>
      <c r="M787" s="3" t="str">
        <f>IFERROR(__xludf.DUMMYFUNCTION("""COMPUTED_VALUE"""),"Done")</f>
        <v>Done</v>
      </c>
      <c r="N787" s="3"/>
      <c r="O787" s="3" t="str">
        <f>IFERROR(VLOOKUP(C787,Sheet4!A787:F1574,6,0),"")</f>
        <v/>
      </c>
      <c r="Q787" s="2" t="str">
        <f t="shared" si="1"/>
        <v>14</v>
      </c>
    </row>
    <row r="788">
      <c r="A788" s="3" t="str">
        <f>IFERROR(__xludf.DUMMYFUNCTION("""COMPUTED_VALUE"""),"PM")</f>
        <v>PM</v>
      </c>
      <c r="B788" s="3" t="str">
        <f>IFERROR(__xludf.DUMMYFUNCTION("""COMPUTED_VALUE"""),"P2")</f>
        <v>P2</v>
      </c>
      <c r="C788" s="3" t="str">
        <f>IFERROR(__xludf.DUMMYFUNCTION("""COMPUTED_VALUE"""),"BNT007")</f>
        <v>BNT007</v>
      </c>
      <c r="D788" s="3" t="str">
        <f>IFERROR(__xludf.DUMMYFUNCTION("""COMPUTED_VALUE"""),"Khilal dawai katiri")</f>
        <v>Khilal dawai katiri</v>
      </c>
      <c r="E788" s="3" t="str">
        <f>IFERROR(__xludf.DUMMYFUNCTION("""COMPUTED_VALUE"""),"MBP")</f>
        <v>MBP</v>
      </c>
      <c r="F788" s="3" t="str">
        <f>IFERROR(__xludf.DUMMYFUNCTION("""COMPUTED_VALUE"""),"Winda Sokenda")</f>
        <v>Winda Sokenda</v>
      </c>
      <c r="G788" s="3" t="str">
        <f>IFERROR(__xludf.DUMMYFUNCTION("""COMPUTED_VALUE"""),"Barito Raya")</f>
        <v>Barito Raya</v>
      </c>
      <c r="H788" s="3" t="str">
        <f>IFERROR(__xludf.DUMMYFUNCTION("""COMPUTED_VALUE"""),"Preventive")</f>
        <v>Preventive</v>
      </c>
      <c r="I788" s="3" t="str">
        <f>IFERROR(__xludf.DUMMYFUNCTION("""COMPUTED_VALUE"""),"Preventive Maintenance")</f>
        <v>Preventive Maintenance</v>
      </c>
      <c r="J788" s="3" t="str">
        <f>IFERROR(__xludf.DUMMYFUNCTION("""COMPUTED_VALUE"""),"On Progress")</f>
        <v>On Progress</v>
      </c>
      <c r="K788" s="27">
        <f>IFERROR(__xludf.DUMMYFUNCTION("""COMPUTED_VALUE"""),46036.0)</f>
        <v>46036</v>
      </c>
      <c r="L788" s="27">
        <f>IFERROR(__xludf.DUMMYFUNCTION("""COMPUTED_VALUE"""),46036.0)</f>
        <v>46036</v>
      </c>
      <c r="M788" s="3" t="str">
        <f>IFERROR(__xludf.DUMMYFUNCTION("""COMPUTED_VALUE"""),"Done")</f>
        <v>Done</v>
      </c>
      <c r="N788" s="3"/>
      <c r="O788" s="3" t="str">
        <f>IFERROR(VLOOKUP(C788,Sheet4!A788:F1575,6,0),"")</f>
        <v/>
      </c>
      <c r="Q788" s="2" t="str">
        <f t="shared" si="1"/>
        <v>14</v>
      </c>
    </row>
    <row r="789">
      <c r="A789" s="3" t="str">
        <f>IFERROR(__xludf.DUMMYFUNCTION("""COMPUTED_VALUE"""),"PM")</f>
        <v>PM</v>
      </c>
      <c r="B789" s="3" t="str">
        <f>IFERROR(__xludf.DUMMYFUNCTION("""COMPUTED_VALUE"""),"P2")</f>
        <v>P2</v>
      </c>
      <c r="C789" s="3" t="str">
        <f>IFERROR(__xludf.DUMMYFUNCTION("""COMPUTED_VALUE"""),"MTW005")</f>
        <v>MTW005</v>
      </c>
      <c r="D789" s="3" t="str">
        <f>IFERROR(__xludf.DUMMYFUNCTION("""COMPUTED_VALUE"""),"Riko setiadi")</f>
        <v>Riko setiadi</v>
      </c>
      <c r="E789" s="3" t="str">
        <f>IFERROR(__xludf.DUMMYFUNCTION("""COMPUTED_VALUE"""),"PM")</f>
        <v>PM</v>
      </c>
      <c r="F789" s="3" t="str">
        <f>IFERROR(__xludf.DUMMYFUNCTION("""COMPUTED_VALUE"""),"Winda Sokenda")</f>
        <v>Winda Sokenda</v>
      </c>
      <c r="G789" s="3" t="str">
        <f>IFERROR(__xludf.DUMMYFUNCTION("""COMPUTED_VALUE"""),"Barito Raya")</f>
        <v>Barito Raya</v>
      </c>
      <c r="H789" s="3" t="str">
        <f>IFERROR(__xludf.DUMMYFUNCTION("""COMPUTED_VALUE"""),"Preventive")</f>
        <v>Preventive</v>
      </c>
      <c r="I789" s="3" t="str">
        <f>IFERROR(__xludf.DUMMYFUNCTION("""COMPUTED_VALUE"""),"Preventive Maintenance")</f>
        <v>Preventive Maintenance</v>
      </c>
      <c r="J789" s="3" t="str">
        <f>IFERROR(__xludf.DUMMYFUNCTION("""COMPUTED_VALUE"""),"On Progress")</f>
        <v>On Progress</v>
      </c>
      <c r="K789" s="27">
        <f>IFERROR(__xludf.DUMMYFUNCTION("""COMPUTED_VALUE"""),46036.0)</f>
        <v>46036</v>
      </c>
      <c r="L789" s="27">
        <f>IFERROR(__xludf.DUMMYFUNCTION("""COMPUTED_VALUE"""),46036.0)</f>
        <v>46036</v>
      </c>
      <c r="M789" s="3" t="str">
        <f>IFERROR(__xludf.DUMMYFUNCTION("""COMPUTED_VALUE"""),"Done")</f>
        <v>Done</v>
      </c>
      <c r="N789" s="3"/>
      <c r="O789" s="3" t="str">
        <f>IFERROR(VLOOKUP(C789,Sheet4!A789:F1576,6,0),"")</f>
        <v/>
      </c>
      <c r="Q789" s="2" t="str">
        <f t="shared" si="1"/>
        <v>14</v>
      </c>
    </row>
    <row r="790">
      <c r="A790" s="3" t="str">
        <f>IFERROR(__xludf.DUMMYFUNCTION("""COMPUTED_VALUE"""),"Pengecekan Power")</f>
        <v>Pengecekan Power</v>
      </c>
      <c r="B790" s="3" t="str">
        <f>IFERROR(__xludf.DUMMYFUNCTION("""COMPUTED_VALUE"""),"P1")</f>
        <v>P1</v>
      </c>
      <c r="C790" s="3" t="str">
        <f>IFERROR(__xludf.DUMMYFUNCTION("""COMPUTED_VALUE"""),"KKP072")</f>
        <v>KKP072</v>
      </c>
      <c r="D790" s="3" t="str">
        <f>IFERROR(__xludf.DUMMYFUNCTION("""COMPUTED_VALUE"""),"Alfi Syahri")</f>
        <v>Alfi Syahri</v>
      </c>
      <c r="E790" s="3" t="str">
        <f>IFERROR(__xludf.DUMMYFUNCTION("""COMPUTED_VALUE"""),"CME")</f>
        <v>CME</v>
      </c>
      <c r="F790" s="3" t="str">
        <f>IFERROR(__xludf.DUMMYFUNCTION("""COMPUTED_VALUE"""),"Winda Sokenda")</f>
        <v>Winda Sokenda</v>
      </c>
      <c r="G790" s="3" t="str">
        <f>IFERROR(__xludf.DUMMYFUNCTION("""COMPUTED_VALUE"""),"Barito Raya")</f>
        <v>Barito Raya</v>
      </c>
      <c r="H790" s="3" t="str">
        <f>IFERROR(__xludf.DUMMYFUNCTION("""COMPUTED_VALUE"""),"Preventive")</f>
        <v>Preventive</v>
      </c>
      <c r="I790" s="3" t="str">
        <f>IFERROR(__xludf.DUMMYFUNCTION("""COMPUTED_VALUE"""),"MCB trip/Power upnormal")</f>
        <v>MCB trip/Power upnormal</v>
      </c>
      <c r="J790" s="3" t="str">
        <f>IFERROR(__xludf.DUMMYFUNCTION("""COMPUTED_VALUE"""),"On Progress")</f>
        <v>On Progress</v>
      </c>
      <c r="K790" s="27">
        <f>IFERROR(__xludf.DUMMYFUNCTION("""COMPUTED_VALUE"""),46036.0)</f>
        <v>46036</v>
      </c>
      <c r="L790" s="27">
        <f>IFERROR(__xludf.DUMMYFUNCTION("""COMPUTED_VALUE"""),46036.0)</f>
        <v>46036</v>
      </c>
      <c r="M790" s="3" t="str">
        <f>IFERROR(__xludf.DUMMYFUNCTION("""COMPUTED_VALUE"""),"Pending")</f>
        <v>Pending</v>
      </c>
      <c r="N790" s="3" t="str">
        <f>IFERROR(__xludf.DUMMYFUNCTION("""COMPUTED_VALUE"""),"Waiting MCB 125A")</f>
        <v>Waiting MCB 125A</v>
      </c>
      <c r="O790" s="3" t="str">
        <f>IFERROR(VLOOKUP(C790,Sheet4!A790:F1577,6,0),"")</f>
        <v/>
      </c>
      <c r="Q790" s="2" t="str">
        <f t="shared" si="1"/>
        <v>14</v>
      </c>
    </row>
    <row r="791">
      <c r="A791" s="3" t="str">
        <f>IFERROR(__xludf.DUMMYFUNCTION("""COMPUTED_VALUE"""),"Pengecekan battrey")</f>
        <v>Pengecekan battrey</v>
      </c>
      <c r="B791" s="3" t="str">
        <f>IFERROR(__xludf.DUMMYFUNCTION("""COMPUTED_VALUE"""),"P2")</f>
        <v>P2</v>
      </c>
      <c r="C791" s="3" t="str">
        <f>IFERROR(__xludf.DUMMYFUNCTION("""COMPUTED_VALUE"""),"KKP050")</f>
        <v>KKP050</v>
      </c>
      <c r="D791" s="3" t="str">
        <f>IFERROR(__xludf.DUMMYFUNCTION("""COMPUTED_VALUE"""),"Sahrul Saputra")</f>
        <v>Sahrul Saputra</v>
      </c>
      <c r="E791" s="3" t="str">
        <f>IFERROR(__xludf.DUMMYFUNCTION("""COMPUTED_VALUE"""),"TE")</f>
        <v>TE</v>
      </c>
      <c r="F791" s="3" t="str">
        <f>IFERROR(__xludf.DUMMYFUNCTION("""COMPUTED_VALUE"""),"Winda Sokenda")</f>
        <v>Winda Sokenda</v>
      </c>
      <c r="G791" s="3" t="str">
        <f>IFERROR(__xludf.DUMMYFUNCTION("""COMPUTED_VALUE"""),"Barito Raya")</f>
        <v>Barito Raya</v>
      </c>
      <c r="H791" s="3" t="str">
        <f>IFERROR(__xludf.DUMMYFUNCTION("""COMPUTED_VALUE"""),"Preventive")</f>
        <v>Preventive</v>
      </c>
      <c r="I791" s="3" t="str">
        <f>IFERROR(__xludf.DUMMYFUNCTION("""COMPUTED_VALUE"""),"Pengukuran dan pengambilan data log serta input Gdoc BBT")</f>
        <v>Pengukuran dan pengambilan data log serta input Gdoc BBT</v>
      </c>
      <c r="J791" s="3" t="str">
        <f>IFERROR(__xludf.DUMMYFUNCTION("""COMPUTED_VALUE"""),"On Progress")</f>
        <v>On Progress</v>
      </c>
      <c r="K791" s="27">
        <f>IFERROR(__xludf.DUMMYFUNCTION("""COMPUTED_VALUE"""),46308.0)</f>
        <v>46308</v>
      </c>
      <c r="L791" s="27">
        <f>IFERROR(__xludf.DUMMYFUNCTION("""COMPUTED_VALUE"""),46308.0)</f>
        <v>46308</v>
      </c>
      <c r="M791" s="3" t="str">
        <f>IFERROR(__xludf.DUMMYFUNCTION("""COMPUTED_VALUE"""),"Waiting Update")</f>
        <v>Waiting Update</v>
      </c>
      <c r="N791" s="3"/>
      <c r="O791" s="3" t="str">
        <f>IFERROR(VLOOKUP(C791,Sheet4!A791:F1578,6,0),"")</f>
        <v/>
      </c>
      <c r="Q791" s="2" t="str">
        <f t="shared" si="1"/>
        <v>13</v>
      </c>
    </row>
    <row r="792">
      <c r="A792" s="3" t="str">
        <f>IFERROR(__xludf.DUMMYFUNCTION("""COMPUTED_VALUE"""),"Pengecekan Power")</f>
        <v>Pengecekan Power</v>
      </c>
      <c r="B792" s="3" t="str">
        <f>IFERROR(__xludf.DUMMYFUNCTION("""COMPUTED_VALUE"""),"P1")</f>
        <v>P1</v>
      </c>
      <c r="C792" s="3" t="str">
        <f>IFERROR(__xludf.DUMMYFUNCTION("""COMPUTED_VALUE"""),"PRC200 (backup)")</f>
        <v>PRC200 (backup)</v>
      </c>
      <c r="D792" s="3" t="str">
        <f>IFERROR(__xludf.DUMMYFUNCTION("""COMPUTED_VALUE"""),"Ahmad Muzakir")</f>
        <v>Ahmad Muzakir</v>
      </c>
      <c r="E792" s="3" t="str">
        <f>IFERROR(__xludf.DUMMYFUNCTION("""COMPUTED_VALUE"""),"MBP")</f>
        <v>MBP</v>
      </c>
      <c r="F792" s="3" t="str">
        <f>IFERROR(__xludf.DUMMYFUNCTION("""COMPUTED_VALUE"""),"Winda Sokenda")</f>
        <v>Winda Sokenda</v>
      </c>
      <c r="G792" s="3" t="str">
        <f>IFERROR(__xludf.DUMMYFUNCTION("""COMPUTED_VALUE"""),"Barito Raya")</f>
        <v>Barito Raya</v>
      </c>
      <c r="H792" s="3" t="str">
        <f>IFERROR(__xludf.DUMMYFUNCTION("""COMPUTED_VALUE"""),"Preventive")</f>
        <v>Preventive</v>
      </c>
      <c r="I792" s="3" t="str">
        <f>IFERROR(__xludf.DUMMYFUNCTION("""COMPUTED_VALUE"""),"MCB trip/Power upnormal")</f>
        <v>MCB trip/Power upnormal</v>
      </c>
      <c r="J792" s="3" t="str">
        <f>IFERROR(__xludf.DUMMYFUNCTION("""COMPUTED_VALUE"""),"On Progress")</f>
        <v>On Progress</v>
      </c>
      <c r="K792" s="27">
        <f>IFERROR(__xludf.DUMMYFUNCTION("""COMPUTED_VALUE"""),46308.0)</f>
        <v>46308</v>
      </c>
      <c r="L792" s="27">
        <f>IFERROR(__xludf.DUMMYFUNCTION("""COMPUTED_VALUE"""),46308.0)</f>
        <v>46308</v>
      </c>
      <c r="M792" s="3" t="str">
        <f>IFERROR(__xludf.DUMMYFUNCTION("""COMPUTED_VALUE"""),"Waiting Update")</f>
        <v>Waiting Update</v>
      </c>
      <c r="N792" s="3" t="str">
        <f>IFERROR(__xludf.DUMMYFUNCTION("""COMPUTED_VALUE"""),"Standbay Pemadaman")</f>
        <v>Standbay Pemadaman</v>
      </c>
      <c r="O792" s="3" t="str">
        <f>IFERROR(VLOOKUP(C792,Sheet4!A792:F1579,6,0),"")</f>
        <v/>
      </c>
      <c r="Q792" s="2" t="str">
        <f t="shared" si="1"/>
        <v>13</v>
      </c>
    </row>
    <row r="793">
      <c r="A793" s="3" t="str">
        <f>IFERROR(__xludf.DUMMYFUNCTION("""COMPUTED_VALUE"""),"Pengecekan Power")</f>
        <v>Pengecekan Power</v>
      </c>
      <c r="B793" s="3" t="str">
        <f>IFERROR(__xludf.DUMMYFUNCTION("""COMPUTED_VALUE"""),"P1")</f>
        <v>P1</v>
      </c>
      <c r="C793" s="3" t="str">
        <f>IFERROR(__xludf.DUMMYFUNCTION("""COMPUTED_VALUE"""),"TML005 (Backup)")</f>
        <v>TML005 (Backup)</v>
      </c>
      <c r="D793" s="3" t="str">
        <f>IFERROR(__xludf.DUMMYFUNCTION("""COMPUTED_VALUE"""),"Harun Nurasyid")</f>
        <v>Harun Nurasyid</v>
      </c>
      <c r="E793" s="3" t="str">
        <f>IFERROR(__xludf.DUMMYFUNCTION("""COMPUTED_VALUE"""),"CME")</f>
        <v>CME</v>
      </c>
      <c r="F793" s="3" t="str">
        <f>IFERROR(__xludf.DUMMYFUNCTION("""COMPUTED_VALUE"""),"Winda Sokenda")</f>
        <v>Winda Sokenda</v>
      </c>
      <c r="G793" s="3" t="str">
        <f>IFERROR(__xludf.DUMMYFUNCTION("""COMPUTED_VALUE"""),"Barito Raya")</f>
        <v>Barito Raya</v>
      </c>
      <c r="H793" s="3" t="str">
        <f>IFERROR(__xludf.DUMMYFUNCTION("""COMPUTED_VALUE"""),"Preventive")</f>
        <v>Preventive</v>
      </c>
      <c r="I793" s="3" t="str">
        <f>IFERROR(__xludf.DUMMYFUNCTION("""COMPUTED_VALUE"""),"MCB trip/Power upnormal")</f>
        <v>MCB trip/Power upnormal</v>
      </c>
      <c r="J793" s="3" t="str">
        <f>IFERROR(__xludf.DUMMYFUNCTION("""COMPUTED_VALUE"""),"On Progress")</f>
        <v>On Progress</v>
      </c>
      <c r="K793" s="27">
        <f>IFERROR(__xludf.DUMMYFUNCTION("""COMPUTED_VALUE"""),46308.0)</f>
        <v>46308</v>
      </c>
      <c r="L793" s="27">
        <f>IFERROR(__xludf.DUMMYFUNCTION("""COMPUTED_VALUE"""),46308.0)</f>
        <v>46308</v>
      </c>
      <c r="M793" s="3" t="str">
        <f>IFERROR(__xludf.DUMMYFUNCTION("""COMPUTED_VALUE"""),"Waiting Update")</f>
        <v>Waiting Update</v>
      </c>
      <c r="N793" s="3" t="str">
        <f>IFERROR(__xludf.DUMMYFUNCTION("""COMPUTED_VALUE"""),"Standbay Pemadaman")</f>
        <v>Standbay Pemadaman</v>
      </c>
      <c r="O793" s="3" t="str">
        <f>IFERROR(VLOOKUP(C793,Sheet4!A793:F1580,6,0),"")</f>
        <v/>
      </c>
      <c r="Q793" s="2" t="str">
        <f t="shared" si="1"/>
        <v>13</v>
      </c>
    </row>
    <row r="794">
      <c r="A794" s="3" t="str">
        <f>IFERROR(__xludf.DUMMYFUNCTION("""COMPUTED_VALUE"""),"Pengecekan Power")</f>
        <v>Pengecekan Power</v>
      </c>
      <c r="B794" s="3" t="str">
        <f>IFERROR(__xludf.DUMMYFUNCTION("""COMPUTED_VALUE"""),"P1")</f>
        <v>P1</v>
      </c>
      <c r="C794" s="3" t="str">
        <f>IFERROR(__xludf.DUMMYFUNCTION("""COMPUTED_VALUE"""),"KKP072 (backup)")</f>
        <v>KKP072 (backup)</v>
      </c>
      <c r="D794" s="3" t="str">
        <f>IFERROR(__xludf.DUMMYFUNCTION("""COMPUTED_VALUE"""),"Nurhayat")</f>
        <v>Nurhayat</v>
      </c>
      <c r="E794" s="3" t="str">
        <f>IFERROR(__xludf.DUMMYFUNCTION("""COMPUTED_VALUE"""),"MBP")</f>
        <v>MBP</v>
      </c>
      <c r="F794" s="3" t="str">
        <f>IFERROR(__xludf.DUMMYFUNCTION("""COMPUTED_VALUE"""),"Winda Sokenda")</f>
        <v>Winda Sokenda</v>
      </c>
      <c r="G794" s="3" t="str">
        <f>IFERROR(__xludf.DUMMYFUNCTION("""COMPUTED_VALUE"""),"Barito Raya")</f>
        <v>Barito Raya</v>
      </c>
      <c r="H794" s="3" t="str">
        <f>IFERROR(__xludf.DUMMYFUNCTION("""COMPUTED_VALUE"""),"Preventive")</f>
        <v>Preventive</v>
      </c>
      <c r="I794" s="3" t="str">
        <f>IFERROR(__xludf.DUMMYFUNCTION("""COMPUTED_VALUE"""),"MCB trip/Power upnormal")</f>
        <v>MCB trip/Power upnormal</v>
      </c>
      <c r="J794" s="3" t="str">
        <f>IFERROR(__xludf.DUMMYFUNCTION("""COMPUTED_VALUE"""),"On Progress")</f>
        <v>On Progress</v>
      </c>
      <c r="K794" s="27">
        <f>IFERROR(__xludf.DUMMYFUNCTION("""COMPUTED_VALUE"""),46308.0)</f>
        <v>46308</v>
      </c>
      <c r="L794" s="27">
        <f>IFERROR(__xludf.DUMMYFUNCTION("""COMPUTED_VALUE"""),46308.0)</f>
        <v>46308</v>
      </c>
      <c r="M794" s="3" t="str">
        <f>IFERROR(__xludf.DUMMYFUNCTION("""COMPUTED_VALUE"""),"Waiting Update")</f>
        <v>Waiting Update</v>
      </c>
      <c r="N794" s="3" t="str">
        <f>IFERROR(__xludf.DUMMYFUNCTION("""COMPUTED_VALUE"""),"Standbay Pemadaman")</f>
        <v>Standbay Pemadaman</v>
      </c>
      <c r="O794" s="3" t="str">
        <f>IFERROR(VLOOKUP(C794,Sheet4!A794:F1581,6,0),"")</f>
        <v/>
      </c>
      <c r="Q794" s="2" t="str">
        <f t="shared" si="1"/>
        <v>13</v>
      </c>
    </row>
    <row r="795">
      <c r="A795" s="3" t="str">
        <f>IFERROR(__xludf.DUMMYFUNCTION("""COMPUTED_VALUE"""),"Pengecekan Power")</f>
        <v>Pengecekan Power</v>
      </c>
      <c r="B795" s="3" t="str">
        <f>IFERROR(__xludf.DUMMYFUNCTION("""COMPUTED_VALUE"""),"P1")</f>
        <v>P1</v>
      </c>
      <c r="C795" s="3" t="str">
        <f>IFERROR(__xludf.DUMMYFUNCTION("""COMPUTED_VALUE"""),"KKP005 (backup)")</f>
        <v>KKP005 (backup)</v>
      </c>
      <c r="D795" s="3" t="str">
        <f>IFERROR(__xludf.DUMMYFUNCTION("""COMPUTED_VALUE"""),"Pujianto")</f>
        <v>Pujianto</v>
      </c>
      <c r="E795" s="3" t="str">
        <f>IFERROR(__xludf.DUMMYFUNCTION("""COMPUTED_VALUE"""),"MBP")</f>
        <v>MBP</v>
      </c>
      <c r="F795" s="3" t="str">
        <f>IFERROR(__xludf.DUMMYFUNCTION("""COMPUTED_VALUE"""),"Winda Sokenda")</f>
        <v>Winda Sokenda</v>
      </c>
      <c r="G795" s="3" t="str">
        <f>IFERROR(__xludf.DUMMYFUNCTION("""COMPUTED_VALUE"""),"Barito Raya")</f>
        <v>Barito Raya</v>
      </c>
      <c r="H795" s="3" t="str">
        <f>IFERROR(__xludf.DUMMYFUNCTION("""COMPUTED_VALUE"""),"Preventive")</f>
        <v>Preventive</v>
      </c>
      <c r="I795" s="3" t="str">
        <f>IFERROR(__xludf.DUMMYFUNCTION("""COMPUTED_VALUE"""),"MCB trip/Power upnormal")</f>
        <v>MCB trip/Power upnormal</v>
      </c>
      <c r="J795" s="3" t="str">
        <f>IFERROR(__xludf.DUMMYFUNCTION("""COMPUTED_VALUE"""),"On Progress")</f>
        <v>On Progress</v>
      </c>
      <c r="K795" s="27">
        <f>IFERROR(__xludf.DUMMYFUNCTION("""COMPUTED_VALUE"""),46308.0)</f>
        <v>46308</v>
      </c>
      <c r="L795" s="27">
        <f>IFERROR(__xludf.DUMMYFUNCTION("""COMPUTED_VALUE"""),46308.0)</f>
        <v>46308</v>
      </c>
      <c r="M795" s="3" t="str">
        <f>IFERROR(__xludf.DUMMYFUNCTION("""COMPUTED_VALUE"""),"Waiting Update")</f>
        <v>Waiting Update</v>
      </c>
      <c r="N795" s="3" t="str">
        <f>IFERROR(__xludf.DUMMYFUNCTION("""COMPUTED_VALUE"""),"Standbay Pemadaman")</f>
        <v>Standbay Pemadaman</v>
      </c>
      <c r="O795" s="3" t="str">
        <f>IFERROR(VLOOKUP(C795,Sheet4!A795:F1582,6,0),"")</f>
        <v/>
      </c>
      <c r="Q795" s="2" t="str">
        <f t="shared" si="1"/>
        <v>13</v>
      </c>
    </row>
    <row r="796">
      <c r="A796" s="3" t="str">
        <f>IFERROR(__xludf.DUMMYFUNCTION("""COMPUTED_VALUE"""),"Pengecekan Power")</f>
        <v>Pengecekan Power</v>
      </c>
      <c r="B796" s="3" t="str">
        <f>IFERROR(__xludf.DUMMYFUNCTION("""COMPUTED_VALUE"""),"P1")</f>
        <v>P1</v>
      </c>
      <c r="C796" s="3" t="str">
        <f>IFERROR(__xludf.DUMMYFUNCTION("""COMPUTED_VALUE"""),"KKP065 (Backup)")</f>
        <v>KKP065 (Backup)</v>
      </c>
      <c r="D796" s="3" t="str">
        <f>IFERROR(__xludf.DUMMYFUNCTION("""COMPUTED_VALUE"""),"Alfi Syahri")</f>
        <v>Alfi Syahri</v>
      </c>
      <c r="E796" s="3" t="str">
        <f>IFERROR(__xludf.DUMMYFUNCTION("""COMPUTED_VALUE"""),"CME")</f>
        <v>CME</v>
      </c>
      <c r="F796" s="3" t="str">
        <f>IFERROR(__xludf.DUMMYFUNCTION("""COMPUTED_VALUE"""),"Winda Sokenda")</f>
        <v>Winda Sokenda</v>
      </c>
      <c r="G796" s="3" t="str">
        <f>IFERROR(__xludf.DUMMYFUNCTION("""COMPUTED_VALUE"""),"Barito Raya")</f>
        <v>Barito Raya</v>
      </c>
      <c r="H796" s="3" t="str">
        <f>IFERROR(__xludf.DUMMYFUNCTION("""COMPUTED_VALUE"""),"Preventive")</f>
        <v>Preventive</v>
      </c>
      <c r="I796" s="3" t="str">
        <f>IFERROR(__xludf.DUMMYFUNCTION("""COMPUTED_VALUE"""),"MCB trip/Power upnormal")</f>
        <v>MCB trip/Power upnormal</v>
      </c>
      <c r="J796" s="3" t="str">
        <f>IFERROR(__xludf.DUMMYFUNCTION("""COMPUTED_VALUE"""),"On Progress")</f>
        <v>On Progress</v>
      </c>
      <c r="K796" s="27">
        <f>IFERROR(__xludf.DUMMYFUNCTION("""COMPUTED_VALUE"""),46308.0)</f>
        <v>46308</v>
      </c>
      <c r="L796" s="27">
        <f>IFERROR(__xludf.DUMMYFUNCTION("""COMPUTED_VALUE"""),46308.0)</f>
        <v>46308</v>
      </c>
      <c r="M796" s="3" t="str">
        <f>IFERROR(__xludf.DUMMYFUNCTION("""COMPUTED_VALUE"""),"Waiting Update")</f>
        <v>Waiting Update</v>
      </c>
      <c r="N796" s="3" t="str">
        <f>IFERROR(__xludf.DUMMYFUNCTION("""COMPUTED_VALUE"""),"Standbay Pemadaman")</f>
        <v>Standbay Pemadaman</v>
      </c>
      <c r="O796" s="3" t="str">
        <f>IFERROR(VLOOKUP(C796,Sheet4!A796:F1583,6,0),"")</f>
        <v/>
      </c>
      <c r="Q796" s="2" t="str">
        <f t="shared" si="1"/>
        <v>13</v>
      </c>
    </row>
    <row r="797">
      <c r="A797" s="3" t="str">
        <f>IFERROR(__xludf.DUMMYFUNCTION("""COMPUTED_VALUE"""),"Pengecekan Power")</f>
        <v>Pengecekan Power</v>
      </c>
      <c r="B797" s="3" t="str">
        <f>IFERROR(__xludf.DUMMYFUNCTION("""COMPUTED_VALUE"""),"P1")</f>
        <v>P1</v>
      </c>
      <c r="C797" s="3" t="str">
        <f>IFERROR(__xludf.DUMMYFUNCTION("""COMPUTED_VALUE"""),"MTW004 (Backup)")</f>
        <v>MTW004 (Backup)</v>
      </c>
      <c r="D797" s="3" t="str">
        <f>IFERROR(__xludf.DUMMYFUNCTION("""COMPUTED_VALUE"""),"Taklim")</f>
        <v>Taklim</v>
      </c>
      <c r="E797" s="3" t="str">
        <f>IFERROR(__xludf.DUMMYFUNCTION("""COMPUTED_VALUE"""),"MBP")</f>
        <v>MBP</v>
      </c>
      <c r="F797" s="3" t="str">
        <f>IFERROR(__xludf.DUMMYFUNCTION("""COMPUTED_VALUE"""),"Winda Sokenda")</f>
        <v>Winda Sokenda</v>
      </c>
      <c r="G797" s="3" t="str">
        <f>IFERROR(__xludf.DUMMYFUNCTION("""COMPUTED_VALUE"""),"Barito Raya")</f>
        <v>Barito Raya</v>
      </c>
      <c r="H797" s="3" t="str">
        <f>IFERROR(__xludf.DUMMYFUNCTION("""COMPUTED_VALUE"""),"Preventive")</f>
        <v>Preventive</v>
      </c>
      <c r="I797" s="3" t="str">
        <f>IFERROR(__xludf.DUMMYFUNCTION("""COMPUTED_VALUE"""),"MCB trip/Power upnormal")</f>
        <v>MCB trip/Power upnormal</v>
      </c>
      <c r="J797" s="3" t="str">
        <f>IFERROR(__xludf.DUMMYFUNCTION("""COMPUTED_VALUE"""),"On Progress")</f>
        <v>On Progress</v>
      </c>
      <c r="K797" s="27">
        <f>IFERROR(__xludf.DUMMYFUNCTION("""COMPUTED_VALUE"""),46308.0)</f>
        <v>46308</v>
      </c>
      <c r="L797" s="27">
        <f>IFERROR(__xludf.DUMMYFUNCTION("""COMPUTED_VALUE"""),46308.0)</f>
        <v>46308</v>
      </c>
      <c r="M797" s="3" t="str">
        <f>IFERROR(__xludf.DUMMYFUNCTION("""COMPUTED_VALUE"""),"Waiting Update")</f>
        <v>Waiting Update</v>
      </c>
      <c r="N797" s="3" t="str">
        <f>IFERROR(__xludf.DUMMYFUNCTION("""COMPUTED_VALUE"""),"Standbay Pemadaman")</f>
        <v>Standbay Pemadaman</v>
      </c>
      <c r="O797" s="3" t="str">
        <f>IFERROR(VLOOKUP(C797,Sheet4!A797:F1584,6,0),"")</f>
        <v/>
      </c>
      <c r="Q797" s="2" t="str">
        <f t="shared" si="1"/>
        <v>13</v>
      </c>
    </row>
    <row r="798">
      <c r="A798" s="3" t="str">
        <f>IFERROR(__xludf.DUMMYFUNCTION("""COMPUTED_VALUE"""),"PM")</f>
        <v>PM</v>
      </c>
      <c r="B798" s="3" t="str">
        <f>IFERROR(__xludf.DUMMYFUNCTION("""COMPUTED_VALUE"""),"P2")</f>
        <v>P2</v>
      </c>
      <c r="C798" s="3" t="str">
        <f>IFERROR(__xludf.DUMMYFUNCTION("""COMPUTED_VALUE"""),"TML026")</f>
        <v>TML026</v>
      </c>
      <c r="D798" s="3" t="str">
        <f>IFERROR(__xludf.DUMMYFUNCTION("""COMPUTED_VALUE"""),"Trisno Susanto")</f>
        <v>Trisno Susanto</v>
      </c>
      <c r="E798" s="3" t="str">
        <f>IFERROR(__xludf.DUMMYFUNCTION("""COMPUTED_VALUE"""),"CME")</f>
        <v>CME</v>
      </c>
      <c r="F798" s="3" t="str">
        <f>IFERROR(__xludf.DUMMYFUNCTION("""COMPUTED_VALUE"""),"Winda Sokenda")</f>
        <v>Winda Sokenda</v>
      </c>
      <c r="G798" s="3" t="str">
        <f>IFERROR(__xludf.DUMMYFUNCTION("""COMPUTED_VALUE"""),"Barito Raya")</f>
        <v>Barito Raya</v>
      </c>
      <c r="H798" s="3" t="str">
        <f>IFERROR(__xludf.DUMMYFUNCTION("""COMPUTED_VALUE"""),"Preventive")</f>
        <v>Preventive</v>
      </c>
      <c r="I798" s="3" t="str">
        <f>IFERROR(__xludf.DUMMYFUNCTION("""COMPUTED_VALUE"""),"Preventive Maintenance")</f>
        <v>Preventive Maintenance</v>
      </c>
      <c r="J798" s="3" t="str">
        <f>IFERROR(__xludf.DUMMYFUNCTION("""COMPUTED_VALUE"""),"On Progress")</f>
        <v>On Progress</v>
      </c>
      <c r="K798" s="27">
        <f>IFERROR(__xludf.DUMMYFUNCTION("""COMPUTED_VALUE"""),46308.0)</f>
        <v>46308</v>
      </c>
      <c r="L798" s="27">
        <f>IFERROR(__xludf.DUMMYFUNCTION("""COMPUTED_VALUE"""),46308.0)</f>
        <v>46308</v>
      </c>
      <c r="M798" s="3" t="str">
        <f>IFERROR(__xludf.DUMMYFUNCTION("""COMPUTED_VALUE"""),"Waiting Update")</f>
        <v>Waiting Update</v>
      </c>
      <c r="N798" s="3"/>
      <c r="O798" s="3" t="str">
        <f>IFERROR(VLOOKUP(C798,Sheet4!A798:F1585,6,0),"")</f>
        <v/>
      </c>
      <c r="Q798" s="2" t="str">
        <f t="shared" si="1"/>
        <v>13</v>
      </c>
    </row>
    <row r="799">
      <c r="A799" s="3" t="str">
        <f>IFERROR(__xludf.DUMMYFUNCTION("""COMPUTED_VALUE"""),"PM")</f>
        <v>PM</v>
      </c>
      <c r="B799" s="3" t="str">
        <f>IFERROR(__xludf.DUMMYFUNCTION("""COMPUTED_VALUE"""),"P2")</f>
        <v>P2</v>
      </c>
      <c r="C799" s="3" t="str">
        <f>IFERROR(__xludf.DUMMYFUNCTION("""COMPUTED_VALUE"""),"TML026")</f>
        <v>TML026</v>
      </c>
      <c r="D799" s="3" t="str">
        <f>IFERROR(__xludf.DUMMYFUNCTION("""COMPUTED_VALUE"""),"Khilal dawai katiri")</f>
        <v>Khilal dawai katiri</v>
      </c>
      <c r="E799" s="3" t="str">
        <f>IFERROR(__xludf.DUMMYFUNCTION("""COMPUTED_VALUE"""),"MBP")</f>
        <v>MBP</v>
      </c>
      <c r="F799" s="3" t="str">
        <f>IFERROR(__xludf.DUMMYFUNCTION("""COMPUTED_VALUE"""),"Winda Sokenda")</f>
        <v>Winda Sokenda</v>
      </c>
      <c r="G799" s="3" t="str">
        <f>IFERROR(__xludf.DUMMYFUNCTION("""COMPUTED_VALUE"""),"Barito Raya")</f>
        <v>Barito Raya</v>
      </c>
      <c r="H799" s="3" t="str">
        <f>IFERROR(__xludf.DUMMYFUNCTION("""COMPUTED_VALUE"""),"Preventive")</f>
        <v>Preventive</v>
      </c>
      <c r="I799" s="3" t="str">
        <f>IFERROR(__xludf.DUMMYFUNCTION("""COMPUTED_VALUE"""),"Preventive Maintenance")</f>
        <v>Preventive Maintenance</v>
      </c>
      <c r="J799" s="3" t="str">
        <f>IFERROR(__xludf.DUMMYFUNCTION("""COMPUTED_VALUE"""),"On Progress")</f>
        <v>On Progress</v>
      </c>
      <c r="K799" s="27">
        <f>IFERROR(__xludf.DUMMYFUNCTION("""COMPUTED_VALUE"""),46308.0)</f>
        <v>46308</v>
      </c>
      <c r="L799" s="27">
        <f>IFERROR(__xludf.DUMMYFUNCTION("""COMPUTED_VALUE"""),46308.0)</f>
        <v>46308</v>
      </c>
      <c r="M799" s="3" t="str">
        <f>IFERROR(__xludf.DUMMYFUNCTION("""COMPUTED_VALUE"""),"Waiting Update")</f>
        <v>Waiting Update</v>
      </c>
      <c r="N799" s="3"/>
      <c r="O799" s="3" t="str">
        <f>IFERROR(VLOOKUP(C799,Sheet4!A799:F1586,6,0),"")</f>
        <v/>
      </c>
      <c r="Q799" s="2" t="str">
        <f t="shared" si="1"/>
        <v>13</v>
      </c>
    </row>
    <row r="800">
      <c r="A800" s="3" t="str">
        <f>IFERROR(__xludf.DUMMYFUNCTION("""COMPUTED_VALUE"""),"PM")</f>
        <v>PM</v>
      </c>
      <c r="B800" s="3" t="str">
        <f>IFERROR(__xludf.DUMMYFUNCTION("""COMPUTED_VALUE"""),"P3")</f>
        <v>P3</v>
      </c>
      <c r="C800" s="3" t="str">
        <f>IFERROR(__xludf.DUMMYFUNCTION("""COMPUTED_VALUE"""),"MTW")</f>
        <v>MTW</v>
      </c>
      <c r="D800" s="3" t="str">
        <f>IFERROR(__xludf.DUMMYFUNCTION("""COMPUTED_VALUE"""),"Riko setiadi")</f>
        <v>Riko setiadi</v>
      </c>
      <c r="E800" s="3" t="str">
        <f>IFERROR(__xludf.DUMMYFUNCTION("""COMPUTED_VALUE"""),"CME")</f>
        <v>CME</v>
      </c>
      <c r="F800" s="3" t="str">
        <f>IFERROR(__xludf.DUMMYFUNCTION("""COMPUTED_VALUE"""),"Winda Sokenda")</f>
        <v>Winda Sokenda</v>
      </c>
      <c r="G800" s="3" t="str">
        <f>IFERROR(__xludf.DUMMYFUNCTION("""COMPUTED_VALUE"""),"Barito Raya")</f>
        <v>Barito Raya</v>
      </c>
      <c r="H800" s="3" t="str">
        <f>IFERROR(__xludf.DUMMYFUNCTION("""COMPUTED_VALUE"""),"Preventive")</f>
        <v>Preventive</v>
      </c>
      <c r="I800" s="3" t="str">
        <f>IFERROR(__xludf.DUMMYFUNCTION("""COMPUTED_VALUE"""),"Preventive Maintenance")</f>
        <v>Preventive Maintenance</v>
      </c>
      <c r="J800" s="3" t="str">
        <f>IFERROR(__xludf.DUMMYFUNCTION("""COMPUTED_VALUE"""),"On Progress")</f>
        <v>On Progress</v>
      </c>
      <c r="K800" s="27">
        <f>IFERROR(__xludf.DUMMYFUNCTION("""COMPUTED_VALUE"""),46308.0)</f>
        <v>46308</v>
      </c>
      <c r="L800" s="27">
        <f>IFERROR(__xludf.DUMMYFUNCTION("""COMPUTED_VALUE"""),46308.0)</f>
        <v>46308</v>
      </c>
      <c r="M800" s="3" t="str">
        <f>IFERROR(__xludf.DUMMYFUNCTION("""COMPUTED_VALUE"""),"Waiting Update")</f>
        <v>Waiting Update</v>
      </c>
      <c r="N800" s="3"/>
      <c r="O800" s="3" t="str">
        <f>IFERROR(VLOOKUP(C800,Sheet4!A800:F1587,6,0),"")</f>
        <v/>
      </c>
      <c r="Q800" s="2" t="str">
        <f t="shared" si="1"/>
        <v>13</v>
      </c>
    </row>
    <row r="801">
      <c r="A801" s="3" t="str">
        <f>IFERROR(__xludf.DUMMYFUNCTION("""COMPUTED_VALUE"""),"Site Down")</f>
        <v>Site Down</v>
      </c>
      <c r="B801" s="3" t="str">
        <f>IFERROR(__xludf.DUMMYFUNCTION("""COMPUTED_VALUE"""),"P1")</f>
        <v>P1</v>
      </c>
      <c r="C801" s="3" t="str">
        <f>IFERROR(__xludf.DUMMYFUNCTION("""COMPUTED_VALUE"""),"KKP031")</f>
        <v>KKP031</v>
      </c>
      <c r="D801" s="3" t="str">
        <f>IFERROR(__xludf.DUMMYFUNCTION("""COMPUTED_VALUE"""),"Yahya Muhamad")</f>
        <v>Yahya Muhamad</v>
      </c>
      <c r="E801" s="3" t="str">
        <f>IFERROR(__xludf.DUMMYFUNCTION("""COMPUTED_VALUE"""),"TE")</f>
        <v>TE</v>
      </c>
      <c r="F801" s="3" t="str">
        <f>IFERROR(__xludf.DUMMYFUNCTION("""COMPUTED_VALUE"""),"Winda Sokenda")</f>
        <v>Winda Sokenda</v>
      </c>
      <c r="G801" s="3" t="str">
        <f>IFERROR(__xludf.DUMMYFUNCTION("""COMPUTED_VALUE"""),"Barito Raya")</f>
        <v>Barito Raya</v>
      </c>
      <c r="H801" s="3" t="str">
        <f>IFERROR(__xludf.DUMMYFUNCTION("""COMPUTED_VALUE"""),"Corrective")</f>
        <v>Corrective</v>
      </c>
      <c r="I801" s="3" t="str">
        <f>IFERROR(__xludf.DUMMYFUNCTION("""COMPUTED_VALUE"""),"Pemadaman,MCB Trip,Transmisi problem")</f>
        <v>Pemadaman,MCB Trip,Transmisi problem</v>
      </c>
      <c r="J801" s="3" t="str">
        <f>IFERROR(__xludf.DUMMYFUNCTION("""COMPUTED_VALUE"""),"On Progress")</f>
        <v>On Progress</v>
      </c>
      <c r="K801" s="27">
        <f>IFERROR(__xludf.DUMMYFUNCTION("""COMPUTED_VALUE"""),46308.0)</f>
        <v>46308</v>
      </c>
      <c r="L801" s="27">
        <f>IFERROR(__xludf.DUMMYFUNCTION("""COMPUTED_VALUE"""),46308.0)</f>
        <v>46308</v>
      </c>
      <c r="M801" s="3" t="str">
        <f>IFERROR(__xludf.DUMMYFUNCTION("""COMPUTED_VALUE"""),"Waiting Update")</f>
        <v>Waiting Update</v>
      </c>
      <c r="N801" s="3"/>
      <c r="O801" s="3" t="str">
        <f>IFERROR(VLOOKUP(C801,Sheet4!A801:F1588,6,0),"")</f>
        <v/>
      </c>
      <c r="Q801" s="2" t="str">
        <f t="shared" si="1"/>
        <v>13</v>
      </c>
    </row>
    <row r="802">
      <c r="A802" s="3"/>
      <c r="B802" s="3" t="str">
        <f>IFERROR(__xludf.DUMMYFUNCTION("""COMPUTED_VALUE"""),"")</f>
        <v/>
      </c>
      <c r="C802" s="3"/>
      <c r="D802" s="3"/>
      <c r="E802" s="3" t="str">
        <f>IFERROR(__xludf.DUMMYFUNCTION("""COMPUTED_VALUE"""),"")</f>
        <v/>
      </c>
      <c r="F802" s="3" t="str">
        <f>IFERROR(__xludf.DUMMYFUNCTION("""COMPUTED_VALUE"""),"Winda Sokenda")</f>
        <v>Winda Sokenda</v>
      </c>
      <c r="G802" s="3" t="str">
        <f>IFERROR(__xludf.DUMMYFUNCTION("""COMPUTED_VALUE"""),"Barito Raya")</f>
        <v>Barito Raya</v>
      </c>
      <c r="H802" s="3" t="str">
        <f>IFERROR(__xludf.DUMMYFUNCTION("""COMPUTED_VALUE"""),"")</f>
        <v/>
      </c>
      <c r="I802" s="3" t="str">
        <f>IFERROR(__xludf.DUMMYFUNCTION("""COMPUTED_VALUE"""),"")</f>
        <v/>
      </c>
      <c r="J802" s="3"/>
      <c r="K802" s="27"/>
      <c r="L802" s="27"/>
      <c r="M802" s="3"/>
      <c r="N802" s="3"/>
      <c r="O802" s="3" t="str">
        <f>IFERROR(VLOOKUP(C802,Sheet4!A802:F1589,6,0),"")</f>
        <v/>
      </c>
      <c r="Q802" s="2" t="str">
        <f t="shared" si="1"/>
        <v/>
      </c>
    </row>
    <row r="803">
      <c r="A803" s="3"/>
      <c r="B803" s="3" t="str">
        <f>IFERROR(__xludf.DUMMYFUNCTION("""COMPUTED_VALUE"""),"")</f>
        <v/>
      </c>
      <c r="C803" s="3"/>
      <c r="D803" s="3"/>
      <c r="E803" s="3" t="str">
        <f>IFERROR(__xludf.DUMMYFUNCTION("""COMPUTED_VALUE"""),"")</f>
        <v/>
      </c>
      <c r="F803" s="3" t="str">
        <f>IFERROR(__xludf.DUMMYFUNCTION("""COMPUTED_VALUE"""),"Winda Sokenda")</f>
        <v>Winda Sokenda</v>
      </c>
      <c r="G803" s="3" t="str">
        <f>IFERROR(__xludf.DUMMYFUNCTION("""COMPUTED_VALUE"""),"Barito Raya")</f>
        <v>Barito Raya</v>
      </c>
      <c r="H803" s="3" t="str">
        <f>IFERROR(__xludf.DUMMYFUNCTION("""COMPUTED_VALUE"""),"")</f>
        <v/>
      </c>
      <c r="I803" s="3" t="str">
        <f>IFERROR(__xludf.DUMMYFUNCTION("""COMPUTED_VALUE"""),"")</f>
        <v/>
      </c>
      <c r="J803" s="3"/>
      <c r="K803" s="27"/>
      <c r="L803" s="27"/>
      <c r="M803" s="3"/>
      <c r="N803" s="3"/>
      <c r="O803" s="3" t="str">
        <f>IFERROR(VLOOKUP(C803,Sheet4!A803:F1590,6,0),"")</f>
        <v/>
      </c>
      <c r="Q803" s="2" t="str">
        <f t="shared" si="1"/>
        <v/>
      </c>
    </row>
    <row r="804">
      <c r="A804" s="3"/>
      <c r="B804" s="3" t="str">
        <f>IFERROR(__xludf.DUMMYFUNCTION("""COMPUTED_VALUE"""),"")</f>
        <v/>
      </c>
      <c r="C804" s="3"/>
      <c r="D804" s="3"/>
      <c r="E804" s="3" t="str">
        <f>IFERROR(__xludf.DUMMYFUNCTION("""COMPUTED_VALUE"""),"")</f>
        <v/>
      </c>
      <c r="F804" s="3" t="str">
        <f>IFERROR(__xludf.DUMMYFUNCTION("""COMPUTED_VALUE"""),"Winda Sokenda")</f>
        <v>Winda Sokenda</v>
      </c>
      <c r="G804" s="3" t="str">
        <f>IFERROR(__xludf.DUMMYFUNCTION("""COMPUTED_VALUE"""),"Barito Raya")</f>
        <v>Barito Raya</v>
      </c>
      <c r="H804" s="3" t="str">
        <f>IFERROR(__xludf.DUMMYFUNCTION("""COMPUTED_VALUE"""),"")</f>
        <v/>
      </c>
      <c r="I804" s="3" t="str">
        <f>IFERROR(__xludf.DUMMYFUNCTION("""COMPUTED_VALUE"""),"")</f>
        <v/>
      </c>
      <c r="J804" s="3"/>
      <c r="K804" s="27"/>
      <c r="L804" s="27"/>
      <c r="M804" s="3"/>
      <c r="N804" s="3"/>
      <c r="O804" s="3" t="str">
        <f>IFERROR(VLOOKUP(C804,Sheet4!A804:F1591,6,0),"")</f>
        <v/>
      </c>
      <c r="Q804" s="2" t="str">
        <f t="shared" si="1"/>
        <v/>
      </c>
    </row>
    <row r="805">
      <c r="A805" s="3"/>
      <c r="B805" s="3" t="str">
        <f>IFERROR(__xludf.DUMMYFUNCTION("""COMPUTED_VALUE"""),"")</f>
        <v/>
      </c>
      <c r="C805" s="3"/>
      <c r="D805" s="3"/>
      <c r="E805" s="3" t="str">
        <f>IFERROR(__xludf.DUMMYFUNCTION("""COMPUTED_VALUE"""),"")</f>
        <v/>
      </c>
      <c r="F805" s="3" t="str">
        <f>IFERROR(__xludf.DUMMYFUNCTION("""COMPUTED_VALUE"""),"Winda Sokenda")</f>
        <v>Winda Sokenda</v>
      </c>
      <c r="G805" s="3" t="str">
        <f>IFERROR(__xludf.DUMMYFUNCTION("""COMPUTED_VALUE"""),"Barito Raya")</f>
        <v>Barito Raya</v>
      </c>
      <c r="H805" s="3" t="str">
        <f>IFERROR(__xludf.DUMMYFUNCTION("""COMPUTED_VALUE"""),"")</f>
        <v/>
      </c>
      <c r="I805" s="3" t="str">
        <f>IFERROR(__xludf.DUMMYFUNCTION("""COMPUTED_VALUE"""),"")</f>
        <v/>
      </c>
      <c r="J805" s="3"/>
      <c r="K805" s="27"/>
      <c r="L805" s="27"/>
      <c r="M805" s="3"/>
      <c r="N805" s="3"/>
      <c r="O805" s="3" t="str">
        <f>IFERROR(VLOOKUP(C805,Sheet4!A805:F1592,6,0),"")</f>
        <v/>
      </c>
      <c r="Q805" s="2" t="str">
        <f t="shared" si="1"/>
        <v/>
      </c>
    </row>
    <row r="806">
      <c r="A806" s="3"/>
      <c r="B806" s="3" t="str">
        <f>IFERROR(__xludf.DUMMYFUNCTION("""COMPUTED_VALUE"""),"")</f>
        <v/>
      </c>
      <c r="C806" s="3"/>
      <c r="D806" s="3"/>
      <c r="E806" s="3" t="str">
        <f>IFERROR(__xludf.DUMMYFUNCTION("""COMPUTED_VALUE"""),"")</f>
        <v/>
      </c>
      <c r="F806" s="3" t="str">
        <f>IFERROR(__xludf.DUMMYFUNCTION("""COMPUTED_VALUE"""),"Winda Sokenda")</f>
        <v>Winda Sokenda</v>
      </c>
      <c r="G806" s="3" t="str">
        <f>IFERROR(__xludf.DUMMYFUNCTION("""COMPUTED_VALUE"""),"Barito Raya")</f>
        <v>Barito Raya</v>
      </c>
      <c r="H806" s="3" t="str">
        <f>IFERROR(__xludf.DUMMYFUNCTION("""COMPUTED_VALUE"""),"")</f>
        <v/>
      </c>
      <c r="I806" s="3" t="str">
        <f>IFERROR(__xludf.DUMMYFUNCTION("""COMPUTED_VALUE"""),"")</f>
        <v/>
      </c>
      <c r="J806" s="3"/>
      <c r="K806" s="27"/>
      <c r="L806" s="27"/>
      <c r="M806" s="3"/>
      <c r="N806" s="3"/>
      <c r="O806" s="3" t="str">
        <f>IFERROR(VLOOKUP(C806,Sheet4!A806:F1593,6,0),"")</f>
        <v/>
      </c>
      <c r="Q806" s="2" t="str">
        <f t="shared" si="1"/>
        <v/>
      </c>
    </row>
    <row r="807">
      <c r="A807" s="3"/>
      <c r="B807" s="3" t="str">
        <f>IFERROR(__xludf.DUMMYFUNCTION("""COMPUTED_VALUE"""),"")</f>
        <v/>
      </c>
      <c r="C807" s="3"/>
      <c r="D807" s="3"/>
      <c r="E807" s="3" t="str">
        <f>IFERROR(__xludf.DUMMYFUNCTION("""COMPUTED_VALUE"""),"")</f>
        <v/>
      </c>
      <c r="F807" s="3" t="str">
        <f>IFERROR(__xludf.DUMMYFUNCTION("""COMPUTED_VALUE"""),"Winda Sokenda")</f>
        <v>Winda Sokenda</v>
      </c>
      <c r="G807" s="3" t="str">
        <f>IFERROR(__xludf.DUMMYFUNCTION("""COMPUTED_VALUE"""),"Barito Raya")</f>
        <v>Barito Raya</v>
      </c>
      <c r="H807" s="3" t="str">
        <f>IFERROR(__xludf.DUMMYFUNCTION("""COMPUTED_VALUE"""),"")</f>
        <v/>
      </c>
      <c r="I807" s="3" t="str">
        <f>IFERROR(__xludf.DUMMYFUNCTION("""COMPUTED_VALUE"""),"")</f>
        <v/>
      </c>
      <c r="J807" s="3"/>
      <c r="K807" s="27"/>
      <c r="L807" s="27"/>
      <c r="M807" s="3"/>
      <c r="N807" s="3"/>
      <c r="O807" s="3" t="str">
        <f>IFERROR(VLOOKUP(C807,Sheet4!A807:F1594,6,0),"")</f>
        <v/>
      </c>
      <c r="Q807" s="2" t="str">
        <f t="shared" si="1"/>
        <v/>
      </c>
    </row>
    <row r="808">
      <c r="A808" s="3" t="str">
        <f>IFERROR(__xludf.DUMMYFUNCTION("""COMPUTED_VALUE"""),"PM")</f>
        <v>PM</v>
      </c>
      <c r="B808" s="3" t="str">
        <f>IFERROR(__xludf.DUMMYFUNCTION("""COMPUTED_VALUE"""),"P2")</f>
        <v>P2</v>
      </c>
      <c r="C808" s="3" t="str">
        <f>IFERROR(__xludf.DUMMYFUNCTION("""COMPUTED_VALUE"""),"MTW181")</f>
        <v>MTW181</v>
      </c>
      <c r="D808" s="3" t="str">
        <f>IFERROR(__xludf.DUMMYFUNCTION("""COMPUTED_VALUE"""),"Riko setiadi")</f>
        <v>Riko setiadi</v>
      </c>
      <c r="E808" s="3" t="str">
        <f>IFERROR(__xludf.DUMMYFUNCTION("""COMPUTED_VALUE"""),"PM")</f>
        <v>PM</v>
      </c>
      <c r="F808" s="3" t="str">
        <f>IFERROR(__xludf.DUMMYFUNCTION("""COMPUTED_VALUE"""),"Winda Sokenda")</f>
        <v>Winda Sokenda</v>
      </c>
      <c r="G808" s="3" t="str">
        <f>IFERROR(__xludf.DUMMYFUNCTION("""COMPUTED_VALUE"""),"Barito Raya")</f>
        <v>Barito Raya</v>
      </c>
      <c r="H808" s="3" t="str">
        <f>IFERROR(__xludf.DUMMYFUNCTION("""COMPUTED_VALUE"""),"Preventive")</f>
        <v>Preventive</v>
      </c>
      <c r="I808" s="3" t="str">
        <f>IFERROR(__xludf.DUMMYFUNCTION("""COMPUTED_VALUE"""),"Preventive Maintenance")</f>
        <v>Preventive Maintenance</v>
      </c>
      <c r="J808" s="3" t="str">
        <f>IFERROR(__xludf.DUMMYFUNCTION("""COMPUTED_VALUE"""),"On Progress")</f>
        <v>On Progress</v>
      </c>
      <c r="K808" s="27">
        <f>IFERROR(__xludf.DUMMYFUNCTION("""COMPUTED_VALUE"""),46135.0)</f>
        <v>46135</v>
      </c>
      <c r="L808" s="27">
        <f>IFERROR(__xludf.DUMMYFUNCTION("""COMPUTED_VALUE"""),46135.0)</f>
        <v>46135</v>
      </c>
      <c r="M808" s="3" t="str">
        <f>IFERROR(__xludf.DUMMYFUNCTION("""COMPUTED_VALUE"""),"Pending")</f>
        <v>Pending</v>
      </c>
      <c r="N808" s="3" t="str">
        <f>IFERROR(__xludf.DUMMYFUNCTION("""COMPUTED_VALUE"""),"CR ")</f>
        <v>CR </v>
      </c>
      <c r="O808" s="3" t="str">
        <f>IFERROR(VLOOKUP(C808,Sheet4!A808:F1595,6,0),"")</f>
        <v/>
      </c>
      <c r="Q808" s="2" t="str">
        <f t="shared" si="1"/>
        <v>23</v>
      </c>
    </row>
    <row r="809">
      <c r="A809" s="3" t="str">
        <f>IFERROR(__xludf.DUMMYFUNCTION("""COMPUTED_VALUE"""),"Site Down")</f>
        <v>Site Down</v>
      </c>
      <c r="B809" s="3" t="str">
        <f>IFERROR(__xludf.DUMMYFUNCTION("""COMPUTED_VALUE"""),"P1")</f>
        <v>P1</v>
      </c>
      <c r="C809" s="3" t="str">
        <f>IFERROR(__xludf.DUMMYFUNCTION("""COMPUTED_VALUE"""),"SPT147")</f>
        <v>SPT147</v>
      </c>
      <c r="D809" s="3" t="str">
        <f>IFERROR(__xludf.DUMMYFUNCTION("""COMPUTED_VALUE"""),"Adi Bowo Santoso")</f>
        <v>Adi Bowo Santoso</v>
      </c>
      <c r="E809" s="3" t="str">
        <f>IFERROR(__xludf.DUMMYFUNCTION("""COMPUTED_VALUE"""),"TE")</f>
        <v>TE</v>
      </c>
      <c r="F809" s="3" t="str">
        <f>IFERROR(__xludf.DUMMYFUNCTION("""COMPUTED_VALUE"""),"Doni Damara")</f>
        <v>Doni Damara</v>
      </c>
      <c r="G809" s="3" t="str">
        <f>IFERROR(__xludf.DUMMYFUNCTION("""COMPUTED_VALUE"""),"Palangkaraya")</f>
        <v>Palangkaraya</v>
      </c>
      <c r="H809" s="3" t="str">
        <f>IFERROR(__xludf.DUMMYFUNCTION("""COMPUTED_VALUE"""),"Corrective")</f>
        <v>Corrective</v>
      </c>
      <c r="I809" s="3" t="str">
        <f>IFERROR(__xludf.DUMMYFUNCTION("""COMPUTED_VALUE"""),"Pemadaman,MCB Trip,Transmisi problem")</f>
        <v>Pemadaman,MCB Trip,Transmisi problem</v>
      </c>
      <c r="J809" s="3" t="str">
        <f>IFERROR(__xludf.DUMMYFUNCTION("""COMPUTED_VALUE"""),"On Progress")</f>
        <v>On Progress</v>
      </c>
      <c r="K809" s="27">
        <f>IFERROR(__xludf.DUMMYFUNCTION("""COMPUTED_VALUE"""),46037.0)</f>
        <v>46037</v>
      </c>
      <c r="L809" s="27">
        <f>IFERROR(__xludf.DUMMYFUNCTION("""COMPUTED_VALUE"""),46037.0)</f>
        <v>46037</v>
      </c>
      <c r="M809" s="3" t="str">
        <f>IFERROR(__xludf.DUMMYFUNCTION("""COMPUTED_VALUE"""),"Waiting Update")</f>
        <v>Waiting Update</v>
      </c>
      <c r="N809" s="3"/>
      <c r="O809" s="3" t="str">
        <f>IFERROR(VLOOKUP(C809,Sheet4!A809:F1596,6,0),"")</f>
        <v/>
      </c>
      <c r="Q809" s="2" t="str">
        <f t="shared" si="1"/>
        <v>15</v>
      </c>
    </row>
    <row r="810">
      <c r="A810" s="3" t="str">
        <f>IFERROR(__xludf.DUMMYFUNCTION("""COMPUTED_VALUE"""),"PM")</f>
        <v>PM</v>
      </c>
      <c r="B810" s="3" t="str">
        <f>IFERROR(__xludf.DUMMYFUNCTION("""COMPUTED_VALUE"""),"P2")</f>
        <v>P2</v>
      </c>
      <c r="C810" s="3" t="str">
        <f>IFERROR(__xludf.DUMMYFUNCTION("""COMPUTED_VALUE"""),"KSN007")</f>
        <v>KSN007</v>
      </c>
      <c r="D810" s="3" t="str">
        <f>IFERROR(__xludf.DUMMYFUNCTION("""COMPUTED_VALUE"""),"Fahmi")</f>
        <v>Fahmi</v>
      </c>
      <c r="E810" s="3" t="str">
        <f>IFERROR(__xludf.DUMMYFUNCTION("""COMPUTED_VALUE"""),"TE")</f>
        <v>TE</v>
      </c>
      <c r="F810" s="3" t="str">
        <f>IFERROR(__xludf.DUMMYFUNCTION("""COMPUTED_VALUE"""),"Doni Damara")</f>
        <v>Doni Damara</v>
      </c>
      <c r="G810" s="3" t="str">
        <f>IFERROR(__xludf.DUMMYFUNCTION("""COMPUTED_VALUE"""),"Palangkaraya")</f>
        <v>Palangkaraya</v>
      </c>
      <c r="H810" s="3" t="str">
        <f>IFERROR(__xludf.DUMMYFUNCTION("""COMPUTED_VALUE"""),"Preventive")</f>
        <v>Preventive</v>
      </c>
      <c r="I810" s="3" t="str">
        <f>IFERROR(__xludf.DUMMYFUNCTION("""COMPUTED_VALUE"""),"Preventive Maintenance")</f>
        <v>Preventive Maintenance</v>
      </c>
      <c r="J810" s="3" t="str">
        <f>IFERROR(__xludf.DUMMYFUNCTION("""COMPUTED_VALUE"""),"On Progress")</f>
        <v>On Progress</v>
      </c>
      <c r="K810" s="27">
        <f>IFERROR(__xludf.DUMMYFUNCTION("""COMPUTED_VALUE"""),46037.0)</f>
        <v>46037</v>
      </c>
      <c r="L810" s="27">
        <f>IFERROR(__xludf.DUMMYFUNCTION("""COMPUTED_VALUE"""),46037.0)</f>
        <v>46037</v>
      </c>
      <c r="M810" s="3" t="str">
        <f>IFERROR(__xludf.DUMMYFUNCTION("""COMPUTED_VALUE"""),"Pending")</f>
        <v>Pending</v>
      </c>
      <c r="N810" s="3"/>
      <c r="O810" s="3" t="str">
        <f>IFERROR(VLOOKUP(C810,Sheet4!A810:F1597,6,0),"")</f>
        <v/>
      </c>
      <c r="Q810" s="2" t="str">
        <f t="shared" si="1"/>
        <v>15</v>
      </c>
    </row>
    <row r="811">
      <c r="A811" s="3" t="str">
        <f>IFERROR(__xludf.DUMMYFUNCTION("""COMPUTED_VALUE"""),"PM")</f>
        <v>PM</v>
      </c>
      <c r="B811" s="3" t="str">
        <f>IFERROR(__xludf.DUMMYFUNCTION("""COMPUTED_VALUE"""),"P2")</f>
        <v>P2</v>
      </c>
      <c r="C811" s="3" t="str">
        <f>IFERROR(__xludf.DUMMYFUNCTION("""COMPUTED_VALUE"""),"KSN007")</f>
        <v>KSN007</v>
      </c>
      <c r="D811" s="3" t="str">
        <f>IFERROR(__xludf.DUMMYFUNCTION("""COMPUTED_VALUE"""),"james jimbris")</f>
        <v>james jimbris</v>
      </c>
      <c r="E811" s="3" t="str">
        <f>IFERROR(__xludf.DUMMYFUNCTION("""COMPUTED_VALUE"""),"TE")</f>
        <v>TE</v>
      </c>
      <c r="F811" s="3" t="str">
        <f>IFERROR(__xludf.DUMMYFUNCTION("""COMPUTED_VALUE"""),"Doni Damara")</f>
        <v>Doni Damara</v>
      </c>
      <c r="G811" s="3" t="str">
        <f>IFERROR(__xludf.DUMMYFUNCTION("""COMPUTED_VALUE"""),"Palangkaraya")</f>
        <v>Palangkaraya</v>
      </c>
      <c r="H811" s="3" t="str">
        <f>IFERROR(__xludf.DUMMYFUNCTION("""COMPUTED_VALUE"""),"Preventive")</f>
        <v>Preventive</v>
      </c>
      <c r="I811" s="3" t="str">
        <f>IFERROR(__xludf.DUMMYFUNCTION("""COMPUTED_VALUE"""),"Preventive Maintenance")</f>
        <v>Preventive Maintenance</v>
      </c>
      <c r="J811" s="3" t="str">
        <f>IFERROR(__xludf.DUMMYFUNCTION("""COMPUTED_VALUE"""),"On Progress")</f>
        <v>On Progress</v>
      </c>
      <c r="K811" s="27">
        <f>IFERROR(__xludf.DUMMYFUNCTION("""COMPUTED_VALUE"""),46037.0)</f>
        <v>46037</v>
      </c>
      <c r="L811" s="27">
        <f>IFERROR(__xludf.DUMMYFUNCTION("""COMPUTED_VALUE"""),46037.0)</f>
        <v>46037</v>
      </c>
      <c r="M811" s="3" t="str">
        <f>IFERROR(__xludf.DUMMYFUNCTION("""COMPUTED_VALUE"""),"Pending")</f>
        <v>Pending</v>
      </c>
      <c r="N811" s="3"/>
      <c r="O811" s="3" t="str">
        <f>IFERROR(VLOOKUP(C811,Sheet4!A811:F1598,6,0),"")</f>
        <v/>
      </c>
      <c r="Q811" s="2" t="str">
        <f t="shared" si="1"/>
        <v>15</v>
      </c>
    </row>
    <row r="812">
      <c r="A812" s="3" t="str">
        <f>IFERROR(__xludf.DUMMYFUNCTION("""COMPUTED_VALUE"""),"Pengecekan battrey")</f>
        <v>Pengecekan battrey</v>
      </c>
      <c r="B812" s="3" t="str">
        <f>IFERROR(__xludf.DUMMYFUNCTION("""COMPUTED_VALUE"""),"P2")</f>
        <v>P2</v>
      </c>
      <c r="C812" s="3" t="str">
        <f>IFERROR(__xludf.DUMMYFUNCTION("""COMPUTED_VALUE"""),"PLK020")</f>
        <v>PLK020</v>
      </c>
      <c r="D812" s="3" t="str">
        <f>IFERROR(__xludf.DUMMYFUNCTION("""COMPUTED_VALUE"""),"Ahmad Setiawan")</f>
        <v>Ahmad Setiawan</v>
      </c>
      <c r="E812" s="3" t="str">
        <f>IFERROR(__xludf.DUMMYFUNCTION("""COMPUTED_VALUE"""),"TE")</f>
        <v>TE</v>
      </c>
      <c r="F812" s="3" t="str">
        <f>IFERROR(__xludf.DUMMYFUNCTION("""COMPUTED_VALUE"""),"Doni Damara")</f>
        <v>Doni Damara</v>
      </c>
      <c r="G812" s="3" t="str">
        <f>IFERROR(__xludf.DUMMYFUNCTION("""COMPUTED_VALUE"""),"Palangkaraya")</f>
        <v>Palangkaraya</v>
      </c>
      <c r="H812" s="3" t="str">
        <f>IFERROR(__xludf.DUMMYFUNCTION("""COMPUTED_VALUE"""),"Preventive")</f>
        <v>Preventive</v>
      </c>
      <c r="I812" s="3" t="str">
        <f>IFERROR(__xludf.DUMMYFUNCTION("""COMPUTED_VALUE"""),"Pengukuran dan pengambilan data log serta input Gdoc BBT")</f>
        <v>Pengukuran dan pengambilan data log serta input Gdoc BBT</v>
      </c>
      <c r="J812" s="3" t="str">
        <f>IFERROR(__xludf.DUMMYFUNCTION("""COMPUTED_VALUE"""),"On Progress")</f>
        <v>On Progress</v>
      </c>
      <c r="K812" s="27">
        <f>IFERROR(__xludf.DUMMYFUNCTION("""COMPUTED_VALUE"""),46037.0)</f>
        <v>46037</v>
      </c>
      <c r="L812" s="27">
        <f>IFERROR(__xludf.DUMMYFUNCTION("""COMPUTED_VALUE"""),46037.0)</f>
        <v>46037</v>
      </c>
      <c r="M812" s="3" t="str">
        <f>IFERROR(__xludf.DUMMYFUNCTION("""COMPUTED_VALUE"""),"Pending")</f>
        <v>Pending</v>
      </c>
      <c r="N812" s="3"/>
      <c r="O812" s="3" t="str">
        <f>IFERROR(VLOOKUP(C812,Sheet4!A812:F1599,6,0),"")</f>
        <v/>
      </c>
      <c r="Q812" s="2" t="str">
        <f t="shared" si="1"/>
        <v>15</v>
      </c>
    </row>
    <row r="813">
      <c r="A813" s="3" t="str">
        <f>IFERROR(__xludf.DUMMYFUNCTION("""COMPUTED_VALUE"""),"Site Down")</f>
        <v>Site Down</v>
      </c>
      <c r="B813" s="3" t="str">
        <f>IFERROR(__xludf.DUMMYFUNCTION("""COMPUTED_VALUE"""),"P1")</f>
        <v>P1</v>
      </c>
      <c r="C813" s="3" t="str">
        <f>IFERROR(__xludf.DUMMYFUNCTION("""COMPUTED_VALUE"""),"SPT147")</f>
        <v>SPT147</v>
      </c>
      <c r="D813" s="3" t="str">
        <f>IFERROR(__xludf.DUMMYFUNCTION("""COMPUTED_VALUE"""),"Oky Bangkit Pamungkas")</f>
        <v>Oky Bangkit Pamungkas</v>
      </c>
      <c r="E813" s="3" t="str">
        <f>IFERROR(__xludf.DUMMYFUNCTION("""COMPUTED_VALUE"""),"TE")</f>
        <v>TE</v>
      </c>
      <c r="F813" s="3" t="str">
        <f>IFERROR(__xludf.DUMMYFUNCTION("""COMPUTED_VALUE"""),"Doni Damara")</f>
        <v>Doni Damara</v>
      </c>
      <c r="G813" s="3" t="str">
        <f>IFERROR(__xludf.DUMMYFUNCTION("""COMPUTED_VALUE"""),"Palangkaraya")</f>
        <v>Palangkaraya</v>
      </c>
      <c r="H813" s="3" t="str">
        <f>IFERROR(__xludf.DUMMYFUNCTION("""COMPUTED_VALUE"""),"Corrective")</f>
        <v>Corrective</v>
      </c>
      <c r="I813" s="3" t="str">
        <f>IFERROR(__xludf.DUMMYFUNCTION("""COMPUTED_VALUE"""),"Pemadaman,MCB Trip,Transmisi problem")</f>
        <v>Pemadaman,MCB Trip,Transmisi problem</v>
      </c>
      <c r="J813" s="3" t="str">
        <f>IFERROR(__xludf.DUMMYFUNCTION("""COMPUTED_VALUE"""),"On Progress")</f>
        <v>On Progress</v>
      </c>
      <c r="K813" s="27">
        <f>IFERROR(__xludf.DUMMYFUNCTION("""COMPUTED_VALUE"""),46037.0)</f>
        <v>46037</v>
      </c>
      <c r="L813" s="27">
        <f>IFERROR(__xludf.DUMMYFUNCTION("""COMPUTED_VALUE"""),46037.0)</f>
        <v>46037</v>
      </c>
      <c r="M813" s="3" t="str">
        <f>IFERROR(__xludf.DUMMYFUNCTION("""COMPUTED_VALUE"""),"Done")</f>
        <v>Done</v>
      </c>
      <c r="N813" s="3"/>
      <c r="O813" s="3" t="str">
        <f>IFERROR(VLOOKUP(C813,Sheet4!A813:F1600,6,0),"")</f>
        <v/>
      </c>
      <c r="Q813" s="2" t="str">
        <f t="shared" si="1"/>
        <v>15</v>
      </c>
    </row>
    <row r="814">
      <c r="A814" s="3" t="str">
        <f>IFERROR(__xludf.DUMMYFUNCTION("""COMPUTED_VALUE"""),"Cell down")</f>
        <v>Cell down</v>
      </c>
      <c r="B814" s="3" t="str">
        <f>IFERROR(__xludf.DUMMYFUNCTION("""COMPUTED_VALUE"""),"P1")</f>
        <v>P1</v>
      </c>
      <c r="C814" s="3" t="str">
        <f>IFERROR(__xludf.DUMMYFUNCTION("""COMPUTED_VALUE"""),"PPS250")</f>
        <v>PPS250</v>
      </c>
      <c r="D814" s="3" t="str">
        <f>IFERROR(__xludf.DUMMYFUNCTION("""COMPUTED_VALUE"""),"Yahya Muhamad")</f>
        <v>Yahya Muhamad</v>
      </c>
      <c r="E814" s="3" t="str">
        <f>IFERROR(__xludf.DUMMYFUNCTION("""COMPUTED_VALUE"""),"TE")</f>
        <v>TE</v>
      </c>
      <c r="F814" s="3" t="str">
        <f>IFERROR(__xludf.DUMMYFUNCTION("""COMPUTED_VALUE"""),"Doni Damara")</f>
        <v>Doni Damara</v>
      </c>
      <c r="G814" s="3" t="str">
        <f>IFERROR(__xludf.DUMMYFUNCTION("""COMPUTED_VALUE"""),"Palangkaraya")</f>
        <v>Palangkaraya</v>
      </c>
      <c r="H814" s="3" t="str">
        <f>IFERROR(__xludf.DUMMYFUNCTION("""COMPUTED_VALUE"""),"Corrective")</f>
        <v>Corrective</v>
      </c>
      <c r="I814" s="3" t="str">
        <f>IFERROR(__xludf.DUMMYFUNCTION("""COMPUTED_VALUE"""),"Replace Optik,RRU/Soket Power/Replace GPS")</f>
        <v>Replace Optik,RRU/Soket Power/Replace GPS</v>
      </c>
      <c r="J814" s="3" t="str">
        <f>IFERROR(__xludf.DUMMYFUNCTION("""COMPUTED_VALUE"""),"On Progress")</f>
        <v>On Progress</v>
      </c>
      <c r="K814" s="27">
        <f>IFERROR(__xludf.DUMMYFUNCTION("""COMPUTED_VALUE"""),46037.0)</f>
        <v>46037</v>
      </c>
      <c r="L814" s="27">
        <f>IFERROR(__xludf.DUMMYFUNCTION("""COMPUTED_VALUE"""),46037.0)</f>
        <v>46037</v>
      </c>
      <c r="M814" s="3" t="str">
        <f>IFERROR(__xludf.DUMMYFUNCTION("""COMPUTED_VALUE"""),"Pending")</f>
        <v>Pending</v>
      </c>
      <c r="N814" s="3"/>
      <c r="O814" s="3" t="str">
        <f>IFERROR(VLOOKUP(C814,Sheet4!A814:F1601,6,0),"")</f>
        <v/>
      </c>
      <c r="Q814" s="2" t="str">
        <f t="shared" si="1"/>
        <v>15</v>
      </c>
    </row>
    <row r="815">
      <c r="A815" s="3" t="str">
        <f>IFERROR(__xludf.DUMMYFUNCTION("""COMPUTED_VALUE"""),"Cell down")</f>
        <v>Cell down</v>
      </c>
      <c r="B815" s="3" t="str">
        <f>IFERROR(__xludf.DUMMYFUNCTION("""COMPUTED_VALUE"""),"P1")</f>
        <v>P1</v>
      </c>
      <c r="C815" s="3" t="str">
        <f>IFERROR(__xludf.DUMMYFUNCTION("""COMPUTED_VALUE"""),"PPS084")</f>
        <v>PPS084</v>
      </c>
      <c r="D815" s="3" t="str">
        <f>IFERROR(__xludf.DUMMYFUNCTION("""COMPUTED_VALUE"""),"Muhamad Rayhan")</f>
        <v>Muhamad Rayhan</v>
      </c>
      <c r="E815" s="3" t="str">
        <f>IFERROR(__xludf.DUMMYFUNCTION("""COMPUTED_VALUE"""),"TE")</f>
        <v>TE</v>
      </c>
      <c r="F815" s="3" t="str">
        <f>IFERROR(__xludf.DUMMYFUNCTION("""COMPUTED_VALUE"""),"Doni Damara")</f>
        <v>Doni Damara</v>
      </c>
      <c r="G815" s="3" t="str">
        <f>IFERROR(__xludf.DUMMYFUNCTION("""COMPUTED_VALUE"""),"Palangkaraya")</f>
        <v>Palangkaraya</v>
      </c>
      <c r="H815" s="3" t="str">
        <f>IFERROR(__xludf.DUMMYFUNCTION("""COMPUTED_VALUE"""),"Corrective")</f>
        <v>Corrective</v>
      </c>
      <c r="I815" s="3" t="str">
        <f>IFERROR(__xludf.DUMMYFUNCTION("""COMPUTED_VALUE"""),"Replace Optik,RRU/Soket Power/Replace GPS")</f>
        <v>Replace Optik,RRU/Soket Power/Replace GPS</v>
      </c>
      <c r="J815" s="3" t="str">
        <f>IFERROR(__xludf.DUMMYFUNCTION("""COMPUTED_VALUE"""),"On Progress")</f>
        <v>On Progress</v>
      </c>
      <c r="K815" s="27">
        <f>IFERROR(__xludf.DUMMYFUNCTION("""COMPUTED_VALUE"""),46037.0)</f>
        <v>46037</v>
      </c>
      <c r="L815" s="27">
        <f>IFERROR(__xludf.DUMMYFUNCTION("""COMPUTED_VALUE"""),46037.0)</f>
        <v>46037</v>
      </c>
      <c r="M815" s="3" t="str">
        <f>IFERROR(__xludf.DUMMYFUNCTION("""COMPUTED_VALUE"""),"Done")</f>
        <v>Done</v>
      </c>
      <c r="N815" s="3"/>
      <c r="O815" s="3" t="str">
        <f>IFERROR(VLOOKUP(C815,Sheet4!A815:F1602,6,0),"")</f>
        <v/>
      </c>
      <c r="Q815" s="2" t="str">
        <f t="shared" si="1"/>
        <v>15</v>
      </c>
    </row>
    <row r="816">
      <c r="A816" s="3" t="str">
        <f>IFERROR(__xludf.DUMMYFUNCTION("""COMPUTED_VALUE"""),"Cell down")</f>
        <v>Cell down</v>
      </c>
      <c r="B816" s="3" t="str">
        <f>IFERROR(__xludf.DUMMYFUNCTION("""COMPUTED_VALUE"""),"P1")</f>
        <v>P1</v>
      </c>
      <c r="C816" s="3" t="str">
        <f>IFERROR(__xludf.DUMMYFUNCTION("""COMPUTED_VALUE"""),"KKN151")</f>
        <v>KKN151</v>
      </c>
      <c r="D816" s="3" t="str">
        <f>IFERROR(__xludf.DUMMYFUNCTION("""COMPUTED_VALUE"""),"Leonard")</f>
        <v>Leonard</v>
      </c>
      <c r="E816" s="3" t="str">
        <f>IFERROR(__xludf.DUMMYFUNCTION("""COMPUTED_VALUE"""),"TE")</f>
        <v>TE</v>
      </c>
      <c r="F816" s="3" t="str">
        <f>IFERROR(__xludf.DUMMYFUNCTION("""COMPUTED_VALUE"""),"Doni Damara")</f>
        <v>Doni Damara</v>
      </c>
      <c r="G816" s="3" t="str">
        <f>IFERROR(__xludf.DUMMYFUNCTION("""COMPUTED_VALUE"""),"Palangkaraya")</f>
        <v>Palangkaraya</v>
      </c>
      <c r="H816" s="3" t="str">
        <f>IFERROR(__xludf.DUMMYFUNCTION("""COMPUTED_VALUE"""),"Corrective")</f>
        <v>Corrective</v>
      </c>
      <c r="I816" s="3" t="str">
        <f>IFERROR(__xludf.DUMMYFUNCTION("""COMPUTED_VALUE"""),"Replace Optik,RRU/Soket Power/Replace GPS")</f>
        <v>Replace Optik,RRU/Soket Power/Replace GPS</v>
      </c>
      <c r="J816" s="3" t="str">
        <f>IFERROR(__xludf.DUMMYFUNCTION("""COMPUTED_VALUE"""),"On Progress")</f>
        <v>On Progress</v>
      </c>
      <c r="K816" s="27">
        <f>IFERROR(__xludf.DUMMYFUNCTION("""COMPUTED_VALUE"""),46037.0)</f>
        <v>46037</v>
      </c>
      <c r="L816" s="27">
        <f>IFERROR(__xludf.DUMMYFUNCTION("""COMPUTED_VALUE"""),46037.0)</f>
        <v>46037</v>
      </c>
      <c r="M816" s="3" t="str">
        <f>IFERROR(__xludf.DUMMYFUNCTION("""COMPUTED_VALUE"""),"Pending")</f>
        <v>Pending</v>
      </c>
      <c r="N816" s="3"/>
      <c r="O816" s="3" t="str">
        <f>IFERROR(VLOOKUP(C816,Sheet4!A816:F1603,6,0),"")</f>
        <v/>
      </c>
      <c r="Q816" s="2" t="str">
        <f t="shared" si="1"/>
        <v>15</v>
      </c>
    </row>
    <row r="817">
      <c r="A817" s="3" t="str">
        <f>IFERROR(__xludf.DUMMYFUNCTION("""COMPUTED_VALUE"""),"Cell down")</f>
        <v>Cell down</v>
      </c>
      <c r="B817" s="3" t="str">
        <f>IFERROR(__xludf.DUMMYFUNCTION("""COMPUTED_VALUE"""),"P1")</f>
        <v>P1</v>
      </c>
      <c r="C817" s="3" t="str">
        <f>IFERROR(__xludf.DUMMYFUNCTION("""COMPUTED_VALUE"""),"KKN151")</f>
        <v>KKN151</v>
      </c>
      <c r="D817" s="3" t="str">
        <f>IFERROR(__xludf.DUMMYFUNCTION("""COMPUTED_VALUE"""),"Aulia Rahman")</f>
        <v>Aulia Rahman</v>
      </c>
      <c r="E817" s="3" t="str">
        <f>IFERROR(__xludf.DUMMYFUNCTION("""COMPUTED_VALUE"""),"TE")</f>
        <v>TE</v>
      </c>
      <c r="F817" s="3" t="str">
        <f>IFERROR(__xludf.DUMMYFUNCTION("""COMPUTED_VALUE"""),"Doni Damara")</f>
        <v>Doni Damara</v>
      </c>
      <c r="G817" s="3" t="str">
        <f>IFERROR(__xludf.DUMMYFUNCTION("""COMPUTED_VALUE"""),"Palangkaraya")</f>
        <v>Palangkaraya</v>
      </c>
      <c r="H817" s="3" t="str">
        <f>IFERROR(__xludf.DUMMYFUNCTION("""COMPUTED_VALUE"""),"Corrective")</f>
        <v>Corrective</v>
      </c>
      <c r="I817" s="3" t="str">
        <f>IFERROR(__xludf.DUMMYFUNCTION("""COMPUTED_VALUE"""),"Replace Optik,RRU/Soket Power/Replace GPS")</f>
        <v>Replace Optik,RRU/Soket Power/Replace GPS</v>
      </c>
      <c r="J817" s="3" t="str">
        <f>IFERROR(__xludf.DUMMYFUNCTION("""COMPUTED_VALUE"""),"On Progress")</f>
        <v>On Progress</v>
      </c>
      <c r="K817" s="27">
        <f>IFERROR(__xludf.DUMMYFUNCTION("""COMPUTED_VALUE"""),46037.0)</f>
        <v>46037</v>
      </c>
      <c r="L817" s="27">
        <f>IFERROR(__xludf.DUMMYFUNCTION("""COMPUTED_VALUE"""),46037.0)</f>
        <v>46037</v>
      </c>
      <c r="M817" s="3" t="str">
        <f>IFERROR(__xludf.DUMMYFUNCTION("""COMPUTED_VALUE"""),"Pending")</f>
        <v>Pending</v>
      </c>
      <c r="N817" s="3"/>
      <c r="O817" s="3" t="str">
        <f>IFERROR(VLOOKUP(C817,Sheet4!A817:F1604,6,0),"")</f>
        <v/>
      </c>
      <c r="Q817" s="2" t="str">
        <f t="shared" si="1"/>
        <v>15</v>
      </c>
    </row>
    <row r="818">
      <c r="A818" s="3" t="str">
        <f>IFERROR(__xludf.DUMMYFUNCTION("""COMPUTED_VALUE"""),"Cell down")</f>
        <v>Cell down</v>
      </c>
      <c r="B818" s="3" t="str">
        <f>IFERROR(__xludf.DUMMYFUNCTION("""COMPUTED_VALUE"""),"P1")</f>
        <v>P1</v>
      </c>
      <c r="C818" s="3" t="str">
        <f>IFERROR(__xludf.DUMMYFUNCTION("""COMPUTED_VALUE"""),"KSN021")</f>
        <v>KSN021</v>
      </c>
      <c r="D818" s="3" t="str">
        <f>IFERROR(__xludf.DUMMYFUNCTION("""COMPUTED_VALUE"""),"Muhammad Mukhlis")</f>
        <v>Muhammad Mukhlis</v>
      </c>
      <c r="E818" s="3" t="str">
        <f>IFERROR(__xludf.DUMMYFUNCTION("""COMPUTED_VALUE"""),"TE")</f>
        <v>TE</v>
      </c>
      <c r="F818" s="3" t="str">
        <f>IFERROR(__xludf.DUMMYFUNCTION("""COMPUTED_VALUE"""),"Doni Damara")</f>
        <v>Doni Damara</v>
      </c>
      <c r="G818" s="3" t="str">
        <f>IFERROR(__xludf.DUMMYFUNCTION("""COMPUTED_VALUE"""),"Palangkaraya")</f>
        <v>Palangkaraya</v>
      </c>
      <c r="H818" s="3" t="str">
        <f>IFERROR(__xludf.DUMMYFUNCTION("""COMPUTED_VALUE"""),"Corrective")</f>
        <v>Corrective</v>
      </c>
      <c r="I818" s="3" t="str">
        <f>IFERROR(__xludf.DUMMYFUNCTION("""COMPUTED_VALUE"""),"Replace Optik,RRU/Soket Power/Replace GPS")</f>
        <v>Replace Optik,RRU/Soket Power/Replace GPS</v>
      </c>
      <c r="J818" s="3" t="str">
        <f>IFERROR(__xludf.DUMMYFUNCTION("""COMPUTED_VALUE"""),"On Progress")</f>
        <v>On Progress</v>
      </c>
      <c r="K818" s="27">
        <f>IFERROR(__xludf.DUMMYFUNCTION("""COMPUTED_VALUE"""),46037.0)</f>
        <v>46037</v>
      </c>
      <c r="L818" s="27">
        <f>IFERROR(__xludf.DUMMYFUNCTION("""COMPUTED_VALUE"""),46037.0)</f>
        <v>46037</v>
      </c>
      <c r="M818" s="3" t="str">
        <f>IFERROR(__xludf.DUMMYFUNCTION("""COMPUTED_VALUE"""),"Pending")</f>
        <v>Pending</v>
      </c>
      <c r="N818" s="3"/>
      <c r="O818" s="3" t="str">
        <f>IFERROR(VLOOKUP(C818,Sheet4!A818:F1605,6,0),"")</f>
        <v/>
      </c>
      <c r="Q818" s="2" t="str">
        <f t="shared" si="1"/>
        <v>15</v>
      </c>
    </row>
    <row r="819">
      <c r="A819" s="3" t="str">
        <f>IFERROR(__xludf.DUMMYFUNCTION("""COMPUTED_VALUE"""),"Pengecekan Power")</f>
        <v>Pengecekan Power</v>
      </c>
      <c r="B819" s="3" t="str">
        <f>IFERROR(__xludf.DUMMYFUNCTION("""COMPUTED_VALUE"""),"P1")</f>
        <v>P1</v>
      </c>
      <c r="C819" s="3" t="str">
        <f>IFERROR(__xludf.DUMMYFUNCTION("""COMPUTED_VALUE"""),"KSN037")</f>
        <v>KSN037</v>
      </c>
      <c r="D819" s="3" t="str">
        <f>IFERROR(__xludf.DUMMYFUNCTION("""COMPUTED_VALUE"""),"Muhammad Mukti")</f>
        <v>Muhammad Mukti</v>
      </c>
      <c r="E819" s="3" t="str">
        <f>IFERROR(__xludf.DUMMYFUNCTION("""COMPUTED_VALUE"""),"TE")</f>
        <v>TE</v>
      </c>
      <c r="F819" s="3" t="str">
        <f>IFERROR(__xludf.DUMMYFUNCTION("""COMPUTED_VALUE"""),"Doni Damara")</f>
        <v>Doni Damara</v>
      </c>
      <c r="G819" s="3" t="str">
        <f>IFERROR(__xludf.DUMMYFUNCTION("""COMPUTED_VALUE"""),"Palangkaraya")</f>
        <v>Palangkaraya</v>
      </c>
      <c r="H819" s="3" t="str">
        <f>IFERROR(__xludf.DUMMYFUNCTION("""COMPUTED_VALUE"""),"Preventive")</f>
        <v>Preventive</v>
      </c>
      <c r="I819" s="3" t="str">
        <f>IFERROR(__xludf.DUMMYFUNCTION("""COMPUTED_VALUE"""),"MCB trip/Power upnormal")</f>
        <v>MCB trip/Power upnormal</v>
      </c>
      <c r="J819" s="3" t="str">
        <f>IFERROR(__xludf.DUMMYFUNCTION("""COMPUTED_VALUE"""),"On Progress")</f>
        <v>On Progress</v>
      </c>
      <c r="K819" s="27">
        <f>IFERROR(__xludf.DUMMYFUNCTION("""COMPUTED_VALUE"""),46037.0)</f>
        <v>46037</v>
      </c>
      <c r="L819" s="27">
        <f>IFERROR(__xludf.DUMMYFUNCTION("""COMPUTED_VALUE"""),46037.0)</f>
        <v>46037</v>
      </c>
      <c r="M819" s="3" t="str">
        <f>IFERROR(__xludf.DUMMYFUNCTION("""COMPUTED_VALUE"""),"Pending")</f>
        <v>Pending</v>
      </c>
      <c r="N819" s="3"/>
      <c r="O819" s="3" t="str">
        <f>IFERROR(VLOOKUP(C819,Sheet4!A819:F1606,6,0),"")</f>
        <v/>
      </c>
      <c r="Q819" s="2" t="str">
        <f t="shared" si="1"/>
        <v>15</v>
      </c>
    </row>
    <row r="820">
      <c r="A820" s="3" t="str">
        <f>IFERROR(__xludf.DUMMYFUNCTION("""COMPUTED_VALUE"""),"Tshoot Genset")</f>
        <v>Tshoot Genset</v>
      </c>
      <c r="B820" s="3" t="str">
        <f>IFERROR(__xludf.DUMMYFUNCTION("""COMPUTED_VALUE"""),"P1")</f>
        <v>P1</v>
      </c>
      <c r="C820" s="3" t="str">
        <f>IFERROR(__xludf.DUMMYFUNCTION("""COMPUTED_VALUE"""),"KSN150")</f>
        <v>KSN150</v>
      </c>
      <c r="D820" s="3" t="str">
        <f>IFERROR(__xludf.DUMMYFUNCTION("""COMPUTED_VALUE"""),"melky.O.Tulangow")</f>
        <v>melky.O.Tulangow</v>
      </c>
      <c r="E820" s="3" t="str">
        <f>IFERROR(__xludf.DUMMYFUNCTION("""COMPUTED_VALUE"""),"TE")</f>
        <v>TE</v>
      </c>
      <c r="F820" s="3" t="str">
        <f>IFERROR(__xludf.DUMMYFUNCTION("""COMPUTED_VALUE"""),"Doni Damara")</f>
        <v>Doni Damara</v>
      </c>
      <c r="G820" s="3" t="str">
        <f>IFERROR(__xludf.DUMMYFUNCTION("""COMPUTED_VALUE"""),"Palangkaraya")</f>
        <v>Palangkaraya</v>
      </c>
      <c r="H820" s="3" t="str">
        <f>IFERROR(__xludf.DUMMYFUNCTION("""COMPUTED_VALUE"""),"Corrective")</f>
        <v>Corrective</v>
      </c>
      <c r="I820" s="3" t="str">
        <f>IFERROR(__xludf.DUMMYFUNCTION("""COMPUTED_VALUE"""),"Perbaikan Auto,pergantian relay,timer, yang berhubungan genset")</f>
        <v>Perbaikan Auto,pergantian relay,timer, yang berhubungan genset</v>
      </c>
      <c r="J820" s="3" t="str">
        <f>IFERROR(__xludf.DUMMYFUNCTION("""COMPUTED_VALUE"""),"On Progress")</f>
        <v>On Progress</v>
      </c>
      <c r="K820" s="27">
        <f>IFERROR(__xludf.DUMMYFUNCTION("""COMPUTED_VALUE"""),46037.0)</f>
        <v>46037</v>
      </c>
      <c r="L820" s="27">
        <f>IFERROR(__xludf.DUMMYFUNCTION("""COMPUTED_VALUE"""),46037.0)</f>
        <v>46037</v>
      </c>
      <c r="M820" s="3" t="str">
        <f>IFERROR(__xludf.DUMMYFUNCTION("""COMPUTED_VALUE"""),"Done")</f>
        <v>Done</v>
      </c>
      <c r="N820" s="3"/>
      <c r="O820" s="3" t="str">
        <f>IFERROR(VLOOKUP(C820,Sheet4!A820:F1607,6,0),"")</f>
        <v/>
      </c>
      <c r="Q820" s="2" t="str">
        <f t="shared" si="1"/>
        <v>15</v>
      </c>
    </row>
    <row r="821">
      <c r="A821" s="3" t="str">
        <f>IFERROR(__xludf.DUMMYFUNCTION("""COMPUTED_VALUE"""),"PM")</f>
        <v>PM</v>
      </c>
      <c r="B821" s="3" t="str">
        <f>IFERROR(__xludf.DUMMYFUNCTION("""COMPUTED_VALUE"""),"P2")</f>
        <v>P2</v>
      </c>
      <c r="C821" s="3" t="str">
        <f>IFERROR(__xludf.DUMMYFUNCTION("""COMPUTED_VALUE"""),"KSN710")</f>
        <v>KSN710</v>
      </c>
      <c r="D821" s="3" t="str">
        <f>IFERROR(__xludf.DUMMYFUNCTION("""COMPUTED_VALUE"""),"Indra")</f>
        <v>Indra</v>
      </c>
      <c r="E821" s="3" t="str">
        <f>IFERROR(__xludf.DUMMYFUNCTION("""COMPUTED_VALUE"""),"PM")</f>
        <v>PM</v>
      </c>
      <c r="F821" s="3" t="str">
        <f>IFERROR(__xludf.DUMMYFUNCTION("""COMPUTED_VALUE"""),"Doni Damara")</f>
        <v>Doni Damara</v>
      </c>
      <c r="G821" s="3" t="str">
        <f>IFERROR(__xludf.DUMMYFUNCTION("""COMPUTED_VALUE"""),"Palangkaraya")</f>
        <v>Palangkaraya</v>
      </c>
      <c r="H821" s="3" t="str">
        <f>IFERROR(__xludf.DUMMYFUNCTION("""COMPUTED_VALUE"""),"Preventive")</f>
        <v>Preventive</v>
      </c>
      <c r="I821" s="3" t="str">
        <f>IFERROR(__xludf.DUMMYFUNCTION("""COMPUTED_VALUE"""),"Preventive Maintenance")</f>
        <v>Preventive Maintenance</v>
      </c>
      <c r="J821" s="3" t="str">
        <f>IFERROR(__xludf.DUMMYFUNCTION("""COMPUTED_VALUE"""),"On Progress")</f>
        <v>On Progress</v>
      </c>
      <c r="K821" s="27">
        <f>IFERROR(__xludf.DUMMYFUNCTION("""COMPUTED_VALUE"""),46037.0)</f>
        <v>46037</v>
      </c>
      <c r="L821" s="27">
        <f>IFERROR(__xludf.DUMMYFUNCTION("""COMPUTED_VALUE"""),46037.0)</f>
        <v>46037</v>
      </c>
      <c r="M821" s="3" t="str">
        <f>IFERROR(__xludf.DUMMYFUNCTION("""COMPUTED_VALUE"""),"Done")</f>
        <v>Done</v>
      </c>
      <c r="N821" s="3"/>
      <c r="O821" s="3" t="str">
        <f>IFERROR(VLOOKUP(C821,Sheet4!A821:F1608,6,0),"")</f>
        <v/>
      </c>
      <c r="Q821" s="2" t="str">
        <f t="shared" si="1"/>
        <v>15</v>
      </c>
    </row>
    <row r="822">
      <c r="A822" s="3" t="str">
        <f>IFERROR(__xludf.DUMMYFUNCTION("""COMPUTED_VALUE"""),"PM")</f>
        <v>PM</v>
      </c>
      <c r="B822" s="3" t="str">
        <f>IFERROR(__xludf.DUMMYFUNCTION("""COMPUTED_VALUE"""),"P2")</f>
        <v>P2</v>
      </c>
      <c r="C822" s="3" t="str">
        <f>IFERROR(__xludf.DUMMYFUNCTION("""COMPUTED_VALUE"""),"KSN763")</f>
        <v>KSN763</v>
      </c>
      <c r="D822" s="3" t="str">
        <f>IFERROR(__xludf.DUMMYFUNCTION("""COMPUTED_VALUE"""),"Darli")</f>
        <v>Darli</v>
      </c>
      <c r="E822" s="3" t="str">
        <f>IFERROR(__xludf.DUMMYFUNCTION("""COMPUTED_VALUE"""),"PM")</f>
        <v>PM</v>
      </c>
      <c r="F822" s="3" t="str">
        <f>IFERROR(__xludf.DUMMYFUNCTION("""COMPUTED_VALUE"""),"Doni Damara")</f>
        <v>Doni Damara</v>
      </c>
      <c r="G822" s="3" t="str">
        <f>IFERROR(__xludf.DUMMYFUNCTION("""COMPUTED_VALUE"""),"Palangkaraya")</f>
        <v>Palangkaraya</v>
      </c>
      <c r="H822" s="3" t="str">
        <f>IFERROR(__xludf.DUMMYFUNCTION("""COMPUTED_VALUE"""),"Preventive")</f>
        <v>Preventive</v>
      </c>
      <c r="I822" s="3" t="str">
        <f>IFERROR(__xludf.DUMMYFUNCTION("""COMPUTED_VALUE"""),"Preventive Maintenance")</f>
        <v>Preventive Maintenance</v>
      </c>
      <c r="J822" s="3" t="str">
        <f>IFERROR(__xludf.DUMMYFUNCTION("""COMPUTED_VALUE"""),"On Progress")</f>
        <v>On Progress</v>
      </c>
      <c r="K822" s="27">
        <f>IFERROR(__xludf.DUMMYFUNCTION("""COMPUTED_VALUE"""),46037.0)</f>
        <v>46037</v>
      </c>
      <c r="L822" s="27">
        <f>IFERROR(__xludf.DUMMYFUNCTION("""COMPUTED_VALUE"""),46037.0)</f>
        <v>46037</v>
      </c>
      <c r="M822" s="3" t="str">
        <f>IFERROR(__xludf.DUMMYFUNCTION("""COMPUTED_VALUE"""),"Waiting Update")</f>
        <v>Waiting Update</v>
      </c>
      <c r="N822" s="3"/>
      <c r="O822" s="3" t="str">
        <f>IFERROR(VLOOKUP(C822,Sheet4!A822:F1609,6,0),"")</f>
        <v/>
      </c>
      <c r="Q822" s="2" t="str">
        <f t="shared" si="1"/>
        <v>15</v>
      </c>
    </row>
    <row r="823">
      <c r="A823" s="3" t="str">
        <f>IFERROR(__xludf.DUMMYFUNCTION("""COMPUTED_VALUE"""),"PM")</f>
        <v>PM</v>
      </c>
      <c r="B823" s="3" t="str">
        <f>IFERROR(__xludf.DUMMYFUNCTION("""COMPUTED_VALUE"""),"P2")</f>
        <v>P2</v>
      </c>
      <c r="C823" s="3" t="str">
        <f>IFERROR(__xludf.DUMMYFUNCTION("""COMPUTED_VALUE"""),"PLK247")</f>
        <v>PLK247</v>
      </c>
      <c r="D823" s="3" t="str">
        <f>IFERROR(__xludf.DUMMYFUNCTION("""COMPUTED_VALUE"""),"Sarwono")</f>
        <v>Sarwono</v>
      </c>
      <c r="E823" s="3" t="str">
        <f>IFERROR(__xludf.DUMMYFUNCTION("""COMPUTED_VALUE"""),"CME")</f>
        <v>CME</v>
      </c>
      <c r="F823" s="3" t="str">
        <f>IFERROR(__xludf.DUMMYFUNCTION("""COMPUTED_VALUE"""),"Doni Damara")</f>
        <v>Doni Damara</v>
      </c>
      <c r="G823" s="3" t="str">
        <f>IFERROR(__xludf.DUMMYFUNCTION("""COMPUTED_VALUE"""),"Palangkaraya")</f>
        <v>Palangkaraya</v>
      </c>
      <c r="H823" s="3" t="str">
        <f>IFERROR(__xludf.DUMMYFUNCTION("""COMPUTED_VALUE"""),"Preventive")</f>
        <v>Preventive</v>
      </c>
      <c r="I823" s="3" t="str">
        <f>IFERROR(__xludf.DUMMYFUNCTION("""COMPUTED_VALUE"""),"Preventive Maintenance")</f>
        <v>Preventive Maintenance</v>
      </c>
      <c r="J823" s="3" t="str">
        <f>IFERROR(__xludf.DUMMYFUNCTION("""COMPUTED_VALUE"""),"On Progress")</f>
        <v>On Progress</v>
      </c>
      <c r="K823" s="27">
        <f>IFERROR(__xludf.DUMMYFUNCTION("""COMPUTED_VALUE"""),46037.0)</f>
        <v>46037</v>
      </c>
      <c r="L823" s="27">
        <f>IFERROR(__xludf.DUMMYFUNCTION("""COMPUTED_VALUE"""),46037.0)</f>
        <v>46037</v>
      </c>
      <c r="M823" s="3" t="str">
        <f>IFERROR(__xludf.DUMMYFUNCTION("""COMPUTED_VALUE"""),"Waiting Update")</f>
        <v>Waiting Update</v>
      </c>
      <c r="N823" s="3"/>
      <c r="O823" s="3" t="str">
        <f>IFERROR(VLOOKUP(C823,Sheet4!A823:F1610,6,0),"")</f>
        <v/>
      </c>
      <c r="Q823" s="2" t="str">
        <f t="shared" si="1"/>
        <v>15</v>
      </c>
    </row>
    <row r="824">
      <c r="A824" s="3" t="str">
        <f>IFERROR(__xludf.DUMMYFUNCTION("""COMPUTED_VALUE"""),"Pengecekan Power")</f>
        <v>Pengecekan Power</v>
      </c>
      <c r="B824" s="3" t="str">
        <f>IFERROR(__xludf.DUMMYFUNCTION("""COMPUTED_VALUE"""),"P1")</f>
        <v>P1</v>
      </c>
      <c r="C824" s="3" t="str">
        <f>IFERROR(__xludf.DUMMYFUNCTION("""COMPUTED_VALUE"""),"KSN037")</f>
        <v>KSN037</v>
      </c>
      <c r="D824" s="3" t="str">
        <f>IFERROR(__xludf.DUMMYFUNCTION("""COMPUTED_VALUE"""),"hory yusmanto")</f>
        <v>hory yusmanto</v>
      </c>
      <c r="E824" s="3" t="str">
        <f>IFERROR(__xludf.DUMMYFUNCTION("""COMPUTED_VALUE"""),"MBP")</f>
        <v>MBP</v>
      </c>
      <c r="F824" s="3" t="str">
        <f>IFERROR(__xludf.DUMMYFUNCTION("""COMPUTED_VALUE"""),"Doni Damara")</f>
        <v>Doni Damara</v>
      </c>
      <c r="G824" s="3" t="str">
        <f>IFERROR(__xludf.DUMMYFUNCTION("""COMPUTED_VALUE"""),"Palangkaraya")</f>
        <v>Palangkaraya</v>
      </c>
      <c r="H824" s="3" t="str">
        <f>IFERROR(__xludf.DUMMYFUNCTION("""COMPUTED_VALUE"""),"Preventive")</f>
        <v>Preventive</v>
      </c>
      <c r="I824" s="3" t="str">
        <f>IFERROR(__xludf.DUMMYFUNCTION("""COMPUTED_VALUE"""),"MCB trip/Power upnormal")</f>
        <v>MCB trip/Power upnormal</v>
      </c>
      <c r="J824" s="3" t="str">
        <f>IFERROR(__xludf.DUMMYFUNCTION("""COMPUTED_VALUE"""),"On Progress")</f>
        <v>On Progress</v>
      </c>
      <c r="K824" s="27">
        <f>IFERROR(__xludf.DUMMYFUNCTION("""COMPUTED_VALUE"""),46037.0)</f>
        <v>46037</v>
      </c>
      <c r="L824" s="27">
        <f>IFERROR(__xludf.DUMMYFUNCTION("""COMPUTED_VALUE"""),46037.0)</f>
        <v>46037</v>
      </c>
      <c r="M824" s="3" t="str">
        <f>IFERROR(__xludf.DUMMYFUNCTION("""COMPUTED_VALUE"""),"Waiting Update")</f>
        <v>Waiting Update</v>
      </c>
      <c r="N824" s="3"/>
      <c r="O824" s="3" t="str">
        <f>IFERROR(VLOOKUP(C824,Sheet4!A824:F1611,6,0),"")</f>
        <v/>
      </c>
      <c r="Q824" s="2" t="str">
        <f t="shared" si="1"/>
        <v>15</v>
      </c>
    </row>
    <row r="825">
      <c r="A825" s="3" t="str">
        <f>IFERROR(__xludf.DUMMYFUNCTION("""COMPUTED_VALUE"""),"Standby On Call")</f>
        <v>Standby On Call</v>
      </c>
      <c r="B825" s="3" t="str">
        <f>IFERROR(__xludf.DUMMYFUNCTION("""COMPUTED_VALUE"""),"P3")</f>
        <v>P3</v>
      </c>
      <c r="C825" s="3"/>
      <c r="D825" s="3" t="str">
        <f>IFERROR(__xludf.DUMMYFUNCTION("""COMPUTED_VALUE"""),"Agus muliana pamungkas")</f>
        <v>Agus muliana pamungkas</v>
      </c>
      <c r="E825" s="3" t="str">
        <f>IFERROR(__xludf.DUMMYFUNCTION("""COMPUTED_VALUE"""),"MBP")</f>
        <v>MBP</v>
      </c>
      <c r="F825" s="3" t="str">
        <f>IFERROR(__xludf.DUMMYFUNCTION("""COMPUTED_VALUE"""),"Doni Damara")</f>
        <v>Doni Damara</v>
      </c>
      <c r="G825" s="3" t="str">
        <f>IFERROR(__xludf.DUMMYFUNCTION("""COMPUTED_VALUE"""),"Palangkaraya")</f>
        <v>Palangkaraya</v>
      </c>
      <c r="H825" s="3" t="str">
        <f>IFERROR(__xludf.DUMMYFUNCTION("""COMPUTED_VALUE"""),"Standby")</f>
        <v>Standby</v>
      </c>
      <c r="I825" s="3" t="str">
        <f>IFERROR(__xludf.DUMMYFUNCTION("""COMPUTED_VALUE"""),"Standby On Call")</f>
        <v>Standby On Call</v>
      </c>
      <c r="J825" s="3" t="str">
        <f>IFERROR(__xludf.DUMMYFUNCTION("""COMPUTED_VALUE"""),"Standby")</f>
        <v>Standby</v>
      </c>
      <c r="K825" s="27">
        <f>IFERROR(__xludf.DUMMYFUNCTION("""COMPUTED_VALUE"""),46037.0)</f>
        <v>46037</v>
      </c>
      <c r="L825" s="27">
        <f>IFERROR(__xludf.DUMMYFUNCTION("""COMPUTED_VALUE"""),46037.0)</f>
        <v>46037</v>
      </c>
      <c r="M825" s="3" t="str">
        <f>IFERROR(__xludf.DUMMYFUNCTION("""COMPUTED_VALUE"""),"Waiting Update")</f>
        <v>Waiting Update</v>
      </c>
      <c r="N825" s="3"/>
      <c r="O825" s="3" t="str">
        <f>IFERROR(VLOOKUP(C825,Sheet4!A825:F1612,6,0),"")</f>
        <v/>
      </c>
      <c r="Q825" s="2" t="str">
        <f t="shared" si="1"/>
        <v>15</v>
      </c>
    </row>
    <row r="826">
      <c r="A826" s="3" t="str">
        <f>IFERROR(__xludf.DUMMYFUNCTION("""COMPUTED_VALUE"""),"Standby On Call")</f>
        <v>Standby On Call</v>
      </c>
      <c r="B826" s="3" t="str">
        <f>IFERROR(__xludf.DUMMYFUNCTION("""COMPUTED_VALUE"""),"P3")</f>
        <v>P3</v>
      </c>
      <c r="C826" s="3"/>
      <c r="D826" s="3" t="str">
        <f>IFERROR(__xludf.DUMMYFUNCTION("""COMPUTED_VALUE"""),"Purwanto")</f>
        <v>Purwanto</v>
      </c>
      <c r="E826" s="3" t="str">
        <f>IFERROR(__xludf.DUMMYFUNCTION("""COMPUTED_VALUE"""),"MBP")</f>
        <v>MBP</v>
      </c>
      <c r="F826" s="3" t="str">
        <f>IFERROR(__xludf.DUMMYFUNCTION("""COMPUTED_VALUE"""),"Doni Damara")</f>
        <v>Doni Damara</v>
      </c>
      <c r="G826" s="3" t="str">
        <f>IFERROR(__xludf.DUMMYFUNCTION("""COMPUTED_VALUE"""),"Palangkaraya")</f>
        <v>Palangkaraya</v>
      </c>
      <c r="H826" s="3" t="str">
        <f>IFERROR(__xludf.DUMMYFUNCTION("""COMPUTED_VALUE"""),"Standby")</f>
        <v>Standby</v>
      </c>
      <c r="I826" s="3" t="str">
        <f>IFERROR(__xludf.DUMMYFUNCTION("""COMPUTED_VALUE"""),"Standby On Call")</f>
        <v>Standby On Call</v>
      </c>
      <c r="J826" s="3" t="str">
        <f>IFERROR(__xludf.DUMMYFUNCTION("""COMPUTED_VALUE"""),"Standby")</f>
        <v>Standby</v>
      </c>
      <c r="K826" s="27">
        <f>IFERROR(__xludf.DUMMYFUNCTION("""COMPUTED_VALUE"""),46037.0)</f>
        <v>46037</v>
      </c>
      <c r="L826" s="27">
        <f>IFERROR(__xludf.DUMMYFUNCTION("""COMPUTED_VALUE"""),46037.0)</f>
        <v>46037</v>
      </c>
      <c r="M826" s="3" t="str">
        <f>IFERROR(__xludf.DUMMYFUNCTION("""COMPUTED_VALUE"""),"Waiting Update")</f>
        <v>Waiting Update</v>
      </c>
      <c r="N826" s="3"/>
      <c r="O826" s="3" t="str">
        <f>IFERROR(VLOOKUP(C826,Sheet4!A826:F1613,6,0),"")</f>
        <v/>
      </c>
      <c r="Q826" s="2" t="str">
        <f t="shared" si="1"/>
        <v>15</v>
      </c>
    </row>
    <row r="827">
      <c r="A827" s="3" t="str">
        <f>IFERROR(__xludf.DUMMYFUNCTION("""COMPUTED_VALUE"""),"Standby On Call")</f>
        <v>Standby On Call</v>
      </c>
      <c r="B827" s="3" t="str">
        <f>IFERROR(__xludf.DUMMYFUNCTION("""COMPUTED_VALUE"""),"P3")</f>
        <v>P3</v>
      </c>
      <c r="C827" s="3"/>
      <c r="D827" s="3" t="str">
        <f>IFERROR(__xludf.DUMMYFUNCTION("""COMPUTED_VALUE"""),"Adi Bowo Santoso")</f>
        <v>Adi Bowo Santoso</v>
      </c>
      <c r="E827" s="3" t="str">
        <f>IFERROR(__xludf.DUMMYFUNCTION("""COMPUTED_VALUE"""),"TE")</f>
        <v>TE</v>
      </c>
      <c r="F827" s="3" t="str">
        <f>IFERROR(__xludf.DUMMYFUNCTION("""COMPUTED_VALUE"""),"Doni Damara")</f>
        <v>Doni Damara</v>
      </c>
      <c r="G827" s="3" t="str">
        <f>IFERROR(__xludf.DUMMYFUNCTION("""COMPUTED_VALUE"""),"Palangkaraya")</f>
        <v>Palangkaraya</v>
      </c>
      <c r="H827" s="3" t="str">
        <f>IFERROR(__xludf.DUMMYFUNCTION("""COMPUTED_VALUE"""),"Standby")</f>
        <v>Standby</v>
      </c>
      <c r="I827" s="3" t="str">
        <f>IFERROR(__xludf.DUMMYFUNCTION("""COMPUTED_VALUE"""),"Standby On Call")</f>
        <v>Standby On Call</v>
      </c>
      <c r="J827" s="3" t="str">
        <f>IFERROR(__xludf.DUMMYFUNCTION("""COMPUTED_VALUE"""),"On Progress")</f>
        <v>On Progress</v>
      </c>
      <c r="K827" s="27">
        <f>IFERROR(__xludf.DUMMYFUNCTION("""COMPUTED_VALUE"""),46038.0)</f>
        <v>46038</v>
      </c>
      <c r="L827" s="3"/>
      <c r="M827" s="3" t="str">
        <f>IFERROR(__xludf.DUMMYFUNCTION("""COMPUTED_VALUE"""),"Waiting Update")</f>
        <v>Waiting Update</v>
      </c>
      <c r="N827" s="3"/>
      <c r="O827" s="3" t="str">
        <f>IFERROR(VLOOKUP(C827,Sheet4!A827:F1614,6,0),"")</f>
        <v/>
      </c>
      <c r="Q827" s="2" t="str">
        <f t="shared" si="1"/>
        <v>16</v>
      </c>
    </row>
    <row r="828">
      <c r="A828" s="3" t="str">
        <f>IFERROR(__xludf.DUMMYFUNCTION("""COMPUTED_VALUE"""),"PM")</f>
        <v>PM</v>
      </c>
      <c r="B828" s="3" t="str">
        <f>IFERROR(__xludf.DUMMYFUNCTION("""COMPUTED_VALUE"""),"P2")</f>
        <v>P2</v>
      </c>
      <c r="C828" s="3" t="str">
        <f>IFERROR(__xludf.DUMMYFUNCTION("""COMPUTED_VALUE"""),"KSN007")</f>
        <v>KSN007</v>
      </c>
      <c r="D828" s="3" t="str">
        <f>IFERROR(__xludf.DUMMYFUNCTION("""COMPUTED_VALUE"""),"Fahmi")</f>
        <v>Fahmi</v>
      </c>
      <c r="E828" s="3" t="str">
        <f>IFERROR(__xludf.DUMMYFUNCTION("""COMPUTED_VALUE"""),"TE")</f>
        <v>TE</v>
      </c>
      <c r="F828" s="3" t="str">
        <f>IFERROR(__xludf.DUMMYFUNCTION("""COMPUTED_VALUE"""),"Doni Damara")</f>
        <v>Doni Damara</v>
      </c>
      <c r="G828" s="3" t="str">
        <f>IFERROR(__xludf.DUMMYFUNCTION("""COMPUTED_VALUE"""),"Palangkaraya")</f>
        <v>Palangkaraya</v>
      </c>
      <c r="H828" s="3" t="str">
        <f>IFERROR(__xludf.DUMMYFUNCTION("""COMPUTED_VALUE"""),"Preventive")</f>
        <v>Preventive</v>
      </c>
      <c r="I828" s="3" t="str">
        <f>IFERROR(__xludf.DUMMYFUNCTION("""COMPUTED_VALUE"""),"Preventive Maintenance")</f>
        <v>Preventive Maintenance</v>
      </c>
      <c r="J828" s="3" t="str">
        <f>IFERROR(__xludf.DUMMYFUNCTION("""COMPUTED_VALUE"""),"On Progress")</f>
        <v>On Progress</v>
      </c>
      <c r="K828" s="27">
        <f>IFERROR(__xludf.DUMMYFUNCTION("""COMPUTED_VALUE"""),46038.0)</f>
        <v>46038</v>
      </c>
      <c r="L828" s="3"/>
      <c r="M828" s="3" t="str">
        <f>IFERROR(__xludf.DUMMYFUNCTION("""COMPUTED_VALUE"""),"Waiting Update")</f>
        <v>Waiting Update</v>
      </c>
      <c r="N828" s="3"/>
      <c r="O828" s="3" t="str">
        <f>IFERROR(VLOOKUP(C828,Sheet4!A828:F1615,6,0),"")</f>
        <v/>
      </c>
      <c r="Q828" s="2" t="str">
        <f t="shared" si="1"/>
        <v>16</v>
      </c>
    </row>
    <row r="829">
      <c r="A829" s="3" t="str">
        <f>IFERROR(__xludf.DUMMYFUNCTION("""COMPUTED_VALUE"""),"PM")</f>
        <v>PM</v>
      </c>
      <c r="B829" s="3" t="str">
        <f>IFERROR(__xludf.DUMMYFUNCTION("""COMPUTED_VALUE"""),"P2")</f>
        <v>P2</v>
      </c>
      <c r="C829" s="3" t="str">
        <f>IFERROR(__xludf.DUMMYFUNCTION("""COMPUTED_VALUE"""),"KSN007")</f>
        <v>KSN007</v>
      </c>
      <c r="D829" s="3" t="str">
        <f>IFERROR(__xludf.DUMMYFUNCTION("""COMPUTED_VALUE"""),"james jimbris")</f>
        <v>james jimbris</v>
      </c>
      <c r="E829" s="3" t="str">
        <f>IFERROR(__xludf.DUMMYFUNCTION("""COMPUTED_VALUE"""),"TE")</f>
        <v>TE</v>
      </c>
      <c r="F829" s="3" t="str">
        <f>IFERROR(__xludf.DUMMYFUNCTION("""COMPUTED_VALUE"""),"Doni Damara")</f>
        <v>Doni Damara</v>
      </c>
      <c r="G829" s="3" t="str">
        <f>IFERROR(__xludf.DUMMYFUNCTION("""COMPUTED_VALUE"""),"Palangkaraya")</f>
        <v>Palangkaraya</v>
      </c>
      <c r="H829" s="3" t="str">
        <f>IFERROR(__xludf.DUMMYFUNCTION("""COMPUTED_VALUE"""),"Preventive")</f>
        <v>Preventive</v>
      </c>
      <c r="I829" s="3" t="str">
        <f>IFERROR(__xludf.DUMMYFUNCTION("""COMPUTED_VALUE"""),"Preventive Maintenance")</f>
        <v>Preventive Maintenance</v>
      </c>
      <c r="J829" s="3" t="str">
        <f>IFERROR(__xludf.DUMMYFUNCTION("""COMPUTED_VALUE"""),"On Progress")</f>
        <v>On Progress</v>
      </c>
      <c r="K829" s="27">
        <f>IFERROR(__xludf.DUMMYFUNCTION("""COMPUTED_VALUE"""),46038.0)</f>
        <v>46038</v>
      </c>
      <c r="L829" s="3"/>
      <c r="M829" s="3" t="str">
        <f>IFERROR(__xludf.DUMMYFUNCTION("""COMPUTED_VALUE"""),"Waiting Update")</f>
        <v>Waiting Update</v>
      </c>
      <c r="N829" s="3"/>
      <c r="O829" s="3" t="str">
        <f>IFERROR(VLOOKUP(C829,Sheet4!A829:F1616,6,0),"")</f>
        <v/>
      </c>
      <c r="Q829" s="2" t="str">
        <f t="shared" si="1"/>
        <v>16</v>
      </c>
    </row>
    <row r="830">
      <c r="A830" s="3" t="str">
        <f>IFERROR(__xludf.DUMMYFUNCTION("""COMPUTED_VALUE"""),"Pengecekan battrey")</f>
        <v>Pengecekan battrey</v>
      </c>
      <c r="B830" s="3" t="str">
        <f>IFERROR(__xludf.DUMMYFUNCTION("""COMPUTED_VALUE"""),"P2")</f>
        <v>P2</v>
      </c>
      <c r="C830" s="3" t="str">
        <f>IFERROR(__xludf.DUMMYFUNCTION("""COMPUTED_VALUE"""),"PLK020")</f>
        <v>PLK020</v>
      </c>
      <c r="D830" s="3" t="str">
        <f>IFERROR(__xludf.DUMMYFUNCTION("""COMPUTED_VALUE"""),"Ahmad Setiawan")</f>
        <v>Ahmad Setiawan</v>
      </c>
      <c r="E830" s="3" t="str">
        <f>IFERROR(__xludf.DUMMYFUNCTION("""COMPUTED_VALUE"""),"TE")</f>
        <v>TE</v>
      </c>
      <c r="F830" s="3" t="str">
        <f>IFERROR(__xludf.DUMMYFUNCTION("""COMPUTED_VALUE"""),"Doni Damara")</f>
        <v>Doni Damara</v>
      </c>
      <c r="G830" s="3" t="str">
        <f>IFERROR(__xludf.DUMMYFUNCTION("""COMPUTED_VALUE"""),"Palangkaraya")</f>
        <v>Palangkaraya</v>
      </c>
      <c r="H830" s="3" t="str">
        <f>IFERROR(__xludf.DUMMYFUNCTION("""COMPUTED_VALUE"""),"Preventive")</f>
        <v>Preventive</v>
      </c>
      <c r="I830" s="3" t="str">
        <f>IFERROR(__xludf.DUMMYFUNCTION("""COMPUTED_VALUE"""),"Pengukuran dan pengambilan data log serta input Gdoc BBT")</f>
        <v>Pengukuran dan pengambilan data log serta input Gdoc BBT</v>
      </c>
      <c r="J830" s="3" t="str">
        <f>IFERROR(__xludf.DUMMYFUNCTION("""COMPUTED_VALUE"""),"On Progress")</f>
        <v>On Progress</v>
      </c>
      <c r="K830" s="27">
        <f>IFERROR(__xludf.DUMMYFUNCTION("""COMPUTED_VALUE"""),46038.0)</f>
        <v>46038</v>
      </c>
      <c r="L830" s="3"/>
      <c r="M830" s="3" t="str">
        <f>IFERROR(__xludf.DUMMYFUNCTION("""COMPUTED_VALUE"""),"Waiting Update")</f>
        <v>Waiting Update</v>
      </c>
      <c r="N830" s="3"/>
      <c r="O830" s="3" t="str">
        <f>IFERROR(VLOOKUP(C830,Sheet4!A830:F1617,6,0),"")</f>
        <v/>
      </c>
      <c r="Q830" s="2" t="str">
        <f t="shared" si="1"/>
        <v>16</v>
      </c>
    </row>
    <row r="831">
      <c r="A831" s="3" t="str">
        <f>IFERROR(__xludf.DUMMYFUNCTION("""COMPUTED_VALUE"""),"Sick")</f>
        <v>Sick</v>
      </c>
      <c r="B831" s="3" t="str">
        <f>IFERROR(__xludf.DUMMYFUNCTION("""COMPUTED_VALUE"""),"P3")</f>
        <v>P3</v>
      </c>
      <c r="C831" s="3"/>
      <c r="D831" s="3" t="str">
        <f>IFERROR(__xludf.DUMMYFUNCTION("""COMPUTED_VALUE"""),"Oky Bangkit Pamungkas")</f>
        <v>Oky Bangkit Pamungkas</v>
      </c>
      <c r="E831" s="3" t="str">
        <f>IFERROR(__xludf.DUMMYFUNCTION("""COMPUTED_VALUE"""),"TE")</f>
        <v>TE</v>
      </c>
      <c r="F831" s="3" t="str">
        <f>IFERROR(__xludf.DUMMYFUNCTION("""COMPUTED_VALUE"""),"Doni Damara")</f>
        <v>Doni Damara</v>
      </c>
      <c r="G831" s="3" t="str">
        <f>IFERROR(__xludf.DUMMYFUNCTION("""COMPUTED_VALUE"""),"Palangkaraya")</f>
        <v>Palangkaraya</v>
      </c>
      <c r="H831" s="3" t="str">
        <f>IFERROR(__xludf.DUMMYFUNCTION("""COMPUTED_VALUE"""),"Sick")</f>
        <v>Sick</v>
      </c>
      <c r="I831" s="3" t="str">
        <f>IFERROR(__xludf.DUMMYFUNCTION("""COMPUTED_VALUE"""),"Sick")</f>
        <v>Sick</v>
      </c>
      <c r="J831" s="3" t="str">
        <f>IFERROR(__xludf.DUMMYFUNCTION("""COMPUTED_VALUE"""),"Standby")</f>
        <v>Standby</v>
      </c>
      <c r="K831" s="27">
        <f>IFERROR(__xludf.DUMMYFUNCTION("""COMPUTED_VALUE"""),46038.0)</f>
        <v>46038</v>
      </c>
      <c r="L831" s="3"/>
      <c r="M831" s="3" t="str">
        <f>IFERROR(__xludf.DUMMYFUNCTION("""COMPUTED_VALUE"""),"Waiting Update")</f>
        <v>Waiting Update</v>
      </c>
      <c r="N831" s="3"/>
      <c r="O831" s="3" t="str">
        <f>IFERROR(VLOOKUP(C831,Sheet4!A831:F1618,6,0),"")</f>
        <v/>
      </c>
      <c r="Q831" s="2" t="str">
        <f t="shared" si="1"/>
        <v>16</v>
      </c>
    </row>
    <row r="832">
      <c r="A832" s="3" t="str">
        <f>IFERROR(__xludf.DUMMYFUNCTION("""COMPUTED_VALUE"""),"Site Down")</f>
        <v>Site Down</v>
      </c>
      <c r="B832" s="3" t="str">
        <f>IFERROR(__xludf.DUMMYFUNCTION("""COMPUTED_VALUE"""),"P1")</f>
        <v>P1</v>
      </c>
      <c r="C832" s="3" t="str">
        <f>IFERROR(__xludf.DUMMYFUNCTION("""COMPUTED_VALUE"""),"PPS057")</f>
        <v>PPS057</v>
      </c>
      <c r="D832" s="3" t="str">
        <f>IFERROR(__xludf.DUMMYFUNCTION("""COMPUTED_VALUE"""),"Yahya Muhamad")</f>
        <v>Yahya Muhamad</v>
      </c>
      <c r="E832" s="3" t="str">
        <f>IFERROR(__xludf.DUMMYFUNCTION("""COMPUTED_VALUE"""),"TE")</f>
        <v>TE</v>
      </c>
      <c r="F832" s="3" t="str">
        <f>IFERROR(__xludf.DUMMYFUNCTION("""COMPUTED_VALUE"""),"Doni Damara")</f>
        <v>Doni Damara</v>
      </c>
      <c r="G832" s="3" t="str">
        <f>IFERROR(__xludf.DUMMYFUNCTION("""COMPUTED_VALUE"""),"Palangkaraya")</f>
        <v>Palangkaraya</v>
      </c>
      <c r="H832" s="3" t="str">
        <f>IFERROR(__xludf.DUMMYFUNCTION("""COMPUTED_VALUE"""),"Corrective")</f>
        <v>Corrective</v>
      </c>
      <c r="I832" s="3" t="str">
        <f>IFERROR(__xludf.DUMMYFUNCTION("""COMPUTED_VALUE"""),"Pemadaman,MCB Trip,Transmisi problem")</f>
        <v>Pemadaman,MCB Trip,Transmisi problem</v>
      </c>
      <c r="J832" s="3" t="str">
        <f>IFERROR(__xludf.DUMMYFUNCTION("""COMPUTED_VALUE"""),"On Progress")</f>
        <v>On Progress</v>
      </c>
      <c r="K832" s="27">
        <f>IFERROR(__xludf.DUMMYFUNCTION("""COMPUTED_VALUE"""),46038.0)</f>
        <v>46038</v>
      </c>
      <c r="L832" s="3"/>
      <c r="M832" s="3" t="str">
        <f>IFERROR(__xludf.DUMMYFUNCTION("""COMPUTED_VALUE"""),"Waiting Update")</f>
        <v>Waiting Update</v>
      </c>
      <c r="N832" s="3"/>
      <c r="O832" s="3" t="str">
        <f>IFERROR(VLOOKUP(C832,Sheet4!A832:F1619,6,0),"")</f>
        <v/>
      </c>
      <c r="Q832" s="2" t="str">
        <f t="shared" si="1"/>
        <v>16</v>
      </c>
    </row>
    <row r="833">
      <c r="A833" s="3" t="str">
        <f>IFERROR(__xludf.DUMMYFUNCTION("""COMPUTED_VALUE"""),"Site Down")</f>
        <v>Site Down</v>
      </c>
      <c r="B833" s="3" t="str">
        <f>IFERROR(__xludf.DUMMYFUNCTION("""COMPUTED_VALUE"""),"P1")</f>
        <v>P1</v>
      </c>
      <c r="C833" s="3" t="str">
        <f>IFERROR(__xludf.DUMMYFUNCTION("""COMPUTED_VALUE"""),"PPS224")</f>
        <v>PPS224</v>
      </c>
      <c r="D833" s="3" t="str">
        <f>IFERROR(__xludf.DUMMYFUNCTION("""COMPUTED_VALUE"""),"Muhamad Rayhan")</f>
        <v>Muhamad Rayhan</v>
      </c>
      <c r="E833" s="3" t="str">
        <f>IFERROR(__xludf.DUMMYFUNCTION("""COMPUTED_VALUE"""),"TE")</f>
        <v>TE</v>
      </c>
      <c r="F833" s="3" t="str">
        <f>IFERROR(__xludf.DUMMYFUNCTION("""COMPUTED_VALUE"""),"Doni Damara")</f>
        <v>Doni Damara</v>
      </c>
      <c r="G833" s="3" t="str">
        <f>IFERROR(__xludf.DUMMYFUNCTION("""COMPUTED_VALUE"""),"Palangkaraya")</f>
        <v>Palangkaraya</v>
      </c>
      <c r="H833" s="3" t="str">
        <f>IFERROR(__xludf.DUMMYFUNCTION("""COMPUTED_VALUE"""),"Corrective")</f>
        <v>Corrective</v>
      </c>
      <c r="I833" s="3" t="str">
        <f>IFERROR(__xludf.DUMMYFUNCTION("""COMPUTED_VALUE"""),"Pemadaman,MCB Trip,Transmisi problem")</f>
        <v>Pemadaman,MCB Trip,Transmisi problem</v>
      </c>
      <c r="J833" s="3" t="str">
        <f>IFERROR(__xludf.DUMMYFUNCTION("""COMPUTED_VALUE"""),"On Progress")</f>
        <v>On Progress</v>
      </c>
      <c r="K833" s="27">
        <f>IFERROR(__xludf.DUMMYFUNCTION("""COMPUTED_VALUE"""),46038.0)</f>
        <v>46038</v>
      </c>
      <c r="L833" s="3"/>
      <c r="M833" s="3" t="str">
        <f>IFERROR(__xludf.DUMMYFUNCTION("""COMPUTED_VALUE"""),"Waiting Update")</f>
        <v>Waiting Update</v>
      </c>
      <c r="N833" s="3"/>
      <c r="O833" s="3" t="str">
        <f>IFERROR(VLOOKUP(C833,Sheet4!A833:F1620,6,0),"")</f>
        <v/>
      </c>
      <c r="Q833" s="2" t="str">
        <f t="shared" si="1"/>
        <v>16</v>
      </c>
    </row>
    <row r="834">
      <c r="A834" s="3" t="str">
        <f>IFERROR(__xludf.DUMMYFUNCTION("""COMPUTED_VALUE"""),"Cell down")</f>
        <v>Cell down</v>
      </c>
      <c r="B834" s="3" t="str">
        <f>IFERROR(__xludf.DUMMYFUNCTION("""COMPUTED_VALUE"""),"P1")</f>
        <v>P1</v>
      </c>
      <c r="C834" s="3" t="str">
        <f>IFERROR(__xludf.DUMMYFUNCTION("""COMPUTED_VALUE"""),"KKN151")</f>
        <v>KKN151</v>
      </c>
      <c r="D834" s="3" t="str">
        <f>IFERROR(__xludf.DUMMYFUNCTION("""COMPUTED_VALUE"""),"Leonard")</f>
        <v>Leonard</v>
      </c>
      <c r="E834" s="3" t="str">
        <f>IFERROR(__xludf.DUMMYFUNCTION("""COMPUTED_VALUE"""),"TE")</f>
        <v>TE</v>
      </c>
      <c r="F834" s="3" t="str">
        <f>IFERROR(__xludf.DUMMYFUNCTION("""COMPUTED_VALUE"""),"Doni Damara")</f>
        <v>Doni Damara</v>
      </c>
      <c r="G834" s="3" t="str">
        <f>IFERROR(__xludf.DUMMYFUNCTION("""COMPUTED_VALUE"""),"Palangkaraya")</f>
        <v>Palangkaraya</v>
      </c>
      <c r="H834" s="3" t="str">
        <f>IFERROR(__xludf.DUMMYFUNCTION("""COMPUTED_VALUE"""),"Corrective")</f>
        <v>Corrective</v>
      </c>
      <c r="I834" s="3" t="str">
        <f>IFERROR(__xludf.DUMMYFUNCTION("""COMPUTED_VALUE"""),"Replace Optik,RRU/Soket Power/Replace GPS")</f>
        <v>Replace Optik,RRU/Soket Power/Replace GPS</v>
      </c>
      <c r="J834" s="3" t="str">
        <f>IFERROR(__xludf.DUMMYFUNCTION("""COMPUTED_VALUE"""),"On Progress")</f>
        <v>On Progress</v>
      </c>
      <c r="K834" s="27">
        <f>IFERROR(__xludf.DUMMYFUNCTION("""COMPUTED_VALUE"""),46038.0)</f>
        <v>46038</v>
      </c>
      <c r="L834" s="3"/>
      <c r="M834" s="3" t="str">
        <f>IFERROR(__xludf.DUMMYFUNCTION("""COMPUTED_VALUE"""),"Waiting Update")</f>
        <v>Waiting Update</v>
      </c>
      <c r="N834" s="3"/>
      <c r="O834" s="3" t="str">
        <f>IFERROR(VLOOKUP(C834,Sheet4!A834:F1621,6,0),"")</f>
        <v/>
      </c>
      <c r="Q834" s="2" t="str">
        <f t="shared" si="1"/>
        <v>16</v>
      </c>
    </row>
    <row r="835">
      <c r="A835" s="3" t="str">
        <f>IFERROR(__xludf.DUMMYFUNCTION("""COMPUTED_VALUE"""),"Cell down")</f>
        <v>Cell down</v>
      </c>
      <c r="B835" s="3" t="str">
        <f>IFERROR(__xludf.DUMMYFUNCTION("""COMPUTED_VALUE"""),"P1")</f>
        <v>P1</v>
      </c>
      <c r="C835" s="3" t="str">
        <f>IFERROR(__xludf.DUMMYFUNCTION("""COMPUTED_VALUE"""),"KKN151")</f>
        <v>KKN151</v>
      </c>
      <c r="D835" s="3" t="str">
        <f>IFERROR(__xludf.DUMMYFUNCTION("""COMPUTED_VALUE"""),"Aulia Rahman")</f>
        <v>Aulia Rahman</v>
      </c>
      <c r="E835" s="3" t="str">
        <f>IFERROR(__xludf.DUMMYFUNCTION("""COMPUTED_VALUE"""),"TE")</f>
        <v>TE</v>
      </c>
      <c r="F835" s="3" t="str">
        <f>IFERROR(__xludf.DUMMYFUNCTION("""COMPUTED_VALUE"""),"Doni Damara")</f>
        <v>Doni Damara</v>
      </c>
      <c r="G835" s="3" t="str">
        <f>IFERROR(__xludf.DUMMYFUNCTION("""COMPUTED_VALUE"""),"Palangkaraya")</f>
        <v>Palangkaraya</v>
      </c>
      <c r="H835" s="3" t="str">
        <f>IFERROR(__xludf.DUMMYFUNCTION("""COMPUTED_VALUE"""),"Corrective")</f>
        <v>Corrective</v>
      </c>
      <c r="I835" s="3" t="str">
        <f>IFERROR(__xludf.DUMMYFUNCTION("""COMPUTED_VALUE"""),"Replace Optik,RRU/Soket Power/Replace GPS")</f>
        <v>Replace Optik,RRU/Soket Power/Replace GPS</v>
      </c>
      <c r="J835" s="3" t="str">
        <f>IFERROR(__xludf.DUMMYFUNCTION("""COMPUTED_VALUE"""),"On Progress")</f>
        <v>On Progress</v>
      </c>
      <c r="K835" s="27">
        <f>IFERROR(__xludf.DUMMYFUNCTION("""COMPUTED_VALUE"""),46038.0)</f>
        <v>46038</v>
      </c>
      <c r="L835" s="3"/>
      <c r="M835" s="3" t="str">
        <f>IFERROR(__xludf.DUMMYFUNCTION("""COMPUTED_VALUE"""),"Waiting Update")</f>
        <v>Waiting Update</v>
      </c>
      <c r="N835" s="3"/>
      <c r="O835" s="3" t="str">
        <f>IFERROR(VLOOKUP(C835,Sheet4!A835:F1622,6,0),"")</f>
        <v/>
      </c>
      <c r="Q835" s="2" t="str">
        <f t="shared" si="1"/>
        <v>16</v>
      </c>
    </row>
    <row r="836">
      <c r="A836" s="3" t="str">
        <f>IFERROR(__xludf.DUMMYFUNCTION("""COMPUTED_VALUE"""),"Standby On Call")</f>
        <v>Standby On Call</v>
      </c>
      <c r="B836" s="3" t="str">
        <f>IFERROR(__xludf.DUMMYFUNCTION("""COMPUTED_VALUE"""),"P3")</f>
        <v>P3</v>
      </c>
      <c r="C836" s="3"/>
      <c r="D836" s="3" t="str">
        <f>IFERROR(__xludf.DUMMYFUNCTION("""COMPUTED_VALUE"""),"Muhammad Mukhlis")</f>
        <v>Muhammad Mukhlis</v>
      </c>
      <c r="E836" s="3" t="str">
        <f>IFERROR(__xludf.DUMMYFUNCTION("""COMPUTED_VALUE"""),"TE")</f>
        <v>TE</v>
      </c>
      <c r="F836" s="3" t="str">
        <f>IFERROR(__xludf.DUMMYFUNCTION("""COMPUTED_VALUE"""),"Doni Damara")</f>
        <v>Doni Damara</v>
      </c>
      <c r="G836" s="3" t="str">
        <f>IFERROR(__xludf.DUMMYFUNCTION("""COMPUTED_VALUE"""),"Palangkaraya")</f>
        <v>Palangkaraya</v>
      </c>
      <c r="H836" s="3" t="str">
        <f>IFERROR(__xludf.DUMMYFUNCTION("""COMPUTED_VALUE"""),"Standby")</f>
        <v>Standby</v>
      </c>
      <c r="I836" s="3" t="str">
        <f>IFERROR(__xludf.DUMMYFUNCTION("""COMPUTED_VALUE"""),"Standby On Call")</f>
        <v>Standby On Call</v>
      </c>
      <c r="J836" s="3" t="str">
        <f>IFERROR(__xludf.DUMMYFUNCTION("""COMPUTED_VALUE"""),"Standby")</f>
        <v>Standby</v>
      </c>
      <c r="K836" s="27">
        <f>IFERROR(__xludf.DUMMYFUNCTION("""COMPUTED_VALUE"""),46038.0)</f>
        <v>46038</v>
      </c>
      <c r="L836" s="3"/>
      <c r="M836" s="3" t="str">
        <f>IFERROR(__xludf.DUMMYFUNCTION("""COMPUTED_VALUE"""),"Waiting Update")</f>
        <v>Waiting Update</v>
      </c>
      <c r="N836" s="3"/>
      <c r="O836" s="3" t="str">
        <f>IFERROR(VLOOKUP(C836,Sheet4!A836:F1623,6,0),"")</f>
        <v/>
      </c>
      <c r="Q836" s="2" t="str">
        <f t="shared" si="1"/>
        <v>16</v>
      </c>
    </row>
    <row r="837">
      <c r="A837" s="3" t="str">
        <f>IFERROR(__xludf.DUMMYFUNCTION("""COMPUTED_VALUE"""),"Pengecekan Power")</f>
        <v>Pengecekan Power</v>
      </c>
      <c r="B837" s="3" t="str">
        <f>IFERROR(__xludf.DUMMYFUNCTION("""COMPUTED_VALUE"""),"P1")</f>
        <v>P1</v>
      </c>
      <c r="C837" s="3" t="str">
        <f>IFERROR(__xludf.DUMMYFUNCTION("""COMPUTED_VALUE"""),"KSN037")</f>
        <v>KSN037</v>
      </c>
      <c r="D837" s="3" t="str">
        <f>IFERROR(__xludf.DUMMYFUNCTION("""COMPUTED_VALUE"""),"Muhammad Mukti")</f>
        <v>Muhammad Mukti</v>
      </c>
      <c r="E837" s="3" t="str">
        <f>IFERROR(__xludf.DUMMYFUNCTION("""COMPUTED_VALUE"""),"TE")</f>
        <v>TE</v>
      </c>
      <c r="F837" s="3" t="str">
        <f>IFERROR(__xludf.DUMMYFUNCTION("""COMPUTED_VALUE"""),"Doni Damara")</f>
        <v>Doni Damara</v>
      </c>
      <c r="G837" s="3" t="str">
        <f>IFERROR(__xludf.DUMMYFUNCTION("""COMPUTED_VALUE"""),"Palangkaraya")</f>
        <v>Palangkaraya</v>
      </c>
      <c r="H837" s="3" t="str">
        <f>IFERROR(__xludf.DUMMYFUNCTION("""COMPUTED_VALUE"""),"Preventive")</f>
        <v>Preventive</v>
      </c>
      <c r="I837" s="3" t="str">
        <f>IFERROR(__xludf.DUMMYFUNCTION("""COMPUTED_VALUE"""),"MCB trip/Power upnormal")</f>
        <v>MCB trip/Power upnormal</v>
      </c>
      <c r="J837" s="3" t="str">
        <f>IFERROR(__xludf.DUMMYFUNCTION("""COMPUTED_VALUE"""),"On Progress")</f>
        <v>On Progress</v>
      </c>
      <c r="K837" s="27">
        <f>IFERROR(__xludf.DUMMYFUNCTION("""COMPUTED_VALUE"""),46038.0)</f>
        <v>46038</v>
      </c>
      <c r="L837" s="3"/>
      <c r="M837" s="3" t="str">
        <f>IFERROR(__xludf.DUMMYFUNCTION("""COMPUTED_VALUE"""),"Waiting Update")</f>
        <v>Waiting Update</v>
      </c>
      <c r="N837" s="3"/>
      <c r="O837" s="3" t="str">
        <f>IFERROR(VLOOKUP(C837,Sheet4!A837:F1624,6,0),"")</f>
        <v/>
      </c>
      <c r="Q837" s="2" t="str">
        <f t="shared" si="1"/>
        <v>16</v>
      </c>
    </row>
    <row r="838">
      <c r="A838" s="3" t="str">
        <f>IFERROR(__xludf.DUMMYFUNCTION("""COMPUTED_VALUE"""),"Tshoot Genset")</f>
        <v>Tshoot Genset</v>
      </c>
      <c r="B838" s="3" t="str">
        <f>IFERROR(__xludf.DUMMYFUNCTION("""COMPUTED_VALUE"""),"P1")</f>
        <v>P1</v>
      </c>
      <c r="C838" s="3" t="str">
        <f>IFERROR(__xludf.DUMMYFUNCTION("""COMPUTED_VALUE"""),"KSN714")</f>
        <v>KSN714</v>
      </c>
      <c r="D838" s="3" t="str">
        <f>IFERROR(__xludf.DUMMYFUNCTION("""COMPUTED_VALUE"""),"melky.O.Tulangow")</f>
        <v>melky.O.Tulangow</v>
      </c>
      <c r="E838" s="3" t="str">
        <f>IFERROR(__xludf.DUMMYFUNCTION("""COMPUTED_VALUE"""),"TE")</f>
        <v>TE</v>
      </c>
      <c r="F838" s="3" t="str">
        <f>IFERROR(__xludf.DUMMYFUNCTION("""COMPUTED_VALUE"""),"Doni Damara")</f>
        <v>Doni Damara</v>
      </c>
      <c r="G838" s="3" t="str">
        <f>IFERROR(__xludf.DUMMYFUNCTION("""COMPUTED_VALUE"""),"Palangkaraya")</f>
        <v>Palangkaraya</v>
      </c>
      <c r="H838" s="3" t="str">
        <f>IFERROR(__xludf.DUMMYFUNCTION("""COMPUTED_VALUE"""),"Corrective")</f>
        <v>Corrective</v>
      </c>
      <c r="I838" s="3" t="str">
        <f>IFERROR(__xludf.DUMMYFUNCTION("""COMPUTED_VALUE"""),"Perbaikan Auto,pergantian relay,timer, yang berhubungan genset")</f>
        <v>Perbaikan Auto,pergantian relay,timer, yang berhubungan genset</v>
      </c>
      <c r="J838" s="3" t="str">
        <f>IFERROR(__xludf.DUMMYFUNCTION("""COMPUTED_VALUE"""),"On Progress")</f>
        <v>On Progress</v>
      </c>
      <c r="K838" s="27">
        <f>IFERROR(__xludf.DUMMYFUNCTION("""COMPUTED_VALUE"""),46038.0)</f>
        <v>46038</v>
      </c>
      <c r="L838" s="3"/>
      <c r="M838" s="3" t="str">
        <f>IFERROR(__xludf.DUMMYFUNCTION("""COMPUTED_VALUE"""),"Waiting Update")</f>
        <v>Waiting Update</v>
      </c>
      <c r="N838" s="3"/>
      <c r="O838" s="3" t="str">
        <f>IFERROR(VLOOKUP(C838,Sheet4!A838:F1625,6,0),"")</f>
        <v/>
      </c>
      <c r="Q838" s="2" t="str">
        <f t="shared" si="1"/>
        <v>16</v>
      </c>
    </row>
    <row r="839">
      <c r="A839" s="3" t="str">
        <f>IFERROR(__xludf.DUMMYFUNCTION("""COMPUTED_VALUE"""),"PM")</f>
        <v>PM</v>
      </c>
      <c r="B839" s="3" t="str">
        <f>IFERROR(__xludf.DUMMYFUNCTION("""COMPUTED_VALUE"""),"P2")</f>
        <v>P2</v>
      </c>
      <c r="C839" s="3" t="str">
        <f>IFERROR(__xludf.DUMMYFUNCTION("""COMPUTED_VALUE"""),"KSN002")</f>
        <v>KSN002</v>
      </c>
      <c r="D839" s="3" t="str">
        <f>IFERROR(__xludf.DUMMYFUNCTION("""COMPUTED_VALUE"""),"Indra")</f>
        <v>Indra</v>
      </c>
      <c r="E839" s="3" t="str">
        <f>IFERROR(__xludf.DUMMYFUNCTION("""COMPUTED_VALUE"""),"PM")</f>
        <v>PM</v>
      </c>
      <c r="F839" s="3" t="str">
        <f>IFERROR(__xludf.DUMMYFUNCTION("""COMPUTED_VALUE"""),"Doni Damara")</f>
        <v>Doni Damara</v>
      </c>
      <c r="G839" s="3" t="str">
        <f>IFERROR(__xludf.DUMMYFUNCTION("""COMPUTED_VALUE"""),"Palangkaraya")</f>
        <v>Palangkaraya</v>
      </c>
      <c r="H839" s="3" t="str">
        <f>IFERROR(__xludf.DUMMYFUNCTION("""COMPUTED_VALUE"""),"Preventive")</f>
        <v>Preventive</v>
      </c>
      <c r="I839" s="3" t="str">
        <f>IFERROR(__xludf.DUMMYFUNCTION("""COMPUTED_VALUE"""),"Preventive Maintenance")</f>
        <v>Preventive Maintenance</v>
      </c>
      <c r="J839" s="3" t="str">
        <f>IFERROR(__xludf.DUMMYFUNCTION("""COMPUTED_VALUE"""),"On Progress")</f>
        <v>On Progress</v>
      </c>
      <c r="K839" s="27">
        <f>IFERROR(__xludf.DUMMYFUNCTION("""COMPUTED_VALUE"""),46038.0)</f>
        <v>46038</v>
      </c>
      <c r="L839" s="3"/>
      <c r="M839" s="3" t="str">
        <f>IFERROR(__xludf.DUMMYFUNCTION("""COMPUTED_VALUE"""),"Waiting Update")</f>
        <v>Waiting Update</v>
      </c>
      <c r="N839" s="3"/>
      <c r="O839" s="3" t="str">
        <f>IFERROR(VLOOKUP(C839,Sheet4!A839:F1626,6,0),"")</f>
        <v/>
      </c>
      <c r="Q839" s="2" t="str">
        <f t="shared" si="1"/>
        <v>16</v>
      </c>
    </row>
    <row r="840">
      <c r="A840" s="3" t="str">
        <f>IFERROR(__xludf.DUMMYFUNCTION("""COMPUTED_VALUE"""),"PM")</f>
        <v>PM</v>
      </c>
      <c r="B840" s="3" t="str">
        <f>IFERROR(__xludf.DUMMYFUNCTION("""COMPUTED_VALUE"""),"P2")</f>
        <v>P2</v>
      </c>
      <c r="C840" s="3" t="str">
        <f>IFERROR(__xludf.DUMMYFUNCTION("""COMPUTED_VALUE"""),"KSN763")</f>
        <v>KSN763</v>
      </c>
      <c r="D840" s="3" t="str">
        <f>IFERROR(__xludf.DUMMYFUNCTION("""COMPUTED_VALUE"""),"Darli")</f>
        <v>Darli</v>
      </c>
      <c r="E840" s="3" t="str">
        <f>IFERROR(__xludf.DUMMYFUNCTION("""COMPUTED_VALUE"""),"PM")</f>
        <v>PM</v>
      </c>
      <c r="F840" s="3" t="str">
        <f>IFERROR(__xludf.DUMMYFUNCTION("""COMPUTED_VALUE"""),"Doni Damara")</f>
        <v>Doni Damara</v>
      </c>
      <c r="G840" s="3" t="str">
        <f>IFERROR(__xludf.DUMMYFUNCTION("""COMPUTED_VALUE"""),"Palangkaraya")</f>
        <v>Palangkaraya</v>
      </c>
      <c r="H840" s="3" t="str">
        <f>IFERROR(__xludf.DUMMYFUNCTION("""COMPUTED_VALUE"""),"Preventive")</f>
        <v>Preventive</v>
      </c>
      <c r="I840" s="3" t="str">
        <f>IFERROR(__xludf.DUMMYFUNCTION("""COMPUTED_VALUE"""),"Preventive Maintenance")</f>
        <v>Preventive Maintenance</v>
      </c>
      <c r="J840" s="3" t="str">
        <f>IFERROR(__xludf.DUMMYFUNCTION("""COMPUTED_VALUE"""),"On Progress")</f>
        <v>On Progress</v>
      </c>
      <c r="K840" s="27">
        <f>IFERROR(__xludf.DUMMYFUNCTION("""COMPUTED_VALUE"""),46038.0)</f>
        <v>46038</v>
      </c>
      <c r="L840" s="3"/>
      <c r="M840" s="3" t="str">
        <f>IFERROR(__xludf.DUMMYFUNCTION("""COMPUTED_VALUE"""),"Waiting Update")</f>
        <v>Waiting Update</v>
      </c>
      <c r="N840" s="3"/>
      <c r="O840" s="3" t="str">
        <f>IFERROR(VLOOKUP(C840,Sheet4!A840:F1627,6,0),"")</f>
        <v/>
      </c>
      <c r="Q840" s="2" t="str">
        <f t="shared" si="1"/>
        <v>16</v>
      </c>
    </row>
    <row r="841">
      <c r="A841" s="3" t="str">
        <f>IFERROR(__xludf.DUMMYFUNCTION("""COMPUTED_VALUE"""),"Standby On Call")</f>
        <v>Standby On Call</v>
      </c>
      <c r="B841" s="3" t="str">
        <f>IFERROR(__xludf.DUMMYFUNCTION("""COMPUTED_VALUE"""),"P3")</f>
        <v>P3</v>
      </c>
      <c r="C841" s="3"/>
      <c r="D841" s="3" t="str">
        <f>IFERROR(__xludf.DUMMYFUNCTION("""COMPUTED_VALUE"""),"Sarwono")</f>
        <v>Sarwono</v>
      </c>
      <c r="E841" s="3" t="str">
        <f>IFERROR(__xludf.DUMMYFUNCTION("""COMPUTED_VALUE"""),"CME")</f>
        <v>CME</v>
      </c>
      <c r="F841" s="3" t="str">
        <f>IFERROR(__xludf.DUMMYFUNCTION("""COMPUTED_VALUE"""),"Doni Damara")</f>
        <v>Doni Damara</v>
      </c>
      <c r="G841" s="3" t="str">
        <f>IFERROR(__xludf.DUMMYFUNCTION("""COMPUTED_VALUE"""),"Palangkaraya")</f>
        <v>Palangkaraya</v>
      </c>
      <c r="H841" s="3" t="str">
        <f>IFERROR(__xludf.DUMMYFUNCTION("""COMPUTED_VALUE"""),"Standby")</f>
        <v>Standby</v>
      </c>
      <c r="I841" s="3" t="str">
        <f>IFERROR(__xludf.DUMMYFUNCTION("""COMPUTED_VALUE"""),"Standby On Call")</f>
        <v>Standby On Call</v>
      </c>
      <c r="J841" s="3" t="str">
        <f>IFERROR(__xludf.DUMMYFUNCTION("""COMPUTED_VALUE"""),"Standby")</f>
        <v>Standby</v>
      </c>
      <c r="K841" s="27">
        <f>IFERROR(__xludf.DUMMYFUNCTION("""COMPUTED_VALUE"""),46038.0)</f>
        <v>46038</v>
      </c>
      <c r="L841" s="3"/>
      <c r="M841" s="3" t="str">
        <f>IFERROR(__xludf.DUMMYFUNCTION("""COMPUTED_VALUE"""),"Waiting Update")</f>
        <v>Waiting Update</v>
      </c>
      <c r="N841" s="3"/>
      <c r="O841" s="3" t="str">
        <f>IFERROR(VLOOKUP(C841,Sheet4!A841:F1628,6,0),"")</f>
        <v/>
      </c>
      <c r="Q841" s="2" t="str">
        <f t="shared" si="1"/>
        <v>16</v>
      </c>
    </row>
    <row r="842">
      <c r="A842" s="3" t="str">
        <f>IFERROR(__xludf.DUMMYFUNCTION("""COMPUTED_VALUE"""),"Pengecekan Power")</f>
        <v>Pengecekan Power</v>
      </c>
      <c r="B842" s="3" t="str">
        <f>IFERROR(__xludf.DUMMYFUNCTION("""COMPUTED_VALUE"""),"P1")</f>
        <v>P1</v>
      </c>
      <c r="C842" s="3" t="str">
        <f>IFERROR(__xludf.DUMMYFUNCTION("""COMPUTED_VALUE"""),"KSN037")</f>
        <v>KSN037</v>
      </c>
      <c r="D842" s="3" t="str">
        <f>IFERROR(__xludf.DUMMYFUNCTION("""COMPUTED_VALUE"""),"hory yusmanto")</f>
        <v>hory yusmanto</v>
      </c>
      <c r="E842" s="3" t="str">
        <f>IFERROR(__xludf.DUMMYFUNCTION("""COMPUTED_VALUE"""),"MBP")</f>
        <v>MBP</v>
      </c>
      <c r="F842" s="3" t="str">
        <f>IFERROR(__xludf.DUMMYFUNCTION("""COMPUTED_VALUE"""),"Doni Damara")</f>
        <v>Doni Damara</v>
      </c>
      <c r="G842" s="3" t="str">
        <f>IFERROR(__xludf.DUMMYFUNCTION("""COMPUTED_VALUE"""),"Palangkaraya")</f>
        <v>Palangkaraya</v>
      </c>
      <c r="H842" s="3" t="str">
        <f>IFERROR(__xludf.DUMMYFUNCTION("""COMPUTED_VALUE"""),"Preventive")</f>
        <v>Preventive</v>
      </c>
      <c r="I842" s="3" t="str">
        <f>IFERROR(__xludf.DUMMYFUNCTION("""COMPUTED_VALUE"""),"MCB trip/Power upnormal")</f>
        <v>MCB trip/Power upnormal</v>
      </c>
      <c r="J842" s="3" t="str">
        <f>IFERROR(__xludf.DUMMYFUNCTION("""COMPUTED_VALUE"""),"On Progress")</f>
        <v>On Progress</v>
      </c>
      <c r="K842" s="27">
        <f>IFERROR(__xludf.DUMMYFUNCTION("""COMPUTED_VALUE"""),46038.0)</f>
        <v>46038</v>
      </c>
      <c r="L842" s="3"/>
      <c r="M842" s="3" t="str">
        <f>IFERROR(__xludf.DUMMYFUNCTION("""COMPUTED_VALUE"""),"Waiting Update")</f>
        <v>Waiting Update</v>
      </c>
      <c r="N842" s="3"/>
      <c r="O842" s="3" t="str">
        <f>IFERROR(VLOOKUP(C842,Sheet4!A842:F1629,6,0),"")</f>
        <v/>
      </c>
      <c r="Q842" s="2" t="str">
        <f t="shared" si="1"/>
        <v>16</v>
      </c>
    </row>
    <row r="843">
      <c r="A843" s="3" t="str">
        <f>IFERROR(__xludf.DUMMYFUNCTION("""COMPUTED_VALUE"""),"Standby On Call")</f>
        <v>Standby On Call</v>
      </c>
      <c r="B843" s="3" t="str">
        <f>IFERROR(__xludf.DUMMYFUNCTION("""COMPUTED_VALUE"""),"P3")</f>
        <v>P3</v>
      </c>
      <c r="C843" s="3"/>
      <c r="D843" s="3" t="str">
        <f>IFERROR(__xludf.DUMMYFUNCTION("""COMPUTED_VALUE"""),"Agus muliana pamungkas")</f>
        <v>Agus muliana pamungkas</v>
      </c>
      <c r="E843" s="3" t="str">
        <f>IFERROR(__xludf.DUMMYFUNCTION("""COMPUTED_VALUE"""),"MBP")</f>
        <v>MBP</v>
      </c>
      <c r="F843" s="3" t="str">
        <f>IFERROR(__xludf.DUMMYFUNCTION("""COMPUTED_VALUE"""),"Doni Damara")</f>
        <v>Doni Damara</v>
      </c>
      <c r="G843" s="3" t="str">
        <f>IFERROR(__xludf.DUMMYFUNCTION("""COMPUTED_VALUE"""),"Palangkaraya")</f>
        <v>Palangkaraya</v>
      </c>
      <c r="H843" s="3" t="str">
        <f>IFERROR(__xludf.DUMMYFUNCTION("""COMPUTED_VALUE"""),"Standby")</f>
        <v>Standby</v>
      </c>
      <c r="I843" s="3" t="str">
        <f>IFERROR(__xludf.DUMMYFUNCTION("""COMPUTED_VALUE"""),"Standby On Call")</f>
        <v>Standby On Call</v>
      </c>
      <c r="J843" s="3" t="str">
        <f>IFERROR(__xludf.DUMMYFUNCTION("""COMPUTED_VALUE"""),"Standby")</f>
        <v>Standby</v>
      </c>
      <c r="K843" s="27">
        <f>IFERROR(__xludf.DUMMYFUNCTION("""COMPUTED_VALUE"""),46038.0)</f>
        <v>46038</v>
      </c>
      <c r="L843" s="3"/>
      <c r="M843" s="3" t="str">
        <f>IFERROR(__xludf.DUMMYFUNCTION("""COMPUTED_VALUE"""),"Waiting Update")</f>
        <v>Waiting Update</v>
      </c>
      <c r="N843" s="3"/>
      <c r="O843" s="3" t="str">
        <f>IFERROR(VLOOKUP(C843,Sheet4!A843:F1630,6,0),"")</f>
        <v/>
      </c>
      <c r="Q843" s="2" t="str">
        <f t="shared" si="1"/>
        <v>16</v>
      </c>
    </row>
    <row r="844">
      <c r="A844" s="3" t="str">
        <f>IFERROR(__xludf.DUMMYFUNCTION("""COMPUTED_VALUE"""),"Standby On Call")</f>
        <v>Standby On Call</v>
      </c>
      <c r="B844" s="3" t="str">
        <f>IFERROR(__xludf.DUMMYFUNCTION("""COMPUTED_VALUE"""),"P3")</f>
        <v>P3</v>
      </c>
      <c r="C844" s="3"/>
      <c r="D844" s="3" t="str">
        <f>IFERROR(__xludf.DUMMYFUNCTION("""COMPUTED_VALUE"""),"Purwanto")</f>
        <v>Purwanto</v>
      </c>
      <c r="E844" s="3" t="str">
        <f>IFERROR(__xludf.DUMMYFUNCTION("""COMPUTED_VALUE"""),"MBP")</f>
        <v>MBP</v>
      </c>
      <c r="F844" s="3" t="str">
        <f>IFERROR(__xludf.DUMMYFUNCTION("""COMPUTED_VALUE"""),"Doni Damara")</f>
        <v>Doni Damara</v>
      </c>
      <c r="G844" s="3" t="str">
        <f>IFERROR(__xludf.DUMMYFUNCTION("""COMPUTED_VALUE"""),"Palangkaraya")</f>
        <v>Palangkaraya</v>
      </c>
      <c r="H844" s="3" t="str">
        <f>IFERROR(__xludf.DUMMYFUNCTION("""COMPUTED_VALUE"""),"Standby")</f>
        <v>Standby</v>
      </c>
      <c r="I844" s="3" t="str">
        <f>IFERROR(__xludf.DUMMYFUNCTION("""COMPUTED_VALUE"""),"Standby On Call")</f>
        <v>Standby On Call</v>
      </c>
      <c r="J844" s="3" t="str">
        <f>IFERROR(__xludf.DUMMYFUNCTION("""COMPUTED_VALUE"""),"Standby")</f>
        <v>Standby</v>
      </c>
      <c r="K844" s="27">
        <f>IFERROR(__xludf.DUMMYFUNCTION("""COMPUTED_VALUE"""),46038.0)</f>
        <v>46038</v>
      </c>
      <c r="L844" s="3"/>
      <c r="M844" s="3" t="str">
        <f>IFERROR(__xludf.DUMMYFUNCTION("""COMPUTED_VALUE"""),"Waiting Update")</f>
        <v>Waiting Update</v>
      </c>
      <c r="N844" s="3"/>
      <c r="O844" s="3" t="str">
        <f>IFERROR(VLOOKUP(C844,Sheet4!A844:F1631,6,0),"")</f>
        <v/>
      </c>
      <c r="Q844" s="2" t="str">
        <f t="shared" si="1"/>
        <v>16</v>
      </c>
    </row>
    <row r="845">
      <c r="A845" s="3" t="str">
        <f>IFERROR(__xludf.DUMMYFUNCTION("""COMPUTED_VALUE"""),"Pengecekan Power")</f>
        <v>Pengecekan Power</v>
      </c>
      <c r="B845" s="3" t="str">
        <f>IFERROR(__xludf.DUMMYFUNCTION("""COMPUTED_VALUE"""),"P1")</f>
        <v>P1</v>
      </c>
      <c r="C845" s="3" t="str">
        <f>IFERROR(__xludf.DUMMYFUNCTION("""COMPUTED_VALUE"""),"BNT027")</f>
        <v>BNT027</v>
      </c>
      <c r="D845" s="3" t="str">
        <f>IFERROR(__xludf.DUMMYFUNCTION("""COMPUTED_VALUE"""),"Putra wardana")</f>
        <v>Putra wardana</v>
      </c>
      <c r="E845" s="3" t="str">
        <f>IFERROR(__xludf.DUMMYFUNCTION("""COMPUTED_VALUE"""),"TE")</f>
        <v>TE</v>
      </c>
      <c r="F845" s="3" t="str">
        <f>IFERROR(__xludf.DUMMYFUNCTION("""COMPUTED_VALUE"""),"Winda Sokenda")</f>
        <v>Winda Sokenda</v>
      </c>
      <c r="G845" s="3" t="str">
        <f>IFERROR(__xludf.DUMMYFUNCTION("""COMPUTED_VALUE"""),"Barito Raya")</f>
        <v>Barito Raya</v>
      </c>
      <c r="H845" s="3" t="str">
        <f>IFERROR(__xludf.DUMMYFUNCTION("""COMPUTED_VALUE"""),"Preventive")</f>
        <v>Preventive</v>
      </c>
      <c r="I845" s="3" t="str">
        <f>IFERROR(__xludf.DUMMYFUNCTION("""COMPUTED_VALUE"""),"MCB trip/Power upnormal")</f>
        <v>MCB trip/Power upnormal</v>
      </c>
      <c r="J845" s="3" t="str">
        <f>IFERROR(__xludf.DUMMYFUNCTION("""COMPUTED_VALUE"""),"On Progress")</f>
        <v>On Progress</v>
      </c>
      <c r="K845" s="27">
        <f>IFERROR(__xludf.DUMMYFUNCTION("""COMPUTED_VALUE"""),46041.0)</f>
        <v>46041</v>
      </c>
      <c r="L845" s="27">
        <f>IFERROR(__xludf.DUMMYFUNCTION("""COMPUTED_VALUE"""),46041.0)</f>
        <v>46041</v>
      </c>
      <c r="M845" s="3" t="str">
        <f>IFERROR(__xludf.DUMMYFUNCTION("""COMPUTED_VALUE"""),"Done")</f>
        <v>Done</v>
      </c>
      <c r="N845" s="3"/>
      <c r="O845" s="3" t="str">
        <f>IFERROR(VLOOKUP(C845,Sheet4!A845:F1632,6,0),"")</f>
        <v/>
      </c>
      <c r="Q845" s="2" t="str">
        <f t="shared" si="1"/>
        <v>19</v>
      </c>
    </row>
    <row r="846">
      <c r="A846" s="3" t="str">
        <f>IFERROR(__xludf.DUMMYFUNCTION("""COMPUTED_VALUE"""),"Cell down")</f>
        <v>Cell down</v>
      </c>
      <c r="B846" s="3" t="str">
        <f>IFERROR(__xludf.DUMMYFUNCTION("""COMPUTED_VALUE"""),"P1")</f>
        <v>P1</v>
      </c>
      <c r="C846" s="3" t="str">
        <f>IFERROR(__xludf.DUMMYFUNCTION("""COMPUTED_VALUE"""),"BNT525")</f>
        <v>BNT525</v>
      </c>
      <c r="D846" s="3" t="str">
        <f>IFERROR(__xludf.DUMMYFUNCTION("""COMPUTED_VALUE"""),"Sailillah")</f>
        <v>Sailillah</v>
      </c>
      <c r="E846" s="3" t="str">
        <f>IFERROR(__xludf.DUMMYFUNCTION("""COMPUTED_VALUE"""),"TE")</f>
        <v>TE</v>
      </c>
      <c r="F846" s="3" t="str">
        <f>IFERROR(__xludf.DUMMYFUNCTION("""COMPUTED_VALUE"""),"Winda Sokenda")</f>
        <v>Winda Sokenda</v>
      </c>
      <c r="G846" s="3" t="str">
        <f>IFERROR(__xludf.DUMMYFUNCTION("""COMPUTED_VALUE"""),"Barito Raya")</f>
        <v>Barito Raya</v>
      </c>
      <c r="H846" s="3" t="str">
        <f>IFERROR(__xludf.DUMMYFUNCTION("""COMPUTED_VALUE"""),"Corrective")</f>
        <v>Corrective</v>
      </c>
      <c r="I846" s="3" t="str">
        <f>IFERROR(__xludf.DUMMYFUNCTION("""COMPUTED_VALUE"""),"Replace Optik,RRU/Soket Power/Replace GPS")</f>
        <v>Replace Optik,RRU/Soket Power/Replace GPS</v>
      </c>
      <c r="J846" s="3" t="str">
        <f>IFERROR(__xludf.DUMMYFUNCTION("""COMPUTED_VALUE"""),"Waiting Material")</f>
        <v>Waiting Material</v>
      </c>
      <c r="K846" s="27">
        <f>IFERROR(__xludf.DUMMYFUNCTION("""COMPUTED_VALUE"""),46041.0)</f>
        <v>46041</v>
      </c>
      <c r="L846" s="27">
        <f>IFERROR(__xludf.DUMMYFUNCTION("""COMPUTED_VALUE"""),46041.0)</f>
        <v>46041</v>
      </c>
      <c r="M846" s="3" t="str">
        <f>IFERROR(__xludf.DUMMYFUNCTION("""COMPUTED_VALUE"""),"Pending")</f>
        <v>Pending</v>
      </c>
      <c r="N846" s="3"/>
      <c r="O846" s="3" t="str">
        <f>IFERROR(VLOOKUP(C846,Sheet4!A846:F1633,6,0),"")</f>
        <v/>
      </c>
      <c r="Q846" s="2" t="str">
        <f t="shared" si="1"/>
        <v>19</v>
      </c>
    </row>
    <row r="847">
      <c r="A847" s="3" t="str">
        <f>IFERROR(__xludf.DUMMYFUNCTION("""COMPUTED_VALUE"""),"Cell down")</f>
        <v>Cell down</v>
      </c>
      <c r="B847" s="3" t="str">
        <f>IFERROR(__xludf.DUMMYFUNCTION("""COMPUTED_VALUE"""),"P1")</f>
        <v>P1</v>
      </c>
      <c r="C847" s="3" t="str">
        <f>IFERROR(__xludf.DUMMYFUNCTION("""COMPUTED_VALUE"""),"BNT525")</f>
        <v>BNT525</v>
      </c>
      <c r="D847" s="3" t="str">
        <f>IFERROR(__xludf.DUMMYFUNCTION("""COMPUTED_VALUE"""),"Tiviansyah")</f>
        <v>Tiviansyah</v>
      </c>
      <c r="E847" s="3" t="str">
        <f>IFERROR(__xludf.DUMMYFUNCTION("""COMPUTED_VALUE"""),"TE")</f>
        <v>TE</v>
      </c>
      <c r="F847" s="3" t="str">
        <f>IFERROR(__xludf.DUMMYFUNCTION("""COMPUTED_VALUE"""),"Winda Sokenda")</f>
        <v>Winda Sokenda</v>
      </c>
      <c r="G847" s="3" t="str">
        <f>IFERROR(__xludf.DUMMYFUNCTION("""COMPUTED_VALUE"""),"Barito Raya")</f>
        <v>Barito Raya</v>
      </c>
      <c r="H847" s="3" t="str">
        <f>IFERROR(__xludf.DUMMYFUNCTION("""COMPUTED_VALUE"""),"Corrective")</f>
        <v>Corrective</v>
      </c>
      <c r="I847" s="3" t="str">
        <f>IFERROR(__xludf.DUMMYFUNCTION("""COMPUTED_VALUE"""),"Replace Optik,RRU/Soket Power/Replace GPS")</f>
        <v>Replace Optik,RRU/Soket Power/Replace GPS</v>
      </c>
      <c r="J847" s="3" t="str">
        <f>IFERROR(__xludf.DUMMYFUNCTION("""COMPUTED_VALUE"""),"Waiting Material")</f>
        <v>Waiting Material</v>
      </c>
      <c r="K847" s="27">
        <f>IFERROR(__xludf.DUMMYFUNCTION("""COMPUTED_VALUE"""),46041.0)</f>
        <v>46041</v>
      </c>
      <c r="L847" s="27">
        <f>IFERROR(__xludf.DUMMYFUNCTION("""COMPUTED_VALUE"""),46041.0)</f>
        <v>46041</v>
      </c>
      <c r="M847" s="3" t="str">
        <f>IFERROR(__xludf.DUMMYFUNCTION("""COMPUTED_VALUE"""),"Pending")</f>
        <v>Pending</v>
      </c>
      <c r="N847" s="3"/>
      <c r="O847" s="3" t="str">
        <f>IFERROR(VLOOKUP(C847,Sheet4!A847:F1634,6,0),"")</f>
        <v/>
      </c>
      <c r="Q847" s="2" t="str">
        <f t="shared" si="1"/>
        <v>19</v>
      </c>
    </row>
    <row r="848">
      <c r="A848" s="3" t="str">
        <f>IFERROR(__xludf.DUMMYFUNCTION("""COMPUTED_VALUE"""),"Cell down")</f>
        <v>Cell down</v>
      </c>
      <c r="B848" s="3" t="str">
        <f>IFERROR(__xludf.DUMMYFUNCTION("""COMPUTED_VALUE"""),"P1")</f>
        <v>P1</v>
      </c>
      <c r="C848" s="3" t="str">
        <f>IFERROR(__xludf.DUMMYFUNCTION("""COMPUTED_VALUE"""),"MTW001")</f>
        <v>MTW001</v>
      </c>
      <c r="D848" s="3" t="str">
        <f>IFERROR(__xludf.DUMMYFUNCTION("""COMPUTED_VALUE"""),"munawir akhmad")</f>
        <v>munawir akhmad</v>
      </c>
      <c r="E848" s="3" t="str">
        <f>IFERROR(__xludf.DUMMYFUNCTION("""COMPUTED_VALUE"""),"TE")</f>
        <v>TE</v>
      </c>
      <c r="F848" s="3" t="str">
        <f>IFERROR(__xludf.DUMMYFUNCTION("""COMPUTED_VALUE"""),"Winda Sokenda")</f>
        <v>Winda Sokenda</v>
      </c>
      <c r="G848" s="3" t="str">
        <f>IFERROR(__xludf.DUMMYFUNCTION("""COMPUTED_VALUE"""),"Barito Raya")</f>
        <v>Barito Raya</v>
      </c>
      <c r="H848" s="3" t="str">
        <f>IFERROR(__xludf.DUMMYFUNCTION("""COMPUTED_VALUE"""),"Corrective")</f>
        <v>Corrective</v>
      </c>
      <c r="I848" s="3" t="str">
        <f>IFERROR(__xludf.DUMMYFUNCTION("""COMPUTED_VALUE"""),"Replace Optik,RRU/Soket Power/Replace GPS")</f>
        <v>Replace Optik,RRU/Soket Power/Replace GPS</v>
      </c>
      <c r="J848" s="3" t="str">
        <f>IFERROR(__xludf.DUMMYFUNCTION("""COMPUTED_VALUE"""),"On Progress")</f>
        <v>On Progress</v>
      </c>
      <c r="K848" s="27">
        <f>IFERROR(__xludf.DUMMYFUNCTION("""COMPUTED_VALUE"""),46041.0)</f>
        <v>46041</v>
      </c>
      <c r="L848" s="27">
        <f>IFERROR(__xludf.DUMMYFUNCTION("""COMPUTED_VALUE"""),46041.0)</f>
        <v>46041</v>
      </c>
      <c r="M848" s="3" t="str">
        <f>IFERROR(__xludf.DUMMYFUNCTION("""COMPUTED_VALUE"""),"Done")</f>
        <v>Done</v>
      </c>
      <c r="N848" s="3"/>
      <c r="O848" s="3" t="str">
        <f>IFERROR(VLOOKUP(C848,Sheet4!A848:F1635,6,0),"")</f>
        <v/>
      </c>
      <c r="Q848" s="2" t="str">
        <f t="shared" si="1"/>
        <v>19</v>
      </c>
    </row>
    <row r="849">
      <c r="A849" s="3" t="str">
        <f>IFERROR(__xludf.DUMMYFUNCTION("""COMPUTED_VALUE"""),"Cell down")</f>
        <v>Cell down</v>
      </c>
      <c r="B849" s="3" t="str">
        <f>IFERROR(__xludf.DUMMYFUNCTION("""COMPUTED_VALUE"""),"P1")</f>
        <v>P1</v>
      </c>
      <c r="C849" s="3" t="str">
        <f>IFERROR(__xludf.DUMMYFUNCTION("""COMPUTED_VALUE"""),"MTW001")</f>
        <v>MTW001</v>
      </c>
      <c r="D849" s="3" t="str">
        <f>IFERROR(__xludf.DUMMYFUNCTION("""COMPUTED_VALUE"""),"Riki Hidayat")</f>
        <v>Riki Hidayat</v>
      </c>
      <c r="E849" s="3" t="str">
        <f>IFERROR(__xludf.DUMMYFUNCTION("""COMPUTED_VALUE"""),"TE")</f>
        <v>TE</v>
      </c>
      <c r="F849" s="3" t="str">
        <f>IFERROR(__xludf.DUMMYFUNCTION("""COMPUTED_VALUE"""),"Winda Sokenda")</f>
        <v>Winda Sokenda</v>
      </c>
      <c r="G849" s="3" t="str">
        <f>IFERROR(__xludf.DUMMYFUNCTION("""COMPUTED_VALUE"""),"Barito Raya")</f>
        <v>Barito Raya</v>
      </c>
      <c r="H849" s="3" t="str">
        <f>IFERROR(__xludf.DUMMYFUNCTION("""COMPUTED_VALUE"""),"Corrective")</f>
        <v>Corrective</v>
      </c>
      <c r="I849" s="3" t="str">
        <f>IFERROR(__xludf.DUMMYFUNCTION("""COMPUTED_VALUE"""),"Replace Optik,RRU/Soket Power/Replace GPS")</f>
        <v>Replace Optik,RRU/Soket Power/Replace GPS</v>
      </c>
      <c r="J849" s="3" t="str">
        <f>IFERROR(__xludf.DUMMYFUNCTION("""COMPUTED_VALUE"""),"On Progress")</f>
        <v>On Progress</v>
      </c>
      <c r="K849" s="27">
        <f>IFERROR(__xludf.DUMMYFUNCTION("""COMPUTED_VALUE"""),46041.0)</f>
        <v>46041</v>
      </c>
      <c r="L849" s="27">
        <f>IFERROR(__xludf.DUMMYFUNCTION("""COMPUTED_VALUE"""),46041.0)</f>
        <v>46041</v>
      </c>
      <c r="M849" s="3" t="str">
        <f>IFERROR(__xludf.DUMMYFUNCTION("""COMPUTED_VALUE"""),"Done")</f>
        <v>Done</v>
      </c>
      <c r="N849" s="3"/>
      <c r="O849" s="3" t="str">
        <f>IFERROR(VLOOKUP(C849,Sheet4!A849:F1636,6,0),"")</f>
        <v/>
      </c>
      <c r="Q849" s="2" t="str">
        <f t="shared" si="1"/>
        <v>19</v>
      </c>
    </row>
    <row r="850">
      <c r="A850" s="3" t="str">
        <f>IFERROR(__xludf.DUMMYFUNCTION("""COMPUTED_VALUE"""),"Pengecekan Power")</f>
        <v>Pengecekan Power</v>
      </c>
      <c r="B850" s="3" t="str">
        <f>IFERROR(__xludf.DUMMYFUNCTION("""COMPUTED_VALUE"""),"P1")</f>
        <v>P1</v>
      </c>
      <c r="C850" s="3" t="str">
        <f>IFERROR(__xludf.DUMMYFUNCTION("""COMPUTED_VALUE"""),"PRC200")</f>
        <v>PRC200</v>
      </c>
      <c r="D850" s="3" t="str">
        <f>IFERROR(__xludf.DUMMYFUNCTION("""COMPUTED_VALUE"""),"Murjani")</f>
        <v>Murjani</v>
      </c>
      <c r="E850" s="3" t="str">
        <f>IFERROR(__xludf.DUMMYFUNCTION("""COMPUTED_VALUE"""),"TE")</f>
        <v>TE</v>
      </c>
      <c r="F850" s="3" t="str">
        <f>IFERROR(__xludf.DUMMYFUNCTION("""COMPUTED_VALUE"""),"Winda Sokenda")</f>
        <v>Winda Sokenda</v>
      </c>
      <c r="G850" s="3" t="str">
        <f>IFERROR(__xludf.DUMMYFUNCTION("""COMPUTED_VALUE"""),"Barito Raya")</f>
        <v>Barito Raya</v>
      </c>
      <c r="H850" s="3" t="str">
        <f>IFERROR(__xludf.DUMMYFUNCTION("""COMPUTED_VALUE"""),"Preventive")</f>
        <v>Preventive</v>
      </c>
      <c r="I850" s="3" t="str">
        <f>IFERROR(__xludf.DUMMYFUNCTION("""COMPUTED_VALUE"""),"MCB trip/Power upnormal")</f>
        <v>MCB trip/Power upnormal</v>
      </c>
      <c r="J850" s="3" t="str">
        <f>IFERROR(__xludf.DUMMYFUNCTION("""COMPUTED_VALUE"""),"On Progress")</f>
        <v>On Progress</v>
      </c>
      <c r="K850" s="27">
        <f>IFERROR(__xludf.DUMMYFUNCTION("""COMPUTED_VALUE"""),46041.0)</f>
        <v>46041</v>
      </c>
      <c r="L850" s="27">
        <f>IFERROR(__xludf.DUMMYFUNCTION("""COMPUTED_VALUE"""),46041.0)</f>
        <v>46041</v>
      </c>
      <c r="M850" s="3" t="str">
        <f>IFERROR(__xludf.DUMMYFUNCTION("""COMPUTED_VALUE"""),"Done")</f>
        <v>Done</v>
      </c>
      <c r="N850" s="3"/>
      <c r="O850" s="3" t="str">
        <f>IFERROR(VLOOKUP(C850,Sheet4!A850:F1637,6,0),"")</f>
        <v/>
      </c>
      <c r="Q850" s="2" t="str">
        <f t="shared" si="1"/>
        <v>19</v>
      </c>
    </row>
    <row r="851">
      <c r="A851" s="3" t="str">
        <f>IFERROR(__xludf.DUMMYFUNCTION("""COMPUTED_VALUE"""),"Pengecekan Power")</f>
        <v>Pengecekan Power</v>
      </c>
      <c r="B851" s="3" t="str">
        <f>IFERROR(__xludf.DUMMYFUNCTION("""COMPUTED_VALUE"""),"P1")</f>
        <v>P1</v>
      </c>
      <c r="C851" s="3" t="str">
        <f>IFERROR(__xludf.DUMMYFUNCTION("""COMPUTED_VALUE"""),"COH943")</f>
        <v>COH943</v>
      </c>
      <c r="D851" s="3" t="str">
        <f>IFERROR(__xludf.DUMMYFUNCTION("""COMPUTED_VALUE"""),"Armadi")</f>
        <v>Armadi</v>
      </c>
      <c r="E851" s="3" t="str">
        <f>IFERROR(__xludf.DUMMYFUNCTION("""COMPUTED_VALUE"""),"TE")</f>
        <v>TE</v>
      </c>
      <c r="F851" s="3" t="str">
        <f>IFERROR(__xludf.DUMMYFUNCTION("""COMPUTED_VALUE"""),"Winda Sokenda")</f>
        <v>Winda Sokenda</v>
      </c>
      <c r="G851" s="3" t="str">
        <f>IFERROR(__xludf.DUMMYFUNCTION("""COMPUTED_VALUE"""),"Barito Raya")</f>
        <v>Barito Raya</v>
      </c>
      <c r="H851" s="3" t="str">
        <f>IFERROR(__xludf.DUMMYFUNCTION("""COMPUTED_VALUE"""),"Preventive")</f>
        <v>Preventive</v>
      </c>
      <c r="I851" s="3" t="str">
        <f>IFERROR(__xludf.DUMMYFUNCTION("""COMPUTED_VALUE"""),"MCB trip/Power upnormal")</f>
        <v>MCB trip/Power upnormal</v>
      </c>
      <c r="J851" s="3" t="str">
        <f>IFERROR(__xludf.DUMMYFUNCTION("""COMPUTED_VALUE"""),"On Progress")</f>
        <v>On Progress</v>
      </c>
      <c r="K851" s="27">
        <f>IFERROR(__xludf.DUMMYFUNCTION("""COMPUTED_VALUE"""),46041.0)</f>
        <v>46041</v>
      </c>
      <c r="L851" s="27">
        <f>IFERROR(__xludf.DUMMYFUNCTION("""COMPUTED_VALUE"""),46041.0)</f>
        <v>46041</v>
      </c>
      <c r="M851" s="3" t="str">
        <f>IFERROR(__xludf.DUMMYFUNCTION("""COMPUTED_VALUE"""),"Done")</f>
        <v>Done</v>
      </c>
      <c r="N851" s="3"/>
      <c r="O851" s="3" t="str">
        <f>IFERROR(VLOOKUP(C851,Sheet4!A851:F1638,6,0),"")</f>
        <v/>
      </c>
      <c r="Q851" s="2" t="str">
        <f t="shared" si="1"/>
        <v>19</v>
      </c>
    </row>
    <row r="852">
      <c r="A852" s="3" t="str">
        <f>IFERROR(__xludf.DUMMYFUNCTION("""COMPUTED_VALUE"""),"PM")</f>
        <v>PM</v>
      </c>
      <c r="B852" s="3" t="str">
        <f>IFERROR(__xludf.DUMMYFUNCTION("""COMPUTED_VALUE"""),"P2")</f>
        <v>P2</v>
      </c>
      <c r="C852" s="3" t="str">
        <f>IFERROR(__xludf.DUMMYFUNCTION("""COMPUTED_VALUE"""),"KKP038")</f>
        <v>KKP038</v>
      </c>
      <c r="D852" s="3" t="str">
        <f>IFERROR(__xludf.DUMMYFUNCTION("""COMPUTED_VALUE"""),"Reynaldy Ricardo Putra")</f>
        <v>Reynaldy Ricardo Putra</v>
      </c>
      <c r="E852" s="3" t="str">
        <f>IFERROR(__xludf.DUMMYFUNCTION("""COMPUTED_VALUE"""),"TE")</f>
        <v>TE</v>
      </c>
      <c r="F852" s="3" t="str">
        <f>IFERROR(__xludf.DUMMYFUNCTION("""COMPUTED_VALUE"""),"Winda Sokenda")</f>
        <v>Winda Sokenda</v>
      </c>
      <c r="G852" s="3" t="str">
        <f>IFERROR(__xludf.DUMMYFUNCTION("""COMPUTED_VALUE"""),"Barito Raya")</f>
        <v>Barito Raya</v>
      </c>
      <c r="H852" s="3" t="str">
        <f>IFERROR(__xludf.DUMMYFUNCTION("""COMPUTED_VALUE"""),"Preventive")</f>
        <v>Preventive</v>
      </c>
      <c r="I852" s="3" t="str">
        <f>IFERROR(__xludf.DUMMYFUNCTION("""COMPUTED_VALUE"""),"Preventive Maintenance")</f>
        <v>Preventive Maintenance</v>
      </c>
      <c r="J852" s="3" t="str">
        <f>IFERROR(__xludf.DUMMYFUNCTION("""COMPUTED_VALUE"""),"On Progress")</f>
        <v>On Progress</v>
      </c>
      <c r="K852" s="27">
        <f>IFERROR(__xludf.DUMMYFUNCTION("""COMPUTED_VALUE"""),46041.0)</f>
        <v>46041</v>
      </c>
      <c r="L852" s="27">
        <f>IFERROR(__xludf.DUMMYFUNCTION("""COMPUTED_VALUE"""),46041.0)</f>
        <v>46041</v>
      </c>
      <c r="M852" s="3" t="str">
        <f>IFERROR(__xludf.DUMMYFUNCTION("""COMPUTED_VALUE"""),"Done")</f>
        <v>Done</v>
      </c>
      <c r="N852" s="3"/>
      <c r="O852" s="3" t="str">
        <f>IFERROR(VLOOKUP(C852,Sheet4!A852:F1639,6,0),"")</f>
        <v/>
      </c>
      <c r="Q852" s="2" t="str">
        <f t="shared" si="1"/>
        <v>19</v>
      </c>
    </row>
    <row r="853">
      <c r="A853" s="3" t="str">
        <f>IFERROR(__xludf.DUMMYFUNCTION("""COMPUTED_VALUE"""),"Pengawalan akses Vendor")</f>
        <v>Pengawalan akses Vendor</v>
      </c>
      <c r="B853" s="3" t="str">
        <f>IFERROR(__xludf.DUMMYFUNCTION("""COMPUTED_VALUE"""),"P3")</f>
        <v>P3</v>
      </c>
      <c r="C853" s="3" t="str">
        <f>IFERROR(__xludf.DUMMYFUNCTION("""COMPUTED_VALUE"""),"KKP093")</f>
        <v>KKP093</v>
      </c>
      <c r="D853" s="3" t="str">
        <f>IFERROR(__xludf.DUMMYFUNCTION("""COMPUTED_VALUE"""),"Sahrul Saputra")</f>
        <v>Sahrul Saputra</v>
      </c>
      <c r="E853" s="3" t="str">
        <f>IFERROR(__xludf.DUMMYFUNCTION("""COMPUTED_VALUE"""),"TE")</f>
        <v>TE</v>
      </c>
      <c r="F853" s="3" t="str">
        <f>IFERROR(__xludf.DUMMYFUNCTION("""COMPUTED_VALUE"""),"Winda Sokenda")</f>
        <v>Winda Sokenda</v>
      </c>
      <c r="G853" s="3" t="str">
        <f>IFERROR(__xludf.DUMMYFUNCTION("""COMPUTED_VALUE"""),"Barito Raya")</f>
        <v>Barito Raya</v>
      </c>
      <c r="H853" s="3" t="str">
        <f>IFERROR(__xludf.DUMMYFUNCTION("""COMPUTED_VALUE"""),"Preventive")</f>
        <v>Preventive</v>
      </c>
      <c r="I853" s="3" t="str">
        <f>IFERROR(__xludf.DUMMYFUNCTION("""COMPUTED_VALUE"""),"Pengawalan akses Vendor")</f>
        <v>Pengawalan akses Vendor</v>
      </c>
      <c r="J853" s="3" t="str">
        <f>IFERROR(__xludf.DUMMYFUNCTION("""COMPUTED_VALUE"""),"On Progress")</f>
        <v>On Progress</v>
      </c>
      <c r="K853" s="27">
        <f>IFERROR(__xludf.DUMMYFUNCTION("""COMPUTED_VALUE"""),46041.0)</f>
        <v>46041</v>
      </c>
      <c r="L853" s="27">
        <f>IFERROR(__xludf.DUMMYFUNCTION("""COMPUTED_VALUE"""),46041.0)</f>
        <v>46041</v>
      </c>
      <c r="M853" s="3" t="str">
        <f>IFERROR(__xludf.DUMMYFUNCTION("""COMPUTED_VALUE"""),"Done")</f>
        <v>Done</v>
      </c>
      <c r="N853" s="3"/>
      <c r="O853" s="3" t="str">
        <f>IFERROR(VLOOKUP(C853,Sheet4!A853:F1640,6,0),"")</f>
        <v/>
      </c>
      <c r="Q853" s="2" t="str">
        <f t="shared" si="1"/>
        <v>19</v>
      </c>
    </row>
    <row r="854">
      <c r="A854" s="3" t="str">
        <f>IFERROR(__xludf.DUMMYFUNCTION("""COMPUTED_VALUE"""),"Standby On Call")</f>
        <v>Standby On Call</v>
      </c>
      <c r="B854" s="3" t="str">
        <f>IFERROR(__xludf.DUMMYFUNCTION("""COMPUTED_VALUE"""),"P3")</f>
        <v>P3</v>
      </c>
      <c r="C854" s="3"/>
      <c r="D854" s="3" t="str">
        <f>IFERROR(__xludf.DUMMYFUNCTION("""COMPUTED_VALUE"""),"Nurhayat")</f>
        <v>Nurhayat</v>
      </c>
      <c r="E854" s="3" t="str">
        <f>IFERROR(__xludf.DUMMYFUNCTION("""COMPUTED_VALUE"""),"MBP")</f>
        <v>MBP</v>
      </c>
      <c r="F854" s="3" t="str">
        <f>IFERROR(__xludf.DUMMYFUNCTION("""COMPUTED_VALUE"""),"Winda Sokenda")</f>
        <v>Winda Sokenda</v>
      </c>
      <c r="G854" s="3" t="str">
        <f>IFERROR(__xludf.DUMMYFUNCTION("""COMPUTED_VALUE"""),"Barito Raya")</f>
        <v>Barito Raya</v>
      </c>
      <c r="H854" s="3" t="str">
        <f>IFERROR(__xludf.DUMMYFUNCTION("""COMPUTED_VALUE"""),"Standby")</f>
        <v>Standby</v>
      </c>
      <c r="I854" s="3" t="str">
        <f>IFERROR(__xludf.DUMMYFUNCTION("""COMPUTED_VALUE"""),"Standby On Call")</f>
        <v>Standby On Call</v>
      </c>
      <c r="J854" s="3"/>
      <c r="K854" s="27">
        <f>IFERROR(__xludf.DUMMYFUNCTION("""COMPUTED_VALUE"""),46041.0)</f>
        <v>46041</v>
      </c>
      <c r="L854" s="27">
        <f>IFERROR(__xludf.DUMMYFUNCTION("""COMPUTED_VALUE"""),46041.0)</f>
        <v>46041</v>
      </c>
      <c r="M854" s="3"/>
      <c r="N854" s="3"/>
      <c r="O854" s="3" t="str">
        <f>IFERROR(VLOOKUP(C854,Sheet4!A854:F1641,6,0),"")</f>
        <v/>
      </c>
      <c r="Q854" s="2" t="str">
        <f t="shared" si="1"/>
        <v>19</v>
      </c>
    </row>
    <row r="855">
      <c r="A855" s="3" t="str">
        <f>IFERROR(__xludf.DUMMYFUNCTION("""COMPUTED_VALUE"""),"Standby On Call")</f>
        <v>Standby On Call</v>
      </c>
      <c r="B855" s="3" t="str">
        <f>IFERROR(__xludf.DUMMYFUNCTION("""COMPUTED_VALUE"""),"P3")</f>
        <v>P3</v>
      </c>
      <c r="C855" s="3"/>
      <c r="D855" s="3" t="str">
        <f>IFERROR(__xludf.DUMMYFUNCTION("""COMPUTED_VALUE"""),"Harun Nurasyid")</f>
        <v>Harun Nurasyid</v>
      </c>
      <c r="E855" s="3" t="str">
        <f>IFERROR(__xludf.DUMMYFUNCTION("""COMPUTED_VALUE"""),"CME")</f>
        <v>CME</v>
      </c>
      <c r="F855" s="3" t="str">
        <f>IFERROR(__xludf.DUMMYFUNCTION("""COMPUTED_VALUE"""),"Winda Sokenda")</f>
        <v>Winda Sokenda</v>
      </c>
      <c r="G855" s="3" t="str">
        <f>IFERROR(__xludf.DUMMYFUNCTION("""COMPUTED_VALUE"""),"Barito Raya")</f>
        <v>Barito Raya</v>
      </c>
      <c r="H855" s="3" t="str">
        <f>IFERROR(__xludf.DUMMYFUNCTION("""COMPUTED_VALUE"""),"Standby")</f>
        <v>Standby</v>
      </c>
      <c r="I855" s="3" t="str">
        <f>IFERROR(__xludf.DUMMYFUNCTION("""COMPUTED_VALUE"""),"Standby On Call")</f>
        <v>Standby On Call</v>
      </c>
      <c r="J855" s="3"/>
      <c r="K855" s="27">
        <f>IFERROR(__xludf.DUMMYFUNCTION("""COMPUTED_VALUE"""),46041.0)</f>
        <v>46041</v>
      </c>
      <c r="L855" s="27">
        <f>IFERROR(__xludf.DUMMYFUNCTION("""COMPUTED_VALUE"""),46041.0)</f>
        <v>46041</v>
      </c>
      <c r="M855" s="3"/>
      <c r="N855" s="3"/>
      <c r="O855" s="3" t="str">
        <f>IFERROR(VLOOKUP(C855,Sheet4!A855:F1642,6,0),"")</f>
        <v/>
      </c>
      <c r="Q855" s="2" t="str">
        <f t="shared" si="1"/>
        <v>19</v>
      </c>
    </row>
    <row r="856">
      <c r="A856" s="3" t="str">
        <f>IFERROR(__xludf.DUMMYFUNCTION("""COMPUTED_VALUE"""),"Standby On Call")</f>
        <v>Standby On Call</v>
      </c>
      <c r="B856" s="3" t="str">
        <f>IFERROR(__xludf.DUMMYFUNCTION("""COMPUTED_VALUE"""),"P3")</f>
        <v>P3</v>
      </c>
      <c r="C856" s="3"/>
      <c r="D856" s="3" t="str">
        <f>IFERROR(__xludf.DUMMYFUNCTION("""COMPUTED_VALUE"""),"Taklim")</f>
        <v>Taklim</v>
      </c>
      <c r="E856" s="3" t="str">
        <f>IFERROR(__xludf.DUMMYFUNCTION("""COMPUTED_VALUE"""),"MBP")</f>
        <v>MBP</v>
      </c>
      <c r="F856" s="3" t="str">
        <f>IFERROR(__xludf.DUMMYFUNCTION("""COMPUTED_VALUE"""),"Winda Sokenda")</f>
        <v>Winda Sokenda</v>
      </c>
      <c r="G856" s="3" t="str">
        <f>IFERROR(__xludf.DUMMYFUNCTION("""COMPUTED_VALUE"""),"Barito Raya")</f>
        <v>Barito Raya</v>
      </c>
      <c r="H856" s="3" t="str">
        <f>IFERROR(__xludf.DUMMYFUNCTION("""COMPUTED_VALUE"""),"Standby")</f>
        <v>Standby</v>
      </c>
      <c r="I856" s="3" t="str">
        <f>IFERROR(__xludf.DUMMYFUNCTION("""COMPUTED_VALUE"""),"Standby On Call")</f>
        <v>Standby On Call</v>
      </c>
      <c r="J856" s="3"/>
      <c r="K856" s="27">
        <f>IFERROR(__xludf.DUMMYFUNCTION("""COMPUTED_VALUE"""),46041.0)</f>
        <v>46041</v>
      </c>
      <c r="L856" s="27">
        <f>IFERROR(__xludf.DUMMYFUNCTION("""COMPUTED_VALUE"""),46041.0)</f>
        <v>46041</v>
      </c>
      <c r="M856" s="3"/>
      <c r="N856" s="3"/>
      <c r="O856" s="3" t="str">
        <f>IFERROR(VLOOKUP(C856,Sheet4!A856:F1643,6,0),"")</f>
        <v/>
      </c>
      <c r="Q856" s="2" t="str">
        <f t="shared" si="1"/>
        <v>19</v>
      </c>
    </row>
    <row r="857">
      <c r="A857" s="3" t="str">
        <f>IFERROR(__xludf.DUMMYFUNCTION("""COMPUTED_VALUE"""),"Standby On Call")</f>
        <v>Standby On Call</v>
      </c>
      <c r="B857" s="3" t="str">
        <f>IFERROR(__xludf.DUMMYFUNCTION("""COMPUTED_VALUE"""),"P3")</f>
        <v>P3</v>
      </c>
      <c r="C857" s="3"/>
      <c r="D857" s="3" t="str">
        <f>IFERROR(__xludf.DUMMYFUNCTION("""COMPUTED_VALUE"""),"Ahmad Muzakir")</f>
        <v>Ahmad Muzakir</v>
      </c>
      <c r="E857" s="3" t="str">
        <f>IFERROR(__xludf.DUMMYFUNCTION("""COMPUTED_VALUE"""),"MBP")</f>
        <v>MBP</v>
      </c>
      <c r="F857" s="3" t="str">
        <f>IFERROR(__xludf.DUMMYFUNCTION("""COMPUTED_VALUE"""),"Winda Sokenda")</f>
        <v>Winda Sokenda</v>
      </c>
      <c r="G857" s="3" t="str">
        <f>IFERROR(__xludf.DUMMYFUNCTION("""COMPUTED_VALUE"""),"Barito Raya")</f>
        <v>Barito Raya</v>
      </c>
      <c r="H857" s="3" t="str">
        <f>IFERROR(__xludf.DUMMYFUNCTION("""COMPUTED_VALUE"""),"Standby")</f>
        <v>Standby</v>
      </c>
      <c r="I857" s="3" t="str">
        <f>IFERROR(__xludf.DUMMYFUNCTION("""COMPUTED_VALUE"""),"Standby On Call")</f>
        <v>Standby On Call</v>
      </c>
      <c r="J857" s="3"/>
      <c r="K857" s="27">
        <f>IFERROR(__xludf.DUMMYFUNCTION("""COMPUTED_VALUE"""),46041.0)</f>
        <v>46041</v>
      </c>
      <c r="L857" s="27">
        <f>IFERROR(__xludf.DUMMYFUNCTION("""COMPUTED_VALUE"""),46041.0)</f>
        <v>46041</v>
      </c>
      <c r="M857" s="3"/>
      <c r="N857" s="3"/>
      <c r="O857" s="3" t="str">
        <f>IFERROR(VLOOKUP(C857,Sheet4!A857:F1644,6,0),"")</f>
        <v/>
      </c>
      <c r="Q857" s="2" t="str">
        <f t="shared" si="1"/>
        <v>19</v>
      </c>
    </row>
    <row r="858">
      <c r="A858" s="3" t="str">
        <f>IFERROR(__xludf.DUMMYFUNCTION("""COMPUTED_VALUE"""),"Standby On Call")</f>
        <v>Standby On Call</v>
      </c>
      <c r="B858" s="3" t="str">
        <f>IFERROR(__xludf.DUMMYFUNCTION("""COMPUTED_VALUE"""),"P3")</f>
        <v>P3</v>
      </c>
      <c r="C858" s="3"/>
      <c r="D858" s="3" t="str">
        <f>IFERROR(__xludf.DUMMYFUNCTION("""COMPUTED_VALUE"""),"Alfi Syahri")</f>
        <v>Alfi Syahri</v>
      </c>
      <c r="E858" s="3" t="str">
        <f>IFERROR(__xludf.DUMMYFUNCTION("""COMPUTED_VALUE"""),"CME")</f>
        <v>CME</v>
      </c>
      <c r="F858" s="3" t="str">
        <f>IFERROR(__xludf.DUMMYFUNCTION("""COMPUTED_VALUE"""),"Winda Sokenda")</f>
        <v>Winda Sokenda</v>
      </c>
      <c r="G858" s="3" t="str">
        <f>IFERROR(__xludf.DUMMYFUNCTION("""COMPUTED_VALUE"""),"Barito Raya")</f>
        <v>Barito Raya</v>
      </c>
      <c r="H858" s="3" t="str">
        <f>IFERROR(__xludf.DUMMYFUNCTION("""COMPUTED_VALUE"""),"Standby")</f>
        <v>Standby</v>
      </c>
      <c r="I858" s="3" t="str">
        <f>IFERROR(__xludf.DUMMYFUNCTION("""COMPUTED_VALUE"""),"Standby On Call")</f>
        <v>Standby On Call</v>
      </c>
      <c r="J858" s="3"/>
      <c r="K858" s="27">
        <f>IFERROR(__xludf.DUMMYFUNCTION("""COMPUTED_VALUE"""),46041.0)</f>
        <v>46041</v>
      </c>
      <c r="L858" s="27">
        <f>IFERROR(__xludf.DUMMYFUNCTION("""COMPUTED_VALUE"""),46041.0)</f>
        <v>46041</v>
      </c>
      <c r="M858" s="3"/>
      <c r="N858" s="3"/>
      <c r="O858" s="3" t="str">
        <f>IFERROR(VLOOKUP(C858,Sheet4!A858:F1645,6,0),"")</f>
        <v/>
      </c>
      <c r="Q858" s="2" t="str">
        <f t="shared" si="1"/>
        <v>19</v>
      </c>
    </row>
    <row r="859">
      <c r="A859" s="3" t="str">
        <f>IFERROR(__xludf.DUMMYFUNCTION("""COMPUTED_VALUE"""),"Pengecekan Power")</f>
        <v>Pengecekan Power</v>
      </c>
      <c r="B859" s="3" t="str">
        <f>IFERROR(__xludf.DUMMYFUNCTION("""COMPUTED_VALUE"""),"P1")</f>
        <v>P1</v>
      </c>
      <c r="C859" s="3" t="str">
        <f>IFERROR(__xludf.DUMMYFUNCTION("""COMPUTED_VALUE"""),"KKP159")</f>
        <v>KKP159</v>
      </c>
      <c r="D859" s="3" t="str">
        <f>IFERROR(__xludf.DUMMYFUNCTION("""COMPUTED_VALUE"""),"Pujianto")</f>
        <v>Pujianto</v>
      </c>
      <c r="E859" s="3" t="str">
        <f>IFERROR(__xludf.DUMMYFUNCTION("""COMPUTED_VALUE"""),"MBP")</f>
        <v>MBP</v>
      </c>
      <c r="F859" s="3" t="str">
        <f>IFERROR(__xludf.DUMMYFUNCTION("""COMPUTED_VALUE"""),"Winda Sokenda")</f>
        <v>Winda Sokenda</v>
      </c>
      <c r="G859" s="3" t="str">
        <f>IFERROR(__xludf.DUMMYFUNCTION("""COMPUTED_VALUE"""),"Barito Raya")</f>
        <v>Barito Raya</v>
      </c>
      <c r="H859" s="3" t="str">
        <f>IFERROR(__xludf.DUMMYFUNCTION("""COMPUTED_VALUE"""),"Preventive")</f>
        <v>Preventive</v>
      </c>
      <c r="I859" s="3" t="str">
        <f>IFERROR(__xludf.DUMMYFUNCTION("""COMPUTED_VALUE"""),"MCB trip/Power upnormal")</f>
        <v>MCB trip/Power upnormal</v>
      </c>
      <c r="J859" s="3" t="str">
        <f>IFERROR(__xludf.DUMMYFUNCTION("""COMPUTED_VALUE"""),"On Progress")</f>
        <v>On Progress</v>
      </c>
      <c r="K859" s="27">
        <f>IFERROR(__xludf.DUMMYFUNCTION("""COMPUTED_VALUE"""),46041.0)</f>
        <v>46041</v>
      </c>
      <c r="L859" s="27">
        <f>IFERROR(__xludf.DUMMYFUNCTION("""COMPUTED_VALUE"""),46041.0)</f>
        <v>46041</v>
      </c>
      <c r="M859" s="3" t="str">
        <f>IFERROR(__xludf.DUMMYFUNCTION("""COMPUTED_VALUE"""),"Done")</f>
        <v>Done</v>
      </c>
      <c r="N859" s="3"/>
      <c r="O859" s="3" t="str">
        <f>IFERROR(VLOOKUP(C859,Sheet4!A859:F1646,6,0),"")</f>
        <v/>
      </c>
      <c r="Q859" s="2" t="str">
        <f t="shared" si="1"/>
        <v>19</v>
      </c>
    </row>
    <row r="860">
      <c r="A860" s="3" t="str">
        <f>IFERROR(__xludf.DUMMYFUNCTION("""COMPUTED_VALUE"""),"PM")</f>
        <v>PM</v>
      </c>
      <c r="B860" s="3" t="str">
        <f>IFERROR(__xludf.DUMMYFUNCTION("""COMPUTED_VALUE"""),"P2")</f>
        <v>P2</v>
      </c>
      <c r="C860" s="3" t="str">
        <f>IFERROR(__xludf.DUMMYFUNCTION("""COMPUTED_VALUE"""),"TML009")</f>
        <v>TML009</v>
      </c>
      <c r="D860" s="3" t="str">
        <f>IFERROR(__xludf.DUMMYFUNCTION("""COMPUTED_VALUE"""),"Trisno Susanto")</f>
        <v>Trisno Susanto</v>
      </c>
      <c r="E860" s="3" t="str">
        <f>IFERROR(__xludf.DUMMYFUNCTION("""COMPUTED_VALUE"""),"PM")</f>
        <v>PM</v>
      </c>
      <c r="F860" s="3" t="str">
        <f>IFERROR(__xludf.DUMMYFUNCTION("""COMPUTED_VALUE"""),"Winda Sokenda")</f>
        <v>Winda Sokenda</v>
      </c>
      <c r="G860" s="3" t="str">
        <f>IFERROR(__xludf.DUMMYFUNCTION("""COMPUTED_VALUE"""),"Barito Raya")</f>
        <v>Barito Raya</v>
      </c>
      <c r="H860" s="3" t="str">
        <f>IFERROR(__xludf.DUMMYFUNCTION("""COMPUTED_VALUE"""),"Preventive")</f>
        <v>Preventive</v>
      </c>
      <c r="I860" s="3" t="str">
        <f>IFERROR(__xludf.DUMMYFUNCTION("""COMPUTED_VALUE"""),"Preventive Maintenance")</f>
        <v>Preventive Maintenance</v>
      </c>
      <c r="J860" s="3" t="str">
        <f>IFERROR(__xludf.DUMMYFUNCTION("""COMPUTED_VALUE"""),"On Progress")</f>
        <v>On Progress</v>
      </c>
      <c r="K860" s="27">
        <f>IFERROR(__xludf.DUMMYFUNCTION("""COMPUTED_VALUE"""),46041.0)</f>
        <v>46041</v>
      </c>
      <c r="L860" s="27">
        <f>IFERROR(__xludf.DUMMYFUNCTION("""COMPUTED_VALUE"""),46041.0)</f>
        <v>46041</v>
      </c>
      <c r="M860" s="3" t="str">
        <f>IFERROR(__xludf.DUMMYFUNCTION("""COMPUTED_VALUE"""),"Done")</f>
        <v>Done</v>
      </c>
      <c r="N860" s="3"/>
      <c r="O860" s="3" t="str">
        <f>IFERROR(VLOOKUP(C860,Sheet4!A860:F1647,6,0),"")</f>
        <v/>
      </c>
      <c r="Q860" s="2" t="str">
        <f t="shared" si="1"/>
        <v>19</v>
      </c>
    </row>
    <row r="861">
      <c r="A861" s="3" t="str">
        <f>IFERROR(__xludf.DUMMYFUNCTION("""COMPUTED_VALUE"""),"PM")</f>
        <v>PM</v>
      </c>
      <c r="B861" s="3" t="str">
        <f>IFERROR(__xludf.DUMMYFUNCTION("""COMPUTED_VALUE"""),"P2")</f>
        <v>P2</v>
      </c>
      <c r="C861" s="3" t="str">
        <f>IFERROR(__xludf.DUMMYFUNCTION("""COMPUTED_VALUE"""),"TML009")</f>
        <v>TML009</v>
      </c>
      <c r="D861" s="3" t="str">
        <f>IFERROR(__xludf.DUMMYFUNCTION("""COMPUTED_VALUE"""),"Khilal dawai katiri")</f>
        <v>Khilal dawai katiri</v>
      </c>
      <c r="E861" s="3" t="str">
        <f>IFERROR(__xludf.DUMMYFUNCTION("""COMPUTED_VALUE"""),"MBP")</f>
        <v>MBP</v>
      </c>
      <c r="F861" s="3" t="str">
        <f>IFERROR(__xludf.DUMMYFUNCTION("""COMPUTED_VALUE"""),"Winda Sokenda")</f>
        <v>Winda Sokenda</v>
      </c>
      <c r="G861" s="3" t="str">
        <f>IFERROR(__xludf.DUMMYFUNCTION("""COMPUTED_VALUE"""),"Barito Raya")</f>
        <v>Barito Raya</v>
      </c>
      <c r="H861" s="3" t="str">
        <f>IFERROR(__xludf.DUMMYFUNCTION("""COMPUTED_VALUE"""),"Preventive")</f>
        <v>Preventive</v>
      </c>
      <c r="I861" s="3" t="str">
        <f>IFERROR(__xludf.DUMMYFUNCTION("""COMPUTED_VALUE"""),"Preventive Maintenance")</f>
        <v>Preventive Maintenance</v>
      </c>
      <c r="J861" s="3" t="str">
        <f>IFERROR(__xludf.DUMMYFUNCTION("""COMPUTED_VALUE"""),"On Progress")</f>
        <v>On Progress</v>
      </c>
      <c r="K861" s="27">
        <f>IFERROR(__xludf.DUMMYFUNCTION("""COMPUTED_VALUE"""),46041.0)</f>
        <v>46041</v>
      </c>
      <c r="L861" s="27">
        <f>IFERROR(__xludf.DUMMYFUNCTION("""COMPUTED_VALUE"""),46041.0)</f>
        <v>46041</v>
      </c>
      <c r="M861" s="3" t="str">
        <f>IFERROR(__xludf.DUMMYFUNCTION("""COMPUTED_VALUE"""),"Done")</f>
        <v>Done</v>
      </c>
      <c r="N861" s="3"/>
      <c r="O861" s="3" t="str">
        <f>IFERROR(VLOOKUP(C861,Sheet4!A861:F1648,6,0),"")</f>
        <v/>
      </c>
      <c r="Q861" s="2" t="str">
        <f t="shared" si="1"/>
        <v>19</v>
      </c>
    </row>
    <row r="862">
      <c r="A862" s="3" t="str">
        <f>IFERROR(__xludf.DUMMYFUNCTION("""COMPUTED_VALUE"""),"PM")</f>
        <v>PM</v>
      </c>
      <c r="B862" s="3" t="str">
        <f>IFERROR(__xludf.DUMMYFUNCTION("""COMPUTED_VALUE"""),"P2")</f>
        <v>P2</v>
      </c>
      <c r="C862" s="3" t="str">
        <f>IFERROR(__xludf.DUMMYFUNCTION("""COMPUTED_VALUE"""),"PRC018")</f>
        <v>PRC018</v>
      </c>
      <c r="D862" s="3" t="str">
        <f>IFERROR(__xludf.DUMMYFUNCTION("""COMPUTED_VALUE"""),"Riko setiadi")</f>
        <v>Riko setiadi</v>
      </c>
      <c r="E862" s="3" t="str">
        <f>IFERROR(__xludf.DUMMYFUNCTION("""COMPUTED_VALUE"""),"PM")</f>
        <v>PM</v>
      </c>
      <c r="F862" s="3" t="str">
        <f>IFERROR(__xludf.DUMMYFUNCTION("""COMPUTED_VALUE"""),"Winda Sokenda")</f>
        <v>Winda Sokenda</v>
      </c>
      <c r="G862" s="3" t="str">
        <f>IFERROR(__xludf.DUMMYFUNCTION("""COMPUTED_VALUE"""),"Barito Raya")</f>
        <v>Barito Raya</v>
      </c>
      <c r="H862" s="3" t="str">
        <f>IFERROR(__xludf.DUMMYFUNCTION("""COMPUTED_VALUE"""),"Preventive")</f>
        <v>Preventive</v>
      </c>
      <c r="I862" s="3" t="str">
        <f>IFERROR(__xludf.DUMMYFUNCTION("""COMPUTED_VALUE"""),"Preventive Maintenance")</f>
        <v>Preventive Maintenance</v>
      </c>
      <c r="J862" s="3" t="str">
        <f>IFERROR(__xludf.DUMMYFUNCTION("""COMPUTED_VALUE"""),"On Progress")</f>
        <v>On Progress</v>
      </c>
      <c r="K862" s="27">
        <f>IFERROR(__xludf.DUMMYFUNCTION("""COMPUTED_VALUE"""),46041.0)</f>
        <v>46041</v>
      </c>
      <c r="L862" s="27">
        <f>IFERROR(__xludf.DUMMYFUNCTION("""COMPUTED_VALUE"""),46041.0)</f>
        <v>46041</v>
      </c>
      <c r="M862" s="3" t="str">
        <f>IFERROR(__xludf.DUMMYFUNCTION("""COMPUTED_VALUE"""),"Done")</f>
        <v>Done</v>
      </c>
      <c r="N862" s="3"/>
      <c r="O862" s="3" t="str">
        <f>IFERROR(VLOOKUP(C862,Sheet4!A862:F1649,6,0),"")</f>
        <v/>
      </c>
      <c r="Q862" s="2" t="str">
        <f t="shared" si="1"/>
        <v>19</v>
      </c>
    </row>
    <row r="863">
      <c r="A863" s="3" t="str">
        <f>IFERROR(__xludf.DUMMYFUNCTION("""COMPUTED_VALUE"""),"Site Down")</f>
        <v>Site Down</v>
      </c>
      <c r="B863" s="3" t="str">
        <f>IFERROR(__xludf.DUMMYFUNCTION("""COMPUTED_VALUE"""),"P1")</f>
        <v>P1</v>
      </c>
      <c r="C863" s="3" t="str">
        <f>IFERROR(__xludf.DUMMYFUNCTION("""COMPUTED_VALUE"""),"NTH248")</f>
        <v>NTH248</v>
      </c>
      <c r="D863" s="3" t="str">
        <f>IFERROR(__xludf.DUMMYFUNCTION("""COMPUTED_VALUE"""),"Ahmad")</f>
        <v>Ahmad</v>
      </c>
      <c r="E863" s="3" t="str">
        <f>IFERROR(__xludf.DUMMYFUNCTION("""COMPUTED_VALUE"""),"TE")</f>
        <v>TE</v>
      </c>
      <c r="F863" s="3" t="str">
        <f>IFERROR(__xludf.DUMMYFUNCTION("""COMPUTED_VALUE"""),"Doni Damara")</f>
        <v>Doni Damara</v>
      </c>
      <c r="G863" s="3" t="str">
        <f>IFERROR(__xludf.DUMMYFUNCTION("""COMPUTED_VALUE"""),"Palangkaraya")</f>
        <v>Palangkaraya</v>
      </c>
      <c r="H863" s="3" t="str">
        <f>IFERROR(__xludf.DUMMYFUNCTION("""COMPUTED_VALUE"""),"Corrective")</f>
        <v>Corrective</v>
      </c>
      <c r="I863" s="3" t="str">
        <f>IFERROR(__xludf.DUMMYFUNCTION("""COMPUTED_VALUE"""),"Pemadaman,MCB Trip,Transmisi problem")</f>
        <v>Pemadaman,MCB Trip,Transmisi problem</v>
      </c>
      <c r="J863" s="3" t="str">
        <f>IFERROR(__xludf.DUMMYFUNCTION("""COMPUTED_VALUE"""),"On Progress")</f>
        <v>On Progress</v>
      </c>
      <c r="K863" s="27">
        <f>IFERROR(__xludf.DUMMYFUNCTION("""COMPUTED_VALUE"""),46041.0)</f>
        <v>46041</v>
      </c>
      <c r="L863" s="3"/>
      <c r="M863" s="3" t="str">
        <f>IFERROR(__xludf.DUMMYFUNCTION("""COMPUTED_VALUE"""),"Waiting Update")</f>
        <v>Waiting Update</v>
      </c>
      <c r="N863" s="3"/>
      <c r="O863" s="3" t="str">
        <f>IFERROR(VLOOKUP(C863,Sheet4!A863:F1650,6,0),"")</f>
        <v/>
      </c>
      <c r="Q863" s="2" t="str">
        <f t="shared" si="1"/>
        <v>19</v>
      </c>
    </row>
    <row r="864">
      <c r="A864" s="3" t="str">
        <f>IFERROR(__xludf.DUMMYFUNCTION("""COMPUTED_VALUE"""),"Site Down")</f>
        <v>Site Down</v>
      </c>
      <c r="B864" s="3" t="str">
        <f>IFERROR(__xludf.DUMMYFUNCTION("""COMPUTED_VALUE"""),"P1")</f>
        <v>P1</v>
      </c>
      <c r="C864" s="3" t="str">
        <f>IFERROR(__xludf.DUMMYFUNCTION("""COMPUTED_VALUE"""),"NTH248")</f>
        <v>NTH248</v>
      </c>
      <c r="D864" s="3" t="str">
        <f>IFERROR(__xludf.DUMMYFUNCTION("""COMPUTED_VALUE"""),"Fahmi")</f>
        <v>Fahmi</v>
      </c>
      <c r="E864" s="3" t="str">
        <f>IFERROR(__xludf.DUMMYFUNCTION("""COMPUTED_VALUE"""),"TE")</f>
        <v>TE</v>
      </c>
      <c r="F864" s="3" t="str">
        <f>IFERROR(__xludf.DUMMYFUNCTION("""COMPUTED_VALUE"""),"Doni Damara")</f>
        <v>Doni Damara</v>
      </c>
      <c r="G864" s="3" t="str">
        <f>IFERROR(__xludf.DUMMYFUNCTION("""COMPUTED_VALUE"""),"Palangkaraya")</f>
        <v>Palangkaraya</v>
      </c>
      <c r="H864" s="3" t="str">
        <f>IFERROR(__xludf.DUMMYFUNCTION("""COMPUTED_VALUE"""),"Corrective")</f>
        <v>Corrective</v>
      </c>
      <c r="I864" s="3" t="str">
        <f>IFERROR(__xludf.DUMMYFUNCTION("""COMPUTED_VALUE"""),"Pemadaman,MCB Trip,Transmisi problem")</f>
        <v>Pemadaman,MCB Trip,Transmisi problem</v>
      </c>
      <c r="J864" s="3" t="str">
        <f>IFERROR(__xludf.DUMMYFUNCTION("""COMPUTED_VALUE"""),"On Progress")</f>
        <v>On Progress</v>
      </c>
      <c r="K864" s="27">
        <f>IFERROR(__xludf.DUMMYFUNCTION("""COMPUTED_VALUE"""),46041.0)</f>
        <v>46041</v>
      </c>
      <c r="L864" s="3"/>
      <c r="M864" s="3" t="str">
        <f>IFERROR(__xludf.DUMMYFUNCTION("""COMPUTED_VALUE"""),"Waiting Update")</f>
        <v>Waiting Update</v>
      </c>
      <c r="N864" s="3"/>
      <c r="O864" s="3" t="str">
        <f>IFERROR(VLOOKUP(C864,Sheet4!A864:F1651,6,0),"")</f>
        <v/>
      </c>
      <c r="Q864" s="2" t="str">
        <f t="shared" si="1"/>
        <v>19</v>
      </c>
    </row>
    <row r="865">
      <c r="A865" s="3" t="str">
        <f>IFERROR(__xludf.DUMMYFUNCTION("""COMPUTED_VALUE"""),"Pengecekan battrey")</f>
        <v>Pengecekan battrey</v>
      </c>
      <c r="B865" s="3" t="str">
        <f>IFERROR(__xludf.DUMMYFUNCTION("""COMPUTED_VALUE"""),"P2")</f>
        <v>P2</v>
      </c>
      <c r="C865" s="3" t="str">
        <f>IFERROR(__xludf.DUMMYFUNCTION("""COMPUTED_VALUE"""),"PLK055")</f>
        <v>PLK055</v>
      </c>
      <c r="D865" s="3" t="str">
        <f>IFERROR(__xludf.DUMMYFUNCTION("""COMPUTED_VALUE"""),"james jimbris")</f>
        <v>james jimbris</v>
      </c>
      <c r="E865" s="3" t="str">
        <f>IFERROR(__xludf.DUMMYFUNCTION("""COMPUTED_VALUE"""),"TE")</f>
        <v>TE</v>
      </c>
      <c r="F865" s="3" t="str">
        <f>IFERROR(__xludf.DUMMYFUNCTION("""COMPUTED_VALUE"""),"Doni Damara")</f>
        <v>Doni Damara</v>
      </c>
      <c r="G865" s="3" t="str">
        <f>IFERROR(__xludf.DUMMYFUNCTION("""COMPUTED_VALUE"""),"Palangkaraya")</f>
        <v>Palangkaraya</v>
      </c>
      <c r="H865" s="3" t="str">
        <f>IFERROR(__xludf.DUMMYFUNCTION("""COMPUTED_VALUE"""),"Preventive")</f>
        <v>Preventive</v>
      </c>
      <c r="I865" s="3" t="str">
        <f>IFERROR(__xludf.DUMMYFUNCTION("""COMPUTED_VALUE"""),"Pengukuran dan pengambilan data log serta input Gdoc BBT")</f>
        <v>Pengukuran dan pengambilan data log serta input Gdoc BBT</v>
      </c>
      <c r="J865" s="3" t="str">
        <f>IFERROR(__xludf.DUMMYFUNCTION("""COMPUTED_VALUE"""),"On Progress")</f>
        <v>On Progress</v>
      </c>
      <c r="K865" s="27">
        <f>IFERROR(__xludf.DUMMYFUNCTION("""COMPUTED_VALUE"""),46041.0)</f>
        <v>46041</v>
      </c>
      <c r="L865" s="3"/>
      <c r="M865" s="3" t="str">
        <f>IFERROR(__xludf.DUMMYFUNCTION("""COMPUTED_VALUE"""),"Waiting Update")</f>
        <v>Waiting Update</v>
      </c>
      <c r="N865" s="3"/>
      <c r="O865" s="3" t="str">
        <f>IFERROR(VLOOKUP(C865,Sheet4!A865:F1652,6,0),"")</f>
        <v/>
      </c>
      <c r="Q865" s="2" t="str">
        <f t="shared" si="1"/>
        <v>19</v>
      </c>
    </row>
    <row r="866">
      <c r="A866" s="3" t="str">
        <f>IFERROR(__xludf.DUMMYFUNCTION("""COMPUTED_VALUE"""),"Site Down")</f>
        <v>Site Down</v>
      </c>
      <c r="B866" s="3" t="str">
        <f>IFERROR(__xludf.DUMMYFUNCTION("""COMPUTED_VALUE"""),"P1")</f>
        <v>P1</v>
      </c>
      <c r="C866" s="3" t="str">
        <f>IFERROR(__xludf.DUMMYFUNCTION("""COMPUTED_VALUE"""),"PPS108")</f>
        <v>PPS108</v>
      </c>
      <c r="D866" s="3" t="str">
        <f>IFERROR(__xludf.DUMMYFUNCTION("""COMPUTED_VALUE"""),"Muhamad Rayhan")</f>
        <v>Muhamad Rayhan</v>
      </c>
      <c r="E866" s="3" t="str">
        <f>IFERROR(__xludf.DUMMYFUNCTION("""COMPUTED_VALUE"""),"TE")</f>
        <v>TE</v>
      </c>
      <c r="F866" s="3" t="str">
        <f>IFERROR(__xludf.DUMMYFUNCTION("""COMPUTED_VALUE"""),"Doni Damara")</f>
        <v>Doni Damara</v>
      </c>
      <c r="G866" s="3" t="str">
        <f>IFERROR(__xludf.DUMMYFUNCTION("""COMPUTED_VALUE"""),"Palangkaraya")</f>
        <v>Palangkaraya</v>
      </c>
      <c r="H866" s="3" t="str">
        <f>IFERROR(__xludf.DUMMYFUNCTION("""COMPUTED_VALUE"""),"Corrective")</f>
        <v>Corrective</v>
      </c>
      <c r="I866" s="3" t="str">
        <f>IFERROR(__xludf.DUMMYFUNCTION("""COMPUTED_VALUE"""),"Pemadaman,MCB Trip,Transmisi problem")</f>
        <v>Pemadaman,MCB Trip,Transmisi problem</v>
      </c>
      <c r="J866" s="3" t="str">
        <f>IFERROR(__xludf.DUMMYFUNCTION("""COMPUTED_VALUE"""),"On Progress")</f>
        <v>On Progress</v>
      </c>
      <c r="K866" s="27">
        <f>IFERROR(__xludf.DUMMYFUNCTION("""COMPUTED_VALUE"""),46041.0)</f>
        <v>46041</v>
      </c>
      <c r="L866" s="27">
        <f>IFERROR(__xludf.DUMMYFUNCTION("""COMPUTED_VALUE"""),46041.0)</f>
        <v>46041</v>
      </c>
      <c r="M866" s="3" t="str">
        <f>IFERROR(__xludf.DUMMYFUNCTION("""COMPUTED_VALUE"""),"Done")</f>
        <v>Done</v>
      </c>
      <c r="N866" s="3"/>
      <c r="O866" s="3" t="str">
        <f>IFERROR(VLOOKUP(C866,Sheet4!A866:F1653,6,0),"")</f>
        <v/>
      </c>
      <c r="Q866" s="2" t="str">
        <f t="shared" si="1"/>
        <v>19</v>
      </c>
    </row>
    <row r="867">
      <c r="A867" s="3" t="str">
        <f>IFERROR(__xludf.DUMMYFUNCTION("""COMPUTED_VALUE"""),"Standby On Call")</f>
        <v>Standby On Call</v>
      </c>
      <c r="B867" s="3" t="str">
        <f>IFERROR(__xludf.DUMMYFUNCTION("""COMPUTED_VALUE"""),"P3")</f>
        <v>P3</v>
      </c>
      <c r="C867" s="3"/>
      <c r="D867" s="3" t="str">
        <f>IFERROR(__xludf.DUMMYFUNCTION("""COMPUTED_VALUE"""),"Oky Bangkit Pamungkas")</f>
        <v>Oky Bangkit Pamungkas</v>
      </c>
      <c r="E867" s="3" t="str">
        <f>IFERROR(__xludf.DUMMYFUNCTION("""COMPUTED_VALUE"""),"TE")</f>
        <v>TE</v>
      </c>
      <c r="F867" s="3" t="str">
        <f>IFERROR(__xludf.DUMMYFUNCTION("""COMPUTED_VALUE"""),"Doni Damara")</f>
        <v>Doni Damara</v>
      </c>
      <c r="G867" s="3" t="str">
        <f>IFERROR(__xludf.DUMMYFUNCTION("""COMPUTED_VALUE"""),"Palangkaraya")</f>
        <v>Palangkaraya</v>
      </c>
      <c r="H867" s="3" t="str">
        <f>IFERROR(__xludf.DUMMYFUNCTION("""COMPUTED_VALUE"""),"Standby")</f>
        <v>Standby</v>
      </c>
      <c r="I867" s="3" t="str">
        <f>IFERROR(__xludf.DUMMYFUNCTION("""COMPUTED_VALUE"""),"Standby On Call")</f>
        <v>Standby On Call</v>
      </c>
      <c r="J867" s="3" t="str">
        <f>IFERROR(__xludf.DUMMYFUNCTION("""COMPUTED_VALUE"""),"Standby")</f>
        <v>Standby</v>
      </c>
      <c r="K867" s="27">
        <f>IFERROR(__xludf.DUMMYFUNCTION("""COMPUTED_VALUE"""),46041.0)</f>
        <v>46041</v>
      </c>
      <c r="L867" s="3"/>
      <c r="M867" s="3" t="str">
        <f>IFERROR(__xludf.DUMMYFUNCTION("""COMPUTED_VALUE"""),"Waiting Update")</f>
        <v>Waiting Update</v>
      </c>
      <c r="N867" s="3"/>
      <c r="O867" s="3" t="str">
        <f>IFERROR(VLOOKUP(C867,Sheet4!A867:F1654,6,0),"")</f>
        <v/>
      </c>
      <c r="Q867" s="2" t="str">
        <f t="shared" si="1"/>
        <v>19</v>
      </c>
    </row>
    <row r="868">
      <c r="A868" s="3" t="str">
        <f>IFERROR(__xludf.DUMMYFUNCTION("""COMPUTED_VALUE"""),"Cell down")</f>
        <v>Cell down</v>
      </c>
      <c r="B868" s="3" t="str">
        <f>IFERROR(__xludf.DUMMYFUNCTION("""COMPUTED_VALUE"""),"P1")</f>
        <v>P1</v>
      </c>
      <c r="C868" s="3" t="str">
        <f>IFERROR(__xludf.DUMMYFUNCTION("""COMPUTED_VALUE"""),"KKN151")</f>
        <v>KKN151</v>
      </c>
      <c r="D868" s="3" t="str">
        <f>IFERROR(__xludf.DUMMYFUNCTION("""COMPUTED_VALUE"""),"Leonard")</f>
        <v>Leonard</v>
      </c>
      <c r="E868" s="3" t="str">
        <f>IFERROR(__xludf.DUMMYFUNCTION("""COMPUTED_VALUE"""),"TE")</f>
        <v>TE</v>
      </c>
      <c r="F868" s="3" t="str">
        <f>IFERROR(__xludf.DUMMYFUNCTION("""COMPUTED_VALUE"""),"Doni Damara")</f>
        <v>Doni Damara</v>
      </c>
      <c r="G868" s="3" t="str">
        <f>IFERROR(__xludf.DUMMYFUNCTION("""COMPUTED_VALUE"""),"Palangkaraya")</f>
        <v>Palangkaraya</v>
      </c>
      <c r="H868" s="3" t="str">
        <f>IFERROR(__xludf.DUMMYFUNCTION("""COMPUTED_VALUE"""),"Corrective")</f>
        <v>Corrective</v>
      </c>
      <c r="I868" s="3" t="str">
        <f>IFERROR(__xludf.DUMMYFUNCTION("""COMPUTED_VALUE"""),"Replace Optik,RRU/Soket Power/Replace GPS")</f>
        <v>Replace Optik,RRU/Soket Power/Replace GPS</v>
      </c>
      <c r="J868" s="3" t="str">
        <f>IFERROR(__xludf.DUMMYFUNCTION("""COMPUTED_VALUE"""),"On Progress")</f>
        <v>On Progress</v>
      </c>
      <c r="K868" s="27">
        <f>IFERROR(__xludf.DUMMYFUNCTION("""COMPUTED_VALUE"""),46041.0)</f>
        <v>46041</v>
      </c>
      <c r="L868" s="3"/>
      <c r="M868" s="3" t="str">
        <f>IFERROR(__xludf.DUMMYFUNCTION("""COMPUTED_VALUE"""),"Waiting Update")</f>
        <v>Waiting Update</v>
      </c>
      <c r="N868" s="3"/>
      <c r="O868" s="3" t="str">
        <f>IFERROR(VLOOKUP(C868,Sheet4!A868:F1655,6,0),"")</f>
        <v/>
      </c>
      <c r="Q868" s="2" t="str">
        <f t="shared" si="1"/>
        <v>19</v>
      </c>
    </row>
    <row r="869">
      <c r="A869" s="3" t="str">
        <f>IFERROR(__xludf.DUMMYFUNCTION("""COMPUTED_VALUE"""),"Cell down")</f>
        <v>Cell down</v>
      </c>
      <c r="B869" s="3" t="str">
        <f>IFERROR(__xludf.DUMMYFUNCTION("""COMPUTED_VALUE"""),"P1")</f>
        <v>P1</v>
      </c>
      <c r="C869" s="3" t="str">
        <f>IFERROR(__xludf.DUMMYFUNCTION("""COMPUTED_VALUE"""),"KKN151")</f>
        <v>KKN151</v>
      </c>
      <c r="D869" s="3" t="str">
        <f>IFERROR(__xludf.DUMMYFUNCTION("""COMPUTED_VALUE"""),"Aulia Rahman")</f>
        <v>Aulia Rahman</v>
      </c>
      <c r="E869" s="3" t="str">
        <f>IFERROR(__xludf.DUMMYFUNCTION("""COMPUTED_VALUE"""),"TE")</f>
        <v>TE</v>
      </c>
      <c r="F869" s="3" t="str">
        <f>IFERROR(__xludf.DUMMYFUNCTION("""COMPUTED_VALUE"""),"Doni Damara")</f>
        <v>Doni Damara</v>
      </c>
      <c r="G869" s="3" t="str">
        <f>IFERROR(__xludf.DUMMYFUNCTION("""COMPUTED_VALUE"""),"Palangkaraya")</f>
        <v>Palangkaraya</v>
      </c>
      <c r="H869" s="3" t="str">
        <f>IFERROR(__xludf.DUMMYFUNCTION("""COMPUTED_VALUE"""),"Corrective")</f>
        <v>Corrective</v>
      </c>
      <c r="I869" s="3" t="str">
        <f>IFERROR(__xludf.DUMMYFUNCTION("""COMPUTED_VALUE"""),"Replace Optik,RRU/Soket Power/Replace GPS")</f>
        <v>Replace Optik,RRU/Soket Power/Replace GPS</v>
      </c>
      <c r="J869" s="3" t="str">
        <f>IFERROR(__xludf.DUMMYFUNCTION("""COMPUTED_VALUE"""),"On Progress")</f>
        <v>On Progress</v>
      </c>
      <c r="K869" s="27">
        <f>IFERROR(__xludf.DUMMYFUNCTION("""COMPUTED_VALUE"""),46041.0)</f>
        <v>46041</v>
      </c>
      <c r="L869" s="3"/>
      <c r="M869" s="3" t="str">
        <f>IFERROR(__xludf.DUMMYFUNCTION("""COMPUTED_VALUE"""),"Waiting Update")</f>
        <v>Waiting Update</v>
      </c>
      <c r="N869" s="3"/>
      <c r="O869" s="3" t="str">
        <f>IFERROR(VLOOKUP(C869,Sheet4!A869:F1656,6,0),"")</f>
        <v/>
      </c>
      <c r="Q869" s="2" t="str">
        <f t="shared" si="1"/>
        <v>19</v>
      </c>
    </row>
    <row r="870">
      <c r="A870" s="3" t="str">
        <f>IFERROR(__xludf.DUMMYFUNCTION("""COMPUTED_VALUE"""),"Pengecekan battrey")</f>
        <v>Pengecekan battrey</v>
      </c>
      <c r="B870" s="3" t="str">
        <f>IFERROR(__xludf.DUMMYFUNCTION("""COMPUTED_VALUE"""),"P2")</f>
        <v>P2</v>
      </c>
      <c r="C870" s="3" t="str">
        <f>IFERROR(__xludf.DUMMYFUNCTION("""COMPUTED_VALUE"""),"KSN009")</f>
        <v>KSN009</v>
      </c>
      <c r="D870" s="3" t="str">
        <f>IFERROR(__xludf.DUMMYFUNCTION("""COMPUTED_VALUE"""),"Muhammad Mukhlis")</f>
        <v>Muhammad Mukhlis</v>
      </c>
      <c r="E870" s="3" t="str">
        <f>IFERROR(__xludf.DUMMYFUNCTION("""COMPUTED_VALUE"""),"TE")</f>
        <v>TE</v>
      </c>
      <c r="F870" s="3" t="str">
        <f>IFERROR(__xludf.DUMMYFUNCTION("""COMPUTED_VALUE"""),"Doni Damara")</f>
        <v>Doni Damara</v>
      </c>
      <c r="G870" s="3" t="str">
        <f>IFERROR(__xludf.DUMMYFUNCTION("""COMPUTED_VALUE"""),"Palangkaraya")</f>
        <v>Palangkaraya</v>
      </c>
      <c r="H870" s="3" t="str">
        <f>IFERROR(__xludf.DUMMYFUNCTION("""COMPUTED_VALUE"""),"Preventive")</f>
        <v>Preventive</v>
      </c>
      <c r="I870" s="3" t="str">
        <f>IFERROR(__xludf.DUMMYFUNCTION("""COMPUTED_VALUE"""),"Pengukuran dan pengambilan data log serta input Gdoc BBT")</f>
        <v>Pengukuran dan pengambilan data log serta input Gdoc BBT</v>
      </c>
      <c r="J870" s="3" t="str">
        <f>IFERROR(__xludf.DUMMYFUNCTION("""COMPUTED_VALUE"""),"On Progress")</f>
        <v>On Progress</v>
      </c>
      <c r="K870" s="27">
        <f>IFERROR(__xludf.DUMMYFUNCTION("""COMPUTED_VALUE"""),46041.0)</f>
        <v>46041</v>
      </c>
      <c r="L870" s="3"/>
      <c r="M870" s="3" t="str">
        <f>IFERROR(__xludf.DUMMYFUNCTION("""COMPUTED_VALUE"""),"Waiting Update")</f>
        <v>Waiting Update</v>
      </c>
      <c r="N870" s="3"/>
      <c r="O870" s="3" t="str">
        <f>IFERROR(VLOOKUP(C870,Sheet4!A870:F1657,6,0),"")</f>
        <v/>
      </c>
      <c r="Q870" s="2" t="str">
        <f t="shared" si="1"/>
        <v>19</v>
      </c>
    </row>
    <row r="871">
      <c r="A871" s="3" t="str">
        <f>IFERROR(__xludf.DUMMYFUNCTION("""COMPUTED_VALUE"""),"Site Down")</f>
        <v>Site Down</v>
      </c>
      <c r="B871" s="3" t="str">
        <f>IFERROR(__xludf.DUMMYFUNCTION("""COMPUTED_VALUE"""),"P1")</f>
        <v>P1</v>
      </c>
      <c r="C871" s="3" t="str">
        <f>IFERROR(__xludf.DUMMYFUNCTION("""COMPUTED_VALUE"""),"KSN024")</f>
        <v>KSN024</v>
      </c>
      <c r="D871" s="3" t="str">
        <f>IFERROR(__xludf.DUMMYFUNCTION("""COMPUTED_VALUE"""),"Muhammad Mukti")</f>
        <v>Muhammad Mukti</v>
      </c>
      <c r="E871" s="3" t="str">
        <f>IFERROR(__xludf.DUMMYFUNCTION("""COMPUTED_VALUE"""),"TE")</f>
        <v>TE</v>
      </c>
      <c r="F871" s="3" t="str">
        <f>IFERROR(__xludf.DUMMYFUNCTION("""COMPUTED_VALUE"""),"Doni Damara")</f>
        <v>Doni Damara</v>
      </c>
      <c r="G871" s="3" t="str">
        <f>IFERROR(__xludf.DUMMYFUNCTION("""COMPUTED_VALUE"""),"Palangkaraya")</f>
        <v>Palangkaraya</v>
      </c>
      <c r="H871" s="3" t="str">
        <f>IFERROR(__xludf.DUMMYFUNCTION("""COMPUTED_VALUE"""),"Corrective")</f>
        <v>Corrective</v>
      </c>
      <c r="I871" s="3" t="str">
        <f>IFERROR(__xludf.DUMMYFUNCTION("""COMPUTED_VALUE"""),"Pemadaman,MCB Trip,Transmisi problem")</f>
        <v>Pemadaman,MCB Trip,Transmisi problem</v>
      </c>
      <c r="J871" s="3" t="str">
        <f>IFERROR(__xludf.DUMMYFUNCTION("""COMPUTED_VALUE"""),"On Progress")</f>
        <v>On Progress</v>
      </c>
      <c r="K871" s="27">
        <f>IFERROR(__xludf.DUMMYFUNCTION("""COMPUTED_VALUE"""),46041.0)</f>
        <v>46041</v>
      </c>
      <c r="L871" s="3"/>
      <c r="M871" s="3" t="str">
        <f>IFERROR(__xludf.DUMMYFUNCTION("""COMPUTED_VALUE"""),"Waiting Update")</f>
        <v>Waiting Update</v>
      </c>
      <c r="N871" s="3"/>
      <c r="O871" s="3" t="str">
        <f>IFERROR(VLOOKUP(C871,Sheet4!A871:F1658,6,0),"")</f>
        <v/>
      </c>
      <c r="Q871" s="2" t="str">
        <f t="shared" si="1"/>
        <v>19</v>
      </c>
    </row>
    <row r="872">
      <c r="A872" s="3" t="str">
        <f>IFERROR(__xludf.DUMMYFUNCTION("""COMPUTED_VALUE"""),"Standby On Call")</f>
        <v>Standby On Call</v>
      </c>
      <c r="B872" s="3" t="str">
        <f>IFERROR(__xludf.DUMMYFUNCTION("""COMPUTED_VALUE"""),"P3")</f>
        <v>P3</v>
      </c>
      <c r="C872" s="3"/>
      <c r="D872" s="3" t="str">
        <f>IFERROR(__xludf.DUMMYFUNCTION("""COMPUTED_VALUE"""),"melky.O.Tulangow")</f>
        <v>melky.O.Tulangow</v>
      </c>
      <c r="E872" s="3" t="str">
        <f>IFERROR(__xludf.DUMMYFUNCTION("""COMPUTED_VALUE"""),"TE")</f>
        <v>TE</v>
      </c>
      <c r="F872" s="3" t="str">
        <f>IFERROR(__xludf.DUMMYFUNCTION("""COMPUTED_VALUE"""),"Doni Damara")</f>
        <v>Doni Damara</v>
      </c>
      <c r="G872" s="3" t="str">
        <f>IFERROR(__xludf.DUMMYFUNCTION("""COMPUTED_VALUE"""),"Palangkaraya")</f>
        <v>Palangkaraya</v>
      </c>
      <c r="H872" s="3" t="str">
        <f>IFERROR(__xludf.DUMMYFUNCTION("""COMPUTED_VALUE"""),"Standby")</f>
        <v>Standby</v>
      </c>
      <c r="I872" s="3" t="str">
        <f>IFERROR(__xludf.DUMMYFUNCTION("""COMPUTED_VALUE"""),"Standby On Call")</f>
        <v>Standby On Call</v>
      </c>
      <c r="J872" s="3" t="str">
        <f>IFERROR(__xludf.DUMMYFUNCTION("""COMPUTED_VALUE"""),"On Progress")</f>
        <v>On Progress</v>
      </c>
      <c r="K872" s="27">
        <f>IFERROR(__xludf.DUMMYFUNCTION("""COMPUTED_VALUE"""),46041.0)</f>
        <v>46041</v>
      </c>
      <c r="L872" s="3"/>
      <c r="M872" s="3" t="str">
        <f>IFERROR(__xludf.DUMMYFUNCTION("""COMPUTED_VALUE"""),"Waiting Update")</f>
        <v>Waiting Update</v>
      </c>
      <c r="N872" s="3"/>
      <c r="O872" s="3" t="str">
        <f>IFERROR(VLOOKUP(C872,Sheet4!A872:F1659,6,0),"")</f>
        <v/>
      </c>
      <c r="Q872" s="2" t="str">
        <f t="shared" si="1"/>
        <v>19</v>
      </c>
    </row>
    <row r="873">
      <c r="A873" s="3" t="str">
        <f>IFERROR(__xludf.DUMMYFUNCTION("""COMPUTED_VALUE"""),"PM")</f>
        <v>PM</v>
      </c>
      <c r="B873" s="3" t="str">
        <f>IFERROR(__xludf.DUMMYFUNCTION("""COMPUTED_VALUE"""),"P2")</f>
        <v>P2</v>
      </c>
      <c r="C873" s="3" t="str">
        <f>IFERROR(__xludf.DUMMYFUNCTION("""COMPUTED_VALUE"""),"KKN062")</f>
        <v>KKN062</v>
      </c>
      <c r="D873" s="3" t="str">
        <f>IFERROR(__xludf.DUMMYFUNCTION("""COMPUTED_VALUE"""),"Indra")</f>
        <v>Indra</v>
      </c>
      <c r="E873" s="3" t="str">
        <f>IFERROR(__xludf.DUMMYFUNCTION("""COMPUTED_VALUE"""),"PM")</f>
        <v>PM</v>
      </c>
      <c r="F873" s="3" t="str">
        <f>IFERROR(__xludf.DUMMYFUNCTION("""COMPUTED_VALUE"""),"Doni Damara")</f>
        <v>Doni Damara</v>
      </c>
      <c r="G873" s="3" t="str">
        <f>IFERROR(__xludf.DUMMYFUNCTION("""COMPUTED_VALUE"""),"Palangkaraya")</f>
        <v>Palangkaraya</v>
      </c>
      <c r="H873" s="3" t="str">
        <f>IFERROR(__xludf.DUMMYFUNCTION("""COMPUTED_VALUE"""),"Preventive")</f>
        <v>Preventive</v>
      </c>
      <c r="I873" s="3" t="str">
        <f>IFERROR(__xludf.DUMMYFUNCTION("""COMPUTED_VALUE"""),"Preventive Maintenance")</f>
        <v>Preventive Maintenance</v>
      </c>
      <c r="J873" s="3" t="str">
        <f>IFERROR(__xludf.DUMMYFUNCTION("""COMPUTED_VALUE"""),"On Progress")</f>
        <v>On Progress</v>
      </c>
      <c r="K873" s="27">
        <f>IFERROR(__xludf.DUMMYFUNCTION("""COMPUTED_VALUE"""),46041.0)</f>
        <v>46041</v>
      </c>
      <c r="L873" s="27">
        <f>IFERROR(__xludf.DUMMYFUNCTION("""COMPUTED_VALUE"""),46041.0)</f>
        <v>46041</v>
      </c>
      <c r="M873" s="3" t="str">
        <f>IFERROR(__xludf.DUMMYFUNCTION("""COMPUTED_VALUE"""),"Done")</f>
        <v>Done</v>
      </c>
      <c r="N873" s="3"/>
      <c r="O873" s="3" t="str">
        <f>IFERROR(VLOOKUP(C873,Sheet4!A873:F1660,6,0),"")</f>
        <v/>
      </c>
      <c r="Q873" s="2" t="str">
        <f t="shared" si="1"/>
        <v>19</v>
      </c>
    </row>
    <row r="874">
      <c r="A874" s="3" t="str">
        <f>IFERROR(__xludf.DUMMYFUNCTION("""COMPUTED_VALUE"""),"PM")</f>
        <v>PM</v>
      </c>
      <c r="B874" s="3" t="str">
        <f>IFERROR(__xludf.DUMMYFUNCTION("""COMPUTED_VALUE"""),"P2")</f>
        <v>P2</v>
      </c>
      <c r="C874" s="3" t="str">
        <f>IFERROR(__xludf.DUMMYFUNCTION("""COMPUTED_VALUE"""),"KSN021")</f>
        <v>KSN021</v>
      </c>
      <c r="D874" s="3" t="str">
        <f>IFERROR(__xludf.DUMMYFUNCTION("""COMPUTED_VALUE"""),"Darli")</f>
        <v>Darli</v>
      </c>
      <c r="E874" s="3" t="str">
        <f>IFERROR(__xludf.DUMMYFUNCTION("""COMPUTED_VALUE"""),"PM")</f>
        <v>PM</v>
      </c>
      <c r="F874" s="3" t="str">
        <f>IFERROR(__xludf.DUMMYFUNCTION("""COMPUTED_VALUE"""),"Doni Damara")</f>
        <v>Doni Damara</v>
      </c>
      <c r="G874" s="3" t="str">
        <f>IFERROR(__xludf.DUMMYFUNCTION("""COMPUTED_VALUE"""),"Palangkaraya")</f>
        <v>Palangkaraya</v>
      </c>
      <c r="H874" s="3" t="str">
        <f>IFERROR(__xludf.DUMMYFUNCTION("""COMPUTED_VALUE"""),"Preventive")</f>
        <v>Preventive</v>
      </c>
      <c r="I874" s="3" t="str">
        <f>IFERROR(__xludf.DUMMYFUNCTION("""COMPUTED_VALUE"""),"Preventive Maintenance")</f>
        <v>Preventive Maintenance</v>
      </c>
      <c r="J874" s="3" t="str">
        <f>IFERROR(__xludf.DUMMYFUNCTION("""COMPUTED_VALUE"""),"On Progress")</f>
        <v>On Progress</v>
      </c>
      <c r="K874" s="27">
        <f>IFERROR(__xludf.DUMMYFUNCTION("""COMPUTED_VALUE"""),46041.0)</f>
        <v>46041</v>
      </c>
      <c r="L874" s="27">
        <f>IFERROR(__xludf.DUMMYFUNCTION("""COMPUTED_VALUE"""),46041.0)</f>
        <v>46041</v>
      </c>
      <c r="M874" s="3" t="str">
        <f>IFERROR(__xludf.DUMMYFUNCTION("""COMPUTED_VALUE"""),"Done")</f>
        <v>Done</v>
      </c>
      <c r="N874" s="3"/>
      <c r="O874" s="3" t="str">
        <f>IFERROR(VLOOKUP(C874,Sheet4!A874:F1661,6,0),"")</f>
        <v/>
      </c>
      <c r="Q874" s="2" t="str">
        <f t="shared" si="1"/>
        <v>19</v>
      </c>
    </row>
    <row r="875">
      <c r="A875" s="3" t="str">
        <f>IFERROR(__xludf.DUMMYFUNCTION("""COMPUTED_VALUE"""),"Standby On Call")</f>
        <v>Standby On Call</v>
      </c>
      <c r="B875" s="3" t="str">
        <f>IFERROR(__xludf.DUMMYFUNCTION("""COMPUTED_VALUE"""),"P3")</f>
        <v>P3</v>
      </c>
      <c r="C875" s="3"/>
      <c r="D875" s="3" t="str">
        <f>IFERROR(__xludf.DUMMYFUNCTION("""COMPUTED_VALUE"""),"Sarwono")</f>
        <v>Sarwono</v>
      </c>
      <c r="E875" s="3" t="str">
        <f>IFERROR(__xludf.DUMMYFUNCTION("""COMPUTED_VALUE"""),"CME")</f>
        <v>CME</v>
      </c>
      <c r="F875" s="3" t="str">
        <f>IFERROR(__xludf.DUMMYFUNCTION("""COMPUTED_VALUE"""),"Doni Damara")</f>
        <v>Doni Damara</v>
      </c>
      <c r="G875" s="3" t="str">
        <f>IFERROR(__xludf.DUMMYFUNCTION("""COMPUTED_VALUE"""),"Palangkaraya")</f>
        <v>Palangkaraya</v>
      </c>
      <c r="H875" s="3" t="str">
        <f>IFERROR(__xludf.DUMMYFUNCTION("""COMPUTED_VALUE"""),"Standby")</f>
        <v>Standby</v>
      </c>
      <c r="I875" s="3" t="str">
        <f>IFERROR(__xludf.DUMMYFUNCTION("""COMPUTED_VALUE"""),"Standby On Call")</f>
        <v>Standby On Call</v>
      </c>
      <c r="J875" s="3" t="str">
        <f>IFERROR(__xludf.DUMMYFUNCTION("""COMPUTED_VALUE"""),"Standby")</f>
        <v>Standby</v>
      </c>
      <c r="K875" s="27">
        <f>IFERROR(__xludf.DUMMYFUNCTION("""COMPUTED_VALUE"""),46041.0)</f>
        <v>46041</v>
      </c>
      <c r="L875" s="3"/>
      <c r="M875" s="3" t="str">
        <f>IFERROR(__xludf.DUMMYFUNCTION("""COMPUTED_VALUE"""),"Waiting Update")</f>
        <v>Waiting Update</v>
      </c>
      <c r="N875" s="3"/>
      <c r="O875" s="3" t="str">
        <f>IFERROR(VLOOKUP(C875,Sheet4!A875:F1662,6,0),"")</f>
        <v/>
      </c>
      <c r="Q875" s="2" t="str">
        <f t="shared" si="1"/>
        <v>19</v>
      </c>
    </row>
    <row r="876">
      <c r="A876" s="3" t="str">
        <f>IFERROR(__xludf.DUMMYFUNCTION("""COMPUTED_VALUE"""),"Standby On Call")</f>
        <v>Standby On Call</v>
      </c>
      <c r="B876" s="3" t="str">
        <f>IFERROR(__xludf.DUMMYFUNCTION("""COMPUTED_VALUE"""),"P3")</f>
        <v>P3</v>
      </c>
      <c r="C876" s="3"/>
      <c r="D876" s="3" t="str">
        <f>IFERROR(__xludf.DUMMYFUNCTION("""COMPUTED_VALUE"""),"hory yusmanto")</f>
        <v>hory yusmanto</v>
      </c>
      <c r="E876" s="3" t="str">
        <f>IFERROR(__xludf.DUMMYFUNCTION("""COMPUTED_VALUE"""),"MBP")</f>
        <v>MBP</v>
      </c>
      <c r="F876" s="3" t="str">
        <f>IFERROR(__xludf.DUMMYFUNCTION("""COMPUTED_VALUE"""),"Doni Damara")</f>
        <v>Doni Damara</v>
      </c>
      <c r="G876" s="3" t="str">
        <f>IFERROR(__xludf.DUMMYFUNCTION("""COMPUTED_VALUE"""),"Palangkaraya")</f>
        <v>Palangkaraya</v>
      </c>
      <c r="H876" s="3" t="str">
        <f>IFERROR(__xludf.DUMMYFUNCTION("""COMPUTED_VALUE"""),"Standby")</f>
        <v>Standby</v>
      </c>
      <c r="I876" s="3" t="str">
        <f>IFERROR(__xludf.DUMMYFUNCTION("""COMPUTED_VALUE"""),"Standby On Call")</f>
        <v>Standby On Call</v>
      </c>
      <c r="J876" s="3" t="str">
        <f>IFERROR(__xludf.DUMMYFUNCTION("""COMPUTED_VALUE"""),"On Progress")</f>
        <v>On Progress</v>
      </c>
      <c r="K876" s="27">
        <f>IFERROR(__xludf.DUMMYFUNCTION("""COMPUTED_VALUE"""),46041.0)</f>
        <v>46041</v>
      </c>
      <c r="L876" s="3"/>
      <c r="M876" s="3" t="str">
        <f>IFERROR(__xludf.DUMMYFUNCTION("""COMPUTED_VALUE"""),"Waiting Update")</f>
        <v>Waiting Update</v>
      </c>
      <c r="N876" s="3"/>
      <c r="O876" s="3" t="str">
        <f>IFERROR(VLOOKUP(C876,Sheet4!A876:F1663,6,0),"")</f>
        <v/>
      </c>
      <c r="Q876" s="2" t="str">
        <f t="shared" si="1"/>
        <v>19</v>
      </c>
    </row>
    <row r="877">
      <c r="A877" s="3" t="str">
        <f>IFERROR(__xludf.DUMMYFUNCTION("""COMPUTED_VALUE"""),"Standby On Call")</f>
        <v>Standby On Call</v>
      </c>
      <c r="B877" s="3" t="str">
        <f>IFERROR(__xludf.DUMMYFUNCTION("""COMPUTED_VALUE"""),"P3")</f>
        <v>P3</v>
      </c>
      <c r="C877" s="3"/>
      <c r="D877" s="3" t="str">
        <f>IFERROR(__xludf.DUMMYFUNCTION("""COMPUTED_VALUE"""),"Agus muliana pamungkas")</f>
        <v>Agus muliana pamungkas</v>
      </c>
      <c r="E877" s="3" t="str">
        <f>IFERROR(__xludf.DUMMYFUNCTION("""COMPUTED_VALUE"""),"MBP")</f>
        <v>MBP</v>
      </c>
      <c r="F877" s="3" t="str">
        <f>IFERROR(__xludf.DUMMYFUNCTION("""COMPUTED_VALUE"""),"Doni Damara")</f>
        <v>Doni Damara</v>
      </c>
      <c r="G877" s="3" t="str">
        <f>IFERROR(__xludf.DUMMYFUNCTION("""COMPUTED_VALUE"""),"Palangkaraya")</f>
        <v>Palangkaraya</v>
      </c>
      <c r="H877" s="3" t="str">
        <f>IFERROR(__xludf.DUMMYFUNCTION("""COMPUTED_VALUE"""),"Standby")</f>
        <v>Standby</v>
      </c>
      <c r="I877" s="3" t="str">
        <f>IFERROR(__xludf.DUMMYFUNCTION("""COMPUTED_VALUE"""),"Standby On Call")</f>
        <v>Standby On Call</v>
      </c>
      <c r="J877" s="3" t="str">
        <f>IFERROR(__xludf.DUMMYFUNCTION("""COMPUTED_VALUE"""),"Standby")</f>
        <v>Standby</v>
      </c>
      <c r="K877" s="27">
        <f>IFERROR(__xludf.DUMMYFUNCTION("""COMPUTED_VALUE"""),46041.0)</f>
        <v>46041</v>
      </c>
      <c r="L877" s="3"/>
      <c r="M877" s="3" t="str">
        <f>IFERROR(__xludf.DUMMYFUNCTION("""COMPUTED_VALUE"""),"Waiting Update")</f>
        <v>Waiting Update</v>
      </c>
      <c r="N877" s="3"/>
      <c r="O877" s="3" t="str">
        <f>IFERROR(VLOOKUP(C877,Sheet4!A877:F1664,6,0),"")</f>
        <v/>
      </c>
      <c r="Q877" s="2" t="str">
        <f t="shared" si="1"/>
        <v>19</v>
      </c>
    </row>
    <row r="878">
      <c r="A878" s="3" t="str">
        <f>IFERROR(__xludf.DUMMYFUNCTION("""COMPUTED_VALUE"""),"Standby On Call")</f>
        <v>Standby On Call</v>
      </c>
      <c r="B878" s="3" t="str">
        <f>IFERROR(__xludf.DUMMYFUNCTION("""COMPUTED_VALUE"""),"P3")</f>
        <v>P3</v>
      </c>
      <c r="C878" s="3"/>
      <c r="D878" s="3" t="str">
        <f>IFERROR(__xludf.DUMMYFUNCTION("""COMPUTED_VALUE"""),"Purwanto")</f>
        <v>Purwanto</v>
      </c>
      <c r="E878" s="3" t="str">
        <f>IFERROR(__xludf.DUMMYFUNCTION("""COMPUTED_VALUE"""),"MBP")</f>
        <v>MBP</v>
      </c>
      <c r="F878" s="3" t="str">
        <f>IFERROR(__xludf.DUMMYFUNCTION("""COMPUTED_VALUE"""),"Doni Damara")</f>
        <v>Doni Damara</v>
      </c>
      <c r="G878" s="3" t="str">
        <f>IFERROR(__xludf.DUMMYFUNCTION("""COMPUTED_VALUE"""),"Palangkaraya")</f>
        <v>Palangkaraya</v>
      </c>
      <c r="H878" s="3" t="str">
        <f>IFERROR(__xludf.DUMMYFUNCTION("""COMPUTED_VALUE"""),"Standby")</f>
        <v>Standby</v>
      </c>
      <c r="I878" s="3" t="str">
        <f>IFERROR(__xludf.DUMMYFUNCTION("""COMPUTED_VALUE"""),"Standby On Call")</f>
        <v>Standby On Call</v>
      </c>
      <c r="J878" s="3" t="str">
        <f>IFERROR(__xludf.DUMMYFUNCTION("""COMPUTED_VALUE"""),"Standby")</f>
        <v>Standby</v>
      </c>
      <c r="K878" s="27">
        <f>IFERROR(__xludf.DUMMYFUNCTION("""COMPUTED_VALUE"""),46041.0)</f>
        <v>46041</v>
      </c>
      <c r="L878" s="3"/>
      <c r="M878" s="3" t="str">
        <f>IFERROR(__xludf.DUMMYFUNCTION("""COMPUTED_VALUE"""),"Waiting Update")</f>
        <v>Waiting Update</v>
      </c>
      <c r="N878" s="3"/>
      <c r="O878" s="3" t="str">
        <f>IFERROR(VLOOKUP(C878,Sheet4!A878:F1665,6,0),"")</f>
        <v/>
      </c>
      <c r="Q878" s="2" t="str">
        <f t="shared" si="1"/>
        <v>19</v>
      </c>
    </row>
    <row r="879">
      <c r="A879" s="3" t="str">
        <f>IFERROR(__xludf.DUMMYFUNCTION("""COMPUTED_VALUE"""),"Pengecekan Power")</f>
        <v>Pengecekan Power</v>
      </c>
      <c r="B879" s="3" t="str">
        <f>IFERROR(__xludf.DUMMYFUNCTION("""COMPUTED_VALUE"""),"P1")</f>
        <v>P1</v>
      </c>
      <c r="C879" s="3" t="str">
        <f>IFERROR(__xludf.DUMMYFUNCTION("""COMPUTED_VALUE"""),"BNT070")</f>
        <v>BNT070</v>
      </c>
      <c r="D879" s="3" t="str">
        <f>IFERROR(__xludf.DUMMYFUNCTION("""COMPUTED_VALUE"""),"Putra wardana")</f>
        <v>Putra wardana</v>
      </c>
      <c r="E879" s="3" t="str">
        <f>IFERROR(__xludf.DUMMYFUNCTION("""COMPUTED_VALUE"""),"TE")</f>
        <v>TE</v>
      </c>
      <c r="F879" s="3" t="str">
        <f>IFERROR(__xludf.DUMMYFUNCTION("""COMPUTED_VALUE"""),"Winda Sokenda")</f>
        <v>Winda Sokenda</v>
      </c>
      <c r="G879" s="3" t="str">
        <f>IFERROR(__xludf.DUMMYFUNCTION("""COMPUTED_VALUE"""),"Barito Raya")</f>
        <v>Barito Raya</v>
      </c>
      <c r="H879" s="3" t="str">
        <f>IFERROR(__xludf.DUMMYFUNCTION("""COMPUTED_VALUE"""),"Preventive")</f>
        <v>Preventive</v>
      </c>
      <c r="I879" s="3" t="str">
        <f>IFERROR(__xludf.DUMMYFUNCTION("""COMPUTED_VALUE"""),"MCB trip/Power upnormal")</f>
        <v>MCB trip/Power upnormal</v>
      </c>
      <c r="J879" s="3" t="str">
        <f>IFERROR(__xludf.DUMMYFUNCTION("""COMPUTED_VALUE"""),"On Progress")</f>
        <v>On Progress</v>
      </c>
      <c r="K879" s="27">
        <f>IFERROR(__xludf.DUMMYFUNCTION("""COMPUTED_VALUE"""),46042.0)</f>
        <v>46042</v>
      </c>
      <c r="L879" s="27">
        <f>IFERROR(__xludf.DUMMYFUNCTION("""COMPUTED_VALUE"""),46042.0)</f>
        <v>46042</v>
      </c>
      <c r="M879" s="3"/>
      <c r="N879" s="3"/>
      <c r="O879" s="3" t="str">
        <f>IFERROR(VLOOKUP(C879,Sheet4!A879:F1666,6,0),"")</f>
        <v/>
      </c>
      <c r="Q879" s="2" t="str">
        <f t="shared" si="1"/>
        <v>20</v>
      </c>
    </row>
    <row r="880">
      <c r="A880" s="3" t="str">
        <f>IFERROR(__xludf.DUMMYFUNCTION("""COMPUTED_VALUE"""),"PM")</f>
        <v>PM</v>
      </c>
      <c r="B880" s="3" t="str">
        <f>IFERROR(__xludf.DUMMYFUNCTION("""COMPUTED_VALUE"""),"P2")</f>
        <v>P2</v>
      </c>
      <c r="C880" s="3" t="str">
        <f>IFERROR(__xludf.DUMMYFUNCTION("""COMPUTED_VALUE"""),"NTH117")</f>
        <v>NTH117</v>
      </c>
      <c r="D880" s="3" t="str">
        <f>IFERROR(__xludf.DUMMYFUNCTION("""COMPUTED_VALUE"""),"Sailillah")</f>
        <v>Sailillah</v>
      </c>
      <c r="E880" s="3" t="str">
        <f>IFERROR(__xludf.DUMMYFUNCTION("""COMPUTED_VALUE"""),"TE")</f>
        <v>TE</v>
      </c>
      <c r="F880" s="3" t="str">
        <f>IFERROR(__xludf.DUMMYFUNCTION("""COMPUTED_VALUE"""),"Winda Sokenda")</f>
        <v>Winda Sokenda</v>
      </c>
      <c r="G880" s="3" t="str">
        <f>IFERROR(__xludf.DUMMYFUNCTION("""COMPUTED_VALUE"""),"Barito Raya")</f>
        <v>Barito Raya</v>
      </c>
      <c r="H880" s="3" t="str">
        <f>IFERROR(__xludf.DUMMYFUNCTION("""COMPUTED_VALUE"""),"Preventive")</f>
        <v>Preventive</v>
      </c>
      <c r="I880" s="3" t="str">
        <f>IFERROR(__xludf.DUMMYFUNCTION("""COMPUTED_VALUE"""),"Preventive Maintenance")</f>
        <v>Preventive Maintenance</v>
      </c>
      <c r="J880" s="3" t="str">
        <f>IFERROR(__xludf.DUMMYFUNCTION("""COMPUTED_VALUE"""),"On Progress")</f>
        <v>On Progress</v>
      </c>
      <c r="K880" s="27">
        <f>IFERROR(__xludf.DUMMYFUNCTION("""COMPUTED_VALUE"""),46042.0)</f>
        <v>46042</v>
      </c>
      <c r="L880" s="27">
        <f>IFERROR(__xludf.DUMMYFUNCTION("""COMPUTED_VALUE"""),46042.0)</f>
        <v>46042</v>
      </c>
      <c r="M880" s="3"/>
      <c r="N880" s="3"/>
      <c r="O880" s="3" t="str">
        <f>IFERROR(VLOOKUP(C880,Sheet4!A880:F1667,6,0),"")</f>
        <v/>
      </c>
      <c r="Q880" s="2" t="str">
        <f t="shared" si="1"/>
        <v>20</v>
      </c>
    </row>
    <row r="881">
      <c r="A881" s="3" t="str">
        <f>IFERROR(__xludf.DUMMYFUNCTION("""COMPUTED_VALUE"""),"Cell down")</f>
        <v>Cell down</v>
      </c>
      <c r="B881" s="3" t="str">
        <f>IFERROR(__xludf.DUMMYFUNCTION("""COMPUTED_VALUE"""),"P1")</f>
        <v>P1</v>
      </c>
      <c r="C881" s="3" t="str">
        <f>IFERROR(__xludf.DUMMYFUNCTION("""COMPUTED_VALUE"""),"BNT525")</f>
        <v>BNT525</v>
      </c>
      <c r="D881" s="3" t="str">
        <f>IFERROR(__xludf.DUMMYFUNCTION("""COMPUTED_VALUE"""),"Tiviansyah")</f>
        <v>Tiviansyah</v>
      </c>
      <c r="E881" s="3" t="str">
        <f>IFERROR(__xludf.DUMMYFUNCTION("""COMPUTED_VALUE"""),"TE")</f>
        <v>TE</v>
      </c>
      <c r="F881" s="3" t="str">
        <f>IFERROR(__xludf.DUMMYFUNCTION("""COMPUTED_VALUE"""),"Winda Sokenda")</f>
        <v>Winda Sokenda</v>
      </c>
      <c r="G881" s="3" t="str">
        <f>IFERROR(__xludf.DUMMYFUNCTION("""COMPUTED_VALUE"""),"Barito Raya")</f>
        <v>Barito Raya</v>
      </c>
      <c r="H881" s="3" t="str">
        <f>IFERROR(__xludf.DUMMYFUNCTION("""COMPUTED_VALUE"""),"Corrective")</f>
        <v>Corrective</v>
      </c>
      <c r="I881" s="3" t="str">
        <f>IFERROR(__xludf.DUMMYFUNCTION("""COMPUTED_VALUE"""),"Replace Optik,RRU/Soket Power/Replace GPS")</f>
        <v>Replace Optik,RRU/Soket Power/Replace GPS</v>
      </c>
      <c r="J881" s="3" t="str">
        <f>IFERROR(__xludf.DUMMYFUNCTION("""COMPUTED_VALUE"""),"Waiting Material")</f>
        <v>Waiting Material</v>
      </c>
      <c r="K881" s="27">
        <f>IFERROR(__xludf.DUMMYFUNCTION("""COMPUTED_VALUE"""),46042.0)</f>
        <v>46042</v>
      </c>
      <c r="L881" s="27">
        <f>IFERROR(__xludf.DUMMYFUNCTION("""COMPUTED_VALUE"""),46042.0)</f>
        <v>46042</v>
      </c>
      <c r="M881" s="3"/>
      <c r="N881" s="3"/>
      <c r="O881" s="3" t="str">
        <f>IFERROR(VLOOKUP(C881,Sheet4!A881:F1668,6,0),"")</f>
        <v/>
      </c>
      <c r="Q881" s="2" t="str">
        <f t="shared" si="1"/>
        <v>20</v>
      </c>
    </row>
    <row r="882">
      <c r="A882" s="3" t="str">
        <f>IFERROR(__xludf.DUMMYFUNCTION("""COMPUTED_VALUE"""),"Pengawalan akses Vendor")</f>
        <v>Pengawalan akses Vendor</v>
      </c>
      <c r="B882" s="3" t="str">
        <f>IFERROR(__xludf.DUMMYFUNCTION("""COMPUTED_VALUE"""),"P3")</f>
        <v>P3</v>
      </c>
      <c r="C882" s="3" t="str">
        <f>IFERROR(__xludf.DUMMYFUNCTION("""COMPUTED_VALUE"""),"MTW010")</f>
        <v>MTW010</v>
      </c>
      <c r="D882" s="3" t="str">
        <f>IFERROR(__xludf.DUMMYFUNCTION("""COMPUTED_VALUE"""),"munawir akhmad")</f>
        <v>munawir akhmad</v>
      </c>
      <c r="E882" s="3" t="str">
        <f>IFERROR(__xludf.DUMMYFUNCTION("""COMPUTED_VALUE"""),"TE")</f>
        <v>TE</v>
      </c>
      <c r="F882" s="3" t="str">
        <f>IFERROR(__xludf.DUMMYFUNCTION("""COMPUTED_VALUE"""),"Winda Sokenda")</f>
        <v>Winda Sokenda</v>
      </c>
      <c r="G882" s="3" t="str">
        <f>IFERROR(__xludf.DUMMYFUNCTION("""COMPUTED_VALUE"""),"Barito Raya")</f>
        <v>Barito Raya</v>
      </c>
      <c r="H882" s="3" t="str">
        <f>IFERROR(__xludf.DUMMYFUNCTION("""COMPUTED_VALUE"""),"Preventive")</f>
        <v>Preventive</v>
      </c>
      <c r="I882" s="3" t="str">
        <f>IFERROR(__xludf.DUMMYFUNCTION("""COMPUTED_VALUE"""),"Pengawalan akses Vendor")</f>
        <v>Pengawalan akses Vendor</v>
      </c>
      <c r="J882" s="3" t="str">
        <f>IFERROR(__xludf.DUMMYFUNCTION("""COMPUTED_VALUE"""),"On Progress")</f>
        <v>On Progress</v>
      </c>
      <c r="K882" s="27">
        <f>IFERROR(__xludf.DUMMYFUNCTION("""COMPUTED_VALUE"""),46042.0)</f>
        <v>46042</v>
      </c>
      <c r="L882" s="27">
        <f>IFERROR(__xludf.DUMMYFUNCTION("""COMPUTED_VALUE"""),46042.0)</f>
        <v>46042</v>
      </c>
      <c r="M882" s="3"/>
      <c r="N882" s="3"/>
      <c r="O882" s="3" t="str">
        <f>IFERROR(VLOOKUP(C882,Sheet4!A882:F1669,6,0),"")</f>
        <v/>
      </c>
      <c r="Q882" s="2" t="str">
        <f t="shared" si="1"/>
        <v>20</v>
      </c>
    </row>
    <row r="883">
      <c r="A883" s="3" t="str">
        <f>IFERROR(__xludf.DUMMYFUNCTION("""COMPUTED_VALUE"""),"Standby On Call")</f>
        <v>Standby On Call</v>
      </c>
      <c r="B883" s="3" t="str">
        <f>IFERROR(__xludf.DUMMYFUNCTION("""COMPUTED_VALUE"""),"P3")</f>
        <v>P3</v>
      </c>
      <c r="C883" s="3"/>
      <c r="D883" s="3" t="str">
        <f>IFERROR(__xludf.DUMMYFUNCTION("""COMPUTED_VALUE"""),"Riki Hidayat")</f>
        <v>Riki Hidayat</v>
      </c>
      <c r="E883" s="3" t="str">
        <f>IFERROR(__xludf.DUMMYFUNCTION("""COMPUTED_VALUE"""),"TE")</f>
        <v>TE</v>
      </c>
      <c r="F883" s="3" t="str">
        <f>IFERROR(__xludf.DUMMYFUNCTION("""COMPUTED_VALUE"""),"Winda Sokenda")</f>
        <v>Winda Sokenda</v>
      </c>
      <c r="G883" s="3" t="str">
        <f>IFERROR(__xludf.DUMMYFUNCTION("""COMPUTED_VALUE"""),"Barito Raya")</f>
        <v>Barito Raya</v>
      </c>
      <c r="H883" s="3" t="str">
        <f>IFERROR(__xludf.DUMMYFUNCTION("""COMPUTED_VALUE"""),"Standby")</f>
        <v>Standby</v>
      </c>
      <c r="I883" s="3" t="str">
        <f>IFERROR(__xludf.DUMMYFUNCTION("""COMPUTED_VALUE"""),"Standby On Call")</f>
        <v>Standby On Call</v>
      </c>
      <c r="J883" s="3" t="str">
        <f>IFERROR(__xludf.DUMMYFUNCTION("""COMPUTED_VALUE"""),"Standby")</f>
        <v>Standby</v>
      </c>
      <c r="K883" s="27">
        <f>IFERROR(__xludf.DUMMYFUNCTION("""COMPUTED_VALUE"""),46042.0)</f>
        <v>46042</v>
      </c>
      <c r="L883" s="27">
        <f>IFERROR(__xludf.DUMMYFUNCTION("""COMPUTED_VALUE"""),46042.0)</f>
        <v>46042</v>
      </c>
      <c r="M883" s="3"/>
      <c r="N883" s="3"/>
      <c r="O883" s="3" t="str">
        <f>IFERROR(VLOOKUP(C883,Sheet4!A883:F1670,6,0),"")</f>
        <v/>
      </c>
      <c r="Q883" s="2" t="str">
        <f t="shared" si="1"/>
        <v>20</v>
      </c>
    </row>
    <row r="884">
      <c r="A884" s="3" t="str">
        <f>IFERROR(__xludf.DUMMYFUNCTION("""COMPUTED_VALUE"""),"Pengecekan Power")</f>
        <v>Pengecekan Power</v>
      </c>
      <c r="B884" s="3" t="str">
        <f>IFERROR(__xludf.DUMMYFUNCTION("""COMPUTED_VALUE"""),"P1")</f>
        <v>P1</v>
      </c>
      <c r="C884" s="3" t="str">
        <f>IFERROR(__xludf.DUMMYFUNCTION("""COMPUTED_VALUE"""),"PRC042")</f>
        <v>PRC042</v>
      </c>
      <c r="D884" s="3" t="str">
        <f>IFERROR(__xludf.DUMMYFUNCTION("""COMPUTED_VALUE"""),"Murjani")</f>
        <v>Murjani</v>
      </c>
      <c r="E884" s="3" t="str">
        <f>IFERROR(__xludf.DUMMYFUNCTION("""COMPUTED_VALUE"""),"TE")</f>
        <v>TE</v>
      </c>
      <c r="F884" s="3" t="str">
        <f>IFERROR(__xludf.DUMMYFUNCTION("""COMPUTED_VALUE"""),"Winda Sokenda")</f>
        <v>Winda Sokenda</v>
      </c>
      <c r="G884" s="3" t="str">
        <f>IFERROR(__xludf.DUMMYFUNCTION("""COMPUTED_VALUE"""),"Barito Raya")</f>
        <v>Barito Raya</v>
      </c>
      <c r="H884" s="3" t="str">
        <f>IFERROR(__xludf.DUMMYFUNCTION("""COMPUTED_VALUE"""),"Preventive")</f>
        <v>Preventive</v>
      </c>
      <c r="I884" s="3" t="str">
        <f>IFERROR(__xludf.DUMMYFUNCTION("""COMPUTED_VALUE"""),"MCB trip/Power upnormal")</f>
        <v>MCB trip/Power upnormal</v>
      </c>
      <c r="J884" s="3" t="str">
        <f>IFERROR(__xludf.DUMMYFUNCTION("""COMPUTED_VALUE"""),"On Progress")</f>
        <v>On Progress</v>
      </c>
      <c r="K884" s="27">
        <f>IFERROR(__xludf.DUMMYFUNCTION("""COMPUTED_VALUE"""),46042.0)</f>
        <v>46042</v>
      </c>
      <c r="L884" s="27">
        <f>IFERROR(__xludf.DUMMYFUNCTION("""COMPUTED_VALUE"""),46042.0)</f>
        <v>46042</v>
      </c>
      <c r="M884" s="3"/>
      <c r="N884" s="3"/>
      <c r="O884" s="3" t="str">
        <f>IFERROR(VLOOKUP(C884,Sheet4!A884:F1671,6,0),"")</f>
        <v/>
      </c>
      <c r="Q884" s="2" t="str">
        <f t="shared" si="1"/>
        <v>20</v>
      </c>
    </row>
    <row r="885">
      <c r="A885" s="3" t="str">
        <f>IFERROR(__xludf.DUMMYFUNCTION("""COMPUTED_VALUE"""),"Site Down")</f>
        <v>Site Down</v>
      </c>
      <c r="B885" s="3" t="str">
        <f>IFERROR(__xludf.DUMMYFUNCTION("""COMPUTED_VALUE"""),"P1")</f>
        <v>P1</v>
      </c>
      <c r="C885" s="3" t="str">
        <f>IFERROR(__xludf.DUMMYFUNCTION("""COMPUTED_VALUE"""),"KKP081")</f>
        <v>KKP081</v>
      </c>
      <c r="D885" s="3" t="str">
        <f>IFERROR(__xludf.DUMMYFUNCTION("""COMPUTED_VALUE"""),"Armadi")</f>
        <v>Armadi</v>
      </c>
      <c r="E885" s="3" t="str">
        <f>IFERROR(__xludf.DUMMYFUNCTION("""COMPUTED_VALUE"""),"TE")</f>
        <v>TE</v>
      </c>
      <c r="F885" s="3" t="str">
        <f>IFERROR(__xludf.DUMMYFUNCTION("""COMPUTED_VALUE"""),"Winda Sokenda")</f>
        <v>Winda Sokenda</v>
      </c>
      <c r="G885" s="3" t="str">
        <f>IFERROR(__xludf.DUMMYFUNCTION("""COMPUTED_VALUE"""),"Barito Raya")</f>
        <v>Barito Raya</v>
      </c>
      <c r="H885" s="3" t="str">
        <f>IFERROR(__xludf.DUMMYFUNCTION("""COMPUTED_VALUE"""),"Corrective")</f>
        <v>Corrective</v>
      </c>
      <c r="I885" s="3" t="str">
        <f>IFERROR(__xludf.DUMMYFUNCTION("""COMPUTED_VALUE"""),"Pemadaman,MCB Trip,Transmisi problem")</f>
        <v>Pemadaman,MCB Trip,Transmisi problem</v>
      </c>
      <c r="J885" s="3" t="str">
        <f>IFERROR(__xludf.DUMMYFUNCTION("""COMPUTED_VALUE"""),"On Progress")</f>
        <v>On Progress</v>
      </c>
      <c r="K885" s="27">
        <f>IFERROR(__xludf.DUMMYFUNCTION("""COMPUTED_VALUE"""),46042.0)</f>
        <v>46042</v>
      </c>
      <c r="L885" s="27">
        <f>IFERROR(__xludf.DUMMYFUNCTION("""COMPUTED_VALUE"""),46042.0)</f>
        <v>46042</v>
      </c>
      <c r="M885" s="3"/>
      <c r="N885" s="3"/>
      <c r="O885" s="3" t="str">
        <f>IFERROR(VLOOKUP(C885,Sheet4!A885:F1672,6,0),"")</f>
        <v/>
      </c>
      <c r="Q885" s="2" t="str">
        <f t="shared" si="1"/>
        <v>20</v>
      </c>
    </row>
    <row r="886">
      <c r="A886" s="3" t="str">
        <f>IFERROR(__xludf.DUMMYFUNCTION("""COMPUTED_VALUE"""),"PM")</f>
        <v>PM</v>
      </c>
      <c r="B886" s="3" t="str">
        <f>IFERROR(__xludf.DUMMYFUNCTION("""COMPUTED_VALUE"""),"P2")</f>
        <v>P2</v>
      </c>
      <c r="C886" s="3" t="str">
        <f>IFERROR(__xludf.DUMMYFUNCTION("""COMPUTED_VALUE"""),"KKP033")</f>
        <v>KKP033</v>
      </c>
      <c r="D886" s="3" t="str">
        <f>IFERROR(__xludf.DUMMYFUNCTION("""COMPUTED_VALUE"""),"Reynaldy Ricardo Putra")</f>
        <v>Reynaldy Ricardo Putra</v>
      </c>
      <c r="E886" s="3" t="str">
        <f>IFERROR(__xludf.DUMMYFUNCTION("""COMPUTED_VALUE"""),"TE")</f>
        <v>TE</v>
      </c>
      <c r="F886" s="3" t="str">
        <f>IFERROR(__xludf.DUMMYFUNCTION("""COMPUTED_VALUE"""),"Winda Sokenda")</f>
        <v>Winda Sokenda</v>
      </c>
      <c r="G886" s="3" t="str">
        <f>IFERROR(__xludf.DUMMYFUNCTION("""COMPUTED_VALUE"""),"Barito Raya")</f>
        <v>Barito Raya</v>
      </c>
      <c r="H886" s="3" t="str">
        <f>IFERROR(__xludf.DUMMYFUNCTION("""COMPUTED_VALUE"""),"Preventive")</f>
        <v>Preventive</v>
      </c>
      <c r="I886" s="3" t="str">
        <f>IFERROR(__xludf.DUMMYFUNCTION("""COMPUTED_VALUE"""),"Preventive Maintenance")</f>
        <v>Preventive Maintenance</v>
      </c>
      <c r="J886" s="3" t="str">
        <f>IFERROR(__xludf.DUMMYFUNCTION("""COMPUTED_VALUE"""),"On Progress")</f>
        <v>On Progress</v>
      </c>
      <c r="K886" s="27">
        <f>IFERROR(__xludf.DUMMYFUNCTION("""COMPUTED_VALUE"""),46042.0)</f>
        <v>46042</v>
      </c>
      <c r="L886" s="27">
        <f>IFERROR(__xludf.DUMMYFUNCTION("""COMPUTED_VALUE"""),46042.0)</f>
        <v>46042</v>
      </c>
      <c r="M886" s="3"/>
      <c r="N886" s="3"/>
      <c r="O886" s="3" t="str">
        <f>IFERROR(VLOOKUP(C886,Sheet4!A886:F1673,6,0),"")</f>
        <v/>
      </c>
      <c r="Q886" s="2" t="str">
        <f t="shared" si="1"/>
        <v>20</v>
      </c>
    </row>
    <row r="887">
      <c r="A887" s="3" t="str">
        <f>IFERROR(__xludf.DUMMYFUNCTION("""COMPUTED_VALUE"""),"PM")</f>
        <v>PM</v>
      </c>
      <c r="B887" s="3" t="str">
        <f>IFERROR(__xludf.DUMMYFUNCTION("""COMPUTED_VALUE"""),"P2")</f>
        <v>P2</v>
      </c>
      <c r="C887" s="3" t="str">
        <f>IFERROR(__xludf.DUMMYFUNCTION("""COMPUTED_VALUE"""),"KKP053")</f>
        <v>KKP053</v>
      </c>
      <c r="D887" s="3" t="str">
        <f>IFERROR(__xludf.DUMMYFUNCTION("""COMPUTED_VALUE"""),"Sahrul Saputra")</f>
        <v>Sahrul Saputra</v>
      </c>
      <c r="E887" s="3" t="str">
        <f>IFERROR(__xludf.DUMMYFUNCTION("""COMPUTED_VALUE"""),"TE")</f>
        <v>TE</v>
      </c>
      <c r="F887" s="3" t="str">
        <f>IFERROR(__xludf.DUMMYFUNCTION("""COMPUTED_VALUE"""),"Winda Sokenda")</f>
        <v>Winda Sokenda</v>
      </c>
      <c r="G887" s="3" t="str">
        <f>IFERROR(__xludf.DUMMYFUNCTION("""COMPUTED_VALUE"""),"Barito Raya")</f>
        <v>Barito Raya</v>
      </c>
      <c r="H887" s="3" t="str">
        <f>IFERROR(__xludf.DUMMYFUNCTION("""COMPUTED_VALUE"""),"Preventive")</f>
        <v>Preventive</v>
      </c>
      <c r="I887" s="3" t="str">
        <f>IFERROR(__xludf.DUMMYFUNCTION("""COMPUTED_VALUE"""),"Preventive Maintenance")</f>
        <v>Preventive Maintenance</v>
      </c>
      <c r="J887" s="3" t="str">
        <f>IFERROR(__xludf.DUMMYFUNCTION("""COMPUTED_VALUE"""),"On Progress")</f>
        <v>On Progress</v>
      </c>
      <c r="K887" s="27">
        <f>IFERROR(__xludf.DUMMYFUNCTION("""COMPUTED_VALUE"""),46042.0)</f>
        <v>46042</v>
      </c>
      <c r="L887" s="27">
        <f>IFERROR(__xludf.DUMMYFUNCTION("""COMPUTED_VALUE"""),46042.0)</f>
        <v>46042</v>
      </c>
      <c r="M887" s="3"/>
      <c r="N887" s="3"/>
      <c r="O887" s="3" t="str">
        <f>IFERROR(VLOOKUP(C887,Sheet4!A887:F1674,6,0),"")</f>
        <v/>
      </c>
      <c r="Q887" s="2" t="str">
        <f t="shared" si="1"/>
        <v>20</v>
      </c>
    </row>
    <row r="888">
      <c r="A888" s="3" t="str">
        <f>IFERROR(__xludf.DUMMYFUNCTION("""COMPUTED_VALUE"""),"Standby On Call")</f>
        <v>Standby On Call</v>
      </c>
      <c r="B888" s="3" t="str">
        <f>IFERROR(__xludf.DUMMYFUNCTION("""COMPUTED_VALUE"""),"P3")</f>
        <v>P3</v>
      </c>
      <c r="C888" s="3"/>
      <c r="D888" s="3" t="str">
        <f>IFERROR(__xludf.DUMMYFUNCTION("""COMPUTED_VALUE"""),"Nurhayat")</f>
        <v>Nurhayat</v>
      </c>
      <c r="E888" s="3" t="str">
        <f>IFERROR(__xludf.DUMMYFUNCTION("""COMPUTED_VALUE"""),"MBP")</f>
        <v>MBP</v>
      </c>
      <c r="F888" s="3" t="str">
        <f>IFERROR(__xludf.DUMMYFUNCTION("""COMPUTED_VALUE"""),"Winda Sokenda")</f>
        <v>Winda Sokenda</v>
      </c>
      <c r="G888" s="3" t="str">
        <f>IFERROR(__xludf.DUMMYFUNCTION("""COMPUTED_VALUE"""),"Barito Raya")</f>
        <v>Barito Raya</v>
      </c>
      <c r="H888" s="3" t="str">
        <f>IFERROR(__xludf.DUMMYFUNCTION("""COMPUTED_VALUE"""),"Standby")</f>
        <v>Standby</v>
      </c>
      <c r="I888" s="3" t="str">
        <f>IFERROR(__xludf.DUMMYFUNCTION("""COMPUTED_VALUE"""),"Standby On Call")</f>
        <v>Standby On Call</v>
      </c>
      <c r="J888" s="3" t="str">
        <f>IFERROR(__xludf.DUMMYFUNCTION("""COMPUTED_VALUE"""),"Standby")</f>
        <v>Standby</v>
      </c>
      <c r="K888" s="27">
        <f>IFERROR(__xludf.DUMMYFUNCTION("""COMPUTED_VALUE"""),46042.0)</f>
        <v>46042</v>
      </c>
      <c r="L888" s="27">
        <f>IFERROR(__xludf.DUMMYFUNCTION("""COMPUTED_VALUE"""),46042.0)</f>
        <v>46042</v>
      </c>
      <c r="M888" s="3"/>
      <c r="N888" s="3"/>
      <c r="O888" s="3" t="str">
        <f>IFERROR(VLOOKUP(C888,Sheet4!A888:F1675,6,0),"")</f>
        <v/>
      </c>
      <c r="Q888" s="2" t="str">
        <f t="shared" si="1"/>
        <v>20</v>
      </c>
    </row>
    <row r="889">
      <c r="A889" s="3" t="str">
        <f>IFERROR(__xludf.DUMMYFUNCTION("""COMPUTED_VALUE"""),"Standby On Call")</f>
        <v>Standby On Call</v>
      </c>
      <c r="B889" s="3" t="str">
        <f>IFERROR(__xludf.DUMMYFUNCTION("""COMPUTED_VALUE"""),"P3")</f>
        <v>P3</v>
      </c>
      <c r="C889" s="3"/>
      <c r="D889" s="3" t="str">
        <f>IFERROR(__xludf.DUMMYFUNCTION("""COMPUTED_VALUE"""),"Harun Nurasyid")</f>
        <v>Harun Nurasyid</v>
      </c>
      <c r="E889" s="3" t="str">
        <f>IFERROR(__xludf.DUMMYFUNCTION("""COMPUTED_VALUE"""),"CME")</f>
        <v>CME</v>
      </c>
      <c r="F889" s="3" t="str">
        <f>IFERROR(__xludf.DUMMYFUNCTION("""COMPUTED_VALUE"""),"Winda Sokenda")</f>
        <v>Winda Sokenda</v>
      </c>
      <c r="G889" s="3" t="str">
        <f>IFERROR(__xludf.DUMMYFUNCTION("""COMPUTED_VALUE"""),"Barito Raya")</f>
        <v>Barito Raya</v>
      </c>
      <c r="H889" s="3" t="str">
        <f>IFERROR(__xludf.DUMMYFUNCTION("""COMPUTED_VALUE"""),"Standby")</f>
        <v>Standby</v>
      </c>
      <c r="I889" s="3" t="str">
        <f>IFERROR(__xludf.DUMMYFUNCTION("""COMPUTED_VALUE"""),"Standby On Call")</f>
        <v>Standby On Call</v>
      </c>
      <c r="J889" s="3" t="str">
        <f>IFERROR(__xludf.DUMMYFUNCTION("""COMPUTED_VALUE"""),"Standby")</f>
        <v>Standby</v>
      </c>
      <c r="K889" s="27">
        <f>IFERROR(__xludf.DUMMYFUNCTION("""COMPUTED_VALUE"""),46042.0)</f>
        <v>46042</v>
      </c>
      <c r="L889" s="27">
        <f>IFERROR(__xludf.DUMMYFUNCTION("""COMPUTED_VALUE"""),46042.0)</f>
        <v>46042</v>
      </c>
      <c r="M889" s="3"/>
      <c r="N889" s="3"/>
      <c r="O889" s="3" t="str">
        <f>IFERROR(VLOOKUP(C889,Sheet4!A889:F1676,6,0),"")</f>
        <v/>
      </c>
      <c r="Q889" s="2" t="str">
        <f t="shared" si="1"/>
        <v>20</v>
      </c>
    </row>
    <row r="890">
      <c r="A890" s="3" t="str">
        <f>IFERROR(__xludf.DUMMYFUNCTION("""COMPUTED_VALUE"""),"Standby On Call")</f>
        <v>Standby On Call</v>
      </c>
      <c r="B890" s="3" t="str">
        <f>IFERROR(__xludf.DUMMYFUNCTION("""COMPUTED_VALUE"""),"P3")</f>
        <v>P3</v>
      </c>
      <c r="C890" s="3"/>
      <c r="D890" s="3" t="str">
        <f>IFERROR(__xludf.DUMMYFUNCTION("""COMPUTED_VALUE"""),"Taklim")</f>
        <v>Taklim</v>
      </c>
      <c r="E890" s="3" t="str">
        <f>IFERROR(__xludf.DUMMYFUNCTION("""COMPUTED_VALUE"""),"MBP")</f>
        <v>MBP</v>
      </c>
      <c r="F890" s="3" t="str">
        <f>IFERROR(__xludf.DUMMYFUNCTION("""COMPUTED_VALUE"""),"Winda Sokenda")</f>
        <v>Winda Sokenda</v>
      </c>
      <c r="G890" s="3" t="str">
        <f>IFERROR(__xludf.DUMMYFUNCTION("""COMPUTED_VALUE"""),"Barito Raya")</f>
        <v>Barito Raya</v>
      </c>
      <c r="H890" s="3" t="str">
        <f>IFERROR(__xludf.DUMMYFUNCTION("""COMPUTED_VALUE"""),"Standby")</f>
        <v>Standby</v>
      </c>
      <c r="I890" s="3" t="str">
        <f>IFERROR(__xludf.DUMMYFUNCTION("""COMPUTED_VALUE"""),"Standby On Call")</f>
        <v>Standby On Call</v>
      </c>
      <c r="J890" s="3" t="str">
        <f>IFERROR(__xludf.DUMMYFUNCTION("""COMPUTED_VALUE"""),"Standby")</f>
        <v>Standby</v>
      </c>
      <c r="K890" s="27">
        <f>IFERROR(__xludf.DUMMYFUNCTION("""COMPUTED_VALUE"""),46042.0)</f>
        <v>46042</v>
      </c>
      <c r="L890" s="27">
        <f>IFERROR(__xludf.DUMMYFUNCTION("""COMPUTED_VALUE"""),46042.0)</f>
        <v>46042</v>
      </c>
      <c r="M890" s="3"/>
      <c r="N890" s="3"/>
      <c r="O890" s="3" t="str">
        <f>IFERROR(VLOOKUP(C890,Sheet4!A890:F1677,6,0),"")</f>
        <v/>
      </c>
      <c r="Q890" s="2" t="str">
        <f t="shared" si="1"/>
        <v>20</v>
      </c>
    </row>
    <row r="891">
      <c r="A891" s="3" t="str">
        <f>IFERROR(__xludf.DUMMYFUNCTION("""COMPUTED_VALUE"""),"Standby On Call")</f>
        <v>Standby On Call</v>
      </c>
      <c r="B891" s="3" t="str">
        <f>IFERROR(__xludf.DUMMYFUNCTION("""COMPUTED_VALUE"""),"P3")</f>
        <v>P3</v>
      </c>
      <c r="C891" s="3"/>
      <c r="D891" s="3" t="str">
        <f>IFERROR(__xludf.DUMMYFUNCTION("""COMPUTED_VALUE"""),"Ahmad Muzakir")</f>
        <v>Ahmad Muzakir</v>
      </c>
      <c r="E891" s="3" t="str">
        <f>IFERROR(__xludf.DUMMYFUNCTION("""COMPUTED_VALUE"""),"MBP")</f>
        <v>MBP</v>
      </c>
      <c r="F891" s="3" t="str">
        <f>IFERROR(__xludf.DUMMYFUNCTION("""COMPUTED_VALUE"""),"Winda Sokenda")</f>
        <v>Winda Sokenda</v>
      </c>
      <c r="G891" s="3" t="str">
        <f>IFERROR(__xludf.DUMMYFUNCTION("""COMPUTED_VALUE"""),"Barito Raya")</f>
        <v>Barito Raya</v>
      </c>
      <c r="H891" s="3" t="str">
        <f>IFERROR(__xludf.DUMMYFUNCTION("""COMPUTED_VALUE"""),"Standby")</f>
        <v>Standby</v>
      </c>
      <c r="I891" s="3" t="str">
        <f>IFERROR(__xludf.DUMMYFUNCTION("""COMPUTED_VALUE"""),"Standby On Call")</f>
        <v>Standby On Call</v>
      </c>
      <c r="J891" s="3" t="str">
        <f>IFERROR(__xludf.DUMMYFUNCTION("""COMPUTED_VALUE"""),"Standby")</f>
        <v>Standby</v>
      </c>
      <c r="K891" s="27">
        <f>IFERROR(__xludf.DUMMYFUNCTION("""COMPUTED_VALUE"""),46042.0)</f>
        <v>46042</v>
      </c>
      <c r="L891" s="27">
        <f>IFERROR(__xludf.DUMMYFUNCTION("""COMPUTED_VALUE"""),46042.0)</f>
        <v>46042</v>
      </c>
      <c r="M891" s="3"/>
      <c r="N891" s="3"/>
      <c r="O891" s="3" t="str">
        <f>IFERROR(VLOOKUP(C891,Sheet4!A891:F1678,6,0),"")</f>
        <v/>
      </c>
      <c r="Q891" s="2" t="str">
        <f t="shared" si="1"/>
        <v>20</v>
      </c>
    </row>
    <row r="892">
      <c r="A892" s="3" t="str">
        <f>IFERROR(__xludf.DUMMYFUNCTION("""COMPUTED_VALUE"""),"Site Down")</f>
        <v>Site Down</v>
      </c>
      <c r="B892" s="3" t="str">
        <f>IFERROR(__xludf.DUMMYFUNCTION("""COMPUTED_VALUE"""),"P1")</f>
        <v>P1</v>
      </c>
      <c r="C892" s="3" t="str">
        <f>IFERROR(__xludf.DUMMYFUNCTION("""COMPUTED_VALUE"""),"KKP226")</f>
        <v>KKP226</v>
      </c>
      <c r="D892" s="3" t="str">
        <f>IFERROR(__xludf.DUMMYFUNCTION("""COMPUTED_VALUE"""),"Alfi Syahri")</f>
        <v>Alfi Syahri</v>
      </c>
      <c r="E892" s="3" t="str">
        <f>IFERROR(__xludf.DUMMYFUNCTION("""COMPUTED_VALUE"""),"CME")</f>
        <v>CME</v>
      </c>
      <c r="F892" s="3" t="str">
        <f>IFERROR(__xludf.DUMMYFUNCTION("""COMPUTED_VALUE"""),"Winda Sokenda")</f>
        <v>Winda Sokenda</v>
      </c>
      <c r="G892" s="3" t="str">
        <f>IFERROR(__xludf.DUMMYFUNCTION("""COMPUTED_VALUE"""),"Barito Raya")</f>
        <v>Barito Raya</v>
      </c>
      <c r="H892" s="3" t="str">
        <f>IFERROR(__xludf.DUMMYFUNCTION("""COMPUTED_VALUE"""),"Corrective")</f>
        <v>Corrective</v>
      </c>
      <c r="I892" s="3" t="str">
        <f>IFERROR(__xludf.DUMMYFUNCTION("""COMPUTED_VALUE"""),"Pemadaman,MCB Trip,Transmisi problem")</f>
        <v>Pemadaman,MCB Trip,Transmisi problem</v>
      </c>
      <c r="J892" s="3" t="str">
        <f>IFERROR(__xludf.DUMMYFUNCTION("""COMPUTED_VALUE"""),"On Progress")</f>
        <v>On Progress</v>
      </c>
      <c r="K892" s="27">
        <f>IFERROR(__xludf.DUMMYFUNCTION("""COMPUTED_VALUE"""),46042.0)</f>
        <v>46042</v>
      </c>
      <c r="L892" s="27">
        <f>IFERROR(__xludf.DUMMYFUNCTION("""COMPUTED_VALUE"""),46042.0)</f>
        <v>46042</v>
      </c>
      <c r="M892" s="3"/>
      <c r="N892" s="3"/>
      <c r="O892" s="3" t="str">
        <f>IFERROR(VLOOKUP(C892,Sheet4!A892:F1679,6,0),"")</f>
        <v/>
      </c>
      <c r="Q892" s="2" t="str">
        <f t="shared" si="1"/>
        <v>20</v>
      </c>
    </row>
    <row r="893">
      <c r="A893" s="3" t="str">
        <f>IFERROR(__xludf.DUMMYFUNCTION("""COMPUTED_VALUE"""),"Standby On Call")</f>
        <v>Standby On Call</v>
      </c>
      <c r="B893" s="3" t="str">
        <f>IFERROR(__xludf.DUMMYFUNCTION("""COMPUTED_VALUE"""),"P3")</f>
        <v>P3</v>
      </c>
      <c r="C893" s="3"/>
      <c r="D893" s="3" t="str">
        <f>IFERROR(__xludf.DUMMYFUNCTION("""COMPUTED_VALUE"""),"Pujianto")</f>
        <v>Pujianto</v>
      </c>
      <c r="E893" s="3" t="str">
        <f>IFERROR(__xludf.DUMMYFUNCTION("""COMPUTED_VALUE"""),"MBP")</f>
        <v>MBP</v>
      </c>
      <c r="F893" s="3" t="str">
        <f>IFERROR(__xludf.DUMMYFUNCTION("""COMPUTED_VALUE"""),"Winda Sokenda")</f>
        <v>Winda Sokenda</v>
      </c>
      <c r="G893" s="3" t="str">
        <f>IFERROR(__xludf.DUMMYFUNCTION("""COMPUTED_VALUE"""),"Barito Raya")</f>
        <v>Barito Raya</v>
      </c>
      <c r="H893" s="3" t="str">
        <f>IFERROR(__xludf.DUMMYFUNCTION("""COMPUTED_VALUE"""),"Standby")</f>
        <v>Standby</v>
      </c>
      <c r="I893" s="3" t="str">
        <f>IFERROR(__xludf.DUMMYFUNCTION("""COMPUTED_VALUE"""),"Standby On Call")</f>
        <v>Standby On Call</v>
      </c>
      <c r="J893" s="3" t="str">
        <f>IFERROR(__xludf.DUMMYFUNCTION("""COMPUTED_VALUE"""),"Standby")</f>
        <v>Standby</v>
      </c>
      <c r="K893" s="27">
        <f>IFERROR(__xludf.DUMMYFUNCTION("""COMPUTED_VALUE"""),46042.0)</f>
        <v>46042</v>
      </c>
      <c r="L893" s="27">
        <f>IFERROR(__xludf.DUMMYFUNCTION("""COMPUTED_VALUE"""),46042.0)</f>
        <v>46042</v>
      </c>
      <c r="M893" s="3"/>
      <c r="N893" s="3"/>
      <c r="O893" s="3" t="str">
        <f>IFERROR(VLOOKUP(C893,Sheet4!A893:F1680,6,0),"")</f>
        <v/>
      </c>
      <c r="Q893" s="2" t="str">
        <f t="shared" si="1"/>
        <v>20</v>
      </c>
    </row>
    <row r="894">
      <c r="A894" s="3" t="str">
        <f>IFERROR(__xludf.DUMMYFUNCTION("""COMPUTED_VALUE"""),"PM")</f>
        <v>PM</v>
      </c>
      <c r="B894" s="3" t="str">
        <f>IFERROR(__xludf.DUMMYFUNCTION("""COMPUTED_VALUE"""),"P2")</f>
        <v>P2</v>
      </c>
      <c r="C894" s="3" t="str">
        <f>IFERROR(__xludf.DUMMYFUNCTION("""COMPUTED_VALUE"""),"TML030")</f>
        <v>TML030</v>
      </c>
      <c r="D894" s="3" t="str">
        <f>IFERROR(__xludf.DUMMYFUNCTION("""COMPUTED_VALUE"""),"Trisno Susanto")</f>
        <v>Trisno Susanto</v>
      </c>
      <c r="E894" s="3" t="str">
        <f>IFERROR(__xludf.DUMMYFUNCTION("""COMPUTED_VALUE"""),"PM")</f>
        <v>PM</v>
      </c>
      <c r="F894" s="3" t="str">
        <f>IFERROR(__xludf.DUMMYFUNCTION("""COMPUTED_VALUE"""),"Winda Sokenda")</f>
        <v>Winda Sokenda</v>
      </c>
      <c r="G894" s="3" t="str">
        <f>IFERROR(__xludf.DUMMYFUNCTION("""COMPUTED_VALUE"""),"Barito Raya")</f>
        <v>Barito Raya</v>
      </c>
      <c r="H894" s="3" t="str">
        <f>IFERROR(__xludf.DUMMYFUNCTION("""COMPUTED_VALUE"""),"Preventive")</f>
        <v>Preventive</v>
      </c>
      <c r="I894" s="3" t="str">
        <f>IFERROR(__xludf.DUMMYFUNCTION("""COMPUTED_VALUE"""),"Preventive Maintenance")</f>
        <v>Preventive Maintenance</v>
      </c>
      <c r="J894" s="3" t="str">
        <f>IFERROR(__xludf.DUMMYFUNCTION("""COMPUTED_VALUE"""),"On Progress")</f>
        <v>On Progress</v>
      </c>
      <c r="K894" s="27">
        <f>IFERROR(__xludf.DUMMYFUNCTION("""COMPUTED_VALUE"""),46042.0)</f>
        <v>46042</v>
      </c>
      <c r="L894" s="27">
        <f>IFERROR(__xludf.DUMMYFUNCTION("""COMPUTED_VALUE"""),46042.0)</f>
        <v>46042</v>
      </c>
      <c r="M894" s="3"/>
      <c r="N894" s="3"/>
      <c r="O894" s="3" t="str">
        <f>IFERROR(VLOOKUP(C894,Sheet4!A894:F1681,6,0),"")</f>
        <v/>
      </c>
      <c r="Q894" s="2" t="str">
        <f t="shared" si="1"/>
        <v>20</v>
      </c>
    </row>
    <row r="895">
      <c r="A895" s="3" t="str">
        <f>IFERROR(__xludf.DUMMYFUNCTION("""COMPUTED_VALUE"""),"PM")</f>
        <v>PM</v>
      </c>
      <c r="B895" s="3" t="str">
        <f>IFERROR(__xludf.DUMMYFUNCTION("""COMPUTED_VALUE"""),"P2")</f>
        <v>P2</v>
      </c>
      <c r="C895" s="3" t="str">
        <f>IFERROR(__xludf.DUMMYFUNCTION("""COMPUTED_VALUE"""),"TML029")</f>
        <v>TML029</v>
      </c>
      <c r="D895" s="3" t="str">
        <f>IFERROR(__xludf.DUMMYFUNCTION("""COMPUTED_VALUE"""),"Khilal dawai katiri")</f>
        <v>Khilal dawai katiri</v>
      </c>
      <c r="E895" s="3" t="str">
        <f>IFERROR(__xludf.DUMMYFUNCTION("""COMPUTED_VALUE"""),"MBP")</f>
        <v>MBP</v>
      </c>
      <c r="F895" s="3" t="str">
        <f>IFERROR(__xludf.DUMMYFUNCTION("""COMPUTED_VALUE"""),"Winda Sokenda")</f>
        <v>Winda Sokenda</v>
      </c>
      <c r="G895" s="3" t="str">
        <f>IFERROR(__xludf.DUMMYFUNCTION("""COMPUTED_VALUE"""),"Barito Raya")</f>
        <v>Barito Raya</v>
      </c>
      <c r="H895" s="3" t="str">
        <f>IFERROR(__xludf.DUMMYFUNCTION("""COMPUTED_VALUE"""),"Preventive")</f>
        <v>Preventive</v>
      </c>
      <c r="I895" s="3" t="str">
        <f>IFERROR(__xludf.DUMMYFUNCTION("""COMPUTED_VALUE"""),"Preventive Maintenance")</f>
        <v>Preventive Maintenance</v>
      </c>
      <c r="J895" s="3" t="str">
        <f>IFERROR(__xludf.DUMMYFUNCTION("""COMPUTED_VALUE"""),"On Progress")</f>
        <v>On Progress</v>
      </c>
      <c r="K895" s="27">
        <f>IFERROR(__xludf.DUMMYFUNCTION("""COMPUTED_VALUE"""),46042.0)</f>
        <v>46042</v>
      </c>
      <c r="L895" s="27">
        <f>IFERROR(__xludf.DUMMYFUNCTION("""COMPUTED_VALUE"""),46042.0)</f>
        <v>46042</v>
      </c>
      <c r="M895" s="3"/>
      <c r="N895" s="3"/>
      <c r="O895" s="3" t="str">
        <f>IFERROR(VLOOKUP(C895,Sheet4!A895:F1682,6,0),"")</f>
        <v/>
      </c>
      <c r="Q895" s="2" t="str">
        <f t="shared" si="1"/>
        <v>20</v>
      </c>
    </row>
    <row r="896">
      <c r="A896" s="3" t="str">
        <f>IFERROR(__xludf.DUMMYFUNCTION("""COMPUTED_VALUE"""),"PM")</f>
        <v>PM</v>
      </c>
      <c r="B896" s="3" t="str">
        <f>IFERROR(__xludf.DUMMYFUNCTION("""COMPUTED_VALUE"""),"P2")</f>
        <v>P2</v>
      </c>
      <c r="C896" s="3" t="str">
        <f>IFERROR(__xludf.DUMMYFUNCTION("""COMPUTED_VALUE"""),"PRC008")</f>
        <v>PRC008</v>
      </c>
      <c r="D896" s="3" t="str">
        <f>IFERROR(__xludf.DUMMYFUNCTION("""COMPUTED_VALUE"""),"Riko setiadi")</f>
        <v>Riko setiadi</v>
      </c>
      <c r="E896" s="3" t="str">
        <f>IFERROR(__xludf.DUMMYFUNCTION("""COMPUTED_VALUE"""),"PM")</f>
        <v>PM</v>
      </c>
      <c r="F896" s="3" t="str">
        <f>IFERROR(__xludf.DUMMYFUNCTION("""COMPUTED_VALUE"""),"Winda Sokenda")</f>
        <v>Winda Sokenda</v>
      </c>
      <c r="G896" s="3" t="str">
        <f>IFERROR(__xludf.DUMMYFUNCTION("""COMPUTED_VALUE"""),"Barito Raya")</f>
        <v>Barito Raya</v>
      </c>
      <c r="H896" s="3" t="str">
        <f>IFERROR(__xludf.DUMMYFUNCTION("""COMPUTED_VALUE"""),"Preventive")</f>
        <v>Preventive</v>
      </c>
      <c r="I896" s="3" t="str">
        <f>IFERROR(__xludf.DUMMYFUNCTION("""COMPUTED_VALUE"""),"Preventive Maintenance")</f>
        <v>Preventive Maintenance</v>
      </c>
      <c r="J896" s="3" t="str">
        <f>IFERROR(__xludf.DUMMYFUNCTION("""COMPUTED_VALUE"""),"On Progress")</f>
        <v>On Progress</v>
      </c>
      <c r="K896" s="27">
        <f>IFERROR(__xludf.DUMMYFUNCTION("""COMPUTED_VALUE"""),46042.0)</f>
        <v>46042</v>
      </c>
      <c r="L896" s="27">
        <f>IFERROR(__xludf.DUMMYFUNCTION("""COMPUTED_VALUE"""),46042.0)</f>
        <v>46042</v>
      </c>
      <c r="M896" s="3"/>
      <c r="N896" s="3"/>
      <c r="O896" s="3" t="str">
        <f>IFERROR(VLOOKUP(C896,Sheet4!A896:F1683,6,0),"")</f>
        <v/>
      </c>
      <c r="Q896" s="2" t="str">
        <f t="shared" si="1"/>
        <v>20</v>
      </c>
    </row>
    <row r="897">
      <c r="A897" s="3" t="str">
        <f>IFERROR(__xludf.DUMMYFUNCTION("""COMPUTED_VALUE"""),"Site Down")</f>
        <v>Site Down</v>
      </c>
      <c r="B897" s="3" t="str">
        <f>IFERROR(__xludf.DUMMYFUNCTION("""COMPUTED_VALUE"""),"P1")</f>
        <v>P1</v>
      </c>
      <c r="C897" s="3" t="str">
        <f>IFERROR(__xludf.DUMMYFUNCTION("""COMPUTED_VALUE"""),"NTH248")</f>
        <v>NTH248</v>
      </c>
      <c r="D897" s="3" t="str">
        <f>IFERROR(__xludf.DUMMYFUNCTION("""COMPUTED_VALUE"""),"Ahmad")</f>
        <v>Ahmad</v>
      </c>
      <c r="E897" s="3" t="str">
        <f>IFERROR(__xludf.DUMMYFUNCTION("""COMPUTED_VALUE"""),"TE")</f>
        <v>TE</v>
      </c>
      <c r="F897" s="3" t="str">
        <f>IFERROR(__xludf.DUMMYFUNCTION("""COMPUTED_VALUE"""),"Doni Damara")</f>
        <v>Doni Damara</v>
      </c>
      <c r="G897" s="3" t="str">
        <f>IFERROR(__xludf.DUMMYFUNCTION("""COMPUTED_VALUE"""),"Palangkaraya")</f>
        <v>Palangkaraya</v>
      </c>
      <c r="H897" s="3" t="str">
        <f>IFERROR(__xludf.DUMMYFUNCTION("""COMPUTED_VALUE"""),"Corrective")</f>
        <v>Corrective</v>
      </c>
      <c r="I897" s="3" t="str">
        <f>IFERROR(__xludf.DUMMYFUNCTION("""COMPUTED_VALUE"""),"Pemadaman,MCB Trip,Transmisi problem")</f>
        <v>Pemadaman,MCB Trip,Transmisi problem</v>
      </c>
      <c r="J897" s="3" t="str">
        <f>IFERROR(__xludf.DUMMYFUNCTION("""COMPUTED_VALUE"""),"On Progress")</f>
        <v>On Progress</v>
      </c>
      <c r="K897" s="27">
        <f>IFERROR(__xludf.DUMMYFUNCTION("""COMPUTED_VALUE"""),46042.0)</f>
        <v>46042</v>
      </c>
      <c r="L897" s="27">
        <f>IFERROR(__xludf.DUMMYFUNCTION("""COMPUTED_VALUE"""),46042.0)</f>
        <v>46042</v>
      </c>
      <c r="M897" s="3" t="str">
        <f>IFERROR(__xludf.DUMMYFUNCTION("""COMPUTED_VALUE"""),"Done")</f>
        <v>Done</v>
      </c>
      <c r="N897" s="3"/>
      <c r="O897" s="3" t="str">
        <f>IFERROR(VLOOKUP(C897,Sheet4!A897:F1684,6,0),"")</f>
        <v/>
      </c>
      <c r="Q897" s="2" t="str">
        <f t="shared" si="1"/>
        <v>20</v>
      </c>
    </row>
    <row r="898">
      <c r="A898" s="3" t="str">
        <f>IFERROR(__xludf.DUMMYFUNCTION("""COMPUTED_VALUE"""),"Cell down")</f>
        <v>Cell down</v>
      </c>
      <c r="B898" s="3" t="str">
        <f>IFERROR(__xludf.DUMMYFUNCTION("""COMPUTED_VALUE"""),"P1")</f>
        <v>P1</v>
      </c>
      <c r="C898" s="3" t="str">
        <f>IFERROR(__xludf.DUMMYFUNCTION("""COMPUTED_VALUE"""),"COH959")</f>
        <v>COH959</v>
      </c>
      <c r="D898" s="3" t="str">
        <f>IFERROR(__xludf.DUMMYFUNCTION("""COMPUTED_VALUE"""),"Fahmi")</f>
        <v>Fahmi</v>
      </c>
      <c r="E898" s="3" t="str">
        <f>IFERROR(__xludf.DUMMYFUNCTION("""COMPUTED_VALUE"""),"TE")</f>
        <v>TE</v>
      </c>
      <c r="F898" s="3" t="str">
        <f>IFERROR(__xludf.DUMMYFUNCTION("""COMPUTED_VALUE"""),"Doni Damara")</f>
        <v>Doni Damara</v>
      </c>
      <c r="G898" s="3" t="str">
        <f>IFERROR(__xludf.DUMMYFUNCTION("""COMPUTED_VALUE"""),"Palangkaraya")</f>
        <v>Palangkaraya</v>
      </c>
      <c r="H898" s="3" t="str">
        <f>IFERROR(__xludf.DUMMYFUNCTION("""COMPUTED_VALUE"""),"Corrective")</f>
        <v>Corrective</v>
      </c>
      <c r="I898" s="3" t="str">
        <f>IFERROR(__xludf.DUMMYFUNCTION("""COMPUTED_VALUE"""),"Replace Optik,RRU/Soket Power/Replace GPS")</f>
        <v>Replace Optik,RRU/Soket Power/Replace GPS</v>
      </c>
      <c r="J898" s="3" t="str">
        <f>IFERROR(__xludf.DUMMYFUNCTION("""COMPUTED_VALUE"""),"On Progress")</f>
        <v>On Progress</v>
      </c>
      <c r="K898" s="27">
        <f>IFERROR(__xludf.DUMMYFUNCTION("""COMPUTED_VALUE"""),46042.0)</f>
        <v>46042</v>
      </c>
      <c r="L898" s="27">
        <f>IFERROR(__xludf.DUMMYFUNCTION("""COMPUTED_VALUE"""),46042.0)</f>
        <v>46042</v>
      </c>
      <c r="M898" s="3" t="str">
        <f>IFERROR(__xludf.DUMMYFUNCTION("""COMPUTED_VALUE"""),"Done")</f>
        <v>Done</v>
      </c>
      <c r="N898" s="3"/>
      <c r="O898" s="3" t="str">
        <f>IFERROR(VLOOKUP(C898,Sheet4!A898:F1685,6,0),"")</f>
        <v/>
      </c>
      <c r="Q898" s="2" t="str">
        <f t="shared" si="1"/>
        <v>20</v>
      </c>
    </row>
    <row r="899">
      <c r="A899" s="3" t="str">
        <f>IFERROR(__xludf.DUMMYFUNCTION("""COMPUTED_VALUE"""),"Site Down")</f>
        <v>Site Down</v>
      </c>
      <c r="B899" s="3" t="str">
        <f>IFERROR(__xludf.DUMMYFUNCTION("""COMPUTED_VALUE"""),"P1")</f>
        <v>P1</v>
      </c>
      <c r="C899" s="3" t="str">
        <f>IFERROR(__xludf.DUMMYFUNCTION("""COMPUTED_VALUE"""),"PLK021")</f>
        <v>PLK021</v>
      </c>
      <c r="D899" s="3" t="str">
        <f>IFERROR(__xludf.DUMMYFUNCTION("""COMPUTED_VALUE"""),"james jimbris")</f>
        <v>james jimbris</v>
      </c>
      <c r="E899" s="3" t="str">
        <f>IFERROR(__xludf.DUMMYFUNCTION("""COMPUTED_VALUE"""),"TE")</f>
        <v>TE</v>
      </c>
      <c r="F899" s="3" t="str">
        <f>IFERROR(__xludf.DUMMYFUNCTION("""COMPUTED_VALUE"""),"Doni Damara")</f>
        <v>Doni Damara</v>
      </c>
      <c r="G899" s="3" t="str">
        <f>IFERROR(__xludf.DUMMYFUNCTION("""COMPUTED_VALUE"""),"Palangkaraya")</f>
        <v>Palangkaraya</v>
      </c>
      <c r="H899" s="3" t="str">
        <f>IFERROR(__xludf.DUMMYFUNCTION("""COMPUTED_VALUE"""),"Corrective")</f>
        <v>Corrective</v>
      </c>
      <c r="I899" s="3" t="str">
        <f>IFERROR(__xludf.DUMMYFUNCTION("""COMPUTED_VALUE"""),"Pemadaman,MCB Trip,Transmisi problem")</f>
        <v>Pemadaman,MCB Trip,Transmisi problem</v>
      </c>
      <c r="J899" s="3" t="str">
        <f>IFERROR(__xludf.DUMMYFUNCTION("""COMPUTED_VALUE"""),"On Progress")</f>
        <v>On Progress</v>
      </c>
      <c r="K899" s="27">
        <f>IFERROR(__xludf.DUMMYFUNCTION("""COMPUTED_VALUE"""),46042.0)</f>
        <v>46042</v>
      </c>
      <c r="L899" s="27">
        <f>IFERROR(__xludf.DUMMYFUNCTION("""COMPUTED_VALUE"""),46042.0)</f>
        <v>46042</v>
      </c>
      <c r="M899" s="3" t="str">
        <f>IFERROR(__xludf.DUMMYFUNCTION("""COMPUTED_VALUE"""),"Done")</f>
        <v>Done</v>
      </c>
      <c r="N899" s="3"/>
      <c r="O899" s="3" t="str">
        <f>IFERROR(VLOOKUP(C899,Sheet4!A899:F1686,6,0),"")</f>
        <v/>
      </c>
      <c r="Q899" s="2" t="str">
        <f t="shared" si="1"/>
        <v>20</v>
      </c>
    </row>
    <row r="900">
      <c r="A900" s="3" t="str">
        <f>IFERROR(__xludf.DUMMYFUNCTION("""COMPUTED_VALUE"""),"Site Down")</f>
        <v>Site Down</v>
      </c>
      <c r="B900" s="3" t="str">
        <f>IFERROR(__xludf.DUMMYFUNCTION("""COMPUTED_VALUE"""),"P1")</f>
        <v>P1</v>
      </c>
      <c r="C900" s="3" t="str">
        <f>IFERROR(__xludf.DUMMYFUNCTION("""COMPUTED_VALUE"""),"PLK011")</f>
        <v>PLK011</v>
      </c>
      <c r="D900" s="3" t="str">
        <f>IFERROR(__xludf.DUMMYFUNCTION("""COMPUTED_VALUE"""),"Adi Bowo Santoso")</f>
        <v>Adi Bowo Santoso</v>
      </c>
      <c r="E900" s="3" t="str">
        <f>IFERROR(__xludf.DUMMYFUNCTION("""COMPUTED_VALUE"""),"TE")</f>
        <v>TE</v>
      </c>
      <c r="F900" s="3" t="str">
        <f>IFERROR(__xludf.DUMMYFUNCTION("""COMPUTED_VALUE"""),"Doni Damara")</f>
        <v>Doni Damara</v>
      </c>
      <c r="G900" s="3" t="str">
        <f>IFERROR(__xludf.DUMMYFUNCTION("""COMPUTED_VALUE"""),"Palangkaraya")</f>
        <v>Palangkaraya</v>
      </c>
      <c r="H900" s="3" t="str">
        <f>IFERROR(__xludf.DUMMYFUNCTION("""COMPUTED_VALUE"""),"Corrective")</f>
        <v>Corrective</v>
      </c>
      <c r="I900" s="3" t="str">
        <f>IFERROR(__xludf.DUMMYFUNCTION("""COMPUTED_VALUE"""),"Pemadaman,MCB Trip,Transmisi problem")</f>
        <v>Pemadaman,MCB Trip,Transmisi problem</v>
      </c>
      <c r="J900" s="3" t="str">
        <f>IFERROR(__xludf.DUMMYFUNCTION("""COMPUTED_VALUE"""),"On Progress")</f>
        <v>On Progress</v>
      </c>
      <c r="K900" s="27">
        <f>IFERROR(__xludf.DUMMYFUNCTION("""COMPUTED_VALUE"""),46042.0)</f>
        <v>46042</v>
      </c>
      <c r="L900" s="27">
        <f>IFERROR(__xludf.DUMMYFUNCTION("""COMPUTED_VALUE"""),46042.0)</f>
        <v>46042</v>
      </c>
      <c r="M900" s="3" t="str">
        <f>IFERROR(__xludf.DUMMYFUNCTION("""COMPUTED_VALUE"""),"Done")</f>
        <v>Done</v>
      </c>
      <c r="N900" s="3"/>
      <c r="O900" s="3" t="str">
        <f>IFERROR(VLOOKUP(C900,Sheet4!A900:F1687,6,0),"")</f>
        <v/>
      </c>
      <c r="Q900" s="2" t="str">
        <f t="shared" si="1"/>
        <v>20</v>
      </c>
    </row>
    <row r="901">
      <c r="A901" s="3" t="str">
        <f>IFERROR(__xludf.DUMMYFUNCTION("""COMPUTED_VALUE"""),"Pengecekan Power")</f>
        <v>Pengecekan Power</v>
      </c>
      <c r="B901" s="3" t="str">
        <f>IFERROR(__xludf.DUMMYFUNCTION("""COMPUTED_VALUE"""),"P1")</f>
        <v>P1</v>
      </c>
      <c r="C901" s="3" t="str">
        <f>IFERROR(__xludf.DUMMYFUNCTION("""COMPUTED_VALUE"""),"PPS139")</f>
        <v>PPS139</v>
      </c>
      <c r="D901" s="3" t="str">
        <f>IFERROR(__xludf.DUMMYFUNCTION("""COMPUTED_VALUE"""),"Oky Bangkit Pamungkas")</f>
        <v>Oky Bangkit Pamungkas</v>
      </c>
      <c r="E901" s="3" t="str">
        <f>IFERROR(__xludf.DUMMYFUNCTION("""COMPUTED_VALUE"""),"TE")</f>
        <v>TE</v>
      </c>
      <c r="F901" s="3" t="str">
        <f>IFERROR(__xludf.DUMMYFUNCTION("""COMPUTED_VALUE"""),"Doni Damara")</f>
        <v>Doni Damara</v>
      </c>
      <c r="G901" s="3" t="str">
        <f>IFERROR(__xludf.DUMMYFUNCTION("""COMPUTED_VALUE"""),"Palangkaraya")</f>
        <v>Palangkaraya</v>
      </c>
      <c r="H901" s="3" t="str">
        <f>IFERROR(__xludf.DUMMYFUNCTION("""COMPUTED_VALUE"""),"Preventive")</f>
        <v>Preventive</v>
      </c>
      <c r="I901" s="3" t="str">
        <f>IFERROR(__xludf.DUMMYFUNCTION("""COMPUTED_VALUE"""),"MCB trip/Power upnormal")</f>
        <v>MCB trip/Power upnormal</v>
      </c>
      <c r="J901" s="3" t="str">
        <f>IFERROR(__xludf.DUMMYFUNCTION("""COMPUTED_VALUE"""),"On Progress")</f>
        <v>On Progress</v>
      </c>
      <c r="K901" s="27">
        <f>IFERROR(__xludf.DUMMYFUNCTION("""COMPUTED_VALUE"""),46042.0)</f>
        <v>46042</v>
      </c>
      <c r="L901" s="27">
        <f>IFERROR(__xludf.DUMMYFUNCTION("""COMPUTED_VALUE"""),46042.0)</f>
        <v>46042</v>
      </c>
      <c r="M901" s="3" t="str">
        <f>IFERROR(__xludf.DUMMYFUNCTION("""COMPUTED_VALUE"""),"Done")</f>
        <v>Done</v>
      </c>
      <c r="N901" s="3"/>
      <c r="O901" s="3" t="str">
        <f>IFERROR(VLOOKUP(C901,Sheet4!A901:F1688,6,0),"")</f>
        <v/>
      </c>
      <c r="Q901" s="2" t="str">
        <f t="shared" si="1"/>
        <v>20</v>
      </c>
    </row>
    <row r="902">
      <c r="A902" s="3" t="str">
        <f>IFERROR(__xludf.DUMMYFUNCTION("""COMPUTED_VALUE"""),"Cell down")</f>
        <v>Cell down</v>
      </c>
      <c r="B902" s="3" t="str">
        <f>IFERROR(__xludf.DUMMYFUNCTION("""COMPUTED_VALUE"""),"P1")</f>
        <v>P1</v>
      </c>
      <c r="C902" s="3" t="str">
        <f>IFERROR(__xludf.DUMMYFUNCTION("""COMPUTED_VALUE"""),"KKN151")</f>
        <v>KKN151</v>
      </c>
      <c r="D902" s="3" t="str">
        <f>IFERROR(__xludf.DUMMYFUNCTION("""COMPUTED_VALUE"""),"Leonard")</f>
        <v>Leonard</v>
      </c>
      <c r="E902" s="3" t="str">
        <f>IFERROR(__xludf.DUMMYFUNCTION("""COMPUTED_VALUE"""),"TE")</f>
        <v>TE</v>
      </c>
      <c r="F902" s="3" t="str">
        <f>IFERROR(__xludf.DUMMYFUNCTION("""COMPUTED_VALUE"""),"Doni Damara")</f>
        <v>Doni Damara</v>
      </c>
      <c r="G902" s="3" t="str">
        <f>IFERROR(__xludf.DUMMYFUNCTION("""COMPUTED_VALUE"""),"Palangkaraya")</f>
        <v>Palangkaraya</v>
      </c>
      <c r="H902" s="3" t="str">
        <f>IFERROR(__xludf.DUMMYFUNCTION("""COMPUTED_VALUE"""),"Corrective")</f>
        <v>Corrective</v>
      </c>
      <c r="I902" s="3" t="str">
        <f>IFERROR(__xludf.DUMMYFUNCTION("""COMPUTED_VALUE"""),"Replace Optik,RRU/Soket Power/Replace GPS")</f>
        <v>Replace Optik,RRU/Soket Power/Replace GPS</v>
      </c>
      <c r="J902" s="3" t="str">
        <f>IFERROR(__xludf.DUMMYFUNCTION("""COMPUTED_VALUE"""),"On Progress")</f>
        <v>On Progress</v>
      </c>
      <c r="K902" s="27">
        <f>IFERROR(__xludf.DUMMYFUNCTION("""COMPUTED_VALUE"""),46042.0)</f>
        <v>46042</v>
      </c>
      <c r="L902" s="27">
        <f>IFERROR(__xludf.DUMMYFUNCTION("""COMPUTED_VALUE"""),46042.0)</f>
        <v>46042</v>
      </c>
      <c r="M902" s="3" t="str">
        <f>IFERROR(__xludf.DUMMYFUNCTION("""COMPUTED_VALUE"""),"Done")</f>
        <v>Done</v>
      </c>
      <c r="N902" s="3"/>
      <c r="O902" s="3" t="str">
        <f>IFERROR(VLOOKUP(C902,Sheet4!A902:F1689,6,0),"")</f>
        <v/>
      </c>
      <c r="Q902" s="2" t="str">
        <f t="shared" si="1"/>
        <v>20</v>
      </c>
    </row>
    <row r="903">
      <c r="A903" s="3" t="str">
        <f>IFERROR(__xludf.DUMMYFUNCTION("""COMPUTED_VALUE"""),"Cell down")</f>
        <v>Cell down</v>
      </c>
      <c r="B903" s="3" t="str">
        <f>IFERROR(__xludf.DUMMYFUNCTION("""COMPUTED_VALUE"""),"P1")</f>
        <v>P1</v>
      </c>
      <c r="C903" s="3" t="str">
        <f>IFERROR(__xludf.DUMMYFUNCTION("""COMPUTED_VALUE"""),"KKN151")</f>
        <v>KKN151</v>
      </c>
      <c r="D903" s="3" t="str">
        <f>IFERROR(__xludf.DUMMYFUNCTION("""COMPUTED_VALUE"""),"Aulia Rahman")</f>
        <v>Aulia Rahman</v>
      </c>
      <c r="E903" s="3" t="str">
        <f>IFERROR(__xludf.DUMMYFUNCTION("""COMPUTED_VALUE"""),"TE")</f>
        <v>TE</v>
      </c>
      <c r="F903" s="3" t="str">
        <f>IFERROR(__xludf.DUMMYFUNCTION("""COMPUTED_VALUE"""),"Doni Damara")</f>
        <v>Doni Damara</v>
      </c>
      <c r="G903" s="3" t="str">
        <f>IFERROR(__xludf.DUMMYFUNCTION("""COMPUTED_VALUE"""),"Palangkaraya")</f>
        <v>Palangkaraya</v>
      </c>
      <c r="H903" s="3" t="str">
        <f>IFERROR(__xludf.DUMMYFUNCTION("""COMPUTED_VALUE"""),"Corrective")</f>
        <v>Corrective</v>
      </c>
      <c r="I903" s="3" t="str">
        <f>IFERROR(__xludf.DUMMYFUNCTION("""COMPUTED_VALUE"""),"Replace Optik,RRU/Soket Power/Replace GPS")</f>
        <v>Replace Optik,RRU/Soket Power/Replace GPS</v>
      </c>
      <c r="J903" s="3" t="str">
        <f>IFERROR(__xludf.DUMMYFUNCTION("""COMPUTED_VALUE"""),"On Progress")</f>
        <v>On Progress</v>
      </c>
      <c r="K903" s="27">
        <f>IFERROR(__xludf.DUMMYFUNCTION("""COMPUTED_VALUE"""),46042.0)</f>
        <v>46042</v>
      </c>
      <c r="L903" s="27">
        <f>IFERROR(__xludf.DUMMYFUNCTION("""COMPUTED_VALUE"""),46042.0)</f>
        <v>46042</v>
      </c>
      <c r="M903" s="3" t="str">
        <f>IFERROR(__xludf.DUMMYFUNCTION("""COMPUTED_VALUE"""),"Done")</f>
        <v>Done</v>
      </c>
      <c r="N903" s="3"/>
      <c r="O903" s="3" t="str">
        <f>IFERROR(VLOOKUP(C903,Sheet4!A903:F1690,6,0),"")</f>
        <v/>
      </c>
      <c r="Q903" s="2" t="str">
        <f t="shared" si="1"/>
        <v>20</v>
      </c>
    </row>
    <row r="904">
      <c r="A904" s="3" t="str">
        <f>IFERROR(__xludf.DUMMYFUNCTION("""COMPUTED_VALUE"""),"Vswr")</f>
        <v>Vswr</v>
      </c>
      <c r="B904" s="3" t="str">
        <f>IFERROR(__xludf.DUMMYFUNCTION("""COMPUTED_VALUE"""),"P1")</f>
        <v>P1</v>
      </c>
      <c r="C904" s="3" t="str">
        <f>IFERROR(__xludf.DUMMYFUNCTION("""COMPUTED_VALUE"""),"KSN019")</f>
        <v>KSN019</v>
      </c>
      <c r="D904" s="3" t="str">
        <f>IFERROR(__xludf.DUMMYFUNCTION("""COMPUTED_VALUE"""),"Muhammad Mukhlis")</f>
        <v>Muhammad Mukhlis</v>
      </c>
      <c r="E904" s="3" t="str">
        <f>IFERROR(__xludf.DUMMYFUNCTION("""COMPUTED_VALUE"""),"TE")</f>
        <v>TE</v>
      </c>
      <c r="F904" s="3" t="str">
        <f>IFERROR(__xludf.DUMMYFUNCTION("""COMPUTED_VALUE"""),"Doni Damara")</f>
        <v>Doni Damara</v>
      </c>
      <c r="G904" s="3" t="str">
        <f>IFERROR(__xludf.DUMMYFUNCTION("""COMPUTED_VALUE"""),"Palangkaraya")</f>
        <v>Palangkaraya</v>
      </c>
      <c r="H904" s="3" t="str">
        <f>IFERROR(__xludf.DUMMYFUNCTION("""COMPUTED_VALUE"""),"Corrective")</f>
        <v>Corrective</v>
      </c>
      <c r="I904" s="3" t="str">
        <f>IFERROR(__xludf.DUMMYFUNCTION("""COMPUTED_VALUE"""),"Replace Jumper,antena/RRU")</f>
        <v>Replace Jumper,antena/RRU</v>
      </c>
      <c r="J904" s="3" t="str">
        <f>IFERROR(__xludf.DUMMYFUNCTION("""COMPUTED_VALUE"""),"On Progress")</f>
        <v>On Progress</v>
      </c>
      <c r="K904" s="27">
        <f>IFERROR(__xludf.DUMMYFUNCTION("""COMPUTED_VALUE"""),46042.0)</f>
        <v>46042</v>
      </c>
      <c r="L904" s="27">
        <f>IFERROR(__xludf.DUMMYFUNCTION("""COMPUTED_VALUE"""),46042.0)</f>
        <v>46042</v>
      </c>
      <c r="M904" s="3" t="str">
        <f>IFERROR(__xludf.DUMMYFUNCTION("""COMPUTED_VALUE"""),"Pending")</f>
        <v>Pending</v>
      </c>
      <c r="N904" s="3"/>
      <c r="O904" s="3" t="str">
        <f>IFERROR(VLOOKUP(C904,Sheet4!A904:F1691,6,0),"")</f>
        <v/>
      </c>
      <c r="Q904" s="2" t="str">
        <f t="shared" si="1"/>
        <v>20</v>
      </c>
    </row>
    <row r="905">
      <c r="A905" s="3" t="str">
        <f>IFERROR(__xludf.DUMMYFUNCTION("""COMPUTED_VALUE"""),"Site Down")</f>
        <v>Site Down</v>
      </c>
      <c r="B905" s="3" t="str">
        <f>IFERROR(__xludf.DUMMYFUNCTION("""COMPUTED_VALUE"""),"P1")</f>
        <v>P1</v>
      </c>
      <c r="C905" s="3" t="str">
        <f>IFERROR(__xludf.DUMMYFUNCTION("""COMPUTED_VALUE"""),"KSN028")</f>
        <v>KSN028</v>
      </c>
      <c r="D905" s="3" t="str">
        <f>IFERROR(__xludf.DUMMYFUNCTION("""COMPUTED_VALUE"""),"Muhammad Mukti")</f>
        <v>Muhammad Mukti</v>
      </c>
      <c r="E905" s="3" t="str">
        <f>IFERROR(__xludf.DUMMYFUNCTION("""COMPUTED_VALUE"""),"TE")</f>
        <v>TE</v>
      </c>
      <c r="F905" s="3" t="str">
        <f>IFERROR(__xludf.DUMMYFUNCTION("""COMPUTED_VALUE"""),"Doni Damara")</f>
        <v>Doni Damara</v>
      </c>
      <c r="G905" s="3" t="str">
        <f>IFERROR(__xludf.DUMMYFUNCTION("""COMPUTED_VALUE"""),"Palangkaraya")</f>
        <v>Palangkaraya</v>
      </c>
      <c r="H905" s="3" t="str">
        <f>IFERROR(__xludf.DUMMYFUNCTION("""COMPUTED_VALUE"""),"Corrective")</f>
        <v>Corrective</v>
      </c>
      <c r="I905" s="3" t="str">
        <f>IFERROR(__xludf.DUMMYFUNCTION("""COMPUTED_VALUE"""),"Pemadaman,MCB Trip,Transmisi problem")</f>
        <v>Pemadaman,MCB Trip,Transmisi problem</v>
      </c>
      <c r="J905" s="3" t="str">
        <f>IFERROR(__xludf.DUMMYFUNCTION("""COMPUTED_VALUE"""),"On Progress")</f>
        <v>On Progress</v>
      </c>
      <c r="K905" s="27">
        <f>IFERROR(__xludf.DUMMYFUNCTION("""COMPUTED_VALUE"""),46042.0)</f>
        <v>46042</v>
      </c>
      <c r="L905" s="3"/>
      <c r="M905" s="3" t="str">
        <f>IFERROR(__xludf.DUMMYFUNCTION("""COMPUTED_VALUE"""),"Done")</f>
        <v>Done</v>
      </c>
      <c r="N905" s="3"/>
      <c r="O905" s="3" t="str">
        <f>IFERROR(VLOOKUP(C905,Sheet4!A905:F1692,6,0),"")</f>
        <v/>
      </c>
      <c r="Q905" s="2" t="str">
        <f t="shared" si="1"/>
        <v>20</v>
      </c>
    </row>
    <row r="906">
      <c r="A906" s="3" t="str">
        <f>IFERROR(__xludf.DUMMYFUNCTION("""COMPUTED_VALUE"""),"Standby On Call")</f>
        <v>Standby On Call</v>
      </c>
      <c r="B906" s="3" t="str">
        <f>IFERROR(__xludf.DUMMYFUNCTION("""COMPUTED_VALUE"""),"P3")</f>
        <v>P3</v>
      </c>
      <c r="C906" s="3"/>
      <c r="D906" s="3" t="str">
        <f>IFERROR(__xludf.DUMMYFUNCTION("""COMPUTED_VALUE"""),"melky.O.Tulangow")</f>
        <v>melky.O.Tulangow</v>
      </c>
      <c r="E906" s="3" t="str">
        <f>IFERROR(__xludf.DUMMYFUNCTION("""COMPUTED_VALUE"""),"TE")</f>
        <v>TE</v>
      </c>
      <c r="F906" s="3" t="str">
        <f>IFERROR(__xludf.DUMMYFUNCTION("""COMPUTED_VALUE"""),"Doni Damara")</f>
        <v>Doni Damara</v>
      </c>
      <c r="G906" s="3" t="str">
        <f>IFERROR(__xludf.DUMMYFUNCTION("""COMPUTED_VALUE"""),"Palangkaraya")</f>
        <v>Palangkaraya</v>
      </c>
      <c r="H906" s="3" t="str">
        <f>IFERROR(__xludf.DUMMYFUNCTION("""COMPUTED_VALUE"""),"Standby")</f>
        <v>Standby</v>
      </c>
      <c r="I906" s="3" t="str">
        <f>IFERROR(__xludf.DUMMYFUNCTION("""COMPUTED_VALUE"""),"Standby On Call")</f>
        <v>Standby On Call</v>
      </c>
      <c r="J906" s="3" t="str">
        <f>IFERROR(__xludf.DUMMYFUNCTION("""COMPUTED_VALUE"""),"Standby")</f>
        <v>Standby</v>
      </c>
      <c r="K906" s="27">
        <f>IFERROR(__xludf.DUMMYFUNCTION("""COMPUTED_VALUE"""),46042.0)</f>
        <v>46042</v>
      </c>
      <c r="L906" s="3"/>
      <c r="M906" s="3" t="str">
        <f>IFERROR(__xludf.DUMMYFUNCTION("""COMPUTED_VALUE"""),"Pending")</f>
        <v>Pending</v>
      </c>
      <c r="N906" s="3"/>
      <c r="O906" s="3" t="str">
        <f>IFERROR(VLOOKUP(C906,Sheet4!A906:F1693,6,0),"")</f>
        <v/>
      </c>
      <c r="Q906" s="2" t="str">
        <f t="shared" si="1"/>
        <v>20</v>
      </c>
    </row>
    <row r="907">
      <c r="A907" s="3" t="str">
        <f>IFERROR(__xludf.DUMMYFUNCTION("""COMPUTED_VALUE"""),"PM")</f>
        <v>PM</v>
      </c>
      <c r="B907" s="3" t="str">
        <f>IFERROR(__xludf.DUMMYFUNCTION("""COMPUTED_VALUE"""),"P2")</f>
        <v>P2</v>
      </c>
      <c r="C907" s="3" t="str">
        <f>IFERROR(__xludf.DUMMYFUNCTION("""COMPUTED_VALUE"""),"KKN062")</f>
        <v>KKN062</v>
      </c>
      <c r="D907" s="3" t="str">
        <f>IFERROR(__xludf.DUMMYFUNCTION("""COMPUTED_VALUE"""),"Indra")</f>
        <v>Indra</v>
      </c>
      <c r="E907" s="3" t="str">
        <f>IFERROR(__xludf.DUMMYFUNCTION("""COMPUTED_VALUE"""),"PM")</f>
        <v>PM</v>
      </c>
      <c r="F907" s="3" t="str">
        <f>IFERROR(__xludf.DUMMYFUNCTION("""COMPUTED_VALUE"""),"Doni Damara")</f>
        <v>Doni Damara</v>
      </c>
      <c r="G907" s="3" t="str">
        <f>IFERROR(__xludf.DUMMYFUNCTION("""COMPUTED_VALUE"""),"Palangkaraya")</f>
        <v>Palangkaraya</v>
      </c>
      <c r="H907" s="3" t="str">
        <f>IFERROR(__xludf.DUMMYFUNCTION("""COMPUTED_VALUE"""),"Preventive")</f>
        <v>Preventive</v>
      </c>
      <c r="I907" s="3" t="str">
        <f>IFERROR(__xludf.DUMMYFUNCTION("""COMPUTED_VALUE"""),"Preventive Maintenance")</f>
        <v>Preventive Maintenance</v>
      </c>
      <c r="J907" s="3" t="str">
        <f>IFERROR(__xludf.DUMMYFUNCTION("""COMPUTED_VALUE"""),"On Progress")</f>
        <v>On Progress</v>
      </c>
      <c r="K907" s="27">
        <f>IFERROR(__xludf.DUMMYFUNCTION("""COMPUTED_VALUE"""),46042.0)</f>
        <v>46042</v>
      </c>
      <c r="L907" s="3"/>
      <c r="M907" s="3" t="str">
        <f>IFERROR(__xludf.DUMMYFUNCTION("""COMPUTED_VALUE"""),"Pending")</f>
        <v>Pending</v>
      </c>
      <c r="N907" s="3"/>
      <c r="O907" s="3" t="str">
        <f>IFERROR(VLOOKUP(C907,Sheet4!A907:F1694,6,0),"")</f>
        <v/>
      </c>
      <c r="Q907" s="2" t="str">
        <f t="shared" si="1"/>
        <v>20</v>
      </c>
    </row>
    <row r="908">
      <c r="A908" s="3" t="str">
        <f>IFERROR(__xludf.DUMMYFUNCTION("""COMPUTED_VALUE"""),"PM")</f>
        <v>PM</v>
      </c>
      <c r="B908" s="3" t="str">
        <f>IFERROR(__xludf.DUMMYFUNCTION("""COMPUTED_VALUE"""),"P2")</f>
        <v>P2</v>
      </c>
      <c r="C908" s="3" t="str">
        <f>IFERROR(__xludf.DUMMYFUNCTION("""COMPUTED_VALUE"""),"KSN021")</f>
        <v>KSN021</v>
      </c>
      <c r="D908" s="3" t="str">
        <f>IFERROR(__xludf.DUMMYFUNCTION("""COMPUTED_VALUE"""),"Darli")</f>
        <v>Darli</v>
      </c>
      <c r="E908" s="3" t="str">
        <f>IFERROR(__xludf.DUMMYFUNCTION("""COMPUTED_VALUE"""),"PM")</f>
        <v>PM</v>
      </c>
      <c r="F908" s="3" t="str">
        <f>IFERROR(__xludf.DUMMYFUNCTION("""COMPUTED_VALUE"""),"Doni Damara")</f>
        <v>Doni Damara</v>
      </c>
      <c r="G908" s="3" t="str">
        <f>IFERROR(__xludf.DUMMYFUNCTION("""COMPUTED_VALUE"""),"Palangkaraya")</f>
        <v>Palangkaraya</v>
      </c>
      <c r="H908" s="3" t="str">
        <f>IFERROR(__xludf.DUMMYFUNCTION("""COMPUTED_VALUE"""),"Preventive")</f>
        <v>Preventive</v>
      </c>
      <c r="I908" s="3" t="str">
        <f>IFERROR(__xludf.DUMMYFUNCTION("""COMPUTED_VALUE"""),"Preventive Maintenance")</f>
        <v>Preventive Maintenance</v>
      </c>
      <c r="J908" s="3" t="str">
        <f>IFERROR(__xludf.DUMMYFUNCTION("""COMPUTED_VALUE"""),"On Progress")</f>
        <v>On Progress</v>
      </c>
      <c r="K908" s="27">
        <f>IFERROR(__xludf.DUMMYFUNCTION("""COMPUTED_VALUE"""),46042.0)</f>
        <v>46042</v>
      </c>
      <c r="L908" s="3"/>
      <c r="M908" s="3" t="str">
        <f>IFERROR(__xludf.DUMMYFUNCTION("""COMPUTED_VALUE"""),"Waiting Update")</f>
        <v>Waiting Update</v>
      </c>
      <c r="N908" s="3"/>
      <c r="O908" s="3" t="str">
        <f>IFERROR(VLOOKUP(C908,Sheet4!A908:F1695,6,0),"")</f>
        <v/>
      </c>
      <c r="Q908" s="2" t="str">
        <f t="shared" si="1"/>
        <v>20</v>
      </c>
    </row>
    <row r="909">
      <c r="A909" s="3" t="str">
        <f>IFERROR(__xludf.DUMMYFUNCTION("""COMPUTED_VALUE"""),"Standby On Call")</f>
        <v>Standby On Call</v>
      </c>
      <c r="B909" s="3" t="str">
        <f>IFERROR(__xludf.DUMMYFUNCTION("""COMPUTED_VALUE"""),"P3")</f>
        <v>P3</v>
      </c>
      <c r="C909" s="3"/>
      <c r="D909" s="3" t="str">
        <f>IFERROR(__xludf.DUMMYFUNCTION("""COMPUTED_VALUE"""),"Sarwono")</f>
        <v>Sarwono</v>
      </c>
      <c r="E909" s="3" t="str">
        <f>IFERROR(__xludf.DUMMYFUNCTION("""COMPUTED_VALUE"""),"CME")</f>
        <v>CME</v>
      </c>
      <c r="F909" s="3" t="str">
        <f>IFERROR(__xludf.DUMMYFUNCTION("""COMPUTED_VALUE"""),"Doni Damara")</f>
        <v>Doni Damara</v>
      </c>
      <c r="G909" s="3" t="str">
        <f>IFERROR(__xludf.DUMMYFUNCTION("""COMPUTED_VALUE"""),"Palangkaraya")</f>
        <v>Palangkaraya</v>
      </c>
      <c r="H909" s="3" t="str">
        <f>IFERROR(__xludf.DUMMYFUNCTION("""COMPUTED_VALUE"""),"Standby")</f>
        <v>Standby</v>
      </c>
      <c r="I909" s="3" t="str">
        <f>IFERROR(__xludf.DUMMYFUNCTION("""COMPUTED_VALUE"""),"Standby On Call")</f>
        <v>Standby On Call</v>
      </c>
      <c r="J909" s="3" t="str">
        <f>IFERROR(__xludf.DUMMYFUNCTION("""COMPUTED_VALUE"""),"Standby")</f>
        <v>Standby</v>
      </c>
      <c r="K909" s="27">
        <f>IFERROR(__xludf.DUMMYFUNCTION("""COMPUTED_VALUE"""),46042.0)</f>
        <v>46042</v>
      </c>
      <c r="L909" s="3"/>
      <c r="M909" s="3" t="str">
        <f>IFERROR(__xludf.DUMMYFUNCTION("""COMPUTED_VALUE"""),"Waiting Update")</f>
        <v>Waiting Update</v>
      </c>
      <c r="N909" s="3"/>
      <c r="O909" s="3" t="str">
        <f>IFERROR(VLOOKUP(C909,Sheet4!A909:F1696,6,0),"")</f>
        <v/>
      </c>
      <c r="Q909" s="2" t="str">
        <f t="shared" si="1"/>
        <v>20</v>
      </c>
    </row>
    <row r="910">
      <c r="A910" s="3" t="str">
        <f>IFERROR(__xludf.DUMMYFUNCTION("""COMPUTED_VALUE"""),"Standby On Call")</f>
        <v>Standby On Call</v>
      </c>
      <c r="B910" s="3" t="str">
        <f>IFERROR(__xludf.DUMMYFUNCTION("""COMPUTED_VALUE"""),"P3")</f>
        <v>P3</v>
      </c>
      <c r="C910" s="3"/>
      <c r="D910" s="3" t="str">
        <f>IFERROR(__xludf.DUMMYFUNCTION("""COMPUTED_VALUE"""),"hory yusmanto")</f>
        <v>hory yusmanto</v>
      </c>
      <c r="E910" s="3" t="str">
        <f>IFERROR(__xludf.DUMMYFUNCTION("""COMPUTED_VALUE"""),"MBP")</f>
        <v>MBP</v>
      </c>
      <c r="F910" s="3" t="str">
        <f>IFERROR(__xludf.DUMMYFUNCTION("""COMPUTED_VALUE"""),"Doni Damara")</f>
        <v>Doni Damara</v>
      </c>
      <c r="G910" s="3" t="str">
        <f>IFERROR(__xludf.DUMMYFUNCTION("""COMPUTED_VALUE"""),"Palangkaraya")</f>
        <v>Palangkaraya</v>
      </c>
      <c r="H910" s="3" t="str">
        <f>IFERROR(__xludf.DUMMYFUNCTION("""COMPUTED_VALUE"""),"Standby")</f>
        <v>Standby</v>
      </c>
      <c r="I910" s="3" t="str">
        <f>IFERROR(__xludf.DUMMYFUNCTION("""COMPUTED_VALUE"""),"Standby On Call")</f>
        <v>Standby On Call</v>
      </c>
      <c r="J910" s="3" t="str">
        <f>IFERROR(__xludf.DUMMYFUNCTION("""COMPUTED_VALUE"""),"On Progress")</f>
        <v>On Progress</v>
      </c>
      <c r="K910" s="27">
        <f>IFERROR(__xludf.DUMMYFUNCTION("""COMPUTED_VALUE"""),46042.0)</f>
        <v>46042</v>
      </c>
      <c r="L910" s="3"/>
      <c r="M910" s="3" t="str">
        <f>IFERROR(__xludf.DUMMYFUNCTION("""COMPUTED_VALUE"""),"Waiting Update")</f>
        <v>Waiting Update</v>
      </c>
      <c r="N910" s="3"/>
      <c r="O910" s="3" t="str">
        <f>IFERROR(VLOOKUP(C910,Sheet4!A910:F1697,6,0),"")</f>
        <v/>
      </c>
      <c r="Q910" s="2" t="str">
        <f t="shared" si="1"/>
        <v>20</v>
      </c>
    </row>
    <row r="911">
      <c r="A911" s="3" t="str">
        <f>IFERROR(__xludf.DUMMYFUNCTION("""COMPUTED_VALUE"""),"PM")</f>
        <v>PM</v>
      </c>
      <c r="B911" s="3" t="str">
        <f>IFERROR(__xludf.DUMMYFUNCTION("""COMPUTED_VALUE"""),"P2")</f>
        <v>P2</v>
      </c>
      <c r="C911" s="3" t="str">
        <f>IFERROR(__xludf.DUMMYFUNCTION("""COMPUTED_VALUE"""),"PPS007")</f>
        <v>PPS007</v>
      </c>
      <c r="D911" s="3" t="str">
        <f>IFERROR(__xludf.DUMMYFUNCTION("""COMPUTED_VALUE"""),"Agus muliana pamungkas")</f>
        <v>Agus muliana pamungkas</v>
      </c>
      <c r="E911" s="3" t="str">
        <f>IFERROR(__xludf.DUMMYFUNCTION("""COMPUTED_VALUE"""),"MBP")</f>
        <v>MBP</v>
      </c>
      <c r="F911" s="3" t="str">
        <f>IFERROR(__xludf.DUMMYFUNCTION("""COMPUTED_VALUE"""),"Doni Damara")</f>
        <v>Doni Damara</v>
      </c>
      <c r="G911" s="3" t="str">
        <f>IFERROR(__xludf.DUMMYFUNCTION("""COMPUTED_VALUE"""),"Palangkaraya")</f>
        <v>Palangkaraya</v>
      </c>
      <c r="H911" s="3" t="str">
        <f>IFERROR(__xludf.DUMMYFUNCTION("""COMPUTED_VALUE"""),"Preventive")</f>
        <v>Preventive</v>
      </c>
      <c r="I911" s="3" t="str">
        <f>IFERROR(__xludf.DUMMYFUNCTION("""COMPUTED_VALUE"""),"Preventive Maintenance")</f>
        <v>Preventive Maintenance</v>
      </c>
      <c r="J911" s="3" t="str">
        <f>IFERROR(__xludf.DUMMYFUNCTION("""COMPUTED_VALUE"""),"On Progress")</f>
        <v>On Progress</v>
      </c>
      <c r="K911" s="27">
        <f>IFERROR(__xludf.DUMMYFUNCTION("""COMPUTED_VALUE"""),46042.0)</f>
        <v>46042</v>
      </c>
      <c r="L911" s="3"/>
      <c r="M911" s="3" t="str">
        <f>IFERROR(__xludf.DUMMYFUNCTION("""COMPUTED_VALUE"""),"Waiting Update")</f>
        <v>Waiting Update</v>
      </c>
      <c r="N911" s="3"/>
      <c r="O911" s="3" t="str">
        <f>IFERROR(VLOOKUP(C911,Sheet4!A911:F1698,6,0),"")</f>
        <v/>
      </c>
      <c r="Q911" s="2" t="str">
        <f t="shared" si="1"/>
        <v>20</v>
      </c>
    </row>
    <row r="912">
      <c r="A912" s="3" t="str">
        <f>IFERROR(__xludf.DUMMYFUNCTION("""COMPUTED_VALUE"""),"Cell down")</f>
        <v>Cell down</v>
      </c>
      <c r="B912" s="3" t="str">
        <f>IFERROR(__xludf.DUMMYFUNCTION("""COMPUTED_VALUE"""),"P1")</f>
        <v>P1</v>
      </c>
      <c r="C912" s="3" t="str">
        <f>IFERROR(__xludf.DUMMYFUNCTION("""COMPUTED_VALUE"""),"PPS227")</f>
        <v>PPS227</v>
      </c>
      <c r="D912" s="3" t="str">
        <f>IFERROR(__xludf.DUMMYFUNCTION("""COMPUTED_VALUE"""),"Muhamad Rayhan")</f>
        <v>Muhamad Rayhan</v>
      </c>
      <c r="E912" s="3" t="str">
        <f>IFERROR(__xludf.DUMMYFUNCTION("""COMPUTED_VALUE"""),"TE")</f>
        <v>TE</v>
      </c>
      <c r="F912" s="3" t="str">
        <f>IFERROR(__xludf.DUMMYFUNCTION("""COMPUTED_VALUE"""),"Doni Damara")</f>
        <v>Doni Damara</v>
      </c>
      <c r="G912" s="3" t="str">
        <f>IFERROR(__xludf.DUMMYFUNCTION("""COMPUTED_VALUE"""),"Palangkaraya")</f>
        <v>Palangkaraya</v>
      </c>
      <c r="H912" s="3" t="str">
        <f>IFERROR(__xludf.DUMMYFUNCTION("""COMPUTED_VALUE"""),"Corrective")</f>
        <v>Corrective</v>
      </c>
      <c r="I912" s="3" t="str">
        <f>IFERROR(__xludf.DUMMYFUNCTION("""COMPUTED_VALUE"""),"Replace Optik,RRU/Soket Power/Replace GPS")</f>
        <v>Replace Optik,RRU/Soket Power/Replace GPS</v>
      </c>
      <c r="J912" s="3" t="str">
        <f>IFERROR(__xludf.DUMMYFUNCTION("""COMPUTED_VALUE"""),"On Progress")</f>
        <v>On Progress</v>
      </c>
      <c r="K912" s="27">
        <f>IFERROR(__xludf.DUMMYFUNCTION("""COMPUTED_VALUE"""),46042.0)</f>
        <v>46042</v>
      </c>
      <c r="L912" s="3"/>
      <c r="M912" s="3" t="str">
        <f>IFERROR(__xludf.DUMMYFUNCTION("""COMPUTED_VALUE"""),"Waiting Update")</f>
        <v>Waiting Update</v>
      </c>
      <c r="N912" s="3"/>
      <c r="O912" s="3" t="str">
        <f>IFERROR(VLOOKUP(C912,Sheet4!A912:F1699,6,0),"")</f>
        <v/>
      </c>
      <c r="Q912" s="2" t="str">
        <f t="shared" si="1"/>
        <v>20</v>
      </c>
    </row>
    <row r="913">
      <c r="A913" s="3" t="str">
        <f>IFERROR(__xludf.DUMMYFUNCTION("""COMPUTED_VALUE"""),"Pengecekan Power")</f>
        <v>Pengecekan Power</v>
      </c>
      <c r="B913" s="3" t="str">
        <f>IFERROR(__xludf.DUMMYFUNCTION("""COMPUTED_VALUE"""),"P1")</f>
        <v>P1</v>
      </c>
      <c r="C913" s="3" t="str">
        <f>IFERROR(__xludf.DUMMYFUNCTION("""COMPUTED_VALUE"""),"BNT047")</f>
        <v>BNT047</v>
      </c>
      <c r="D913" s="3" t="str">
        <f>IFERROR(__xludf.DUMMYFUNCTION("""COMPUTED_VALUE"""),"Putra wardana")</f>
        <v>Putra wardana</v>
      </c>
      <c r="E913" s="3" t="str">
        <f>IFERROR(__xludf.DUMMYFUNCTION("""COMPUTED_VALUE"""),"TE")</f>
        <v>TE</v>
      </c>
      <c r="F913" s="3" t="str">
        <f>IFERROR(__xludf.DUMMYFUNCTION("""COMPUTED_VALUE"""),"Winda Sokenda")</f>
        <v>Winda Sokenda</v>
      </c>
      <c r="G913" s="3" t="str">
        <f>IFERROR(__xludf.DUMMYFUNCTION("""COMPUTED_VALUE"""),"Barito Raya")</f>
        <v>Barito Raya</v>
      </c>
      <c r="H913" s="3" t="str">
        <f>IFERROR(__xludf.DUMMYFUNCTION("""COMPUTED_VALUE"""),"Preventive")</f>
        <v>Preventive</v>
      </c>
      <c r="I913" s="3" t="str">
        <f>IFERROR(__xludf.DUMMYFUNCTION("""COMPUTED_VALUE"""),"MCB trip/Power upnormal")</f>
        <v>MCB trip/Power upnormal</v>
      </c>
      <c r="J913" s="3" t="str">
        <f>IFERROR(__xludf.DUMMYFUNCTION("""COMPUTED_VALUE"""),"On Progress")</f>
        <v>On Progress</v>
      </c>
      <c r="K913" s="27">
        <f>IFERROR(__xludf.DUMMYFUNCTION("""COMPUTED_VALUE"""),46043.0)</f>
        <v>46043</v>
      </c>
      <c r="L913" s="27">
        <f>IFERROR(__xludf.DUMMYFUNCTION("""COMPUTED_VALUE"""),46043.0)</f>
        <v>46043</v>
      </c>
      <c r="M913" s="3"/>
      <c r="N913" s="3"/>
      <c r="O913" s="3" t="str">
        <f>IFERROR(VLOOKUP(C913,Sheet4!A913:F1700,6,0),"")</f>
        <v/>
      </c>
      <c r="Q913" s="2" t="str">
        <f t="shared" si="1"/>
        <v>21</v>
      </c>
    </row>
    <row r="914">
      <c r="A914" s="3" t="str">
        <f>IFERROR(__xludf.DUMMYFUNCTION("""COMPUTED_VALUE"""),"Pengecekan Power")</f>
        <v>Pengecekan Power</v>
      </c>
      <c r="B914" s="3" t="str">
        <f>IFERROR(__xludf.DUMMYFUNCTION("""COMPUTED_VALUE"""),"P1")</f>
        <v>P1</v>
      </c>
      <c r="C914" s="3" t="str">
        <f>IFERROR(__xludf.DUMMYFUNCTION("""COMPUTED_VALUE"""),"TML029")</f>
        <v>TML029</v>
      </c>
      <c r="D914" s="3" t="str">
        <f>IFERROR(__xludf.DUMMYFUNCTION("""COMPUTED_VALUE"""),"Sailillah")</f>
        <v>Sailillah</v>
      </c>
      <c r="E914" s="3" t="str">
        <f>IFERROR(__xludf.DUMMYFUNCTION("""COMPUTED_VALUE"""),"TE")</f>
        <v>TE</v>
      </c>
      <c r="F914" s="3" t="str">
        <f>IFERROR(__xludf.DUMMYFUNCTION("""COMPUTED_VALUE"""),"Winda Sokenda")</f>
        <v>Winda Sokenda</v>
      </c>
      <c r="G914" s="3" t="str">
        <f>IFERROR(__xludf.DUMMYFUNCTION("""COMPUTED_VALUE"""),"Barito Raya")</f>
        <v>Barito Raya</v>
      </c>
      <c r="H914" s="3" t="str">
        <f>IFERROR(__xludf.DUMMYFUNCTION("""COMPUTED_VALUE"""),"Preventive")</f>
        <v>Preventive</v>
      </c>
      <c r="I914" s="3" t="str">
        <f>IFERROR(__xludf.DUMMYFUNCTION("""COMPUTED_VALUE"""),"MCB trip/Power upnormal")</f>
        <v>MCB trip/Power upnormal</v>
      </c>
      <c r="J914" s="3" t="str">
        <f>IFERROR(__xludf.DUMMYFUNCTION("""COMPUTED_VALUE"""),"On Progress")</f>
        <v>On Progress</v>
      </c>
      <c r="K914" s="27">
        <f>IFERROR(__xludf.DUMMYFUNCTION("""COMPUTED_VALUE"""),46043.0)</f>
        <v>46043</v>
      </c>
      <c r="L914" s="27">
        <f>IFERROR(__xludf.DUMMYFUNCTION("""COMPUTED_VALUE"""),46043.0)</f>
        <v>46043</v>
      </c>
      <c r="M914" s="3"/>
      <c r="N914" s="3"/>
      <c r="O914" s="3" t="str">
        <f>IFERROR(VLOOKUP(C914,Sheet4!A914:F1701,6,0),"")</f>
        <v/>
      </c>
      <c r="Q914" s="2" t="str">
        <f t="shared" si="1"/>
        <v>21</v>
      </c>
    </row>
    <row r="915">
      <c r="A915" s="3" t="str">
        <f>IFERROR(__xludf.DUMMYFUNCTION("""COMPUTED_VALUE"""),"Cell down")</f>
        <v>Cell down</v>
      </c>
      <c r="B915" s="3" t="str">
        <f>IFERROR(__xludf.DUMMYFUNCTION("""COMPUTED_VALUE"""),"P1")</f>
        <v>P1</v>
      </c>
      <c r="C915" s="3" t="str">
        <f>IFERROR(__xludf.DUMMYFUNCTION("""COMPUTED_VALUE"""),"BNT525")</f>
        <v>BNT525</v>
      </c>
      <c r="D915" s="3" t="str">
        <f>IFERROR(__xludf.DUMMYFUNCTION("""COMPUTED_VALUE"""),"Tiviansyah")</f>
        <v>Tiviansyah</v>
      </c>
      <c r="E915" s="3" t="str">
        <f>IFERROR(__xludf.DUMMYFUNCTION("""COMPUTED_VALUE"""),"TE")</f>
        <v>TE</v>
      </c>
      <c r="F915" s="3" t="str">
        <f>IFERROR(__xludf.DUMMYFUNCTION("""COMPUTED_VALUE"""),"Winda Sokenda")</f>
        <v>Winda Sokenda</v>
      </c>
      <c r="G915" s="3" t="str">
        <f>IFERROR(__xludf.DUMMYFUNCTION("""COMPUTED_VALUE"""),"Barito Raya")</f>
        <v>Barito Raya</v>
      </c>
      <c r="H915" s="3" t="str">
        <f>IFERROR(__xludf.DUMMYFUNCTION("""COMPUTED_VALUE"""),"Corrective")</f>
        <v>Corrective</v>
      </c>
      <c r="I915" s="3" t="str">
        <f>IFERROR(__xludf.DUMMYFUNCTION("""COMPUTED_VALUE"""),"Replace Optik,RRU/Soket Power/Replace GPS")</f>
        <v>Replace Optik,RRU/Soket Power/Replace GPS</v>
      </c>
      <c r="J915" s="3" t="str">
        <f>IFERROR(__xludf.DUMMYFUNCTION("""COMPUTED_VALUE"""),"Waiting Material")</f>
        <v>Waiting Material</v>
      </c>
      <c r="K915" s="27">
        <f>IFERROR(__xludf.DUMMYFUNCTION("""COMPUTED_VALUE"""),46043.0)</f>
        <v>46043</v>
      </c>
      <c r="L915" s="27">
        <f>IFERROR(__xludf.DUMMYFUNCTION("""COMPUTED_VALUE"""),46043.0)</f>
        <v>46043</v>
      </c>
      <c r="M915" s="3"/>
      <c r="N915" s="3"/>
      <c r="O915" s="3" t="str">
        <f>IFERROR(VLOOKUP(C915,Sheet4!A915:F1702,6,0),"")</f>
        <v/>
      </c>
      <c r="Q915" s="2" t="str">
        <f t="shared" si="1"/>
        <v>21</v>
      </c>
    </row>
    <row r="916">
      <c r="A916" s="3" t="str">
        <f>IFERROR(__xludf.DUMMYFUNCTION("""COMPUTED_VALUE"""),"Standby On Call")</f>
        <v>Standby On Call</v>
      </c>
      <c r="B916" s="3" t="str">
        <f>IFERROR(__xludf.DUMMYFUNCTION("""COMPUTED_VALUE"""),"P3")</f>
        <v>P3</v>
      </c>
      <c r="C916" s="3"/>
      <c r="D916" s="3" t="str">
        <f>IFERROR(__xludf.DUMMYFUNCTION("""COMPUTED_VALUE"""),"munawir akhmad")</f>
        <v>munawir akhmad</v>
      </c>
      <c r="E916" s="3" t="str">
        <f>IFERROR(__xludf.DUMMYFUNCTION("""COMPUTED_VALUE"""),"TE")</f>
        <v>TE</v>
      </c>
      <c r="F916" s="3" t="str">
        <f>IFERROR(__xludf.DUMMYFUNCTION("""COMPUTED_VALUE"""),"Winda Sokenda")</f>
        <v>Winda Sokenda</v>
      </c>
      <c r="G916" s="3" t="str">
        <f>IFERROR(__xludf.DUMMYFUNCTION("""COMPUTED_VALUE"""),"Barito Raya")</f>
        <v>Barito Raya</v>
      </c>
      <c r="H916" s="3" t="str">
        <f>IFERROR(__xludf.DUMMYFUNCTION("""COMPUTED_VALUE"""),"Standby")</f>
        <v>Standby</v>
      </c>
      <c r="I916" s="3" t="str">
        <f>IFERROR(__xludf.DUMMYFUNCTION("""COMPUTED_VALUE"""),"Standby On Call")</f>
        <v>Standby On Call</v>
      </c>
      <c r="J916" s="3"/>
      <c r="K916" s="27">
        <f>IFERROR(__xludf.DUMMYFUNCTION("""COMPUTED_VALUE"""),46043.0)</f>
        <v>46043</v>
      </c>
      <c r="L916" s="27">
        <f>IFERROR(__xludf.DUMMYFUNCTION("""COMPUTED_VALUE"""),46043.0)</f>
        <v>46043</v>
      </c>
      <c r="M916" s="3"/>
      <c r="N916" s="3"/>
      <c r="O916" s="3" t="str">
        <f>IFERROR(VLOOKUP(C916,Sheet4!A916:F1703,6,0),"")</f>
        <v/>
      </c>
      <c r="Q916" s="2" t="str">
        <f t="shared" si="1"/>
        <v>21</v>
      </c>
    </row>
    <row r="917">
      <c r="A917" s="3" t="str">
        <f>IFERROR(__xludf.DUMMYFUNCTION("""COMPUTED_VALUE"""),"Standby On Call")</f>
        <v>Standby On Call</v>
      </c>
      <c r="B917" s="3" t="str">
        <f>IFERROR(__xludf.DUMMYFUNCTION("""COMPUTED_VALUE"""),"P3")</f>
        <v>P3</v>
      </c>
      <c r="C917" s="3"/>
      <c r="D917" s="3" t="str">
        <f>IFERROR(__xludf.DUMMYFUNCTION("""COMPUTED_VALUE"""),"Riki Hidayat")</f>
        <v>Riki Hidayat</v>
      </c>
      <c r="E917" s="3" t="str">
        <f>IFERROR(__xludf.DUMMYFUNCTION("""COMPUTED_VALUE"""),"TE")</f>
        <v>TE</v>
      </c>
      <c r="F917" s="3" t="str">
        <f>IFERROR(__xludf.DUMMYFUNCTION("""COMPUTED_VALUE"""),"Winda Sokenda")</f>
        <v>Winda Sokenda</v>
      </c>
      <c r="G917" s="3" t="str">
        <f>IFERROR(__xludf.DUMMYFUNCTION("""COMPUTED_VALUE"""),"Barito Raya")</f>
        <v>Barito Raya</v>
      </c>
      <c r="H917" s="3" t="str">
        <f>IFERROR(__xludf.DUMMYFUNCTION("""COMPUTED_VALUE"""),"Standby")</f>
        <v>Standby</v>
      </c>
      <c r="I917" s="3" t="str">
        <f>IFERROR(__xludf.DUMMYFUNCTION("""COMPUTED_VALUE"""),"Standby On Call")</f>
        <v>Standby On Call</v>
      </c>
      <c r="J917" s="3"/>
      <c r="K917" s="27">
        <f>IFERROR(__xludf.DUMMYFUNCTION("""COMPUTED_VALUE"""),46043.0)</f>
        <v>46043</v>
      </c>
      <c r="L917" s="27">
        <f>IFERROR(__xludf.DUMMYFUNCTION("""COMPUTED_VALUE"""),46043.0)</f>
        <v>46043</v>
      </c>
      <c r="M917" s="3"/>
      <c r="N917" s="3"/>
      <c r="O917" s="3" t="str">
        <f>IFERROR(VLOOKUP(C917,Sheet4!A917:F1704,6,0),"")</f>
        <v/>
      </c>
      <c r="Q917" s="2" t="str">
        <f t="shared" si="1"/>
        <v>21</v>
      </c>
    </row>
    <row r="918">
      <c r="A918" s="3" t="str">
        <f>IFERROR(__xludf.DUMMYFUNCTION("""COMPUTED_VALUE"""),"Cell down")</f>
        <v>Cell down</v>
      </c>
      <c r="B918" s="3" t="str">
        <f>IFERROR(__xludf.DUMMYFUNCTION("""COMPUTED_VALUE"""),"P1")</f>
        <v>P1</v>
      </c>
      <c r="C918" s="3" t="str">
        <f>IFERROR(__xludf.DUMMYFUNCTION("""COMPUTED_VALUE"""),"PRC002")</f>
        <v>PRC002</v>
      </c>
      <c r="D918" s="3" t="str">
        <f>IFERROR(__xludf.DUMMYFUNCTION("""COMPUTED_VALUE"""),"Murjani")</f>
        <v>Murjani</v>
      </c>
      <c r="E918" s="3" t="str">
        <f>IFERROR(__xludf.DUMMYFUNCTION("""COMPUTED_VALUE"""),"TE")</f>
        <v>TE</v>
      </c>
      <c r="F918" s="3" t="str">
        <f>IFERROR(__xludf.DUMMYFUNCTION("""COMPUTED_VALUE"""),"Winda Sokenda")</f>
        <v>Winda Sokenda</v>
      </c>
      <c r="G918" s="3" t="str">
        <f>IFERROR(__xludf.DUMMYFUNCTION("""COMPUTED_VALUE"""),"Barito Raya")</f>
        <v>Barito Raya</v>
      </c>
      <c r="H918" s="3" t="str">
        <f>IFERROR(__xludf.DUMMYFUNCTION("""COMPUTED_VALUE"""),"Corrective")</f>
        <v>Corrective</v>
      </c>
      <c r="I918" s="3" t="str">
        <f>IFERROR(__xludf.DUMMYFUNCTION("""COMPUTED_VALUE"""),"Replace Optik,RRU/Soket Power/Replace GPS")</f>
        <v>Replace Optik,RRU/Soket Power/Replace GPS</v>
      </c>
      <c r="J918" s="3" t="str">
        <f>IFERROR(__xludf.DUMMYFUNCTION("""COMPUTED_VALUE"""),"On Progress")</f>
        <v>On Progress</v>
      </c>
      <c r="K918" s="27">
        <f>IFERROR(__xludf.DUMMYFUNCTION("""COMPUTED_VALUE"""),46043.0)</f>
        <v>46043</v>
      </c>
      <c r="L918" s="27">
        <f>IFERROR(__xludf.DUMMYFUNCTION("""COMPUTED_VALUE"""),46043.0)</f>
        <v>46043</v>
      </c>
      <c r="M918" s="3"/>
      <c r="N918" s="3"/>
      <c r="O918" s="3" t="str">
        <f>IFERROR(VLOOKUP(C918,Sheet4!A918:F1705,6,0),"")</f>
        <v/>
      </c>
      <c r="Q918" s="2" t="str">
        <f t="shared" si="1"/>
        <v>21</v>
      </c>
    </row>
    <row r="919">
      <c r="A919" s="3" t="str">
        <f>IFERROR(__xludf.DUMMYFUNCTION("""COMPUTED_VALUE"""),"Site Down")</f>
        <v>Site Down</v>
      </c>
      <c r="B919" s="3" t="str">
        <f>IFERROR(__xludf.DUMMYFUNCTION("""COMPUTED_VALUE"""),"P1")</f>
        <v>P1</v>
      </c>
      <c r="C919" s="3" t="str">
        <f>IFERROR(__xludf.DUMMYFUNCTION("""COMPUTED_VALUE"""),"KKP068")</f>
        <v>KKP068</v>
      </c>
      <c r="D919" s="3" t="str">
        <f>IFERROR(__xludf.DUMMYFUNCTION("""COMPUTED_VALUE"""),"Armadi")</f>
        <v>Armadi</v>
      </c>
      <c r="E919" s="3" t="str">
        <f>IFERROR(__xludf.DUMMYFUNCTION("""COMPUTED_VALUE"""),"TE")</f>
        <v>TE</v>
      </c>
      <c r="F919" s="3" t="str">
        <f>IFERROR(__xludf.DUMMYFUNCTION("""COMPUTED_VALUE"""),"Winda Sokenda")</f>
        <v>Winda Sokenda</v>
      </c>
      <c r="G919" s="3" t="str">
        <f>IFERROR(__xludf.DUMMYFUNCTION("""COMPUTED_VALUE"""),"Barito Raya")</f>
        <v>Barito Raya</v>
      </c>
      <c r="H919" s="3" t="str">
        <f>IFERROR(__xludf.DUMMYFUNCTION("""COMPUTED_VALUE"""),"Corrective")</f>
        <v>Corrective</v>
      </c>
      <c r="I919" s="3" t="str">
        <f>IFERROR(__xludf.DUMMYFUNCTION("""COMPUTED_VALUE"""),"Pemadaman,MCB Trip,Transmisi problem")</f>
        <v>Pemadaman,MCB Trip,Transmisi problem</v>
      </c>
      <c r="J919" s="3" t="str">
        <f>IFERROR(__xludf.DUMMYFUNCTION("""COMPUTED_VALUE"""),"On Progress")</f>
        <v>On Progress</v>
      </c>
      <c r="K919" s="27">
        <f>IFERROR(__xludf.DUMMYFUNCTION("""COMPUTED_VALUE"""),46043.0)</f>
        <v>46043</v>
      </c>
      <c r="L919" s="27">
        <f>IFERROR(__xludf.DUMMYFUNCTION("""COMPUTED_VALUE"""),46043.0)</f>
        <v>46043</v>
      </c>
      <c r="M919" s="3"/>
      <c r="N919" s="3"/>
      <c r="O919" s="3" t="str">
        <f>IFERROR(VLOOKUP(C919,Sheet4!A919:F1706,6,0),"")</f>
        <v/>
      </c>
      <c r="Q919" s="2" t="str">
        <f t="shared" si="1"/>
        <v>21</v>
      </c>
    </row>
    <row r="920">
      <c r="A920" s="3" t="str">
        <f>IFERROR(__xludf.DUMMYFUNCTION("""COMPUTED_VALUE"""),"PM")</f>
        <v>PM</v>
      </c>
      <c r="B920" s="3" t="str">
        <f>IFERROR(__xludf.DUMMYFUNCTION("""COMPUTED_VALUE"""),"P2")</f>
        <v>P2</v>
      </c>
      <c r="C920" s="3" t="str">
        <f>IFERROR(__xludf.DUMMYFUNCTION("""COMPUTED_VALUE"""),"KKP136")</f>
        <v>KKP136</v>
      </c>
      <c r="D920" s="3" t="str">
        <f>IFERROR(__xludf.DUMMYFUNCTION("""COMPUTED_VALUE"""),"Reynaldy Ricardo Putra")</f>
        <v>Reynaldy Ricardo Putra</v>
      </c>
      <c r="E920" s="3" t="str">
        <f>IFERROR(__xludf.DUMMYFUNCTION("""COMPUTED_VALUE"""),"TE")</f>
        <v>TE</v>
      </c>
      <c r="F920" s="3" t="str">
        <f>IFERROR(__xludf.DUMMYFUNCTION("""COMPUTED_VALUE"""),"Winda Sokenda")</f>
        <v>Winda Sokenda</v>
      </c>
      <c r="G920" s="3" t="str">
        <f>IFERROR(__xludf.DUMMYFUNCTION("""COMPUTED_VALUE"""),"Barito Raya")</f>
        <v>Barito Raya</v>
      </c>
      <c r="H920" s="3" t="str">
        <f>IFERROR(__xludf.DUMMYFUNCTION("""COMPUTED_VALUE"""),"Preventive")</f>
        <v>Preventive</v>
      </c>
      <c r="I920" s="3" t="str">
        <f>IFERROR(__xludf.DUMMYFUNCTION("""COMPUTED_VALUE"""),"Preventive Maintenance")</f>
        <v>Preventive Maintenance</v>
      </c>
      <c r="J920" s="3" t="str">
        <f>IFERROR(__xludf.DUMMYFUNCTION("""COMPUTED_VALUE"""),"On Progress")</f>
        <v>On Progress</v>
      </c>
      <c r="K920" s="27">
        <f>IFERROR(__xludf.DUMMYFUNCTION("""COMPUTED_VALUE"""),46043.0)</f>
        <v>46043</v>
      </c>
      <c r="L920" s="27">
        <f>IFERROR(__xludf.DUMMYFUNCTION("""COMPUTED_VALUE"""),46043.0)</f>
        <v>46043</v>
      </c>
      <c r="M920" s="3"/>
      <c r="N920" s="3"/>
      <c r="O920" s="3" t="str">
        <f>IFERROR(VLOOKUP(C920,Sheet4!A920:F1707,6,0),"")</f>
        <v/>
      </c>
      <c r="Q920" s="2" t="str">
        <f t="shared" si="1"/>
        <v>21</v>
      </c>
    </row>
    <row r="921">
      <c r="A921" s="3" t="str">
        <f>IFERROR(__xludf.DUMMYFUNCTION("""COMPUTED_VALUE"""),"PM")</f>
        <v>PM</v>
      </c>
      <c r="B921" s="3" t="str">
        <f>IFERROR(__xludf.DUMMYFUNCTION("""COMPUTED_VALUE"""),"P2")</f>
        <v>P2</v>
      </c>
      <c r="C921" s="3"/>
      <c r="D921" s="3" t="str">
        <f>IFERROR(__xludf.DUMMYFUNCTION("""COMPUTED_VALUE"""),"Sahrul Saputra")</f>
        <v>Sahrul Saputra</v>
      </c>
      <c r="E921" s="3" t="str">
        <f>IFERROR(__xludf.DUMMYFUNCTION("""COMPUTED_VALUE"""),"TE")</f>
        <v>TE</v>
      </c>
      <c r="F921" s="3" t="str">
        <f>IFERROR(__xludf.DUMMYFUNCTION("""COMPUTED_VALUE"""),"Winda Sokenda")</f>
        <v>Winda Sokenda</v>
      </c>
      <c r="G921" s="3" t="str">
        <f>IFERROR(__xludf.DUMMYFUNCTION("""COMPUTED_VALUE"""),"Barito Raya")</f>
        <v>Barito Raya</v>
      </c>
      <c r="H921" s="3" t="str">
        <f>IFERROR(__xludf.DUMMYFUNCTION("""COMPUTED_VALUE"""),"Preventive")</f>
        <v>Preventive</v>
      </c>
      <c r="I921" s="3" t="str">
        <f>IFERROR(__xludf.DUMMYFUNCTION("""COMPUTED_VALUE"""),"Preventive Maintenance")</f>
        <v>Preventive Maintenance</v>
      </c>
      <c r="J921" s="3" t="str">
        <f>IFERROR(__xludf.DUMMYFUNCTION("""COMPUTED_VALUE"""),"On Progress")</f>
        <v>On Progress</v>
      </c>
      <c r="K921" s="27">
        <f>IFERROR(__xludf.DUMMYFUNCTION("""COMPUTED_VALUE"""),46043.0)</f>
        <v>46043</v>
      </c>
      <c r="L921" s="27">
        <f>IFERROR(__xludf.DUMMYFUNCTION("""COMPUTED_VALUE"""),46043.0)</f>
        <v>46043</v>
      </c>
      <c r="M921" s="3"/>
      <c r="N921" s="3"/>
      <c r="O921" s="3" t="str">
        <f>IFERROR(VLOOKUP(C921,Sheet4!A921:F1708,6,0),"")</f>
        <v/>
      </c>
      <c r="Q921" s="2" t="str">
        <f t="shared" si="1"/>
        <v>21</v>
      </c>
    </row>
    <row r="922">
      <c r="A922" s="3" t="str">
        <f>IFERROR(__xludf.DUMMYFUNCTION("""COMPUTED_VALUE"""),"Pengecekan Power")</f>
        <v>Pengecekan Power</v>
      </c>
      <c r="B922" s="3" t="str">
        <f>IFERROR(__xludf.DUMMYFUNCTION("""COMPUTED_VALUE"""),"P1")</f>
        <v>P1</v>
      </c>
      <c r="C922" s="3" t="str">
        <f>IFERROR(__xludf.DUMMYFUNCTION("""COMPUTED_VALUE"""),"TML029")</f>
        <v>TML029</v>
      </c>
      <c r="D922" s="3" t="str">
        <f>IFERROR(__xludf.DUMMYFUNCTION("""COMPUTED_VALUE"""),"Nurhayat")</f>
        <v>Nurhayat</v>
      </c>
      <c r="E922" s="3" t="str">
        <f>IFERROR(__xludf.DUMMYFUNCTION("""COMPUTED_VALUE"""),"MBP")</f>
        <v>MBP</v>
      </c>
      <c r="F922" s="3" t="str">
        <f>IFERROR(__xludf.DUMMYFUNCTION("""COMPUTED_VALUE"""),"Winda Sokenda")</f>
        <v>Winda Sokenda</v>
      </c>
      <c r="G922" s="3" t="str">
        <f>IFERROR(__xludf.DUMMYFUNCTION("""COMPUTED_VALUE"""),"Barito Raya")</f>
        <v>Barito Raya</v>
      </c>
      <c r="H922" s="3" t="str">
        <f>IFERROR(__xludf.DUMMYFUNCTION("""COMPUTED_VALUE"""),"Preventive")</f>
        <v>Preventive</v>
      </c>
      <c r="I922" s="3" t="str">
        <f>IFERROR(__xludf.DUMMYFUNCTION("""COMPUTED_VALUE"""),"MCB trip/Power upnormal")</f>
        <v>MCB trip/Power upnormal</v>
      </c>
      <c r="J922" s="3" t="str">
        <f>IFERROR(__xludf.DUMMYFUNCTION("""COMPUTED_VALUE"""),"On Progress")</f>
        <v>On Progress</v>
      </c>
      <c r="K922" s="27">
        <f>IFERROR(__xludf.DUMMYFUNCTION("""COMPUTED_VALUE"""),46043.0)</f>
        <v>46043</v>
      </c>
      <c r="L922" s="27">
        <f>IFERROR(__xludf.DUMMYFUNCTION("""COMPUTED_VALUE"""),46043.0)</f>
        <v>46043</v>
      </c>
      <c r="M922" s="3"/>
      <c r="N922" s="3"/>
      <c r="O922" s="3" t="str">
        <f>IFERROR(VLOOKUP(C922,Sheet4!A922:F1709,6,0),"")</f>
        <v/>
      </c>
      <c r="Q922" s="2" t="str">
        <f t="shared" si="1"/>
        <v>21</v>
      </c>
    </row>
    <row r="923">
      <c r="A923" s="3" t="str">
        <f>IFERROR(__xludf.DUMMYFUNCTION("""COMPUTED_VALUE"""),"Standby On Call")</f>
        <v>Standby On Call</v>
      </c>
      <c r="B923" s="3" t="str">
        <f>IFERROR(__xludf.DUMMYFUNCTION("""COMPUTED_VALUE"""),"P3")</f>
        <v>P3</v>
      </c>
      <c r="C923" s="3"/>
      <c r="D923" s="3" t="str">
        <f>IFERROR(__xludf.DUMMYFUNCTION("""COMPUTED_VALUE"""),"Harun Nurasyid")</f>
        <v>Harun Nurasyid</v>
      </c>
      <c r="E923" s="3" t="str">
        <f>IFERROR(__xludf.DUMMYFUNCTION("""COMPUTED_VALUE"""),"CME")</f>
        <v>CME</v>
      </c>
      <c r="F923" s="3" t="str">
        <f>IFERROR(__xludf.DUMMYFUNCTION("""COMPUTED_VALUE"""),"Winda Sokenda")</f>
        <v>Winda Sokenda</v>
      </c>
      <c r="G923" s="3" t="str">
        <f>IFERROR(__xludf.DUMMYFUNCTION("""COMPUTED_VALUE"""),"Barito Raya")</f>
        <v>Barito Raya</v>
      </c>
      <c r="H923" s="3" t="str">
        <f>IFERROR(__xludf.DUMMYFUNCTION("""COMPUTED_VALUE"""),"Standby")</f>
        <v>Standby</v>
      </c>
      <c r="I923" s="3" t="str">
        <f>IFERROR(__xludf.DUMMYFUNCTION("""COMPUTED_VALUE"""),"Standby On Call")</f>
        <v>Standby On Call</v>
      </c>
      <c r="J923" s="3"/>
      <c r="K923" s="27">
        <f>IFERROR(__xludf.DUMMYFUNCTION("""COMPUTED_VALUE"""),46043.0)</f>
        <v>46043</v>
      </c>
      <c r="L923" s="27">
        <f>IFERROR(__xludf.DUMMYFUNCTION("""COMPUTED_VALUE"""),46043.0)</f>
        <v>46043</v>
      </c>
      <c r="M923" s="3"/>
      <c r="N923" s="3"/>
      <c r="O923" s="3" t="str">
        <f>IFERROR(VLOOKUP(C923,Sheet4!A923:F1710,6,0),"")</f>
        <v/>
      </c>
      <c r="Q923" s="2" t="str">
        <f t="shared" si="1"/>
        <v>21</v>
      </c>
    </row>
    <row r="924">
      <c r="A924" s="3" t="str">
        <f>IFERROR(__xludf.DUMMYFUNCTION("""COMPUTED_VALUE"""),"Standby On Call")</f>
        <v>Standby On Call</v>
      </c>
      <c r="B924" s="3" t="str">
        <f>IFERROR(__xludf.DUMMYFUNCTION("""COMPUTED_VALUE"""),"P3")</f>
        <v>P3</v>
      </c>
      <c r="C924" s="3"/>
      <c r="D924" s="3" t="str">
        <f>IFERROR(__xludf.DUMMYFUNCTION("""COMPUTED_VALUE"""),"Taklim")</f>
        <v>Taklim</v>
      </c>
      <c r="E924" s="3" t="str">
        <f>IFERROR(__xludf.DUMMYFUNCTION("""COMPUTED_VALUE"""),"MBP")</f>
        <v>MBP</v>
      </c>
      <c r="F924" s="3" t="str">
        <f>IFERROR(__xludf.DUMMYFUNCTION("""COMPUTED_VALUE"""),"Winda Sokenda")</f>
        <v>Winda Sokenda</v>
      </c>
      <c r="G924" s="3" t="str">
        <f>IFERROR(__xludf.DUMMYFUNCTION("""COMPUTED_VALUE"""),"Barito Raya")</f>
        <v>Barito Raya</v>
      </c>
      <c r="H924" s="3" t="str">
        <f>IFERROR(__xludf.DUMMYFUNCTION("""COMPUTED_VALUE"""),"Standby")</f>
        <v>Standby</v>
      </c>
      <c r="I924" s="3" t="str">
        <f>IFERROR(__xludf.DUMMYFUNCTION("""COMPUTED_VALUE"""),"Standby On Call")</f>
        <v>Standby On Call</v>
      </c>
      <c r="J924" s="3"/>
      <c r="K924" s="27">
        <f>IFERROR(__xludf.DUMMYFUNCTION("""COMPUTED_VALUE"""),46043.0)</f>
        <v>46043</v>
      </c>
      <c r="L924" s="27">
        <f>IFERROR(__xludf.DUMMYFUNCTION("""COMPUTED_VALUE"""),46043.0)</f>
        <v>46043</v>
      </c>
      <c r="M924" s="3"/>
      <c r="N924" s="3"/>
      <c r="O924" s="3" t="str">
        <f>IFERROR(VLOOKUP(C924,Sheet4!A924:F1711,6,0),"")</f>
        <v/>
      </c>
      <c r="Q924" s="2" t="str">
        <f t="shared" si="1"/>
        <v>21</v>
      </c>
    </row>
    <row r="925">
      <c r="A925" s="3" t="str">
        <f>IFERROR(__xludf.DUMMYFUNCTION("""COMPUTED_VALUE"""),"Standby On Call")</f>
        <v>Standby On Call</v>
      </c>
      <c r="B925" s="3" t="str">
        <f>IFERROR(__xludf.DUMMYFUNCTION("""COMPUTED_VALUE"""),"P3")</f>
        <v>P3</v>
      </c>
      <c r="C925" s="3"/>
      <c r="D925" s="3" t="str">
        <f>IFERROR(__xludf.DUMMYFUNCTION("""COMPUTED_VALUE"""),"Ahmad Muzakir")</f>
        <v>Ahmad Muzakir</v>
      </c>
      <c r="E925" s="3" t="str">
        <f>IFERROR(__xludf.DUMMYFUNCTION("""COMPUTED_VALUE"""),"MBP")</f>
        <v>MBP</v>
      </c>
      <c r="F925" s="3" t="str">
        <f>IFERROR(__xludf.DUMMYFUNCTION("""COMPUTED_VALUE"""),"Winda Sokenda")</f>
        <v>Winda Sokenda</v>
      </c>
      <c r="G925" s="3" t="str">
        <f>IFERROR(__xludf.DUMMYFUNCTION("""COMPUTED_VALUE"""),"Barito Raya")</f>
        <v>Barito Raya</v>
      </c>
      <c r="H925" s="3" t="str">
        <f>IFERROR(__xludf.DUMMYFUNCTION("""COMPUTED_VALUE"""),"Standby")</f>
        <v>Standby</v>
      </c>
      <c r="I925" s="3" t="str">
        <f>IFERROR(__xludf.DUMMYFUNCTION("""COMPUTED_VALUE"""),"Standby On Call")</f>
        <v>Standby On Call</v>
      </c>
      <c r="J925" s="3"/>
      <c r="K925" s="27">
        <f>IFERROR(__xludf.DUMMYFUNCTION("""COMPUTED_VALUE"""),46043.0)</f>
        <v>46043</v>
      </c>
      <c r="L925" s="27">
        <f>IFERROR(__xludf.DUMMYFUNCTION("""COMPUTED_VALUE"""),46043.0)</f>
        <v>46043</v>
      </c>
      <c r="M925" s="3"/>
      <c r="N925" s="3"/>
      <c r="O925" s="3" t="str">
        <f>IFERROR(VLOOKUP(C925,Sheet4!A925:F1712,6,0),"")</f>
        <v/>
      </c>
      <c r="Q925" s="2" t="str">
        <f t="shared" si="1"/>
        <v>21</v>
      </c>
    </row>
    <row r="926">
      <c r="A926" s="3" t="str">
        <f>IFERROR(__xludf.DUMMYFUNCTION("""COMPUTED_VALUE"""),"Site Down")</f>
        <v>Site Down</v>
      </c>
      <c r="B926" s="3" t="str">
        <f>IFERROR(__xludf.DUMMYFUNCTION("""COMPUTED_VALUE"""),"P1")</f>
        <v>P1</v>
      </c>
      <c r="C926" s="3" t="str">
        <f>IFERROR(__xludf.DUMMYFUNCTION("""COMPUTED_VALUE"""),"KKP068")</f>
        <v>KKP068</v>
      </c>
      <c r="D926" s="3" t="str">
        <f>IFERROR(__xludf.DUMMYFUNCTION("""COMPUTED_VALUE"""),"Alfi Syahri")</f>
        <v>Alfi Syahri</v>
      </c>
      <c r="E926" s="3" t="str">
        <f>IFERROR(__xludf.DUMMYFUNCTION("""COMPUTED_VALUE"""),"CME")</f>
        <v>CME</v>
      </c>
      <c r="F926" s="3" t="str">
        <f>IFERROR(__xludf.DUMMYFUNCTION("""COMPUTED_VALUE"""),"Winda Sokenda")</f>
        <v>Winda Sokenda</v>
      </c>
      <c r="G926" s="3" t="str">
        <f>IFERROR(__xludf.DUMMYFUNCTION("""COMPUTED_VALUE"""),"Barito Raya")</f>
        <v>Barito Raya</v>
      </c>
      <c r="H926" s="3" t="str">
        <f>IFERROR(__xludf.DUMMYFUNCTION("""COMPUTED_VALUE"""),"Corrective")</f>
        <v>Corrective</v>
      </c>
      <c r="I926" s="3" t="str">
        <f>IFERROR(__xludf.DUMMYFUNCTION("""COMPUTED_VALUE"""),"Pemadaman,MCB Trip,Transmisi problem")</f>
        <v>Pemadaman,MCB Trip,Transmisi problem</v>
      </c>
      <c r="J926" s="3" t="str">
        <f>IFERROR(__xludf.DUMMYFUNCTION("""COMPUTED_VALUE"""),"On Progress")</f>
        <v>On Progress</v>
      </c>
      <c r="K926" s="27">
        <f>IFERROR(__xludf.DUMMYFUNCTION("""COMPUTED_VALUE"""),46043.0)</f>
        <v>46043</v>
      </c>
      <c r="L926" s="27">
        <f>IFERROR(__xludf.DUMMYFUNCTION("""COMPUTED_VALUE"""),46043.0)</f>
        <v>46043</v>
      </c>
      <c r="M926" s="3"/>
      <c r="N926" s="3"/>
      <c r="O926" s="3" t="str">
        <f>IFERROR(VLOOKUP(C926,Sheet4!A926:F1713,6,0),"")</f>
        <v/>
      </c>
      <c r="Q926" s="2" t="str">
        <f t="shared" si="1"/>
        <v>21</v>
      </c>
    </row>
    <row r="927">
      <c r="A927" s="3" t="str">
        <f>IFERROR(__xludf.DUMMYFUNCTION("""COMPUTED_VALUE"""),"Standby On Call")</f>
        <v>Standby On Call</v>
      </c>
      <c r="B927" s="3" t="str">
        <f>IFERROR(__xludf.DUMMYFUNCTION("""COMPUTED_VALUE"""),"P3")</f>
        <v>P3</v>
      </c>
      <c r="C927" s="3"/>
      <c r="D927" s="3" t="str">
        <f>IFERROR(__xludf.DUMMYFUNCTION("""COMPUTED_VALUE"""),"Pujianto")</f>
        <v>Pujianto</v>
      </c>
      <c r="E927" s="3" t="str">
        <f>IFERROR(__xludf.DUMMYFUNCTION("""COMPUTED_VALUE"""),"MBP")</f>
        <v>MBP</v>
      </c>
      <c r="F927" s="3" t="str">
        <f>IFERROR(__xludf.DUMMYFUNCTION("""COMPUTED_VALUE"""),"Winda Sokenda")</f>
        <v>Winda Sokenda</v>
      </c>
      <c r="G927" s="3" t="str">
        <f>IFERROR(__xludf.DUMMYFUNCTION("""COMPUTED_VALUE"""),"Barito Raya")</f>
        <v>Barito Raya</v>
      </c>
      <c r="H927" s="3" t="str">
        <f>IFERROR(__xludf.DUMMYFUNCTION("""COMPUTED_VALUE"""),"Standby")</f>
        <v>Standby</v>
      </c>
      <c r="I927" s="3" t="str">
        <f>IFERROR(__xludf.DUMMYFUNCTION("""COMPUTED_VALUE"""),"Standby On Call")</f>
        <v>Standby On Call</v>
      </c>
      <c r="J927" s="3"/>
      <c r="K927" s="27">
        <f>IFERROR(__xludf.DUMMYFUNCTION("""COMPUTED_VALUE"""),46043.0)</f>
        <v>46043</v>
      </c>
      <c r="L927" s="27">
        <f>IFERROR(__xludf.DUMMYFUNCTION("""COMPUTED_VALUE"""),46043.0)</f>
        <v>46043</v>
      </c>
      <c r="M927" s="3"/>
      <c r="N927" s="3"/>
      <c r="O927" s="3" t="str">
        <f>IFERROR(VLOOKUP(C927,Sheet4!A927:F1714,6,0),"")</f>
        <v/>
      </c>
      <c r="Q927" s="2" t="str">
        <f t="shared" si="1"/>
        <v>21</v>
      </c>
    </row>
    <row r="928">
      <c r="A928" s="3" t="str">
        <f>IFERROR(__xludf.DUMMYFUNCTION("""COMPUTED_VALUE"""),"PM")</f>
        <v>PM</v>
      </c>
      <c r="B928" s="3" t="str">
        <f>IFERROR(__xludf.DUMMYFUNCTION("""COMPUTED_VALUE"""),"P2")</f>
        <v>P2</v>
      </c>
      <c r="C928" s="3" t="str">
        <f>IFERROR(__xludf.DUMMYFUNCTION("""COMPUTED_VALUE"""),"KKP008")</f>
        <v>KKP008</v>
      </c>
      <c r="D928" s="3" t="str">
        <f>IFERROR(__xludf.DUMMYFUNCTION("""COMPUTED_VALUE"""),"Trisno Susanto")</f>
        <v>Trisno Susanto</v>
      </c>
      <c r="E928" s="3" t="str">
        <f>IFERROR(__xludf.DUMMYFUNCTION("""COMPUTED_VALUE"""),"PM")</f>
        <v>PM</v>
      </c>
      <c r="F928" s="3" t="str">
        <f>IFERROR(__xludf.DUMMYFUNCTION("""COMPUTED_VALUE"""),"Winda Sokenda")</f>
        <v>Winda Sokenda</v>
      </c>
      <c r="G928" s="3" t="str">
        <f>IFERROR(__xludf.DUMMYFUNCTION("""COMPUTED_VALUE"""),"Barito Raya")</f>
        <v>Barito Raya</v>
      </c>
      <c r="H928" s="3" t="str">
        <f>IFERROR(__xludf.DUMMYFUNCTION("""COMPUTED_VALUE"""),"Preventive")</f>
        <v>Preventive</v>
      </c>
      <c r="I928" s="3" t="str">
        <f>IFERROR(__xludf.DUMMYFUNCTION("""COMPUTED_VALUE"""),"Preventive Maintenance")</f>
        <v>Preventive Maintenance</v>
      </c>
      <c r="J928" s="3" t="str">
        <f>IFERROR(__xludf.DUMMYFUNCTION("""COMPUTED_VALUE"""),"On Progress")</f>
        <v>On Progress</v>
      </c>
      <c r="K928" s="27">
        <f>IFERROR(__xludf.DUMMYFUNCTION("""COMPUTED_VALUE"""),46043.0)</f>
        <v>46043</v>
      </c>
      <c r="L928" s="27">
        <f>IFERROR(__xludf.DUMMYFUNCTION("""COMPUTED_VALUE"""),46043.0)</f>
        <v>46043</v>
      </c>
      <c r="M928" s="3"/>
      <c r="N928" s="3"/>
      <c r="O928" s="3" t="str">
        <f>IFERROR(VLOOKUP(C928,Sheet4!A928:F1715,6,0),"")</f>
        <v/>
      </c>
      <c r="Q928" s="2" t="str">
        <f t="shared" si="1"/>
        <v>21</v>
      </c>
    </row>
    <row r="929">
      <c r="A929" s="3" t="str">
        <f>IFERROR(__xludf.DUMMYFUNCTION("""COMPUTED_VALUE"""),"PM")</f>
        <v>PM</v>
      </c>
      <c r="B929" s="3" t="str">
        <f>IFERROR(__xludf.DUMMYFUNCTION("""COMPUTED_VALUE"""),"P2")</f>
        <v>P2</v>
      </c>
      <c r="C929" s="3" t="str">
        <f>IFERROR(__xludf.DUMMYFUNCTION("""COMPUTED_VALUE"""),"KKP008")</f>
        <v>KKP008</v>
      </c>
      <c r="D929" s="3" t="str">
        <f>IFERROR(__xludf.DUMMYFUNCTION("""COMPUTED_VALUE"""),"Khilal dawai katiri")</f>
        <v>Khilal dawai katiri</v>
      </c>
      <c r="E929" s="3" t="str">
        <f>IFERROR(__xludf.DUMMYFUNCTION("""COMPUTED_VALUE"""),"MBP")</f>
        <v>MBP</v>
      </c>
      <c r="F929" s="3" t="str">
        <f>IFERROR(__xludf.DUMMYFUNCTION("""COMPUTED_VALUE"""),"Winda Sokenda")</f>
        <v>Winda Sokenda</v>
      </c>
      <c r="G929" s="3" t="str">
        <f>IFERROR(__xludf.DUMMYFUNCTION("""COMPUTED_VALUE"""),"Barito Raya")</f>
        <v>Barito Raya</v>
      </c>
      <c r="H929" s="3" t="str">
        <f>IFERROR(__xludf.DUMMYFUNCTION("""COMPUTED_VALUE"""),"Preventive")</f>
        <v>Preventive</v>
      </c>
      <c r="I929" s="3" t="str">
        <f>IFERROR(__xludf.DUMMYFUNCTION("""COMPUTED_VALUE"""),"Preventive Maintenance")</f>
        <v>Preventive Maintenance</v>
      </c>
      <c r="J929" s="3" t="str">
        <f>IFERROR(__xludf.DUMMYFUNCTION("""COMPUTED_VALUE"""),"On Progress")</f>
        <v>On Progress</v>
      </c>
      <c r="K929" s="27">
        <f>IFERROR(__xludf.DUMMYFUNCTION("""COMPUTED_VALUE"""),46043.0)</f>
        <v>46043</v>
      </c>
      <c r="L929" s="27">
        <f>IFERROR(__xludf.DUMMYFUNCTION("""COMPUTED_VALUE"""),46043.0)</f>
        <v>46043</v>
      </c>
      <c r="M929" s="3"/>
      <c r="N929" s="3"/>
      <c r="O929" s="3" t="str">
        <f>IFERROR(VLOOKUP(C929,Sheet4!A929:F1716,6,0),"")</f>
        <v/>
      </c>
      <c r="Q929" s="2" t="str">
        <f t="shared" si="1"/>
        <v>21</v>
      </c>
    </row>
    <row r="930">
      <c r="A930" s="3" t="str">
        <f>IFERROR(__xludf.DUMMYFUNCTION("""COMPUTED_VALUE"""),"PM")</f>
        <v>PM</v>
      </c>
      <c r="B930" s="3" t="str">
        <f>IFERROR(__xludf.DUMMYFUNCTION("""COMPUTED_VALUE"""),"P2")</f>
        <v>P2</v>
      </c>
      <c r="C930" s="3" t="str">
        <f>IFERROR(__xludf.DUMMYFUNCTION("""COMPUTED_VALUE"""),"MTW060")</f>
        <v>MTW060</v>
      </c>
      <c r="D930" s="3" t="str">
        <f>IFERROR(__xludf.DUMMYFUNCTION("""COMPUTED_VALUE"""),"Riko setiadi")</f>
        <v>Riko setiadi</v>
      </c>
      <c r="E930" s="3" t="str">
        <f>IFERROR(__xludf.DUMMYFUNCTION("""COMPUTED_VALUE"""),"PM")</f>
        <v>PM</v>
      </c>
      <c r="F930" s="3" t="str">
        <f>IFERROR(__xludf.DUMMYFUNCTION("""COMPUTED_VALUE"""),"Winda Sokenda")</f>
        <v>Winda Sokenda</v>
      </c>
      <c r="G930" s="3" t="str">
        <f>IFERROR(__xludf.DUMMYFUNCTION("""COMPUTED_VALUE"""),"Barito Raya")</f>
        <v>Barito Raya</v>
      </c>
      <c r="H930" s="3" t="str">
        <f>IFERROR(__xludf.DUMMYFUNCTION("""COMPUTED_VALUE"""),"Preventive")</f>
        <v>Preventive</v>
      </c>
      <c r="I930" s="3" t="str">
        <f>IFERROR(__xludf.DUMMYFUNCTION("""COMPUTED_VALUE"""),"Preventive Maintenance")</f>
        <v>Preventive Maintenance</v>
      </c>
      <c r="J930" s="3" t="str">
        <f>IFERROR(__xludf.DUMMYFUNCTION("""COMPUTED_VALUE"""),"On Progress")</f>
        <v>On Progress</v>
      </c>
      <c r="K930" s="27">
        <f>IFERROR(__xludf.DUMMYFUNCTION("""COMPUTED_VALUE"""),46043.0)</f>
        <v>46043</v>
      </c>
      <c r="L930" s="27">
        <f>IFERROR(__xludf.DUMMYFUNCTION("""COMPUTED_VALUE"""),46043.0)</f>
        <v>46043</v>
      </c>
      <c r="M930" s="3"/>
      <c r="N930" s="3"/>
      <c r="O930" s="3" t="str">
        <f>IFERROR(VLOOKUP(C930,Sheet4!A930:F1717,6,0),"")</f>
        <v/>
      </c>
      <c r="Q930" s="2" t="str">
        <f t="shared" si="1"/>
        <v>21</v>
      </c>
    </row>
    <row r="931">
      <c r="A931" s="3" t="str">
        <f>IFERROR(__xludf.DUMMYFUNCTION("""COMPUTED_VALUE"""),"Standby On Call")</f>
        <v>Standby On Call</v>
      </c>
      <c r="B931" s="3" t="str">
        <f>IFERROR(__xludf.DUMMYFUNCTION("""COMPUTED_VALUE"""),"P3")</f>
        <v>P3</v>
      </c>
      <c r="C931" s="3"/>
      <c r="D931" s="3" t="str">
        <f>IFERROR(__xludf.DUMMYFUNCTION("""COMPUTED_VALUE"""),"Fahmi")</f>
        <v>Fahmi</v>
      </c>
      <c r="E931" s="3" t="str">
        <f>IFERROR(__xludf.DUMMYFUNCTION("""COMPUTED_VALUE"""),"TE")</f>
        <v>TE</v>
      </c>
      <c r="F931" s="3" t="str">
        <f>IFERROR(__xludf.DUMMYFUNCTION("""COMPUTED_VALUE"""),"Doni Damara")</f>
        <v>Doni Damara</v>
      </c>
      <c r="G931" s="3" t="str">
        <f>IFERROR(__xludf.DUMMYFUNCTION("""COMPUTED_VALUE"""),"Palangkaraya")</f>
        <v>Palangkaraya</v>
      </c>
      <c r="H931" s="3" t="str">
        <f>IFERROR(__xludf.DUMMYFUNCTION("""COMPUTED_VALUE"""),"Standby")</f>
        <v>Standby</v>
      </c>
      <c r="I931" s="3" t="str">
        <f>IFERROR(__xludf.DUMMYFUNCTION("""COMPUTED_VALUE"""),"Standby On Call")</f>
        <v>Standby On Call</v>
      </c>
      <c r="J931" s="3" t="str">
        <f>IFERROR(__xludf.DUMMYFUNCTION("""COMPUTED_VALUE"""),"On Progress")</f>
        <v>On Progress</v>
      </c>
      <c r="K931" s="27">
        <f>IFERROR(__xludf.DUMMYFUNCTION("""COMPUTED_VALUE"""),46043.0)</f>
        <v>46043</v>
      </c>
      <c r="L931" s="27">
        <f>IFERROR(__xludf.DUMMYFUNCTION("""COMPUTED_VALUE"""),46043.0)</f>
        <v>46043</v>
      </c>
      <c r="M931" s="3" t="str">
        <f>IFERROR(__xludf.DUMMYFUNCTION("""COMPUTED_VALUE"""),"Waiting Update")</f>
        <v>Waiting Update</v>
      </c>
      <c r="N931" s="3"/>
      <c r="O931" s="3" t="str">
        <f>IFERROR(VLOOKUP(C931,Sheet4!A931:F1718,6,0),"")</f>
        <v/>
      </c>
      <c r="Q931" s="2" t="str">
        <f t="shared" si="1"/>
        <v>21</v>
      </c>
    </row>
    <row r="932">
      <c r="A932" s="3" t="str">
        <f>IFERROR(__xludf.DUMMYFUNCTION("""COMPUTED_VALUE"""),"Pengecekan battrey")</f>
        <v>Pengecekan battrey</v>
      </c>
      <c r="B932" s="3" t="str">
        <f>IFERROR(__xludf.DUMMYFUNCTION("""COMPUTED_VALUE"""),"P2")</f>
        <v>P2</v>
      </c>
      <c r="C932" s="3" t="str">
        <f>IFERROR(__xludf.DUMMYFUNCTION("""COMPUTED_VALUE"""),"PLK098")</f>
        <v>PLK098</v>
      </c>
      <c r="D932" s="3" t="str">
        <f>IFERROR(__xludf.DUMMYFUNCTION("""COMPUTED_VALUE"""),"Oky Bangkit Pamungkas")</f>
        <v>Oky Bangkit Pamungkas</v>
      </c>
      <c r="E932" s="3" t="str">
        <f>IFERROR(__xludf.DUMMYFUNCTION("""COMPUTED_VALUE"""),"TE")</f>
        <v>TE</v>
      </c>
      <c r="F932" s="3" t="str">
        <f>IFERROR(__xludf.DUMMYFUNCTION("""COMPUTED_VALUE"""),"Doni Damara")</f>
        <v>Doni Damara</v>
      </c>
      <c r="G932" s="3" t="str">
        <f>IFERROR(__xludf.DUMMYFUNCTION("""COMPUTED_VALUE"""),"Palangkaraya")</f>
        <v>Palangkaraya</v>
      </c>
      <c r="H932" s="3" t="str">
        <f>IFERROR(__xludf.DUMMYFUNCTION("""COMPUTED_VALUE"""),"Preventive")</f>
        <v>Preventive</v>
      </c>
      <c r="I932" s="3" t="str">
        <f>IFERROR(__xludf.DUMMYFUNCTION("""COMPUTED_VALUE"""),"Pengukuran dan pengambilan data log serta input Gdoc BBT")</f>
        <v>Pengukuran dan pengambilan data log serta input Gdoc BBT</v>
      </c>
      <c r="J932" s="3" t="str">
        <f>IFERROR(__xludf.DUMMYFUNCTION("""COMPUTED_VALUE"""),"On Progress")</f>
        <v>On Progress</v>
      </c>
      <c r="K932" s="27">
        <f>IFERROR(__xludf.DUMMYFUNCTION("""COMPUTED_VALUE"""),46043.0)</f>
        <v>46043</v>
      </c>
      <c r="L932" s="27">
        <f>IFERROR(__xludf.DUMMYFUNCTION("""COMPUTED_VALUE"""),46043.0)</f>
        <v>46043</v>
      </c>
      <c r="M932" s="3" t="str">
        <f>IFERROR(__xludf.DUMMYFUNCTION("""COMPUTED_VALUE"""),"Done")</f>
        <v>Done</v>
      </c>
      <c r="N932" s="3"/>
      <c r="O932" s="3" t="str">
        <f>IFERROR(VLOOKUP(C932,Sheet4!A932:F1719,6,0),"")</f>
        <v/>
      </c>
      <c r="Q932" s="2" t="str">
        <f t="shared" si="1"/>
        <v>21</v>
      </c>
    </row>
    <row r="933">
      <c r="A933" s="3" t="str">
        <f>IFERROR(__xludf.DUMMYFUNCTION("""COMPUTED_VALUE"""),"Pengecekan battrey")</f>
        <v>Pengecekan battrey</v>
      </c>
      <c r="B933" s="3" t="str">
        <f>IFERROR(__xludf.DUMMYFUNCTION("""COMPUTED_VALUE"""),"P2")</f>
        <v>P2</v>
      </c>
      <c r="C933" s="3" t="str">
        <f>IFERROR(__xludf.DUMMYFUNCTION("""COMPUTED_VALUE"""),"PLK055")</f>
        <v>PLK055</v>
      </c>
      <c r="D933" s="3" t="str">
        <f>IFERROR(__xludf.DUMMYFUNCTION("""COMPUTED_VALUE"""),"james jimbris")</f>
        <v>james jimbris</v>
      </c>
      <c r="E933" s="3" t="str">
        <f>IFERROR(__xludf.DUMMYFUNCTION("""COMPUTED_VALUE"""),"TE")</f>
        <v>TE</v>
      </c>
      <c r="F933" s="3" t="str">
        <f>IFERROR(__xludf.DUMMYFUNCTION("""COMPUTED_VALUE"""),"Doni Damara")</f>
        <v>Doni Damara</v>
      </c>
      <c r="G933" s="3" t="str">
        <f>IFERROR(__xludf.DUMMYFUNCTION("""COMPUTED_VALUE"""),"Palangkaraya")</f>
        <v>Palangkaraya</v>
      </c>
      <c r="H933" s="3" t="str">
        <f>IFERROR(__xludf.DUMMYFUNCTION("""COMPUTED_VALUE"""),"Preventive")</f>
        <v>Preventive</v>
      </c>
      <c r="I933" s="3" t="str">
        <f>IFERROR(__xludf.DUMMYFUNCTION("""COMPUTED_VALUE"""),"Pengukuran dan pengambilan data log serta input Gdoc BBT")</f>
        <v>Pengukuran dan pengambilan data log serta input Gdoc BBT</v>
      </c>
      <c r="J933" s="3" t="str">
        <f>IFERROR(__xludf.DUMMYFUNCTION("""COMPUTED_VALUE"""),"On Progress")</f>
        <v>On Progress</v>
      </c>
      <c r="K933" s="27">
        <f>IFERROR(__xludf.DUMMYFUNCTION("""COMPUTED_VALUE"""),46043.0)</f>
        <v>46043</v>
      </c>
      <c r="L933" s="27">
        <f>IFERROR(__xludf.DUMMYFUNCTION("""COMPUTED_VALUE"""),46043.0)</f>
        <v>46043</v>
      </c>
      <c r="M933" s="3" t="str">
        <f>IFERROR(__xludf.DUMMYFUNCTION("""COMPUTED_VALUE"""),"Done")</f>
        <v>Done</v>
      </c>
      <c r="N933" s="3"/>
      <c r="O933" s="3" t="str">
        <f>IFERROR(VLOOKUP(C933,Sheet4!A933:F1720,6,0),"")</f>
        <v/>
      </c>
      <c r="Q933" s="2" t="str">
        <f t="shared" si="1"/>
        <v>21</v>
      </c>
    </row>
    <row r="934">
      <c r="A934" s="3" t="str">
        <f>IFERROR(__xludf.DUMMYFUNCTION("""COMPUTED_VALUE"""),"Cell down")</f>
        <v>Cell down</v>
      </c>
      <c r="B934" s="3" t="str">
        <f>IFERROR(__xludf.DUMMYFUNCTION("""COMPUTED_VALUE"""),"P1")</f>
        <v>P1</v>
      </c>
      <c r="C934" s="3" t="str">
        <f>IFERROR(__xludf.DUMMYFUNCTION("""COMPUTED_VALUE"""),"PLK256")</f>
        <v>PLK256</v>
      </c>
      <c r="D934" s="3" t="str">
        <f>IFERROR(__xludf.DUMMYFUNCTION("""COMPUTED_VALUE"""),"Adi Bowo Santoso")</f>
        <v>Adi Bowo Santoso</v>
      </c>
      <c r="E934" s="3" t="str">
        <f>IFERROR(__xludf.DUMMYFUNCTION("""COMPUTED_VALUE"""),"TE")</f>
        <v>TE</v>
      </c>
      <c r="F934" s="3" t="str">
        <f>IFERROR(__xludf.DUMMYFUNCTION("""COMPUTED_VALUE"""),"Doni Damara")</f>
        <v>Doni Damara</v>
      </c>
      <c r="G934" s="3" t="str">
        <f>IFERROR(__xludf.DUMMYFUNCTION("""COMPUTED_VALUE"""),"Palangkaraya")</f>
        <v>Palangkaraya</v>
      </c>
      <c r="H934" s="3" t="str">
        <f>IFERROR(__xludf.DUMMYFUNCTION("""COMPUTED_VALUE"""),"Corrective")</f>
        <v>Corrective</v>
      </c>
      <c r="I934" s="3" t="str">
        <f>IFERROR(__xludf.DUMMYFUNCTION("""COMPUTED_VALUE"""),"Replace Optik,RRU/Soket Power/Replace GPS")</f>
        <v>Replace Optik,RRU/Soket Power/Replace GPS</v>
      </c>
      <c r="J934" s="3" t="str">
        <f>IFERROR(__xludf.DUMMYFUNCTION("""COMPUTED_VALUE"""),"On Progress")</f>
        <v>On Progress</v>
      </c>
      <c r="K934" s="27">
        <f>IFERROR(__xludf.DUMMYFUNCTION("""COMPUTED_VALUE"""),46043.0)</f>
        <v>46043</v>
      </c>
      <c r="L934" s="27">
        <f>IFERROR(__xludf.DUMMYFUNCTION("""COMPUTED_VALUE"""),46043.0)</f>
        <v>46043</v>
      </c>
      <c r="M934" s="3" t="str">
        <f>IFERROR(__xludf.DUMMYFUNCTION("""COMPUTED_VALUE"""),"Done")</f>
        <v>Done</v>
      </c>
      <c r="N934" s="3"/>
      <c r="O934" s="3" t="str">
        <f>IFERROR(VLOOKUP(C934,Sheet4!A934:F1721,6,0),"")</f>
        <v/>
      </c>
      <c r="Q934" s="2" t="str">
        <f t="shared" si="1"/>
        <v>21</v>
      </c>
    </row>
    <row r="935">
      <c r="A935" s="3" t="str">
        <f>IFERROR(__xludf.DUMMYFUNCTION("""COMPUTED_VALUE"""),"Cell down")</f>
        <v>Cell down</v>
      </c>
      <c r="B935" s="3" t="str">
        <f>IFERROR(__xludf.DUMMYFUNCTION("""COMPUTED_VALUE"""),"P1")</f>
        <v>P1</v>
      </c>
      <c r="C935" s="3" t="str">
        <f>IFERROR(__xludf.DUMMYFUNCTION("""COMPUTED_VALUE"""),"SPT147")</f>
        <v>SPT147</v>
      </c>
      <c r="D935" s="3" t="str">
        <f>IFERROR(__xludf.DUMMYFUNCTION("""COMPUTED_VALUE"""),"Yahya Muhamad")</f>
        <v>Yahya Muhamad</v>
      </c>
      <c r="E935" s="3" t="str">
        <f>IFERROR(__xludf.DUMMYFUNCTION("""COMPUTED_VALUE"""),"TE")</f>
        <v>TE</v>
      </c>
      <c r="F935" s="3" t="str">
        <f>IFERROR(__xludf.DUMMYFUNCTION("""COMPUTED_VALUE"""),"Doni Damara")</f>
        <v>Doni Damara</v>
      </c>
      <c r="G935" s="3" t="str">
        <f>IFERROR(__xludf.DUMMYFUNCTION("""COMPUTED_VALUE"""),"Palangkaraya")</f>
        <v>Palangkaraya</v>
      </c>
      <c r="H935" s="3" t="str">
        <f>IFERROR(__xludf.DUMMYFUNCTION("""COMPUTED_VALUE"""),"Corrective")</f>
        <v>Corrective</v>
      </c>
      <c r="I935" s="3" t="str">
        <f>IFERROR(__xludf.DUMMYFUNCTION("""COMPUTED_VALUE"""),"Replace Optik,RRU/Soket Power/Replace GPS")</f>
        <v>Replace Optik,RRU/Soket Power/Replace GPS</v>
      </c>
      <c r="J935" s="3" t="str">
        <f>IFERROR(__xludf.DUMMYFUNCTION("""COMPUTED_VALUE"""),"On Progress")</f>
        <v>On Progress</v>
      </c>
      <c r="K935" s="27">
        <f>IFERROR(__xludf.DUMMYFUNCTION("""COMPUTED_VALUE"""),46043.0)</f>
        <v>46043</v>
      </c>
      <c r="L935" s="27">
        <f>IFERROR(__xludf.DUMMYFUNCTION("""COMPUTED_VALUE"""),46043.0)</f>
        <v>46043</v>
      </c>
      <c r="M935" s="3" t="str">
        <f>IFERROR(__xludf.DUMMYFUNCTION("""COMPUTED_VALUE"""),"Done")</f>
        <v>Done</v>
      </c>
      <c r="N935" s="3"/>
      <c r="O935" s="3" t="str">
        <f>IFERROR(VLOOKUP(C935,Sheet4!A935:F1722,6,0),"")</f>
        <v/>
      </c>
      <c r="Q935" s="2" t="str">
        <f t="shared" si="1"/>
        <v>21</v>
      </c>
    </row>
    <row r="936">
      <c r="A936" s="3" t="str">
        <f>IFERROR(__xludf.DUMMYFUNCTION("""COMPUTED_VALUE"""),"Site Down")</f>
        <v>Site Down</v>
      </c>
      <c r="B936" s="3" t="str">
        <f>IFERROR(__xludf.DUMMYFUNCTION("""COMPUTED_VALUE"""),"P1")</f>
        <v>P1</v>
      </c>
      <c r="C936" s="3" t="str">
        <f>IFERROR(__xludf.DUMMYFUNCTION("""COMPUTED_VALUE"""),"PPS032")</f>
        <v>PPS032</v>
      </c>
      <c r="D936" s="3" t="str">
        <f>IFERROR(__xludf.DUMMYFUNCTION("""COMPUTED_VALUE"""),"Muhamad Rayhan")</f>
        <v>Muhamad Rayhan</v>
      </c>
      <c r="E936" s="3" t="str">
        <f>IFERROR(__xludf.DUMMYFUNCTION("""COMPUTED_VALUE"""),"TE")</f>
        <v>TE</v>
      </c>
      <c r="F936" s="3" t="str">
        <f>IFERROR(__xludf.DUMMYFUNCTION("""COMPUTED_VALUE"""),"Doni Damara")</f>
        <v>Doni Damara</v>
      </c>
      <c r="G936" s="3" t="str">
        <f>IFERROR(__xludf.DUMMYFUNCTION("""COMPUTED_VALUE"""),"Palangkaraya")</f>
        <v>Palangkaraya</v>
      </c>
      <c r="H936" s="3" t="str">
        <f>IFERROR(__xludf.DUMMYFUNCTION("""COMPUTED_VALUE"""),"Corrective")</f>
        <v>Corrective</v>
      </c>
      <c r="I936" s="3" t="str">
        <f>IFERROR(__xludf.DUMMYFUNCTION("""COMPUTED_VALUE"""),"Pemadaman,MCB Trip,Transmisi problem")</f>
        <v>Pemadaman,MCB Trip,Transmisi problem</v>
      </c>
      <c r="J936" s="3" t="str">
        <f>IFERROR(__xludf.DUMMYFUNCTION("""COMPUTED_VALUE"""),"On Progress")</f>
        <v>On Progress</v>
      </c>
      <c r="K936" s="27">
        <f>IFERROR(__xludf.DUMMYFUNCTION("""COMPUTED_VALUE"""),46043.0)</f>
        <v>46043</v>
      </c>
      <c r="L936" s="27">
        <f>IFERROR(__xludf.DUMMYFUNCTION("""COMPUTED_VALUE"""),46043.0)</f>
        <v>46043</v>
      </c>
      <c r="M936" s="3" t="str">
        <f>IFERROR(__xludf.DUMMYFUNCTION("""COMPUTED_VALUE"""),"Pending")</f>
        <v>Pending</v>
      </c>
      <c r="N936" s="3"/>
      <c r="O936" s="3" t="str">
        <f>IFERROR(VLOOKUP(C936,Sheet4!A936:F1723,6,0),"")</f>
        <v/>
      </c>
      <c r="Q936" s="2" t="str">
        <f t="shared" si="1"/>
        <v>21</v>
      </c>
    </row>
    <row r="937">
      <c r="A937" s="3" t="str">
        <f>IFERROR(__xludf.DUMMYFUNCTION("""COMPUTED_VALUE"""),"Cell down")</f>
        <v>Cell down</v>
      </c>
      <c r="B937" s="3" t="str">
        <f>IFERROR(__xludf.DUMMYFUNCTION("""COMPUTED_VALUE"""),"P1")</f>
        <v>P1</v>
      </c>
      <c r="C937" s="3" t="str">
        <f>IFERROR(__xludf.DUMMYFUNCTION("""COMPUTED_VALUE"""),"NTH250")</f>
        <v>NTH250</v>
      </c>
      <c r="D937" s="3" t="str">
        <f>IFERROR(__xludf.DUMMYFUNCTION("""COMPUTED_VALUE"""),"Leonard")</f>
        <v>Leonard</v>
      </c>
      <c r="E937" s="3" t="str">
        <f>IFERROR(__xludf.DUMMYFUNCTION("""COMPUTED_VALUE"""),"TE")</f>
        <v>TE</v>
      </c>
      <c r="F937" s="3" t="str">
        <f>IFERROR(__xludf.DUMMYFUNCTION("""COMPUTED_VALUE"""),"Doni Damara")</f>
        <v>Doni Damara</v>
      </c>
      <c r="G937" s="3" t="str">
        <f>IFERROR(__xludf.DUMMYFUNCTION("""COMPUTED_VALUE"""),"Palangkaraya")</f>
        <v>Palangkaraya</v>
      </c>
      <c r="H937" s="3" t="str">
        <f>IFERROR(__xludf.DUMMYFUNCTION("""COMPUTED_VALUE"""),"Corrective")</f>
        <v>Corrective</v>
      </c>
      <c r="I937" s="3" t="str">
        <f>IFERROR(__xludf.DUMMYFUNCTION("""COMPUTED_VALUE"""),"Replace Optik,RRU/Soket Power/Replace GPS")</f>
        <v>Replace Optik,RRU/Soket Power/Replace GPS</v>
      </c>
      <c r="J937" s="3" t="str">
        <f>IFERROR(__xludf.DUMMYFUNCTION("""COMPUTED_VALUE"""),"On Progress")</f>
        <v>On Progress</v>
      </c>
      <c r="K937" s="27">
        <f>IFERROR(__xludf.DUMMYFUNCTION("""COMPUTED_VALUE"""),46043.0)</f>
        <v>46043</v>
      </c>
      <c r="L937" s="27">
        <f>IFERROR(__xludf.DUMMYFUNCTION("""COMPUTED_VALUE"""),46043.0)</f>
        <v>46043</v>
      </c>
      <c r="M937" s="3" t="str">
        <f>IFERROR(__xludf.DUMMYFUNCTION("""COMPUTED_VALUE"""),"Done")</f>
        <v>Done</v>
      </c>
      <c r="N937" s="3"/>
      <c r="O937" s="3" t="str">
        <f>IFERROR(VLOOKUP(C937,Sheet4!A937:F1724,6,0),"")</f>
        <v/>
      </c>
      <c r="Q937" s="2" t="str">
        <f t="shared" si="1"/>
        <v>21</v>
      </c>
    </row>
    <row r="938">
      <c r="A938" s="3" t="str">
        <f>IFERROR(__xludf.DUMMYFUNCTION("""COMPUTED_VALUE"""),"Cell down")</f>
        <v>Cell down</v>
      </c>
      <c r="B938" s="3" t="str">
        <f>IFERROR(__xludf.DUMMYFUNCTION("""COMPUTED_VALUE"""),"P1")</f>
        <v>P1</v>
      </c>
      <c r="C938" s="3" t="str">
        <f>IFERROR(__xludf.DUMMYFUNCTION("""COMPUTED_VALUE"""),"NTH250")</f>
        <v>NTH250</v>
      </c>
      <c r="D938" s="3" t="str">
        <f>IFERROR(__xludf.DUMMYFUNCTION("""COMPUTED_VALUE"""),"Aulia Rahman")</f>
        <v>Aulia Rahman</v>
      </c>
      <c r="E938" s="3" t="str">
        <f>IFERROR(__xludf.DUMMYFUNCTION("""COMPUTED_VALUE"""),"TE")</f>
        <v>TE</v>
      </c>
      <c r="F938" s="3" t="str">
        <f>IFERROR(__xludf.DUMMYFUNCTION("""COMPUTED_VALUE"""),"Doni Damara")</f>
        <v>Doni Damara</v>
      </c>
      <c r="G938" s="3" t="str">
        <f>IFERROR(__xludf.DUMMYFUNCTION("""COMPUTED_VALUE"""),"Palangkaraya")</f>
        <v>Palangkaraya</v>
      </c>
      <c r="H938" s="3" t="str">
        <f>IFERROR(__xludf.DUMMYFUNCTION("""COMPUTED_VALUE"""),"Corrective")</f>
        <v>Corrective</v>
      </c>
      <c r="I938" s="3" t="str">
        <f>IFERROR(__xludf.DUMMYFUNCTION("""COMPUTED_VALUE"""),"Replace Optik,RRU/Soket Power/Replace GPS")</f>
        <v>Replace Optik,RRU/Soket Power/Replace GPS</v>
      </c>
      <c r="J938" s="3" t="str">
        <f>IFERROR(__xludf.DUMMYFUNCTION("""COMPUTED_VALUE"""),"On Progress")</f>
        <v>On Progress</v>
      </c>
      <c r="K938" s="27">
        <f>IFERROR(__xludf.DUMMYFUNCTION("""COMPUTED_VALUE"""),46043.0)</f>
        <v>46043</v>
      </c>
      <c r="L938" s="27">
        <f>IFERROR(__xludf.DUMMYFUNCTION("""COMPUTED_VALUE"""),46043.0)</f>
        <v>46043</v>
      </c>
      <c r="M938" s="3" t="str">
        <f>IFERROR(__xludf.DUMMYFUNCTION("""COMPUTED_VALUE"""),"Pending")</f>
        <v>Pending</v>
      </c>
      <c r="N938" s="3"/>
      <c r="O938" s="3" t="str">
        <f>IFERROR(VLOOKUP(C938,Sheet4!A938:F1725,6,0),"")</f>
        <v/>
      </c>
      <c r="Q938" s="2" t="str">
        <f t="shared" si="1"/>
        <v>21</v>
      </c>
    </row>
    <row r="939">
      <c r="A939" s="3" t="str">
        <f>IFERROR(__xludf.DUMMYFUNCTION("""COMPUTED_VALUE"""),"Vswr")</f>
        <v>Vswr</v>
      </c>
      <c r="B939" s="3" t="str">
        <f>IFERROR(__xludf.DUMMYFUNCTION("""COMPUTED_VALUE"""),"P1")</f>
        <v>P1</v>
      </c>
      <c r="C939" s="3" t="str">
        <f>IFERROR(__xludf.DUMMYFUNCTION("""COMPUTED_VALUE"""),"KSN019")</f>
        <v>KSN019</v>
      </c>
      <c r="D939" s="3" t="str">
        <f>IFERROR(__xludf.DUMMYFUNCTION("""COMPUTED_VALUE"""),"Muhammad Mukhlis")</f>
        <v>Muhammad Mukhlis</v>
      </c>
      <c r="E939" s="3" t="str">
        <f>IFERROR(__xludf.DUMMYFUNCTION("""COMPUTED_VALUE"""),"TE")</f>
        <v>TE</v>
      </c>
      <c r="F939" s="3" t="str">
        <f>IFERROR(__xludf.DUMMYFUNCTION("""COMPUTED_VALUE"""),"Doni Damara")</f>
        <v>Doni Damara</v>
      </c>
      <c r="G939" s="3" t="str">
        <f>IFERROR(__xludf.DUMMYFUNCTION("""COMPUTED_VALUE"""),"Palangkaraya")</f>
        <v>Palangkaraya</v>
      </c>
      <c r="H939" s="3" t="str">
        <f>IFERROR(__xludf.DUMMYFUNCTION("""COMPUTED_VALUE"""),"Corrective")</f>
        <v>Corrective</v>
      </c>
      <c r="I939" s="3" t="str">
        <f>IFERROR(__xludf.DUMMYFUNCTION("""COMPUTED_VALUE"""),"Replace Jumper,antena/RRU")</f>
        <v>Replace Jumper,antena/RRU</v>
      </c>
      <c r="J939" s="3" t="str">
        <f>IFERROR(__xludf.DUMMYFUNCTION("""COMPUTED_VALUE"""),"On Progress")</f>
        <v>On Progress</v>
      </c>
      <c r="K939" s="27">
        <f>IFERROR(__xludf.DUMMYFUNCTION("""COMPUTED_VALUE"""),46043.0)</f>
        <v>46043</v>
      </c>
      <c r="L939" s="27">
        <f>IFERROR(__xludf.DUMMYFUNCTION("""COMPUTED_VALUE"""),46043.0)</f>
        <v>46043</v>
      </c>
      <c r="M939" s="3" t="str">
        <f>IFERROR(__xludf.DUMMYFUNCTION("""COMPUTED_VALUE"""),"Pending")</f>
        <v>Pending</v>
      </c>
      <c r="N939" s="3"/>
      <c r="O939" s="3" t="str">
        <f>IFERROR(VLOOKUP(C939,Sheet4!A939:F1726,6,0),"")</f>
        <v/>
      </c>
      <c r="Q939" s="2" t="str">
        <f t="shared" si="1"/>
        <v>21</v>
      </c>
    </row>
    <row r="940">
      <c r="A940" s="3" t="str">
        <f>IFERROR(__xludf.DUMMYFUNCTION("""COMPUTED_VALUE"""),"Site Down")</f>
        <v>Site Down</v>
      </c>
      <c r="B940" s="3" t="str">
        <f>IFERROR(__xludf.DUMMYFUNCTION("""COMPUTED_VALUE"""),"P1")</f>
        <v>P1</v>
      </c>
      <c r="C940" s="3" t="str">
        <f>IFERROR(__xludf.DUMMYFUNCTION("""COMPUTED_VALUE"""),"KSN024")</f>
        <v>KSN024</v>
      </c>
      <c r="D940" s="3" t="str">
        <f>IFERROR(__xludf.DUMMYFUNCTION("""COMPUTED_VALUE"""),"Muhammad Mukti")</f>
        <v>Muhammad Mukti</v>
      </c>
      <c r="E940" s="3" t="str">
        <f>IFERROR(__xludf.DUMMYFUNCTION("""COMPUTED_VALUE"""),"TE")</f>
        <v>TE</v>
      </c>
      <c r="F940" s="3" t="str">
        <f>IFERROR(__xludf.DUMMYFUNCTION("""COMPUTED_VALUE"""),"Doni Damara")</f>
        <v>Doni Damara</v>
      </c>
      <c r="G940" s="3" t="str">
        <f>IFERROR(__xludf.DUMMYFUNCTION("""COMPUTED_VALUE"""),"Palangkaraya")</f>
        <v>Palangkaraya</v>
      </c>
      <c r="H940" s="3" t="str">
        <f>IFERROR(__xludf.DUMMYFUNCTION("""COMPUTED_VALUE"""),"Corrective")</f>
        <v>Corrective</v>
      </c>
      <c r="I940" s="3" t="str">
        <f>IFERROR(__xludf.DUMMYFUNCTION("""COMPUTED_VALUE"""),"Pemadaman,MCB Trip,Transmisi problem")</f>
        <v>Pemadaman,MCB Trip,Transmisi problem</v>
      </c>
      <c r="J940" s="3" t="str">
        <f>IFERROR(__xludf.DUMMYFUNCTION("""COMPUTED_VALUE"""),"On Progress")</f>
        <v>On Progress</v>
      </c>
      <c r="K940" s="27">
        <f>IFERROR(__xludf.DUMMYFUNCTION("""COMPUTED_VALUE"""),46043.0)</f>
        <v>46043</v>
      </c>
      <c r="L940" s="27">
        <f>IFERROR(__xludf.DUMMYFUNCTION("""COMPUTED_VALUE"""),46043.0)</f>
        <v>46043</v>
      </c>
      <c r="M940" s="3" t="str">
        <f>IFERROR(__xludf.DUMMYFUNCTION("""COMPUTED_VALUE"""),"Pending")</f>
        <v>Pending</v>
      </c>
      <c r="N940" s="3"/>
      <c r="O940" s="3" t="str">
        <f>IFERROR(VLOOKUP(C940,Sheet4!A940:F1727,6,0),"")</f>
        <v/>
      </c>
      <c r="Q940" s="2" t="str">
        <f t="shared" si="1"/>
        <v>21</v>
      </c>
    </row>
    <row r="941">
      <c r="A941" s="3" t="str">
        <f>IFERROR(__xludf.DUMMYFUNCTION("""COMPUTED_VALUE"""),"Standby On Call")</f>
        <v>Standby On Call</v>
      </c>
      <c r="B941" s="3" t="str">
        <f>IFERROR(__xludf.DUMMYFUNCTION("""COMPUTED_VALUE"""),"P3")</f>
        <v>P3</v>
      </c>
      <c r="C941" s="3"/>
      <c r="D941" s="3" t="str">
        <f>IFERROR(__xludf.DUMMYFUNCTION("""COMPUTED_VALUE"""),"melky.O.Tulangow")</f>
        <v>melky.O.Tulangow</v>
      </c>
      <c r="E941" s="3" t="str">
        <f>IFERROR(__xludf.DUMMYFUNCTION("""COMPUTED_VALUE"""),"TE")</f>
        <v>TE</v>
      </c>
      <c r="F941" s="3" t="str">
        <f>IFERROR(__xludf.DUMMYFUNCTION("""COMPUTED_VALUE"""),"Doni Damara")</f>
        <v>Doni Damara</v>
      </c>
      <c r="G941" s="3" t="str">
        <f>IFERROR(__xludf.DUMMYFUNCTION("""COMPUTED_VALUE"""),"Palangkaraya")</f>
        <v>Palangkaraya</v>
      </c>
      <c r="H941" s="3" t="str">
        <f>IFERROR(__xludf.DUMMYFUNCTION("""COMPUTED_VALUE"""),"Standby")</f>
        <v>Standby</v>
      </c>
      <c r="I941" s="3" t="str">
        <f>IFERROR(__xludf.DUMMYFUNCTION("""COMPUTED_VALUE"""),"Standby On Call")</f>
        <v>Standby On Call</v>
      </c>
      <c r="J941" s="3" t="str">
        <f>IFERROR(__xludf.DUMMYFUNCTION("""COMPUTED_VALUE"""),"Standby")</f>
        <v>Standby</v>
      </c>
      <c r="K941" s="27">
        <f>IFERROR(__xludf.DUMMYFUNCTION("""COMPUTED_VALUE"""),46043.0)</f>
        <v>46043</v>
      </c>
      <c r="L941" s="27">
        <f>IFERROR(__xludf.DUMMYFUNCTION("""COMPUTED_VALUE"""),46043.0)</f>
        <v>46043</v>
      </c>
      <c r="M941" s="3" t="str">
        <f>IFERROR(__xludf.DUMMYFUNCTION("""COMPUTED_VALUE"""),"Done")</f>
        <v>Done</v>
      </c>
      <c r="N941" s="3"/>
      <c r="O941" s="3" t="str">
        <f>IFERROR(VLOOKUP(C941,Sheet4!A941:F1728,6,0),"")</f>
        <v/>
      </c>
      <c r="Q941" s="2" t="str">
        <f t="shared" si="1"/>
        <v>21</v>
      </c>
    </row>
    <row r="942">
      <c r="A942" s="3" t="str">
        <f>IFERROR(__xludf.DUMMYFUNCTION("""COMPUTED_VALUE"""),"PM")</f>
        <v>PM</v>
      </c>
      <c r="B942" s="3" t="str">
        <f>IFERROR(__xludf.DUMMYFUNCTION("""COMPUTED_VALUE"""),"P2")</f>
        <v>P2</v>
      </c>
      <c r="C942" s="3" t="str">
        <f>IFERROR(__xludf.DUMMYFUNCTION("""COMPUTED_VALUE"""),"KKN062")</f>
        <v>KKN062</v>
      </c>
      <c r="D942" s="3" t="str">
        <f>IFERROR(__xludf.DUMMYFUNCTION("""COMPUTED_VALUE"""),"Indra")</f>
        <v>Indra</v>
      </c>
      <c r="E942" s="3" t="str">
        <f>IFERROR(__xludf.DUMMYFUNCTION("""COMPUTED_VALUE"""),"PM")</f>
        <v>PM</v>
      </c>
      <c r="F942" s="3" t="str">
        <f>IFERROR(__xludf.DUMMYFUNCTION("""COMPUTED_VALUE"""),"Doni Damara")</f>
        <v>Doni Damara</v>
      </c>
      <c r="G942" s="3" t="str">
        <f>IFERROR(__xludf.DUMMYFUNCTION("""COMPUTED_VALUE"""),"Palangkaraya")</f>
        <v>Palangkaraya</v>
      </c>
      <c r="H942" s="3" t="str">
        <f>IFERROR(__xludf.DUMMYFUNCTION("""COMPUTED_VALUE"""),"Preventive")</f>
        <v>Preventive</v>
      </c>
      <c r="I942" s="3" t="str">
        <f>IFERROR(__xludf.DUMMYFUNCTION("""COMPUTED_VALUE"""),"Preventive Maintenance")</f>
        <v>Preventive Maintenance</v>
      </c>
      <c r="J942" s="3" t="str">
        <f>IFERROR(__xludf.DUMMYFUNCTION("""COMPUTED_VALUE"""),"On Progress")</f>
        <v>On Progress</v>
      </c>
      <c r="K942" s="27">
        <f>IFERROR(__xludf.DUMMYFUNCTION("""COMPUTED_VALUE"""),46043.0)</f>
        <v>46043</v>
      </c>
      <c r="L942" s="27">
        <f>IFERROR(__xludf.DUMMYFUNCTION("""COMPUTED_VALUE"""),46043.0)</f>
        <v>46043</v>
      </c>
      <c r="M942" s="3" t="str">
        <f>IFERROR(__xludf.DUMMYFUNCTION("""COMPUTED_VALUE"""),"Pending")</f>
        <v>Pending</v>
      </c>
      <c r="N942" s="3"/>
      <c r="O942" s="3" t="str">
        <f>IFERROR(VLOOKUP(C942,Sheet4!A942:F1729,6,0),"")</f>
        <v/>
      </c>
      <c r="Q942" s="2" t="str">
        <f t="shared" si="1"/>
        <v>21</v>
      </c>
    </row>
    <row r="943">
      <c r="A943" s="3" t="str">
        <f>IFERROR(__xludf.DUMMYFUNCTION("""COMPUTED_VALUE"""),"PM")</f>
        <v>PM</v>
      </c>
      <c r="B943" s="3" t="str">
        <f>IFERROR(__xludf.DUMMYFUNCTION("""COMPUTED_VALUE"""),"P2")</f>
        <v>P2</v>
      </c>
      <c r="C943" s="3" t="str">
        <f>IFERROR(__xludf.DUMMYFUNCTION("""COMPUTED_VALUE"""),"KSN021")</f>
        <v>KSN021</v>
      </c>
      <c r="D943" s="3" t="str">
        <f>IFERROR(__xludf.DUMMYFUNCTION("""COMPUTED_VALUE"""),"Darli")</f>
        <v>Darli</v>
      </c>
      <c r="E943" s="3" t="str">
        <f>IFERROR(__xludf.DUMMYFUNCTION("""COMPUTED_VALUE"""),"PM")</f>
        <v>PM</v>
      </c>
      <c r="F943" s="3" t="str">
        <f>IFERROR(__xludf.DUMMYFUNCTION("""COMPUTED_VALUE"""),"Doni Damara")</f>
        <v>Doni Damara</v>
      </c>
      <c r="G943" s="3" t="str">
        <f>IFERROR(__xludf.DUMMYFUNCTION("""COMPUTED_VALUE"""),"Palangkaraya")</f>
        <v>Palangkaraya</v>
      </c>
      <c r="H943" s="3" t="str">
        <f>IFERROR(__xludf.DUMMYFUNCTION("""COMPUTED_VALUE"""),"Preventive")</f>
        <v>Preventive</v>
      </c>
      <c r="I943" s="3" t="str">
        <f>IFERROR(__xludf.DUMMYFUNCTION("""COMPUTED_VALUE"""),"Preventive Maintenance")</f>
        <v>Preventive Maintenance</v>
      </c>
      <c r="J943" s="3" t="str">
        <f>IFERROR(__xludf.DUMMYFUNCTION("""COMPUTED_VALUE"""),"On Progress")</f>
        <v>On Progress</v>
      </c>
      <c r="K943" s="27">
        <f>IFERROR(__xludf.DUMMYFUNCTION("""COMPUTED_VALUE"""),46043.0)</f>
        <v>46043</v>
      </c>
      <c r="L943" s="27">
        <f>IFERROR(__xludf.DUMMYFUNCTION("""COMPUTED_VALUE"""),46043.0)</f>
        <v>46043</v>
      </c>
      <c r="M943" s="3" t="str">
        <f>IFERROR(__xludf.DUMMYFUNCTION("""COMPUTED_VALUE"""),"Pending")</f>
        <v>Pending</v>
      </c>
      <c r="N943" s="3"/>
      <c r="O943" s="3" t="str">
        <f>IFERROR(VLOOKUP(C943,Sheet4!A943:F1730,6,0),"")</f>
        <v/>
      </c>
      <c r="Q943" s="2" t="str">
        <f t="shared" si="1"/>
        <v>21</v>
      </c>
    </row>
    <row r="944">
      <c r="A944" s="3" t="str">
        <f>IFERROR(__xludf.DUMMYFUNCTION("""COMPUTED_VALUE"""),"Site Down")</f>
        <v>Site Down</v>
      </c>
      <c r="B944" s="3" t="str">
        <f>IFERROR(__xludf.DUMMYFUNCTION("""COMPUTED_VALUE"""),"P1")</f>
        <v>P1</v>
      </c>
      <c r="C944" s="3" t="str">
        <f>IFERROR(__xludf.DUMMYFUNCTION("""COMPUTED_VALUE"""),"PLK171")</f>
        <v>PLK171</v>
      </c>
      <c r="D944" s="3" t="str">
        <f>IFERROR(__xludf.DUMMYFUNCTION("""COMPUTED_VALUE"""),"Sarwono")</f>
        <v>Sarwono</v>
      </c>
      <c r="E944" s="3" t="str">
        <f>IFERROR(__xludf.DUMMYFUNCTION("""COMPUTED_VALUE"""),"CME")</f>
        <v>CME</v>
      </c>
      <c r="F944" s="3" t="str">
        <f>IFERROR(__xludf.DUMMYFUNCTION("""COMPUTED_VALUE"""),"Doni Damara")</f>
        <v>Doni Damara</v>
      </c>
      <c r="G944" s="3" t="str">
        <f>IFERROR(__xludf.DUMMYFUNCTION("""COMPUTED_VALUE"""),"Palangkaraya")</f>
        <v>Palangkaraya</v>
      </c>
      <c r="H944" s="3" t="str">
        <f>IFERROR(__xludf.DUMMYFUNCTION("""COMPUTED_VALUE"""),"Corrective")</f>
        <v>Corrective</v>
      </c>
      <c r="I944" s="3" t="str">
        <f>IFERROR(__xludf.DUMMYFUNCTION("""COMPUTED_VALUE"""),"Pemadaman,MCB Trip,Transmisi problem")</f>
        <v>Pemadaman,MCB Trip,Transmisi problem</v>
      </c>
      <c r="J944" s="3" t="str">
        <f>IFERROR(__xludf.DUMMYFUNCTION("""COMPUTED_VALUE"""),"On Progress")</f>
        <v>On Progress</v>
      </c>
      <c r="K944" s="27">
        <f>IFERROR(__xludf.DUMMYFUNCTION("""COMPUTED_VALUE"""),46043.0)</f>
        <v>46043</v>
      </c>
      <c r="L944" s="27">
        <f>IFERROR(__xludf.DUMMYFUNCTION("""COMPUTED_VALUE"""),46043.0)</f>
        <v>46043</v>
      </c>
      <c r="M944" s="3" t="str">
        <f>IFERROR(__xludf.DUMMYFUNCTION("""COMPUTED_VALUE"""),"Done")</f>
        <v>Done</v>
      </c>
      <c r="N944" s="3"/>
      <c r="O944" s="3" t="str">
        <f>IFERROR(VLOOKUP(C944,Sheet4!A944:F1731,6,0),"")</f>
        <v/>
      </c>
      <c r="Q944" s="2" t="str">
        <f t="shared" si="1"/>
        <v>21</v>
      </c>
    </row>
    <row r="945">
      <c r="A945" s="3" t="str">
        <f>IFERROR(__xludf.DUMMYFUNCTION("""COMPUTED_VALUE"""),"Standby On Call")</f>
        <v>Standby On Call</v>
      </c>
      <c r="B945" s="3" t="str">
        <f>IFERROR(__xludf.DUMMYFUNCTION("""COMPUTED_VALUE"""),"P3")</f>
        <v>P3</v>
      </c>
      <c r="C945" s="3"/>
      <c r="D945" s="3" t="str">
        <f>IFERROR(__xludf.DUMMYFUNCTION("""COMPUTED_VALUE"""),"hory yusmanto")</f>
        <v>hory yusmanto</v>
      </c>
      <c r="E945" s="3" t="str">
        <f>IFERROR(__xludf.DUMMYFUNCTION("""COMPUTED_VALUE"""),"MBP")</f>
        <v>MBP</v>
      </c>
      <c r="F945" s="3" t="str">
        <f>IFERROR(__xludf.DUMMYFUNCTION("""COMPUTED_VALUE"""),"Doni Damara")</f>
        <v>Doni Damara</v>
      </c>
      <c r="G945" s="3" t="str">
        <f>IFERROR(__xludf.DUMMYFUNCTION("""COMPUTED_VALUE"""),"Palangkaraya")</f>
        <v>Palangkaraya</v>
      </c>
      <c r="H945" s="3" t="str">
        <f>IFERROR(__xludf.DUMMYFUNCTION("""COMPUTED_VALUE"""),"Standby")</f>
        <v>Standby</v>
      </c>
      <c r="I945" s="3" t="str">
        <f>IFERROR(__xludf.DUMMYFUNCTION("""COMPUTED_VALUE"""),"Standby On Call")</f>
        <v>Standby On Call</v>
      </c>
      <c r="J945" s="3" t="str">
        <f>IFERROR(__xludf.DUMMYFUNCTION("""COMPUTED_VALUE"""),"On Progress")</f>
        <v>On Progress</v>
      </c>
      <c r="K945" s="27">
        <f>IFERROR(__xludf.DUMMYFUNCTION("""COMPUTED_VALUE"""),46043.0)</f>
        <v>46043</v>
      </c>
      <c r="L945" s="27">
        <f>IFERROR(__xludf.DUMMYFUNCTION("""COMPUTED_VALUE"""),46043.0)</f>
        <v>46043</v>
      </c>
      <c r="M945" s="3" t="str">
        <f>IFERROR(__xludf.DUMMYFUNCTION("""COMPUTED_VALUE"""),"Waiting Update")</f>
        <v>Waiting Update</v>
      </c>
      <c r="N945" s="3"/>
      <c r="O945" s="3" t="str">
        <f>IFERROR(VLOOKUP(C945,Sheet4!A945:F1732,6,0),"")</f>
        <v/>
      </c>
      <c r="Q945" s="2" t="str">
        <f t="shared" si="1"/>
        <v>21</v>
      </c>
    </row>
    <row r="946">
      <c r="A946" s="3" t="str">
        <f>IFERROR(__xludf.DUMMYFUNCTION("""COMPUTED_VALUE"""),"PM")</f>
        <v>PM</v>
      </c>
      <c r="B946" s="3" t="str">
        <f>IFERROR(__xludf.DUMMYFUNCTION("""COMPUTED_VALUE"""),"P2")</f>
        <v>P2</v>
      </c>
      <c r="C946" s="3" t="str">
        <f>IFERROR(__xludf.DUMMYFUNCTION("""COMPUTED_VALUE"""),"PPS007")</f>
        <v>PPS007</v>
      </c>
      <c r="D946" s="3" t="str">
        <f>IFERROR(__xludf.DUMMYFUNCTION("""COMPUTED_VALUE"""),"Agus muliana pamungkas")</f>
        <v>Agus muliana pamungkas</v>
      </c>
      <c r="E946" s="3" t="str">
        <f>IFERROR(__xludf.DUMMYFUNCTION("""COMPUTED_VALUE"""),"MBP")</f>
        <v>MBP</v>
      </c>
      <c r="F946" s="3" t="str">
        <f>IFERROR(__xludf.DUMMYFUNCTION("""COMPUTED_VALUE"""),"Doni Damara")</f>
        <v>Doni Damara</v>
      </c>
      <c r="G946" s="3" t="str">
        <f>IFERROR(__xludf.DUMMYFUNCTION("""COMPUTED_VALUE"""),"Palangkaraya")</f>
        <v>Palangkaraya</v>
      </c>
      <c r="H946" s="3" t="str">
        <f>IFERROR(__xludf.DUMMYFUNCTION("""COMPUTED_VALUE"""),"Preventive")</f>
        <v>Preventive</v>
      </c>
      <c r="I946" s="3" t="str">
        <f>IFERROR(__xludf.DUMMYFUNCTION("""COMPUTED_VALUE"""),"Preventive Maintenance")</f>
        <v>Preventive Maintenance</v>
      </c>
      <c r="J946" s="3" t="str">
        <f>IFERROR(__xludf.DUMMYFUNCTION("""COMPUTED_VALUE"""),"On Progress")</f>
        <v>On Progress</v>
      </c>
      <c r="K946" s="27">
        <f>IFERROR(__xludf.DUMMYFUNCTION("""COMPUTED_VALUE"""),46043.0)</f>
        <v>46043</v>
      </c>
      <c r="L946" s="27">
        <f>IFERROR(__xludf.DUMMYFUNCTION("""COMPUTED_VALUE"""),46043.0)</f>
        <v>46043</v>
      </c>
      <c r="M946" s="3" t="str">
        <f>IFERROR(__xludf.DUMMYFUNCTION("""COMPUTED_VALUE"""),"Waiting Update")</f>
        <v>Waiting Update</v>
      </c>
      <c r="N946" s="3"/>
      <c r="O946" s="3" t="str">
        <f>IFERROR(VLOOKUP(C946,Sheet4!A946:F1733,6,0),"")</f>
        <v/>
      </c>
      <c r="Q946" s="2" t="str">
        <f t="shared" si="1"/>
        <v>21</v>
      </c>
    </row>
    <row r="947">
      <c r="A947" s="3" t="str">
        <f>IFERROR(__xludf.DUMMYFUNCTION("""COMPUTED_VALUE"""),"Pengecekan Power")</f>
        <v>Pengecekan Power</v>
      </c>
      <c r="B947" s="3" t="str">
        <f>IFERROR(__xludf.DUMMYFUNCTION("""COMPUTED_VALUE"""),"P1")</f>
        <v>P1</v>
      </c>
      <c r="C947" s="3" t="str">
        <f>IFERROR(__xludf.DUMMYFUNCTION("""COMPUTED_VALUE"""),"BNT085")</f>
        <v>BNT085</v>
      </c>
      <c r="D947" s="3" t="str">
        <f>IFERROR(__xludf.DUMMYFUNCTION("""COMPUTED_VALUE"""),"Putra wardana")</f>
        <v>Putra wardana</v>
      </c>
      <c r="E947" s="3" t="str">
        <f>IFERROR(__xludf.DUMMYFUNCTION("""COMPUTED_VALUE"""),"TE")</f>
        <v>TE</v>
      </c>
      <c r="F947" s="3" t="str">
        <f>IFERROR(__xludf.DUMMYFUNCTION("""COMPUTED_VALUE"""),"Winda Sokenda")</f>
        <v>Winda Sokenda</v>
      </c>
      <c r="G947" s="3" t="str">
        <f>IFERROR(__xludf.DUMMYFUNCTION("""COMPUTED_VALUE"""),"Barito Raya")</f>
        <v>Barito Raya</v>
      </c>
      <c r="H947" s="3" t="str">
        <f>IFERROR(__xludf.DUMMYFUNCTION("""COMPUTED_VALUE"""),"Preventive")</f>
        <v>Preventive</v>
      </c>
      <c r="I947" s="3" t="str">
        <f>IFERROR(__xludf.DUMMYFUNCTION("""COMPUTED_VALUE"""),"MCB trip/Power upnormal")</f>
        <v>MCB trip/Power upnormal</v>
      </c>
      <c r="J947" s="3" t="str">
        <f>IFERROR(__xludf.DUMMYFUNCTION("""COMPUTED_VALUE"""),"On Progress")</f>
        <v>On Progress</v>
      </c>
      <c r="K947" s="27">
        <f>IFERROR(__xludf.DUMMYFUNCTION("""COMPUTED_VALUE"""),46044.0)</f>
        <v>46044</v>
      </c>
      <c r="L947" s="27">
        <f>IFERROR(__xludf.DUMMYFUNCTION("""COMPUTED_VALUE"""),46044.0)</f>
        <v>46044</v>
      </c>
      <c r="M947" s="3" t="str">
        <f>IFERROR(__xludf.DUMMYFUNCTION("""COMPUTED_VALUE"""),"Done")</f>
        <v>Done</v>
      </c>
      <c r="N947" s="3"/>
      <c r="O947" s="3" t="str">
        <f>IFERROR(VLOOKUP(C947,Sheet4!A947:F1734,6,0),"")</f>
        <v/>
      </c>
      <c r="Q947" s="2" t="str">
        <f t="shared" si="1"/>
        <v>22</v>
      </c>
    </row>
    <row r="948">
      <c r="A948" s="3" t="str">
        <f>IFERROR(__xludf.DUMMYFUNCTION("""COMPUTED_VALUE"""),"Cell down")</f>
        <v>Cell down</v>
      </c>
      <c r="B948" s="3" t="str">
        <f>IFERROR(__xludf.DUMMYFUNCTION("""COMPUTED_VALUE"""),"P1")</f>
        <v>P1</v>
      </c>
      <c r="C948" s="3" t="str">
        <f>IFERROR(__xludf.DUMMYFUNCTION("""COMPUTED_VALUE"""),"BNT525")</f>
        <v>BNT525</v>
      </c>
      <c r="D948" s="3" t="str">
        <f>IFERROR(__xludf.DUMMYFUNCTION("""COMPUTED_VALUE"""),"Sailillah")</f>
        <v>Sailillah</v>
      </c>
      <c r="E948" s="3" t="str">
        <f>IFERROR(__xludf.DUMMYFUNCTION("""COMPUTED_VALUE"""),"TE")</f>
        <v>TE</v>
      </c>
      <c r="F948" s="3" t="str">
        <f>IFERROR(__xludf.DUMMYFUNCTION("""COMPUTED_VALUE"""),"Winda Sokenda")</f>
        <v>Winda Sokenda</v>
      </c>
      <c r="G948" s="3" t="str">
        <f>IFERROR(__xludf.DUMMYFUNCTION("""COMPUTED_VALUE"""),"Barito Raya")</f>
        <v>Barito Raya</v>
      </c>
      <c r="H948" s="3" t="str">
        <f>IFERROR(__xludf.DUMMYFUNCTION("""COMPUTED_VALUE"""),"Corrective")</f>
        <v>Corrective</v>
      </c>
      <c r="I948" s="3" t="str">
        <f>IFERROR(__xludf.DUMMYFUNCTION("""COMPUTED_VALUE"""),"Replace Optik,RRU/Soket Power/Replace GPS")</f>
        <v>Replace Optik,RRU/Soket Power/Replace GPS</v>
      </c>
      <c r="J948" s="3" t="str">
        <f>IFERROR(__xludf.DUMMYFUNCTION("""COMPUTED_VALUE"""),"On Progress")</f>
        <v>On Progress</v>
      </c>
      <c r="K948" s="27">
        <f>IFERROR(__xludf.DUMMYFUNCTION("""COMPUTED_VALUE"""),46044.0)</f>
        <v>46044</v>
      </c>
      <c r="L948" s="27">
        <f>IFERROR(__xludf.DUMMYFUNCTION("""COMPUTED_VALUE"""),46044.0)</f>
        <v>46044</v>
      </c>
      <c r="M948" s="3" t="str">
        <f>IFERROR(__xludf.DUMMYFUNCTION("""COMPUTED_VALUE"""),"Done")</f>
        <v>Done</v>
      </c>
      <c r="N948" s="3" t="str">
        <f>IFERROR(__xludf.DUMMYFUNCTION("""COMPUTED_VALUE"""),"masih ada 2 cell down, lanjut besok")</f>
        <v>masih ada 2 cell down, lanjut besok</v>
      </c>
      <c r="O948" s="3" t="str">
        <f>IFERROR(VLOOKUP(C948,Sheet4!A948:F1735,6,0),"")</f>
        <v/>
      </c>
      <c r="Q948" s="2" t="str">
        <f t="shared" si="1"/>
        <v>22</v>
      </c>
    </row>
    <row r="949">
      <c r="A949" s="3" t="str">
        <f>IFERROR(__xludf.DUMMYFUNCTION("""COMPUTED_VALUE"""),"Cell down")</f>
        <v>Cell down</v>
      </c>
      <c r="B949" s="3" t="str">
        <f>IFERROR(__xludf.DUMMYFUNCTION("""COMPUTED_VALUE"""),"P1")</f>
        <v>P1</v>
      </c>
      <c r="C949" s="3" t="str">
        <f>IFERROR(__xludf.DUMMYFUNCTION("""COMPUTED_VALUE"""),"BNT525")</f>
        <v>BNT525</v>
      </c>
      <c r="D949" s="3" t="str">
        <f>IFERROR(__xludf.DUMMYFUNCTION("""COMPUTED_VALUE"""),"Tiviansyah")</f>
        <v>Tiviansyah</v>
      </c>
      <c r="E949" s="3" t="str">
        <f>IFERROR(__xludf.DUMMYFUNCTION("""COMPUTED_VALUE"""),"TE")</f>
        <v>TE</v>
      </c>
      <c r="F949" s="3" t="str">
        <f>IFERROR(__xludf.DUMMYFUNCTION("""COMPUTED_VALUE"""),"Winda Sokenda")</f>
        <v>Winda Sokenda</v>
      </c>
      <c r="G949" s="3" t="str">
        <f>IFERROR(__xludf.DUMMYFUNCTION("""COMPUTED_VALUE"""),"Barito Raya")</f>
        <v>Barito Raya</v>
      </c>
      <c r="H949" s="3" t="str">
        <f>IFERROR(__xludf.DUMMYFUNCTION("""COMPUTED_VALUE"""),"Corrective")</f>
        <v>Corrective</v>
      </c>
      <c r="I949" s="3" t="str">
        <f>IFERROR(__xludf.DUMMYFUNCTION("""COMPUTED_VALUE"""),"Replace Optik,RRU/Soket Power/Replace GPS")</f>
        <v>Replace Optik,RRU/Soket Power/Replace GPS</v>
      </c>
      <c r="J949" s="3" t="str">
        <f>IFERROR(__xludf.DUMMYFUNCTION("""COMPUTED_VALUE"""),"On Progress")</f>
        <v>On Progress</v>
      </c>
      <c r="K949" s="27">
        <f>IFERROR(__xludf.DUMMYFUNCTION("""COMPUTED_VALUE"""),46044.0)</f>
        <v>46044</v>
      </c>
      <c r="L949" s="27">
        <f>IFERROR(__xludf.DUMMYFUNCTION("""COMPUTED_VALUE"""),46044.0)</f>
        <v>46044</v>
      </c>
      <c r="M949" s="3" t="str">
        <f>IFERROR(__xludf.DUMMYFUNCTION("""COMPUTED_VALUE"""),"Done")</f>
        <v>Done</v>
      </c>
      <c r="N949" s="3" t="str">
        <f>IFERROR(__xludf.DUMMYFUNCTION("""COMPUTED_VALUE"""),"masih ada 2 cell down, lanjut besok")</f>
        <v>masih ada 2 cell down, lanjut besok</v>
      </c>
      <c r="O949" s="3" t="str">
        <f>IFERROR(VLOOKUP(C949,Sheet4!A949:F1736,6,0),"")</f>
        <v/>
      </c>
      <c r="Q949" s="2" t="str">
        <f t="shared" si="1"/>
        <v>22</v>
      </c>
    </row>
    <row r="950">
      <c r="A950" s="3" t="str">
        <f>IFERROR(__xludf.DUMMYFUNCTION("""COMPUTED_VALUE"""),"Perbaikan Exhaust fan")</f>
        <v>Perbaikan Exhaust fan</v>
      </c>
      <c r="B950" s="3" t="str">
        <f>IFERROR(__xludf.DUMMYFUNCTION("""COMPUTED_VALUE"""),"P3")</f>
        <v>P3</v>
      </c>
      <c r="C950" s="3" t="str">
        <f>IFERROR(__xludf.DUMMYFUNCTION("""COMPUTED_VALUE"""),"MTW001")</f>
        <v>MTW001</v>
      </c>
      <c r="D950" s="3" t="str">
        <f>IFERROR(__xludf.DUMMYFUNCTION("""COMPUTED_VALUE"""),"munawir akhmad")</f>
        <v>munawir akhmad</v>
      </c>
      <c r="E950" s="3" t="str">
        <f>IFERROR(__xludf.DUMMYFUNCTION("""COMPUTED_VALUE"""),"TE")</f>
        <v>TE</v>
      </c>
      <c r="F950" s="3" t="str">
        <f>IFERROR(__xludf.DUMMYFUNCTION("""COMPUTED_VALUE"""),"Winda Sokenda")</f>
        <v>Winda Sokenda</v>
      </c>
      <c r="G950" s="3" t="str">
        <f>IFERROR(__xludf.DUMMYFUNCTION("""COMPUTED_VALUE"""),"Barito Raya")</f>
        <v>Barito Raya</v>
      </c>
      <c r="H950" s="3" t="str">
        <f>IFERROR(__xludf.DUMMYFUNCTION("""COMPUTED_VALUE"""),"Corrective")</f>
        <v>Corrective</v>
      </c>
      <c r="I950" s="3" t="str">
        <f>IFERROR(__xludf.DUMMYFUNCTION("""COMPUTED_VALUE"""),"Perbaikan Exhaust fan")</f>
        <v>Perbaikan Exhaust fan</v>
      </c>
      <c r="J950" s="3" t="str">
        <f>IFERROR(__xludf.DUMMYFUNCTION("""COMPUTED_VALUE"""),"On Progress")</f>
        <v>On Progress</v>
      </c>
      <c r="K950" s="27">
        <f>IFERROR(__xludf.DUMMYFUNCTION("""COMPUTED_VALUE"""),46044.0)</f>
        <v>46044</v>
      </c>
      <c r="L950" s="27">
        <f>IFERROR(__xludf.DUMMYFUNCTION("""COMPUTED_VALUE"""),46044.0)</f>
        <v>46044</v>
      </c>
      <c r="M950" s="3" t="str">
        <f>IFERROR(__xludf.DUMMYFUNCTION("""COMPUTED_VALUE"""),"Done")</f>
        <v>Done</v>
      </c>
      <c r="N950" s="3"/>
      <c r="O950" s="3" t="str">
        <f>IFERROR(VLOOKUP(C950,Sheet4!A950:F1737,6,0),"")</f>
        <v/>
      </c>
      <c r="Q950" s="2" t="str">
        <f t="shared" si="1"/>
        <v>22</v>
      </c>
    </row>
    <row r="951">
      <c r="A951" s="3" t="str">
        <f>IFERROR(__xludf.DUMMYFUNCTION("""COMPUTED_VALUE"""),"Standby On Call")</f>
        <v>Standby On Call</v>
      </c>
      <c r="B951" s="3" t="str">
        <f>IFERROR(__xludf.DUMMYFUNCTION("""COMPUTED_VALUE"""),"P3")</f>
        <v>P3</v>
      </c>
      <c r="C951" s="3"/>
      <c r="D951" s="3" t="str">
        <f>IFERROR(__xludf.DUMMYFUNCTION("""COMPUTED_VALUE"""),"Riki Hidayat")</f>
        <v>Riki Hidayat</v>
      </c>
      <c r="E951" s="3" t="str">
        <f>IFERROR(__xludf.DUMMYFUNCTION("""COMPUTED_VALUE"""),"TE")</f>
        <v>TE</v>
      </c>
      <c r="F951" s="3" t="str">
        <f>IFERROR(__xludf.DUMMYFUNCTION("""COMPUTED_VALUE"""),"Winda Sokenda")</f>
        <v>Winda Sokenda</v>
      </c>
      <c r="G951" s="3" t="str">
        <f>IFERROR(__xludf.DUMMYFUNCTION("""COMPUTED_VALUE"""),"Barito Raya")</f>
        <v>Barito Raya</v>
      </c>
      <c r="H951" s="3" t="str">
        <f>IFERROR(__xludf.DUMMYFUNCTION("""COMPUTED_VALUE"""),"Standby")</f>
        <v>Standby</v>
      </c>
      <c r="I951" s="3" t="str">
        <f>IFERROR(__xludf.DUMMYFUNCTION("""COMPUTED_VALUE"""),"Standby On Call")</f>
        <v>Standby On Call</v>
      </c>
      <c r="J951" s="3" t="str">
        <f>IFERROR(__xludf.DUMMYFUNCTION("""COMPUTED_VALUE"""),"On Progress")</f>
        <v>On Progress</v>
      </c>
      <c r="K951" s="27">
        <f>IFERROR(__xludf.DUMMYFUNCTION("""COMPUTED_VALUE"""),46044.0)</f>
        <v>46044</v>
      </c>
      <c r="L951" s="27">
        <f>IFERROR(__xludf.DUMMYFUNCTION("""COMPUTED_VALUE"""),46044.0)</f>
        <v>46044</v>
      </c>
      <c r="M951" s="3"/>
      <c r="N951" s="3"/>
      <c r="O951" s="3" t="str">
        <f>IFERROR(VLOOKUP(C951,Sheet4!A951:F1738,6,0),"")</f>
        <v/>
      </c>
      <c r="Q951" s="2" t="str">
        <f t="shared" si="1"/>
        <v>22</v>
      </c>
    </row>
    <row r="952">
      <c r="A952" s="3" t="str">
        <f>IFERROR(__xludf.DUMMYFUNCTION("""COMPUTED_VALUE"""),"Pengecekan Power")</f>
        <v>Pengecekan Power</v>
      </c>
      <c r="B952" s="3" t="str">
        <f>IFERROR(__xludf.DUMMYFUNCTION("""COMPUTED_VALUE"""),"P1")</f>
        <v>P1</v>
      </c>
      <c r="C952" s="3" t="str">
        <f>IFERROR(__xludf.DUMMYFUNCTION("""COMPUTED_VALUE"""),"PRC225")</f>
        <v>PRC225</v>
      </c>
      <c r="D952" s="3" t="str">
        <f>IFERROR(__xludf.DUMMYFUNCTION("""COMPUTED_VALUE"""),"Murjani")</f>
        <v>Murjani</v>
      </c>
      <c r="E952" s="3" t="str">
        <f>IFERROR(__xludf.DUMMYFUNCTION("""COMPUTED_VALUE"""),"TE")</f>
        <v>TE</v>
      </c>
      <c r="F952" s="3" t="str">
        <f>IFERROR(__xludf.DUMMYFUNCTION("""COMPUTED_VALUE"""),"Winda Sokenda")</f>
        <v>Winda Sokenda</v>
      </c>
      <c r="G952" s="3" t="str">
        <f>IFERROR(__xludf.DUMMYFUNCTION("""COMPUTED_VALUE"""),"Barito Raya")</f>
        <v>Barito Raya</v>
      </c>
      <c r="H952" s="3" t="str">
        <f>IFERROR(__xludf.DUMMYFUNCTION("""COMPUTED_VALUE"""),"Preventive")</f>
        <v>Preventive</v>
      </c>
      <c r="I952" s="3" t="str">
        <f>IFERROR(__xludf.DUMMYFUNCTION("""COMPUTED_VALUE"""),"MCB trip/Power upnormal")</f>
        <v>MCB trip/Power upnormal</v>
      </c>
      <c r="J952" s="3" t="str">
        <f>IFERROR(__xludf.DUMMYFUNCTION("""COMPUTED_VALUE"""),"On Progress")</f>
        <v>On Progress</v>
      </c>
      <c r="K952" s="27">
        <f>IFERROR(__xludf.DUMMYFUNCTION("""COMPUTED_VALUE"""),46044.0)</f>
        <v>46044</v>
      </c>
      <c r="L952" s="27">
        <f>IFERROR(__xludf.DUMMYFUNCTION("""COMPUTED_VALUE"""),46044.0)</f>
        <v>46044</v>
      </c>
      <c r="M952" s="3" t="str">
        <f>IFERROR(__xludf.DUMMYFUNCTION("""COMPUTED_VALUE"""),"Done")</f>
        <v>Done</v>
      </c>
      <c r="N952" s="3"/>
      <c r="O952" s="3" t="str">
        <f>IFERROR(VLOOKUP(C952,Sheet4!A952:F1739,6,0),"")</f>
        <v/>
      </c>
      <c r="Q952" s="2" t="str">
        <f t="shared" si="1"/>
        <v>22</v>
      </c>
    </row>
    <row r="953">
      <c r="A953" s="3" t="str">
        <f>IFERROR(__xludf.DUMMYFUNCTION("""COMPUTED_VALUE"""),"Site Down")</f>
        <v>Site Down</v>
      </c>
      <c r="B953" s="3" t="str">
        <f>IFERROR(__xludf.DUMMYFUNCTION("""COMPUTED_VALUE"""),"P1")</f>
        <v>P1</v>
      </c>
      <c r="C953" s="3" t="str">
        <f>IFERROR(__xludf.DUMMYFUNCTION("""COMPUTED_VALUE"""),"NTH081")</f>
        <v>NTH081</v>
      </c>
      <c r="D953" s="3" t="str">
        <f>IFERROR(__xludf.DUMMYFUNCTION("""COMPUTED_VALUE"""),"Armadi")</f>
        <v>Armadi</v>
      </c>
      <c r="E953" s="3" t="str">
        <f>IFERROR(__xludf.DUMMYFUNCTION("""COMPUTED_VALUE"""),"TE")</f>
        <v>TE</v>
      </c>
      <c r="F953" s="3" t="str">
        <f>IFERROR(__xludf.DUMMYFUNCTION("""COMPUTED_VALUE"""),"Winda Sokenda")</f>
        <v>Winda Sokenda</v>
      </c>
      <c r="G953" s="3" t="str">
        <f>IFERROR(__xludf.DUMMYFUNCTION("""COMPUTED_VALUE"""),"Barito Raya")</f>
        <v>Barito Raya</v>
      </c>
      <c r="H953" s="3" t="str">
        <f>IFERROR(__xludf.DUMMYFUNCTION("""COMPUTED_VALUE"""),"Corrective")</f>
        <v>Corrective</v>
      </c>
      <c r="I953" s="3" t="str">
        <f>IFERROR(__xludf.DUMMYFUNCTION("""COMPUTED_VALUE"""),"Pemadaman,MCB Trip,Transmisi problem")</f>
        <v>Pemadaman,MCB Trip,Transmisi problem</v>
      </c>
      <c r="J953" s="3" t="str">
        <f>IFERROR(__xludf.DUMMYFUNCTION("""COMPUTED_VALUE"""),"On Progress")</f>
        <v>On Progress</v>
      </c>
      <c r="K953" s="27">
        <f>IFERROR(__xludf.DUMMYFUNCTION("""COMPUTED_VALUE"""),46044.0)</f>
        <v>46044</v>
      </c>
      <c r="L953" s="27">
        <f>IFERROR(__xludf.DUMMYFUNCTION("""COMPUTED_VALUE"""),46044.0)</f>
        <v>46044</v>
      </c>
      <c r="M953" s="3"/>
      <c r="N953" s="3"/>
      <c r="O953" s="3" t="str">
        <f>IFERROR(VLOOKUP(C953,Sheet4!A953:F1740,6,0),"")</f>
        <v/>
      </c>
      <c r="Q953" s="2" t="str">
        <f t="shared" si="1"/>
        <v>22</v>
      </c>
    </row>
    <row r="954">
      <c r="A954" s="3" t="str">
        <f>IFERROR(__xludf.DUMMYFUNCTION("""COMPUTED_VALUE"""),"PM")</f>
        <v>PM</v>
      </c>
      <c r="B954" s="3" t="str">
        <f>IFERROR(__xludf.DUMMYFUNCTION("""COMPUTED_VALUE"""),"P2")</f>
        <v>P2</v>
      </c>
      <c r="C954" s="3" t="str">
        <f>IFERROR(__xludf.DUMMYFUNCTION("""COMPUTED_VALUE"""),"KKP")</f>
        <v>KKP</v>
      </c>
      <c r="D954" s="3" t="str">
        <f>IFERROR(__xludf.DUMMYFUNCTION("""COMPUTED_VALUE"""),"Reynaldy Ricardo Putra")</f>
        <v>Reynaldy Ricardo Putra</v>
      </c>
      <c r="E954" s="3" t="str">
        <f>IFERROR(__xludf.DUMMYFUNCTION("""COMPUTED_VALUE"""),"TE")</f>
        <v>TE</v>
      </c>
      <c r="F954" s="3" t="str">
        <f>IFERROR(__xludf.DUMMYFUNCTION("""COMPUTED_VALUE"""),"Winda Sokenda")</f>
        <v>Winda Sokenda</v>
      </c>
      <c r="G954" s="3" t="str">
        <f>IFERROR(__xludf.DUMMYFUNCTION("""COMPUTED_VALUE"""),"Barito Raya")</f>
        <v>Barito Raya</v>
      </c>
      <c r="H954" s="3" t="str">
        <f>IFERROR(__xludf.DUMMYFUNCTION("""COMPUTED_VALUE"""),"Preventive")</f>
        <v>Preventive</v>
      </c>
      <c r="I954" s="3" t="str">
        <f>IFERROR(__xludf.DUMMYFUNCTION("""COMPUTED_VALUE"""),"Preventive Maintenance")</f>
        <v>Preventive Maintenance</v>
      </c>
      <c r="J954" s="3" t="str">
        <f>IFERROR(__xludf.DUMMYFUNCTION("""COMPUTED_VALUE"""),"On Progress")</f>
        <v>On Progress</v>
      </c>
      <c r="K954" s="27">
        <f>IFERROR(__xludf.DUMMYFUNCTION("""COMPUTED_VALUE"""),46044.0)</f>
        <v>46044</v>
      </c>
      <c r="L954" s="27">
        <f>IFERROR(__xludf.DUMMYFUNCTION("""COMPUTED_VALUE"""),46044.0)</f>
        <v>46044</v>
      </c>
      <c r="M954" s="3" t="str">
        <f>IFERROR(__xludf.DUMMYFUNCTION("""COMPUTED_VALUE"""),"Done")</f>
        <v>Done</v>
      </c>
      <c r="N954" s="3"/>
      <c r="O954" s="3" t="str">
        <f>IFERROR(VLOOKUP(C954,Sheet4!A954:F1741,6,0),"")</f>
        <v/>
      </c>
      <c r="Q954" s="2" t="str">
        <f t="shared" si="1"/>
        <v>22</v>
      </c>
    </row>
    <row r="955">
      <c r="A955" s="3" t="str">
        <f>IFERROR(__xludf.DUMMYFUNCTION("""COMPUTED_VALUE"""),"Pengecekan Power")</f>
        <v>Pengecekan Power</v>
      </c>
      <c r="B955" s="3" t="str">
        <f>IFERROR(__xludf.DUMMYFUNCTION("""COMPUTED_VALUE"""),"P1")</f>
        <v>P1</v>
      </c>
      <c r="C955" s="3" t="str">
        <f>IFERROR(__xludf.DUMMYFUNCTION("""COMPUTED_VALUE"""),"KKP047")</f>
        <v>KKP047</v>
      </c>
      <c r="D955" s="3" t="str">
        <f>IFERROR(__xludf.DUMMYFUNCTION("""COMPUTED_VALUE"""),"Sahrul Saputra")</f>
        <v>Sahrul Saputra</v>
      </c>
      <c r="E955" s="3" t="str">
        <f>IFERROR(__xludf.DUMMYFUNCTION("""COMPUTED_VALUE"""),"TE")</f>
        <v>TE</v>
      </c>
      <c r="F955" s="3" t="str">
        <f>IFERROR(__xludf.DUMMYFUNCTION("""COMPUTED_VALUE"""),"Winda Sokenda")</f>
        <v>Winda Sokenda</v>
      </c>
      <c r="G955" s="3" t="str">
        <f>IFERROR(__xludf.DUMMYFUNCTION("""COMPUTED_VALUE"""),"Barito Raya")</f>
        <v>Barito Raya</v>
      </c>
      <c r="H955" s="3" t="str">
        <f>IFERROR(__xludf.DUMMYFUNCTION("""COMPUTED_VALUE"""),"Preventive")</f>
        <v>Preventive</v>
      </c>
      <c r="I955" s="3" t="str">
        <f>IFERROR(__xludf.DUMMYFUNCTION("""COMPUTED_VALUE"""),"MCB trip/Power upnormal")</f>
        <v>MCB trip/Power upnormal</v>
      </c>
      <c r="J955" s="3"/>
      <c r="K955" s="27">
        <f>IFERROR(__xludf.DUMMYFUNCTION("""COMPUTED_VALUE"""),46044.0)</f>
        <v>46044</v>
      </c>
      <c r="L955" s="27">
        <f>IFERROR(__xludf.DUMMYFUNCTION("""COMPUTED_VALUE"""),46044.0)</f>
        <v>46044</v>
      </c>
      <c r="M955" s="3" t="str">
        <f>IFERROR(__xludf.DUMMYFUNCTION("""COMPUTED_VALUE"""),"Done")</f>
        <v>Done</v>
      </c>
      <c r="N955" s="3"/>
      <c r="O955" s="3" t="str">
        <f>IFERROR(VLOOKUP(C955,Sheet4!A955:F1742,6,0),"")</f>
        <v/>
      </c>
      <c r="Q955" s="2" t="str">
        <f t="shared" si="1"/>
        <v>22</v>
      </c>
    </row>
    <row r="956">
      <c r="A956" s="3" t="str">
        <f>IFERROR(__xludf.DUMMYFUNCTION("""COMPUTED_VALUE"""),"Site Down")</f>
        <v>Site Down</v>
      </c>
      <c r="B956" s="3" t="str">
        <f>IFERROR(__xludf.DUMMYFUNCTION("""COMPUTED_VALUE"""),"P1")</f>
        <v>P1</v>
      </c>
      <c r="C956" s="3" t="str">
        <f>IFERROR(__xludf.DUMMYFUNCTION("""COMPUTED_VALUE"""),"TML236")</f>
        <v>TML236</v>
      </c>
      <c r="D956" s="3" t="str">
        <f>IFERROR(__xludf.DUMMYFUNCTION("""COMPUTED_VALUE"""),"Nurhayat")</f>
        <v>Nurhayat</v>
      </c>
      <c r="E956" s="3" t="str">
        <f>IFERROR(__xludf.DUMMYFUNCTION("""COMPUTED_VALUE"""),"MBP")</f>
        <v>MBP</v>
      </c>
      <c r="F956" s="3" t="str">
        <f>IFERROR(__xludf.DUMMYFUNCTION("""COMPUTED_VALUE"""),"Winda Sokenda")</f>
        <v>Winda Sokenda</v>
      </c>
      <c r="G956" s="3" t="str">
        <f>IFERROR(__xludf.DUMMYFUNCTION("""COMPUTED_VALUE"""),"Barito Raya")</f>
        <v>Barito Raya</v>
      </c>
      <c r="H956" s="3" t="str">
        <f>IFERROR(__xludf.DUMMYFUNCTION("""COMPUTED_VALUE"""),"Corrective")</f>
        <v>Corrective</v>
      </c>
      <c r="I956" s="3" t="str">
        <f>IFERROR(__xludf.DUMMYFUNCTION("""COMPUTED_VALUE"""),"Pemadaman,MCB Trip,Transmisi problem")</f>
        <v>Pemadaman,MCB Trip,Transmisi problem</v>
      </c>
      <c r="J956" s="3" t="str">
        <f>IFERROR(__xludf.DUMMYFUNCTION("""COMPUTED_VALUE"""),"On Progress")</f>
        <v>On Progress</v>
      </c>
      <c r="K956" s="27">
        <f>IFERROR(__xludf.DUMMYFUNCTION("""COMPUTED_VALUE"""),46044.0)</f>
        <v>46044</v>
      </c>
      <c r="L956" s="27">
        <f>IFERROR(__xludf.DUMMYFUNCTION("""COMPUTED_VALUE"""),46044.0)</f>
        <v>46044</v>
      </c>
      <c r="M956" s="3" t="str">
        <f>IFERROR(__xludf.DUMMYFUNCTION("""COMPUTED_VALUE"""),"Done")</f>
        <v>Done</v>
      </c>
      <c r="N956" s="3"/>
      <c r="O956" s="3" t="str">
        <f>IFERROR(VLOOKUP(C956,Sheet4!A956:F1743,6,0),"")</f>
        <v/>
      </c>
      <c r="Q956" s="2" t="str">
        <f t="shared" si="1"/>
        <v>22</v>
      </c>
    </row>
    <row r="957">
      <c r="A957" s="3" t="str">
        <f>IFERROR(__xludf.DUMMYFUNCTION("""COMPUTED_VALUE"""),"Site Down")</f>
        <v>Site Down</v>
      </c>
      <c r="B957" s="3" t="str">
        <f>IFERROR(__xludf.DUMMYFUNCTION("""COMPUTED_VALUE"""),"P1")</f>
        <v>P1</v>
      </c>
      <c r="C957" s="3" t="str">
        <f>IFERROR(__xludf.DUMMYFUNCTION("""COMPUTED_VALUE"""),"BNT160")</f>
        <v>BNT160</v>
      </c>
      <c r="D957" s="3" t="str">
        <f>IFERROR(__xludf.DUMMYFUNCTION("""COMPUTED_VALUE"""),"Harun Nurasyid")</f>
        <v>Harun Nurasyid</v>
      </c>
      <c r="E957" s="3" t="str">
        <f>IFERROR(__xludf.DUMMYFUNCTION("""COMPUTED_VALUE"""),"CME")</f>
        <v>CME</v>
      </c>
      <c r="F957" s="3" t="str">
        <f>IFERROR(__xludf.DUMMYFUNCTION("""COMPUTED_VALUE"""),"Winda Sokenda")</f>
        <v>Winda Sokenda</v>
      </c>
      <c r="G957" s="3" t="str">
        <f>IFERROR(__xludf.DUMMYFUNCTION("""COMPUTED_VALUE"""),"Barito Raya")</f>
        <v>Barito Raya</v>
      </c>
      <c r="H957" s="3" t="str">
        <f>IFERROR(__xludf.DUMMYFUNCTION("""COMPUTED_VALUE"""),"Corrective")</f>
        <v>Corrective</v>
      </c>
      <c r="I957" s="3" t="str">
        <f>IFERROR(__xludf.DUMMYFUNCTION("""COMPUTED_VALUE"""),"Pemadaman,MCB Trip,Transmisi problem")</f>
        <v>Pemadaman,MCB Trip,Transmisi problem</v>
      </c>
      <c r="J957" s="3" t="str">
        <f>IFERROR(__xludf.DUMMYFUNCTION("""COMPUTED_VALUE"""),"On Progress")</f>
        <v>On Progress</v>
      </c>
      <c r="K957" s="27">
        <f>IFERROR(__xludf.DUMMYFUNCTION("""COMPUTED_VALUE"""),46044.0)</f>
        <v>46044</v>
      </c>
      <c r="L957" s="27">
        <f>IFERROR(__xludf.DUMMYFUNCTION("""COMPUTED_VALUE"""),46044.0)</f>
        <v>46044</v>
      </c>
      <c r="M957" s="3" t="str">
        <f>IFERROR(__xludf.DUMMYFUNCTION("""COMPUTED_VALUE"""),"Done")</f>
        <v>Done</v>
      </c>
      <c r="N957" s="3"/>
      <c r="O957" s="3" t="str">
        <f>IFERROR(VLOOKUP(C957,Sheet4!A957:F1744,6,0),"")</f>
        <v/>
      </c>
      <c r="Q957" s="2" t="str">
        <f t="shared" si="1"/>
        <v>22</v>
      </c>
    </row>
    <row r="958">
      <c r="A958" s="3" t="str">
        <f>IFERROR(__xludf.DUMMYFUNCTION("""COMPUTED_VALUE"""),"Standby On Call")</f>
        <v>Standby On Call</v>
      </c>
      <c r="B958" s="3" t="str">
        <f>IFERROR(__xludf.DUMMYFUNCTION("""COMPUTED_VALUE"""),"P3")</f>
        <v>P3</v>
      </c>
      <c r="C958" s="3"/>
      <c r="D958" s="3" t="str">
        <f>IFERROR(__xludf.DUMMYFUNCTION("""COMPUTED_VALUE"""),"Taklim")</f>
        <v>Taklim</v>
      </c>
      <c r="E958" s="3" t="str">
        <f>IFERROR(__xludf.DUMMYFUNCTION("""COMPUTED_VALUE"""),"MBP")</f>
        <v>MBP</v>
      </c>
      <c r="F958" s="3" t="str">
        <f>IFERROR(__xludf.DUMMYFUNCTION("""COMPUTED_VALUE"""),"Winda Sokenda")</f>
        <v>Winda Sokenda</v>
      </c>
      <c r="G958" s="3" t="str">
        <f>IFERROR(__xludf.DUMMYFUNCTION("""COMPUTED_VALUE"""),"Barito Raya")</f>
        <v>Barito Raya</v>
      </c>
      <c r="H958" s="3" t="str">
        <f>IFERROR(__xludf.DUMMYFUNCTION("""COMPUTED_VALUE"""),"Standby")</f>
        <v>Standby</v>
      </c>
      <c r="I958" s="3" t="str">
        <f>IFERROR(__xludf.DUMMYFUNCTION("""COMPUTED_VALUE"""),"Standby On Call")</f>
        <v>Standby On Call</v>
      </c>
      <c r="J958" s="3"/>
      <c r="K958" s="27">
        <f>IFERROR(__xludf.DUMMYFUNCTION("""COMPUTED_VALUE"""),46044.0)</f>
        <v>46044</v>
      </c>
      <c r="L958" s="27">
        <f>IFERROR(__xludf.DUMMYFUNCTION("""COMPUTED_VALUE"""),46044.0)</f>
        <v>46044</v>
      </c>
      <c r="M958" s="3"/>
      <c r="N958" s="3"/>
      <c r="O958" s="3" t="str">
        <f>IFERROR(VLOOKUP(C958,Sheet4!A958:F1745,6,0),"")</f>
        <v/>
      </c>
      <c r="Q958" s="2" t="str">
        <f t="shared" si="1"/>
        <v>22</v>
      </c>
    </row>
    <row r="959">
      <c r="A959" s="3" t="str">
        <f>IFERROR(__xludf.DUMMYFUNCTION("""COMPUTED_VALUE"""),"Standby On Call")</f>
        <v>Standby On Call</v>
      </c>
      <c r="B959" s="3" t="str">
        <f>IFERROR(__xludf.DUMMYFUNCTION("""COMPUTED_VALUE"""),"P3")</f>
        <v>P3</v>
      </c>
      <c r="C959" s="3"/>
      <c r="D959" s="3" t="str">
        <f>IFERROR(__xludf.DUMMYFUNCTION("""COMPUTED_VALUE"""),"Ahmad Muzakir")</f>
        <v>Ahmad Muzakir</v>
      </c>
      <c r="E959" s="3" t="str">
        <f>IFERROR(__xludf.DUMMYFUNCTION("""COMPUTED_VALUE"""),"MBP")</f>
        <v>MBP</v>
      </c>
      <c r="F959" s="3" t="str">
        <f>IFERROR(__xludf.DUMMYFUNCTION("""COMPUTED_VALUE"""),"Winda Sokenda")</f>
        <v>Winda Sokenda</v>
      </c>
      <c r="G959" s="3" t="str">
        <f>IFERROR(__xludf.DUMMYFUNCTION("""COMPUTED_VALUE"""),"Barito Raya")</f>
        <v>Barito Raya</v>
      </c>
      <c r="H959" s="3" t="str">
        <f>IFERROR(__xludf.DUMMYFUNCTION("""COMPUTED_VALUE"""),"Standby")</f>
        <v>Standby</v>
      </c>
      <c r="I959" s="3" t="str">
        <f>IFERROR(__xludf.DUMMYFUNCTION("""COMPUTED_VALUE"""),"Standby On Call")</f>
        <v>Standby On Call</v>
      </c>
      <c r="J959" s="3"/>
      <c r="K959" s="27">
        <f>IFERROR(__xludf.DUMMYFUNCTION("""COMPUTED_VALUE"""),46044.0)</f>
        <v>46044</v>
      </c>
      <c r="L959" s="27">
        <f>IFERROR(__xludf.DUMMYFUNCTION("""COMPUTED_VALUE"""),46044.0)</f>
        <v>46044</v>
      </c>
      <c r="M959" s="3"/>
      <c r="N959" s="3"/>
      <c r="O959" s="3" t="str">
        <f>IFERROR(VLOOKUP(C959,Sheet4!A959:F1746,6,0),"")</f>
        <v/>
      </c>
      <c r="Q959" s="2" t="str">
        <f t="shared" si="1"/>
        <v>22</v>
      </c>
    </row>
    <row r="960">
      <c r="A960" s="3" t="str">
        <f>IFERROR(__xludf.DUMMYFUNCTION("""COMPUTED_VALUE"""),"Standby On Call")</f>
        <v>Standby On Call</v>
      </c>
      <c r="B960" s="3" t="str">
        <f>IFERROR(__xludf.DUMMYFUNCTION("""COMPUTED_VALUE"""),"P3")</f>
        <v>P3</v>
      </c>
      <c r="C960" s="3"/>
      <c r="D960" s="3" t="str">
        <f>IFERROR(__xludf.DUMMYFUNCTION("""COMPUTED_VALUE"""),"Pujianto")</f>
        <v>Pujianto</v>
      </c>
      <c r="E960" s="3" t="str">
        <f>IFERROR(__xludf.DUMMYFUNCTION("""COMPUTED_VALUE"""),"MBP")</f>
        <v>MBP</v>
      </c>
      <c r="F960" s="3" t="str">
        <f>IFERROR(__xludf.DUMMYFUNCTION("""COMPUTED_VALUE"""),"Winda Sokenda")</f>
        <v>Winda Sokenda</v>
      </c>
      <c r="G960" s="3" t="str">
        <f>IFERROR(__xludf.DUMMYFUNCTION("""COMPUTED_VALUE"""),"Barito Raya")</f>
        <v>Barito Raya</v>
      </c>
      <c r="H960" s="3" t="str">
        <f>IFERROR(__xludf.DUMMYFUNCTION("""COMPUTED_VALUE"""),"Standby")</f>
        <v>Standby</v>
      </c>
      <c r="I960" s="3" t="str">
        <f>IFERROR(__xludf.DUMMYFUNCTION("""COMPUTED_VALUE"""),"Standby On Call")</f>
        <v>Standby On Call</v>
      </c>
      <c r="J960" s="3"/>
      <c r="K960" s="27">
        <f>IFERROR(__xludf.DUMMYFUNCTION("""COMPUTED_VALUE"""),46044.0)</f>
        <v>46044</v>
      </c>
      <c r="L960" s="27">
        <f>IFERROR(__xludf.DUMMYFUNCTION("""COMPUTED_VALUE"""),46044.0)</f>
        <v>46044</v>
      </c>
      <c r="M960" s="3"/>
      <c r="N960" s="3"/>
      <c r="O960" s="3" t="str">
        <f>IFERROR(VLOOKUP(C960,Sheet4!A960:F1747,6,0),"")</f>
        <v/>
      </c>
      <c r="Q960" s="2" t="str">
        <f t="shared" si="1"/>
        <v>22</v>
      </c>
    </row>
    <row r="961">
      <c r="A961" s="3" t="str">
        <f>IFERROR(__xludf.DUMMYFUNCTION("""COMPUTED_VALUE"""),"PM")</f>
        <v>PM</v>
      </c>
      <c r="B961" s="3" t="str">
        <f>IFERROR(__xludf.DUMMYFUNCTION("""COMPUTED_VALUE"""),"P2")</f>
        <v>P2</v>
      </c>
      <c r="C961" s="3" t="str">
        <f>IFERROR(__xludf.DUMMYFUNCTION("""COMPUTED_VALUE"""),"KKP046")</f>
        <v>KKP046</v>
      </c>
      <c r="D961" s="3" t="str">
        <f>IFERROR(__xludf.DUMMYFUNCTION("""COMPUTED_VALUE"""),"Trisno Susanto")</f>
        <v>Trisno Susanto</v>
      </c>
      <c r="E961" s="3" t="str">
        <f>IFERROR(__xludf.DUMMYFUNCTION("""COMPUTED_VALUE"""),"PM")</f>
        <v>PM</v>
      </c>
      <c r="F961" s="3" t="str">
        <f>IFERROR(__xludf.DUMMYFUNCTION("""COMPUTED_VALUE"""),"Winda Sokenda")</f>
        <v>Winda Sokenda</v>
      </c>
      <c r="G961" s="3" t="str">
        <f>IFERROR(__xludf.DUMMYFUNCTION("""COMPUTED_VALUE"""),"Barito Raya")</f>
        <v>Barito Raya</v>
      </c>
      <c r="H961" s="3" t="str">
        <f>IFERROR(__xludf.DUMMYFUNCTION("""COMPUTED_VALUE"""),"Preventive")</f>
        <v>Preventive</v>
      </c>
      <c r="I961" s="3" t="str">
        <f>IFERROR(__xludf.DUMMYFUNCTION("""COMPUTED_VALUE"""),"Preventive Maintenance")</f>
        <v>Preventive Maintenance</v>
      </c>
      <c r="J961" s="3" t="str">
        <f>IFERROR(__xludf.DUMMYFUNCTION("""COMPUTED_VALUE"""),"On Progress")</f>
        <v>On Progress</v>
      </c>
      <c r="K961" s="27">
        <f>IFERROR(__xludf.DUMMYFUNCTION("""COMPUTED_VALUE"""),46044.0)</f>
        <v>46044</v>
      </c>
      <c r="L961" s="27">
        <f>IFERROR(__xludf.DUMMYFUNCTION("""COMPUTED_VALUE"""),46044.0)</f>
        <v>46044</v>
      </c>
      <c r="M961" s="3" t="str">
        <f>IFERROR(__xludf.DUMMYFUNCTION("""COMPUTED_VALUE"""),"Done")</f>
        <v>Done</v>
      </c>
      <c r="N961" s="3"/>
      <c r="O961" s="3" t="str">
        <f>IFERROR(VLOOKUP(C961,Sheet4!A961:F1748,6,0),"")</f>
        <v/>
      </c>
      <c r="Q961" s="2" t="str">
        <f t="shared" si="1"/>
        <v>22</v>
      </c>
    </row>
    <row r="962">
      <c r="A962" s="3" t="str">
        <f>IFERROR(__xludf.DUMMYFUNCTION("""COMPUTED_VALUE"""),"PM")</f>
        <v>PM</v>
      </c>
      <c r="B962" s="3" t="str">
        <f>IFERROR(__xludf.DUMMYFUNCTION("""COMPUTED_VALUE"""),"P2")</f>
        <v>P2</v>
      </c>
      <c r="C962" s="3" t="str">
        <f>IFERROR(__xludf.DUMMYFUNCTION("""COMPUTED_VALUE"""),"KKP046")</f>
        <v>KKP046</v>
      </c>
      <c r="D962" s="3" t="str">
        <f>IFERROR(__xludf.DUMMYFUNCTION("""COMPUTED_VALUE"""),"Khilal dawai katiri")</f>
        <v>Khilal dawai katiri</v>
      </c>
      <c r="E962" s="3" t="str">
        <f>IFERROR(__xludf.DUMMYFUNCTION("""COMPUTED_VALUE"""),"MBP")</f>
        <v>MBP</v>
      </c>
      <c r="F962" s="3" t="str">
        <f>IFERROR(__xludf.DUMMYFUNCTION("""COMPUTED_VALUE"""),"Winda Sokenda")</f>
        <v>Winda Sokenda</v>
      </c>
      <c r="G962" s="3" t="str">
        <f>IFERROR(__xludf.DUMMYFUNCTION("""COMPUTED_VALUE"""),"Barito Raya")</f>
        <v>Barito Raya</v>
      </c>
      <c r="H962" s="3" t="str">
        <f>IFERROR(__xludf.DUMMYFUNCTION("""COMPUTED_VALUE"""),"Preventive")</f>
        <v>Preventive</v>
      </c>
      <c r="I962" s="3" t="str">
        <f>IFERROR(__xludf.DUMMYFUNCTION("""COMPUTED_VALUE"""),"Preventive Maintenance")</f>
        <v>Preventive Maintenance</v>
      </c>
      <c r="J962" s="3" t="str">
        <f>IFERROR(__xludf.DUMMYFUNCTION("""COMPUTED_VALUE"""),"On Progress")</f>
        <v>On Progress</v>
      </c>
      <c r="K962" s="27">
        <f>IFERROR(__xludf.DUMMYFUNCTION("""COMPUTED_VALUE"""),46044.0)</f>
        <v>46044</v>
      </c>
      <c r="L962" s="27">
        <f>IFERROR(__xludf.DUMMYFUNCTION("""COMPUTED_VALUE"""),46044.0)</f>
        <v>46044</v>
      </c>
      <c r="M962" s="3" t="str">
        <f>IFERROR(__xludf.DUMMYFUNCTION("""COMPUTED_VALUE"""),"Done")</f>
        <v>Done</v>
      </c>
      <c r="N962" s="3"/>
      <c r="O962" s="3" t="str">
        <f>IFERROR(VLOOKUP(C962,Sheet4!A962:F1749,6,0),"")</f>
        <v/>
      </c>
      <c r="Q962" s="2" t="str">
        <f t="shared" si="1"/>
        <v>22</v>
      </c>
    </row>
    <row r="963">
      <c r="A963" s="3" t="str">
        <f>IFERROR(__xludf.DUMMYFUNCTION("""COMPUTED_VALUE"""),"PM")</f>
        <v>PM</v>
      </c>
      <c r="B963" s="3" t="str">
        <f>IFERROR(__xludf.DUMMYFUNCTION("""COMPUTED_VALUE"""),"P2")</f>
        <v>P2</v>
      </c>
      <c r="C963" s="3" t="str">
        <f>IFERROR(__xludf.DUMMYFUNCTION("""COMPUTED_VALUE"""),"PRC")</f>
        <v>PRC</v>
      </c>
      <c r="D963" s="3" t="str">
        <f>IFERROR(__xludf.DUMMYFUNCTION("""COMPUTED_VALUE"""),"Riko setiadi")</f>
        <v>Riko setiadi</v>
      </c>
      <c r="E963" s="3" t="str">
        <f>IFERROR(__xludf.DUMMYFUNCTION("""COMPUTED_VALUE"""),"PM")</f>
        <v>PM</v>
      </c>
      <c r="F963" s="3" t="str">
        <f>IFERROR(__xludf.DUMMYFUNCTION("""COMPUTED_VALUE"""),"Winda Sokenda")</f>
        <v>Winda Sokenda</v>
      </c>
      <c r="G963" s="3" t="str">
        <f>IFERROR(__xludf.DUMMYFUNCTION("""COMPUTED_VALUE"""),"Barito Raya")</f>
        <v>Barito Raya</v>
      </c>
      <c r="H963" s="3" t="str">
        <f>IFERROR(__xludf.DUMMYFUNCTION("""COMPUTED_VALUE"""),"Preventive")</f>
        <v>Preventive</v>
      </c>
      <c r="I963" s="3" t="str">
        <f>IFERROR(__xludf.DUMMYFUNCTION("""COMPUTED_VALUE"""),"Preventive Maintenance")</f>
        <v>Preventive Maintenance</v>
      </c>
      <c r="J963" s="3" t="str">
        <f>IFERROR(__xludf.DUMMYFUNCTION("""COMPUTED_VALUE"""),"On Progress")</f>
        <v>On Progress</v>
      </c>
      <c r="K963" s="27">
        <f>IFERROR(__xludf.DUMMYFUNCTION("""COMPUTED_VALUE"""),46044.0)</f>
        <v>46044</v>
      </c>
      <c r="L963" s="27">
        <f>IFERROR(__xludf.DUMMYFUNCTION("""COMPUTED_VALUE"""),46044.0)</f>
        <v>46044</v>
      </c>
      <c r="M963" s="3" t="str">
        <f>IFERROR(__xludf.DUMMYFUNCTION("""COMPUTED_VALUE"""),"Done")</f>
        <v>Done</v>
      </c>
      <c r="N963" s="3"/>
      <c r="O963" s="3" t="str">
        <f>IFERROR(VLOOKUP(C963,Sheet4!A963:F1750,6,0),"")</f>
        <v/>
      </c>
      <c r="Q963" s="2" t="str">
        <f t="shared" si="1"/>
        <v>22</v>
      </c>
    </row>
    <row r="964">
      <c r="A964" s="3" t="str">
        <f>IFERROR(__xludf.DUMMYFUNCTION("""COMPUTED_VALUE"""),"Site Down")</f>
        <v>Site Down</v>
      </c>
      <c r="B964" s="3" t="str">
        <f>IFERROR(__xludf.DUMMYFUNCTION("""COMPUTED_VALUE"""),"P1")</f>
        <v>P1</v>
      </c>
      <c r="C964" s="3" t="str">
        <f>IFERROR(__xludf.DUMMYFUNCTION("""COMPUTED_VALUE"""),"KSN721")</f>
        <v>KSN721</v>
      </c>
      <c r="D964" s="3" t="str">
        <f>IFERROR(__xludf.DUMMYFUNCTION("""COMPUTED_VALUE"""),"Fahmi")</f>
        <v>Fahmi</v>
      </c>
      <c r="E964" s="3" t="str">
        <f>IFERROR(__xludf.DUMMYFUNCTION("""COMPUTED_VALUE"""),"TE")</f>
        <v>TE</v>
      </c>
      <c r="F964" s="3" t="str">
        <f>IFERROR(__xludf.DUMMYFUNCTION("""COMPUTED_VALUE"""),"Doni Damara")</f>
        <v>Doni Damara</v>
      </c>
      <c r="G964" s="3" t="str">
        <f>IFERROR(__xludf.DUMMYFUNCTION("""COMPUTED_VALUE"""),"Palangkaraya")</f>
        <v>Palangkaraya</v>
      </c>
      <c r="H964" s="3" t="str">
        <f>IFERROR(__xludf.DUMMYFUNCTION("""COMPUTED_VALUE"""),"Corrective")</f>
        <v>Corrective</v>
      </c>
      <c r="I964" s="3" t="str">
        <f>IFERROR(__xludf.DUMMYFUNCTION("""COMPUTED_VALUE"""),"Pemadaman,MCB Trip,Transmisi problem")</f>
        <v>Pemadaman,MCB Trip,Transmisi problem</v>
      </c>
      <c r="J964" s="3" t="str">
        <f>IFERROR(__xludf.DUMMYFUNCTION("""COMPUTED_VALUE"""),"On Progress")</f>
        <v>On Progress</v>
      </c>
      <c r="K964" s="27">
        <f>IFERROR(__xludf.DUMMYFUNCTION("""COMPUTED_VALUE"""),46044.0)</f>
        <v>46044</v>
      </c>
      <c r="L964" s="3"/>
      <c r="M964" s="3"/>
      <c r="N964" s="3"/>
      <c r="O964" s="3" t="str">
        <f>IFERROR(VLOOKUP(C964,Sheet4!A964:F1751,6,0),"")</f>
        <v/>
      </c>
      <c r="Q964" s="2" t="str">
        <f t="shared" si="1"/>
        <v>22</v>
      </c>
    </row>
    <row r="965">
      <c r="A965" s="3" t="str">
        <f>IFERROR(__xludf.DUMMYFUNCTION("""COMPUTED_VALUE"""),"Cell down")</f>
        <v>Cell down</v>
      </c>
      <c r="B965" s="3" t="str">
        <f>IFERROR(__xludf.DUMMYFUNCTION("""COMPUTED_VALUE"""),"P1")</f>
        <v>P1</v>
      </c>
      <c r="C965" s="3" t="str">
        <f>IFERROR(__xludf.DUMMYFUNCTION("""COMPUTED_VALUE"""),"COH979")</f>
        <v>COH979</v>
      </c>
      <c r="D965" s="3" t="str">
        <f>IFERROR(__xludf.DUMMYFUNCTION("""COMPUTED_VALUE"""),"Oky Bangkit Pamungkas")</f>
        <v>Oky Bangkit Pamungkas</v>
      </c>
      <c r="E965" s="3" t="str">
        <f>IFERROR(__xludf.DUMMYFUNCTION("""COMPUTED_VALUE"""),"TE")</f>
        <v>TE</v>
      </c>
      <c r="F965" s="3" t="str">
        <f>IFERROR(__xludf.DUMMYFUNCTION("""COMPUTED_VALUE"""),"Doni Damara")</f>
        <v>Doni Damara</v>
      </c>
      <c r="G965" s="3" t="str">
        <f>IFERROR(__xludf.DUMMYFUNCTION("""COMPUTED_VALUE"""),"Palangkaraya")</f>
        <v>Palangkaraya</v>
      </c>
      <c r="H965" s="3" t="str">
        <f>IFERROR(__xludf.DUMMYFUNCTION("""COMPUTED_VALUE"""),"Corrective")</f>
        <v>Corrective</v>
      </c>
      <c r="I965" s="3" t="str">
        <f>IFERROR(__xludf.DUMMYFUNCTION("""COMPUTED_VALUE"""),"Replace Optik,RRU/Soket Power/Replace GPS")</f>
        <v>Replace Optik,RRU/Soket Power/Replace GPS</v>
      </c>
      <c r="J965" s="3" t="str">
        <f>IFERROR(__xludf.DUMMYFUNCTION("""COMPUTED_VALUE"""),"On Progress")</f>
        <v>On Progress</v>
      </c>
      <c r="K965" s="27">
        <f>IFERROR(__xludf.DUMMYFUNCTION("""COMPUTED_VALUE"""),46044.0)</f>
        <v>46044</v>
      </c>
      <c r="L965" s="3"/>
      <c r="M965" s="3"/>
      <c r="N965" s="3"/>
      <c r="O965" s="3" t="str">
        <f>IFERROR(VLOOKUP(C965,Sheet4!A965:F1752,6,0),"")</f>
        <v/>
      </c>
      <c r="Q965" s="2" t="str">
        <f t="shared" si="1"/>
        <v>22</v>
      </c>
    </row>
    <row r="966">
      <c r="A966" s="3" t="str">
        <f>IFERROR(__xludf.DUMMYFUNCTION("""COMPUTED_VALUE"""),"Cell down")</f>
        <v>Cell down</v>
      </c>
      <c r="B966" s="3" t="str">
        <f>IFERROR(__xludf.DUMMYFUNCTION("""COMPUTED_VALUE"""),"P1")</f>
        <v>P1</v>
      </c>
      <c r="C966" s="3" t="str">
        <f>IFERROR(__xludf.DUMMYFUNCTION("""COMPUTED_VALUE"""),"COH979")</f>
        <v>COH979</v>
      </c>
      <c r="D966" s="3" t="str">
        <f>IFERROR(__xludf.DUMMYFUNCTION("""COMPUTED_VALUE"""),"james jimbris")</f>
        <v>james jimbris</v>
      </c>
      <c r="E966" s="3" t="str">
        <f>IFERROR(__xludf.DUMMYFUNCTION("""COMPUTED_VALUE"""),"TE")</f>
        <v>TE</v>
      </c>
      <c r="F966" s="3" t="str">
        <f>IFERROR(__xludf.DUMMYFUNCTION("""COMPUTED_VALUE"""),"Doni Damara")</f>
        <v>Doni Damara</v>
      </c>
      <c r="G966" s="3" t="str">
        <f>IFERROR(__xludf.DUMMYFUNCTION("""COMPUTED_VALUE"""),"Palangkaraya")</f>
        <v>Palangkaraya</v>
      </c>
      <c r="H966" s="3" t="str">
        <f>IFERROR(__xludf.DUMMYFUNCTION("""COMPUTED_VALUE"""),"Corrective")</f>
        <v>Corrective</v>
      </c>
      <c r="I966" s="3" t="str">
        <f>IFERROR(__xludf.DUMMYFUNCTION("""COMPUTED_VALUE"""),"Replace Optik,RRU/Soket Power/Replace GPS")</f>
        <v>Replace Optik,RRU/Soket Power/Replace GPS</v>
      </c>
      <c r="J966" s="3" t="str">
        <f>IFERROR(__xludf.DUMMYFUNCTION("""COMPUTED_VALUE"""),"On Progress")</f>
        <v>On Progress</v>
      </c>
      <c r="K966" s="27">
        <f>IFERROR(__xludf.DUMMYFUNCTION("""COMPUTED_VALUE"""),46044.0)</f>
        <v>46044</v>
      </c>
      <c r="L966" s="3"/>
      <c r="M966" s="3"/>
      <c r="N966" s="3"/>
      <c r="O966" s="3" t="str">
        <f>IFERROR(VLOOKUP(C966,Sheet4!A966:F1753,6,0),"")</f>
        <v/>
      </c>
      <c r="Q966" s="2" t="str">
        <f t="shared" si="1"/>
        <v>22</v>
      </c>
    </row>
    <row r="967">
      <c r="A967" s="3" t="str">
        <f>IFERROR(__xludf.DUMMYFUNCTION("""COMPUTED_VALUE"""),"Cell down")</f>
        <v>Cell down</v>
      </c>
      <c r="B967" s="3" t="str">
        <f>IFERROR(__xludf.DUMMYFUNCTION("""COMPUTED_VALUE"""),"P1")</f>
        <v>P1</v>
      </c>
      <c r="C967" s="3" t="str">
        <f>IFERROR(__xludf.DUMMYFUNCTION("""COMPUTED_VALUE"""),"COH944")</f>
        <v>COH944</v>
      </c>
      <c r="D967" s="3" t="str">
        <f>IFERROR(__xludf.DUMMYFUNCTION("""COMPUTED_VALUE"""),"Adi Bowo Santoso")</f>
        <v>Adi Bowo Santoso</v>
      </c>
      <c r="E967" s="3" t="str">
        <f>IFERROR(__xludf.DUMMYFUNCTION("""COMPUTED_VALUE"""),"TE")</f>
        <v>TE</v>
      </c>
      <c r="F967" s="3" t="str">
        <f>IFERROR(__xludf.DUMMYFUNCTION("""COMPUTED_VALUE"""),"Doni Damara")</f>
        <v>Doni Damara</v>
      </c>
      <c r="G967" s="3" t="str">
        <f>IFERROR(__xludf.DUMMYFUNCTION("""COMPUTED_VALUE"""),"Palangkaraya")</f>
        <v>Palangkaraya</v>
      </c>
      <c r="H967" s="3" t="str">
        <f>IFERROR(__xludf.DUMMYFUNCTION("""COMPUTED_VALUE"""),"Corrective")</f>
        <v>Corrective</v>
      </c>
      <c r="I967" s="3" t="str">
        <f>IFERROR(__xludf.DUMMYFUNCTION("""COMPUTED_VALUE"""),"Replace Optik,RRU/Soket Power/Replace GPS")</f>
        <v>Replace Optik,RRU/Soket Power/Replace GPS</v>
      </c>
      <c r="J967" s="3" t="str">
        <f>IFERROR(__xludf.DUMMYFUNCTION("""COMPUTED_VALUE"""),"On Progress")</f>
        <v>On Progress</v>
      </c>
      <c r="K967" s="27">
        <f>IFERROR(__xludf.DUMMYFUNCTION("""COMPUTED_VALUE"""),46044.0)</f>
        <v>46044</v>
      </c>
      <c r="L967" s="3"/>
      <c r="M967" s="3"/>
      <c r="N967" s="3"/>
      <c r="O967" s="3" t="str">
        <f>IFERROR(VLOOKUP(C967,Sheet4!A967:F1754,6,0),"")</f>
        <v/>
      </c>
      <c r="Q967" s="2" t="str">
        <f t="shared" si="1"/>
        <v>22</v>
      </c>
    </row>
    <row r="968">
      <c r="A968" s="3" t="str">
        <f>IFERROR(__xludf.DUMMYFUNCTION("""COMPUTED_VALUE"""),"Cell down")</f>
        <v>Cell down</v>
      </c>
      <c r="B968" s="3" t="str">
        <f>IFERROR(__xludf.DUMMYFUNCTION("""COMPUTED_VALUE"""),"P1")</f>
        <v>P1</v>
      </c>
      <c r="C968" s="3" t="str">
        <f>IFERROR(__xludf.DUMMYFUNCTION("""COMPUTED_VALUE"""),"SPT147")</f>
        <v>SPT147</v>
      </c>
      <c r="D968" s="3" t="str">
        <f>IFERROR(__xludf.DUMMYFUNCTION("""COMPUTED_VALUE"""),"Yahya Muhamad")</f>
        <v>Yahya Muhamad</v>
      </c>
      <c r="E968" s="3" t="str">
        <f>IFERROR(__xludf.DUMMYFUNCTION("""COMPUTED_VALUE"""),"TE")</f>
        <v>TE</v>
      </c>
      <c r="F968" s="3" t="str">
        <f>IFERROR(__xludf.DUMMYFUNCTION("""COMPUTED_VALUE"""),"Doni Damara")</f>
        <v>Doni Damara</v>
      </c>
      <c r="G968" s="3" t="str">
        <f>IFERROR(__xludf.DUMMYFUNCTION("""COMPUTED_VALUE"""),"Palangkaraya")</f>
        <v>Palangkaraya</v>
      </c>
      <c r="H968" s="3" t="str">
        <f>IFERROR(__xludf.DUMMYFUNCTION("""COMPUTED_VALUE"""),"Corrective")</f>
        <v>Corrective</v>
      </c>
      <c r="I968" s="3" t="str">
        <f>IFERROR(__xludf.DUMMYFUNCTION("""COMPUTED_VALUE"""),"Replace Optik,RRU/Soket Power/Replace GPS")</f>
        <v>Replace Optik,RRU/Soket Power/Replace GPS</v>
      </c>
      <c r="J968" s="3" t="str">
        <f>IFERROR(__xludf.DUMMYFUNCTION("""COMPUTED_VALUE"""),"On Progress")</f>
        <v>On Progress</v>
      </c>
      <c r="K968" s="27">
        <f>IFERROR(__xludf.DUMMYFUNCTION("""COMPUTED_VALUE"""),46044.0)</f>
        <v>46044</v>
      </c>
      <c r="L968" s="3"/>
      <c r="M968" s="3"/>
      <c r="N968" s="3"/>
      <c r="O968" s="3" t="str">
        <f>IFERROR(VLOOKUP(C968,Sheet4!A968:F1755,6,0),"")</f>
        <v/>
      </c>
      <c r="Q968" s="2" t="str">
        <f t="shared" si="1"/>
        <v>22</v>
      </c>
    </row>
    <row r="969">
      <c r="A969" s="3" t="str">
        <f>IFERROR(__xludf.DUMMYFUNCTION("""COMPUTED_VALUE"""),"Site Down")</f>
        <v>Site Down</v>
      </c>
      <c r="B969" s="3" t="str">
        <f>IFERROR(__xludf.DUMMYFUNCTION("""COMPUTED_VALUE"""),"P1")</f>
        <v>P1</v>
      </c>
      <c r="C969" s="3" t="str">
        <f>IFERROR(__xludf.DUMMYFUNCTION("""COMPUTED_VALUE"""),"PPS277")</f>
        <v>PPS277</v>
      </c>
      <c r="D969" s="3" t="str">
        <f>IFERROR(__xludf.DUMMYFUNCTION("""COMPUTED_VALUE"""),"Muhamad Rayhan")</f>
        <v>Muhamad Rayhan</v>
      </c>
      <c r="E969" s="3" t="str">
        <f>IFERROR(__xludf.DUMMYFUNCTION("""COMPUTED_VALUE"""),"TE")</f>
        <v>TE</v>
      </c>
      <c r="F969" s="3" t="str">
        <f>IFERROR(__xludf.DUMMYFUNCTION("""COMPUTED_VALUE"""),"Doni Damara")</f>
        <v>Doni Damara</v>
      </c>
      <c r="G969" s="3" t="str">
        <f>IFERROR(__xludf.DUMMYFUNCTION("""COMPUTED_VALUE"""),"Palangkaraya")</f>
        <v>Palangkaraya</v>
      </c>
      <c r="H969" s="3" t="str">
        <f>IFERROR(__xludf.DUMMYFUNCTION("""COMPUTED_VALUE"""),"Corrective")</f>
        <v>Corrective</v>
      </c>
      <c r="I969" s="3" t="str">
        <f>IFERROR(__xludf.DUMMYFUNCTION("""COMPUTED_VALUE"""),"Pemadaman,MCB Trip,Transmisi problem")</f>
        <v>Pemadaman,MCB Trip,Transmisi problem</v>
      </c>
      <c r="J969" s="3" t="str">
        <f>IFERROR(__xludf.DUMMYFUNCTION("""COMPUTED_VALUE"""),"On Progress")</f>
        <v>On Progress</v>
      </c>
      <c r="K969" s="27">
        <f>IFERROR(__xludf.DUMMYFUNCTION("""COMPUTED_VALUE"""),46044.0)</f>
        <v>46044</v>
      </c>
      <c r="L969" s="3"/>
      <c r="M969" s="3"/>
      <c r="N969" s="3"/>
      <c r="O969" s="3" t="str">
        <f>IFERROR(VLOOKUP(C969,Sheet4!A969:F1756,6,0),"")</f>
        <v/>
      </c>
      <c r="Q969" s="2" t="str">
        <f t="shared" si="1"/>
        <v>22</v>
      </c>
    </row>
    <row r="970">
      <c r="A970" s="3" t="str">
        <f>IFERROR(__xludf.DUMMYFUNCTION("""COMPUTED_VALUE"""),"Cell down")</f>
        <v>Cell down</v>
      </c>
      <c r="B970" s="3" t="str">
        <f>IFERROR(__xludf.DUMMYFUNCTION("""COMPUTED_VALUE"""),"P1")</f>
        <v>P1</v>
      </c>
      <c r="C970" s="3" t="str">
        <f>IFERROR(__xludf.DUMMYFUNCTION("""COMPUTED_VALUE"""),"NTH250")</f>
        <v>NTH250</v>
      </c>
      <c r="D970" s="3" t="str">
        <f>IFERROR(__xludf.DUMMYFUNCTION("""COMPUTED_VALUE"""),"Leonard")</f>
        <v>Leonard</v>
      </c>
      <c r="E970" s="3" t="str">
        <f>IFERROR(__xludf.DUMMYFUNCTION("""COMPUTED_VALUE"""),"TE")</f>
        <v>TE</v>
      </c>
      <c r="F970" s="3" t="str">
        <f>IFERROR(__xludf.DUMMYFUNCTION("""COMPUTED_VALUE"""),"Doni Damara")</f>
        <v>Doni Damara</v>
      </c>
      <c r="G970" s="3" t="str">
        <f>IFERROR(__xludf.DUMMYFUNCTION("""COMPUTED_VALUE"""),"Palangkaraya")</f>
        <v>Palangkaraya</v>
      </c>
      <c r="H970" s="3" t="str">
        <f>IFERROR(__xludf.DUMMYFUNCTION("""COMPUTED_VALUE"""),"Corrective")</f>
        <v>Corrective</v>
      </c>
      <c r="I970" s="3" t="str">
        <f>IFERROR(__xludf.DUMMYFUNCTION("""COMPUTED_VALUE"""),"Replace Optik,RRU/Soket Power/Replace GPS")</f>
        <v>Replace Optik,RRU/Soket Power/Replace GPS</v>
      </c>
      <c r="J970" s="3" t="str">
        <f>IFERROR(__xludf.DUMMYFUNCTION("""COMPUTED_VALUE"""),"On Progress")</f>
        <v>On Progress</v>
      </c>
      <c r="K970" s="27">
        <f>IFERROR(__xludf.DUMMYFUNCTION("""COMPUTED_VALUE"""),46044.0)</f>
        <v>46044</v>
      </c>
      <c r="L970" s="3"/>
      <c r="M970" s="3"/>
      <c r="N970" s="3"/>
      <c r="O970" s="3" t="str">
        <f>IFERROR(VLOOKUP(C970,Sheet4!A970:F1757,6,0),"")</f>
        <v/>
      </c>
      <c r="Q970" s="2" t="str">
        <f t="shared" si="1"/>
        <v>22</v>
      </c>
    </row>
    <row r="971">
      <c r="A971" s="3" t="str">
        <f>IFERROR(__xludf.DUMMYFUNCTION("""COMPUTED_VALUE"""),"Cell down")</f>
        <v>Cell down</v>
      </c>
      <c r="B971" s="3" t="str">
        <f>IFERROR(__xludf.DUMMYFUNCTION("""COMPUTED_VALUE"""),"P1")</f>
        <v>P1</v>
      </c>
      <c r="C971" s="3" t="str">
        <f>IFERROR(__xludf.DUMMYFUNCTION("""COMPUTED_VALUE"""),"NTH250")</f>
        <v>NTH250</v>
      </c>
      <c r="D971" s="3" t="str">
        <f>IFERROR(__xludf.DUMMYFUNCTION("""COMPUTED_VALUE"""),"Aulia Rahman")</f>
        <v>Aulia Rahman</v>
      </c>
      <c r="E971" s="3" t="str">
        <f>IFERROR(__xludf.DUMMYFUNCTION("""COMPUTED_VALUE"""),"TE")</f>
        <v>TE</v>
      </c>
      <c r="F971" s="3" t="str">
        <f>IFERROR(__xludf.DUMMYFUNCTION("""COMPUTED_VALUE"""),"Doni Damara")</f>
        <v>Doni Damara</v>
      </c>
      <c r="G971" s="3" t="str">
        <f>IFERROR(__xludf.DUMMYFUNCTION("""COMPUTED_VALUE"""),"Palangkaraya")</f>
        <v>Palangkaraya</v>
      </c>
      <c r="H971" s="3" t="str">
        <f>IFERROR(__xludf.DUMMYFUNCTION("""COMPUTED_VALUE"""),"Corrective")</f>
        <v>Corrective</v>
      </c>
      <c r="I971" s="3" t="str">
        <f>IFERROR(__xludf.DUMMYFUNCTION("""COMPUTED_VALUE"""),"Replace Optik,RRU/Soket Power/Replace GPS")</f>
        <v>Replace Optik,RRU/Soket Power/Replace GPS</v>
      </c>
      <c r="J971" s="3" t="str">
        <f>IFERROR(__xludf.DUMMYFUNCTION("""COMPUTED_VALUE"""),"On Progress")</f>
        <v>On Progress</v>
      </c>
      <c r="K971" s="27">
        <f>IFERROR(__xludf.DUMMYFUNCTION("""COMPUTED_VALUE"""),46044.0)</f>
        <v>46044</v>
      </c>
      <c r="L971" s="3"/>
      <c r="M971" s="3"/>
      <c r="N971" s="3"/>
      <c r="O971" s="3" t="str">
        <f>IFERROR(VLOOKUP(C971,Sheet4!A971:F1758,6,0),"")</f>
        <v/>
      </c>
      <c r="Q971" s="2" t="str">
        <f t="shared" si="1"/>
        <v>22</v>
      </c>
    </row>
    <row r="972">
      <c r="A972" s="3" t="str">
        <f>IFERROR(__xludf.DUMMYFUNCTION("""COMPUTED_VALUE"""),"Vswr")</f>
        <v>Vswr</v>
      </c>
      <c r="B972" s="3" t="str">
        <f>IFERROR(__xludf.DUMMYFUNCTION("""COMPUTED_VALUE"""),"P1")</f>
        <v>P1</v>
      </c>
      <c r="C972" s="3" t="str">
        <f>IFERROR(__xludf.DUMMYFUNCTION("""COMPUTED_VALUE"""),"KSN019")</f>
        <v>KSN019</v>
      </c>
      <c r="D972" s="3" t="str">
        <f>IFERROR(__xludf.DUMMYFUNCTION("""COMPUTED_VALUE"""),"Muhammad Mukhlis")</f>
        <v>Muhammad Mukhlis</v>
      </c>
      <c r="E972" s="3" t="str">
        <f>IFERROR(__xludf.DUMMYFUNCTION("""COMPUTED_VALUE"""),"TE")</f>
        <v>TE</v>
      </c>
      <c r="F972" s="3" t="str">
        <f>IFERROR(__xludf.DUMMYFUNCTION("""COMPUTED_VALUE"""),"Doni Damara")</f>
        <v>Doni Damara</v>
      </c>
      <c r="G972" s="3" t="str">
        <f>IFERROR(__xludf.DUMMYFUNCTION("""COMPUTED_VALUE"""),"Palangkaraya")</f>
        <v>Palangkaraya</v>
      </c>
      <c r="H972" s="3" t="str">
        <f>IFERROR(__xludf.DUMMYFUNCTION("""COMPUTED_VALUE"""),"Corrective")</f>
        <v>Corrective</v>
      </c>
      <c r="I972" s="3" t="str">
        <f>IFERROR(__xludf.DUMMYFUNCTION("""COMPUTED_VALUE"""),"Replace Jumper,antena/RRU")</f>
        <v>Replace Jumper,antena/RRU</v>
      </c>
      <c r="J972" s="3" t="str">
        <f>IFERROR(__xludf.DUMMYFUNCTION("""COMPUTED_VALUE"""),"On Progress")</f>
        <v>On Progress</v>
      </c>
      <c r="K972" s="27">
        <f>IFERROR(__xludf.DUMMYFUNCTION("""COMPUTED_VALUE"""),46044.0)</f>
        <v>46044</v>
      </c>
      <c r="L972" s="3"/>
      <c r="M972" s="3"/>
      <c r="N972" s="3"/>
      <c r="O972" s="3" t="str">
        <f>IFERROR(VLOOKUP(C972,Sheet4!A972:F1759,6,0),"")</f>
        <v/>
      </c>
      <c r="Q972" s="2" t="str">
        <f t="shared" si="1"/>
        <v>22</v>
      </c>
    </row>
    <row r="973">
      <c r="A973" s="3" t="str">
        <f>IFERROR(__xludf.DUMMYFUNCTION("""COMPUTED_VALUE"""),"Site Down")</f>
        <v>Site Down</v>
      </c>
      <c r="B973" s="3" t="str">
        <f>IFERROR(__xludf.DUMMYFUNCTION("""COMPUTED_VALUE"""),"P1")</f>
        <v>P1</v>
      </c>
      <c r="C973" s="3" t="str">
        <f>IFERROR(__xludf.DUMMYFUNCTION("""COMPUTED_VALUE"""),"KSN356")</f>
        <v>KSN356</v>
      </c>
      <c r="D973" s="3" t="str">
        <f>IFERROR(__xludf.DUMMYFUNCTION("""COMPUTED_VALUE"""),"Muhammad Mukti")</f>
        <v>Muhammad Mukti</v>
      </c>
      <c r="E973" s="3" t="str">
        <f>IFERROR(__xludf.DUMMYFUNCTION("""COMPUTED_VALUE"""),"TE")</f>
        <v>TE</v>
      </c>
      <c r="F973" s="3" t="str">
        <f>IFERROR(__xludf.DUMMYFUNCTION("""COMPUTED_VALUE"""),"Doni Damara")</f>
        <v>Doni Damara</v>
      </c>
      <c r="G973" s="3" t="str">
        <f>IFERROR(__xludf.DUMMYFUNCTION("""COMPUTED_VALUE"""),"Palangkaraya")</f>
        <v>Palangkaraya</v>
      </c>
      <c r="H973" s="3" t="str">
        <f>IFERROR(__xludf.DUMMYFUNCTION("""COMPUTED_VALUE"""),"Corrective")</f>
        <v>Corrective</v>
      </c>
      <c r="I973" s="3" t="str">
        <f>IFERROR(__xludf.DUMMYFUNCTION("""COMPUTED_VALUE"""),"Pemadaman,MCB Trip,Transmisi problem")</f>
        <v>Pemadaman,MCB Trip,Transmisi problem</v>
      </c>
      <c r="J973" s="3" t="str">
        <f>IFERROR(__xludf.DUMMYFUNCTION("""COMPUTED_VALUE"""),"On Progress")</f>
        <v>On Progress</v>
      </c>
      <c r="K973" s="27">
        <f>IFERROR(__xludf.DUMMYFUNCTION("""COMPUTED_VALUE"""),46044.0)</f>
        <v>46044</v>
      </c>
      <c r="L973" s="3"/>
      <c r="M973" s="3"/>
      <c r="N973" s="3"/>
      <c r="O973" s="3" t="str">
        <f>IFERROR(VLOOKUP(C973,Sheet4!A973:F1760,6,0),"")</f>
        <v/>
      </c>
      <c r="Q973" s="2" t="str">
        <f t="shared" si="1"/>
        <v>22</v>
      </c>
    </row>
    <row r="974">
      <c r="A974" s="3" t="str">
        <f>IFERROR(__xludf.DUMMYFUNCTION("""COMPUTED_VALUE"""),"Standby On Call")</f>
        <v>Standby On Call</v>
      </c>
      <c r="B974" s="3" t="str">
        <f>IFERROR(__xludf.DUMMYFUNCTION("""COMPUTED_VALUE"""),"P3")</f>
        <v>P3</v>
      </c>
      <c r="C974" s="3"/>
      <c r="D974" s="3" t="str">
        <f>IFERROR(__xludf.DUMMYFUNCTION("""COMPUTED_VALUE"""),"melky.O.Tulangow")</f>
        <v>melky.O.Tulangow</v>
      </c>
      <c r="E974" s="3" t="str">
        <f>IFERROR(__xludf.DUMMYFUNCTION("""COMPUTED_VALUE"""),"TE")</f>
        <v>TE</v>
      </c>
      <c r="F974" s="3" t="str">
        <f>IFERROR(__xludf.DUMMYFUNCTION("""COMPUTED_VALUE"""),"Doni Damara")</f>
        <v>Doni Damara</v>
      </c>
      <c r="G974" s="3" t="str">
        <f>IFERROR(__xludf.DUMMYFUNCTION("""COMPUTED_VALUE"""),"Palangkaraya")</f>
        <v>Palangkaraya</v>
      </c>
      <c r="H974" s="3" t="str">
        <f>IFERROR(__xludf.DUMMYFUNCTION("""COMPUTED_VALUE"""),"Standby")</f>
        <v>Standby</v>
      </c>
      <c r="I974" s="3" t="str">
        <f>IFERROR(__xludf.DUMMYFUNCTION("""COMPUTED_VALUE"""),"Standby On Call")</f>
        <v>Standby On Call</v>
      </c>
      <c r="J974" s="3" t="str">
        <f>IFERROR(__xludf.DUMMYFUNCTION("""COMPUTED_VALUE"""),"Standby")</f>
        <v>Standby</v>
      </c>
      <c r="K974" s="27">
        <f>IFERROR(__xludf.DUMMYFUNCTION("""COMPUTED_VALUE"""),46044.0)</f>
        <v>46044</v>
      </c>
      <c r="L974" s="3"/>
      <c r="M974" s="3"/>
      <c r="N974" s="3"/>
      <c r="O974" s="3" t="str">
        <f>IFERROR(VLOOKUP(C974,Sheet4!A974:F1761,6,0),"")</f>
        <v/>
      </c>
      <c r="Q974" s="2" t="str">
        <f t="shared" si="1"/>
        <v>22</v>
      </c>
    </row>
    <row r="975">
      <c r="A975" s="3" t="str">
        <f>IFERROR(__xludf.DUMMYFUNCTION("""COMPUTED_VALUE"""),"PM")</f>
        <v>PM</v>
      </c>
      <c r="B975" s="3" t="str">
        <f>IFERROR(__xludf.DUMMYFUNCTION("""COMPUTED_VALUE"""),"P2")</f>
        <v>P2</v>
      </c>
      <c r="C975" s="3" t="str">
        <f>IFERROR(__xludf.DUMMYFUNCTION("""COMPUTED_VALUE"""),"KKN062")</f>
        <v>KKN062</v>
      </c>
      <c r="D975" s="3" t="str">
        <f>IFERROR(__xludf.DUMMYFUNCTION("""COMPUTED_VALUE"""),"Indra")</f>
        <v>Indra</v>
      </c>
      <c r="E975" s="3" t="str">
        <f>IFERROR(__xludf.DUMMYFUNCTION("""COMPUTED_VALUE"""),"PM")</f>
        <v>PM</v>
      </c>
      <c r="F975" s="3" t="str">
        <f>IFERROR(__xludf.DUMMYFUNCTION("""COMPUTED_VALUE"""),"Doni Damara")</f>
        <v>Doni Damara</v>
      </c>
      <c r="G975" s="3" t="str">
        <f>IFERROR(__xludf.DUMMYFUNCTION("""COMPUTED_VALUE"""),"Palangkaraya")</f>
        <v>Palangkaraya</v>
      </c>
      <c r="H975" s="3" t="str">
        <f>IFERROR(__xludf.DUMMYFUNCTION("""COMPUTED_VALUE"""),"Preventive")</f>
        <v>Preventive</v>
      </c>
      <c r="I975" s="3" t="str">
        <f>IFERROR(__xludf.DUMMYFUNCTION("""COMPUTED_VALUE"""),"Preventive Maintenance")</f>
        <v>Preventive Maintenance</v>
      </c>
      <c r="J975" s="3" t="str">
        <f>IFERROR(__xludf.DUMMYFUNCTION("""COMPUTED_VALUE"""),"On Progress")</f>
        <v>On Progress</v>
      </c>
      <c r="K975" s="27">
        <f>IFERROR(__xludf.DUMMYFUNCTION("""COMPUTED_VALUE"""),46044.0)</f>
        <v>46044</v>
      </c>
      <c r="L975" s="3"/>
      <c r="M975" s="3"/>
      <c r="N975" s="3"/>
      <c r="O975" s="3" t="str">
        <f>IFERROR(VLOOKUP(C975,Sheet4!A975:F1762,6,0),"")</f>
        <v/>
      </c>
      <c r="Q975" s="2" t="str">
        <f t="shared" si="1"/>
        <v>22</v>
      </c>
    </row>
    <row r="976">
      <c r="A976" s="3" t="str">
        <f>IFERROR(__xludf.DUMMYFUNCTION("""COMPUTED_VALUE"""),"PM")</f>
        <v>PM</v>
      </c>
      <c r="B976" s="3" t="str">
        <f>IFERROR(__xludf.DUMMYFUNCTION("""COMPUTED_VALUE"""),"P2")</f>
        <v>P2</v>
      </c>
      <c r="C976" s="3" t="str">
        <f>IFERROR(__xludf.DUMMYFUNCTION("""COMPUTED_VALUE"""),"KSN021")</f>
        <v>KSN021</v>
      </c>
      <c r="D976" s="3" t="str">
        <f>IFERROR(__xludf.DUMMYFUNCTION("""COMPUTED_VALUE"""),"Darli")</f>
        <v>Darli</v>
      </c>
      <c r="E976" s="3" t="str">
        <f>IFERROR(__xludf.DUMMYFUNCTION("""COMPUTED_VALUE"""),"PM")</f>
        <v>PM</v>
      </c>
      <c r="F976" s="3" t="str">
        <f>IFERROR(__xludf.DUMMYFUNCTION("""COMPUTED_VALUE"""),"Doni Damara")</f>
        <v>Doni Damara</v>
      </c>
      <c r="G976" s="3" t="str">
        <f>IFERROR(__xludf.DUMMYFUNCTION("""COMPUTED_VALUE"""),"Palangkaraya")</f>
        <v>Palangkaraya</v>
      </c>
      <c r="H976" s="3" t="str">
        <f>IFERROR(__xludf.DUMMYFUNCTION("""COMPUTED_VALUE"""),"Preventive")</f>
        <v>Preventive</v>
      </c>
      <c r="I976" s="3" t="str">
        <f>IFERROR(__xludf.DUMMYFUNCTION("""COMPUTED_VALUE"""),"Preventive Maintenance")</f>
        <v>Preventive Maintenance</v>
      </c>
      <c r="J976" s="3" t="str">
        <f>IFERROR(__xludf.DUMMYFUNCTION("""COMPUTED_VALUE"""),"On Progress")</f>
        <v>On Progress</v>
      </c>
      <c r="K976" s="27">
        <f>IFERROR(__xludf.DUMMYFUNCTION("""COMPUTED_VALUE"""),46044.0)</f>
        <v>46044</v>
      </c>
      <c r="L976" s="3"/>
      <c r="M976" s="3"/>
      <c r="N976" s="3"/>
      <c r="O976" s="3" t="str">
        <f>IFERROR(VLOOKUP(C976,Sheet4!A976:F1763,6,0),"")</f>
        <v/>
      </c>
      <c r="Q976" s="2" t="str">
        <f t="shared" si="1"/>
        <v>22</v>
      </c>
    </row>
    <row r="977">
      <c r="A977" s="3" t="str">
        <f>IFERROR(__xludf.DUMMYFUNCTION("""COMPUTED_VALUE"""),"Site Down")</f>
        <v>Site Down</v>
      </c>
      <c r="B977" s="3" t="str">
        <f>IFERROR(__xludf.DUMMYFUNCTION("""COMPUTED_VALUE"""),"P1")</f>
        <v>P1</v>
      </c>
      <c r="C977" s="3" t="str">
        <f>IFERROR(__xludf.DUMMYFUNCTION("""COMPUTED_VALUE"""),"PLK171")</f>
        <v>PLK171</v>
      </c>
      <c r="D977" s="3" t="str">
        <f>IFERROR(__xludf.DUMMYFUNCTION("""COMPUTED_VALUE"""),"Sarwono")</f>
        <v>Sarwono</v>
      </c>
      <c r="E977" s="3" t="str">
        <f>IFERROR(__xludf.DUMMYFUNCTION("""COMPUTED_VALUE"""),"CME")</f>
        <v>CME</v>
      </c>
      <c r="F977" s="3" t="str">
        <f>IFERROR(__xludf.DUMMYFUNCTION("""COMPUTED_VALUE"""),"Doni Damara")</f>
        <v>Doni Damara</v>
      </c>
      <c r="G977" s="3" t="str">
        <f>IFERROR(__xludf.DUMMYFUNCTION("""COMPUTED_VALUE"""),"Palangkaraya")</f>
        <v>Palangkaraya</v>
      </c>
      <c r="H977" s="3" t="str">
        <f>IFERROR(__xludf.DUMMYFUNCTION("""COMPUTED_VALUE"""),"Corrective")</f>
        <v>Corrective</v>
      </c>
      <c r="I977" s="3" t="str">
        <f>IFERROR(__xludf.DUMMYFUNCTION("""COMPUTED_VALUE"""),"Pemadaman,MCB Trip,Transmisi problem")</f>
        <v>Pemadaman,MCB Trip,Transmisi problem</v>
      </c>
      <c r="J977" s="3" t="str">
        <f>IFERROR(__xludf.DUMMYFUNCTION("""COMPUTED_VALUE"""),"On Progress")</f>
        <v>On Progress</v>
      </c>
      <c r="K977" s="27">
        <f>IFERROR(__xludf.DUMMYFUNCTION("""COMPUTED_VALUE"""),46044.0)</f>
        <v>46044</v>
      </c>
      <c r="L977" s="3"/>
      <c r="M977" s="3"/>
      <c r="N977" s="3"/>
      <c r="O977" s="3" t="str">
        <f>IFERROR(VLOOKUP(C977,Sheet4!A977:F1764,6,0),"")</f>
        <v/>
      </c>
      <c r="Q977" s="2" t="str">
        <f t="shared" si="1"/>
        <v>22</v>
      </c>
    </row>
    <row r="978">
      <c r="A978" s="3" t="str">
        <f>IFERROR(__xludf.DUMMYFUNCTION("""COMPUTED_VALUE"""),"Standby On Call")</f>
        <v>Standby On Call</v>
      </c>
      <c r="B978" s="3" t="str">
        <f>IFERROR(__xludf.DUMMYFUNCTION("""COMPUTED_VALUE"""),"P3")</f>
        <v>P3</v>
      </c>
      <c r="C978" s="3"/>
      <c r="D978" s="3" t="str">
        <f>IFERROR(__xludf.DUMMYFUNCTION("""COMPUTED_VALUE"""),"hory yusmanto")</f>
        <v>hory yusmanto</v>
      </c>
      <c r="E978" s="3" t="str">
        <f>IFERROR(__xludf.DUMMYFUNCTION("""COMPUTED_VALUE"""),"MBP")</f>
        <v>MBP</v>
      </c>
      <c r="F978" s="3" t="str">
        <f>IFERROR(__xludf.DUMMYFUNCTION("""COMPUTED_VALUE"""),"Doni Damara")</f>
        <v>Doni Damara</v>
      </c>
      <c r="G978" s="3" t="str">
        <f>IFERROR(__xludf.DUMMYFUNCTION("""COMPUTED_VALUE"""),"Palangkaraya")</f>
        <v>Palangkaraya</v>
      </c>
      <c r="H978" s="3" t="str">
        <f>IFERROR(__xludf.DUMMYFUNCTION("""COMPUTED_VALUE"""),"Standby")</f>
        <v>Standby</v>
      </c>
      <c r="I978" s="3" t="str">
        <f>IFERROR(__xludf.DUMMYFUNCTION("""COMPUTED_VALUE"""),"Standby On Call")</f>
        <v>Standby On Call</v>
      </c>
      <c r="J978" s="3" t="str">
        <f>IFERROR(__xludf.DUMMYFUNCTION("""COMPUTED_VALUE"""),"On Progress")</f>
        <v>On Progress</v>
      </c>
      <c r="K978" s="27">
        <f>IFERROR(__xludf.DUMMYFUNCTION("""COMPUTED_VALUE"""),46044.0)</f>
        <v>46044</v>
      </c>
      <c r="L978" s="3"/>
      <c r="M978" s="3"/>
      <c r="N978" s="3"/>
      <c r="O978" s="3" t="str">
        <f>IFERROR(VLOOKUP(C978,Sheet4!A978:F1765,6,0),"")</f>
        <v/>
      </c>
      <c r="Q978" s="2" t="str">
        <f t="shared" si="1"/>
        <v>22</v>
      </c>
    </row>
    <row r="979">
      <c r="A979" s="3" t="str">
        <f>IFERROR(__xludf.DUMMYFUNCTION("""COMPUTED_VALUE"""),"PM")</f>
        <v>PM</v>
      </c>
      <c r="B979" s="3" t="str">
        <f>IFERROR(__xludf.DUMMYFUNCTION("""COMPUTED_VALUE"""),"P2")</f>
        <v>P2</v>
      </c>
      <c r="C979" s="3" t="str">
        <f>IFERROR(__xludf.DUMMYFUNCTION("""COMPUTED_VALUE"""),"PPS009")</f>
        <v>PPS009</v>
      </c>
      <c r="D979" s="3" t="str">
        <f>IFERROR(__xludf.DUMMYFUNCTION("""COMPUTED_VALUE"""),"Agus muliana pamungkas")</f>
        <v>Agus muliana pamungkas</v>
      </c>
      <c r="E979" s="3" t="str">
        <f>IFERROR(__xludf.DUMMYFUNCTION("""COMPUTED_VALUE"""),"MBP")</f>
        <v>MBP</v>
      </c>
      <c r="F979" s="3" t="str">
        <f>IFERROR(__xludf.DUMMYFUNCTION("""COMPUTED_VALUE"""),"Doni Damara")</f>
        <v>Doni Damara</v>
      </c>
      <c r="G979" s="3" t="str">
        <f>IFERROR(__xludf.DUMMYFUNCTION("""COMPUTED_VALUE"""),"Palangkaraya")</f>
        <v>Palangkaraya</v>
      </c>
      <c r="H979" s="3" t="str">
        <f>IFERROR(__xludf.DUMMYFUNCTION("""COMPUTED_VALUE"""),"Preventive")</f>
        <v>Preventive</v>
      </c>
      <c r="I979" s="3" t="str">
        <f>IFERROR(__xludf.DUMMYFUNCTION("""COMPUTED_VALUE"""),"Preventive Maintenance")</f>
        <v>Preventive Maintenance</v>
      </c>
      <c r="J979" s="3" t="str">
        <f>IFERROR(__xludf.DUMMYFUNCTION("""COMPUTED_VALUE"""),"On Progress")</f>
        <v>On Progress</v>
      </c>
      <c r="K979" s="27">
        <f>IFERROR(__xludf.DUMMYFUNCTION("""COMPUTED_VALUE"""),46044.0)</f>
        <v>46044</v>
      </c>
      <c r="L979" s="3"/>
      <c r="M979" s="3"/>
      <c r="N979" s="3"/>
      <c r="O979" s="3" t="str">
        <f>IFERROR(VLOOKUP(C979,Sheet4!A979:F1766,6,0),"")</f>
        <v/>
      </c>
      <c r="Q979" s="2" t="str">
        <f t="shared" si="1"/>
        <v>22</v>
      </c>
    </row>
    <row r="980">
      <c r="A980" s="3" t="str">
        <f>IFERROR(__xludf.DUMMYFUNCTION("""COMPUTED_VALUE"""),"Pengecekan Power")</f>
        <v>Pengecekan Power</v>
      </c>
      <c r="B980" s="3" t="str">
        <f>IFERROR(__xludf.DUMMYFUNCTION("""COMPUTED_VALUE"""),"P1")</f>
        <v>P1</v>
      </c>
      <c r="C980" s="3" t="str">
        <f>IFERROR(__xludf.DUMMYFUNCTION("""COMPUTED_VALUE"""),"BNT086")</f>
        <v>BNT086</v>
      </c>
      <c r="D980" s="3" t="str">
        <f>IFERROR(__xludf.DUMMYFUNCTION("""COMPUTED_VALUE"""),"Putra wardana")</f>
        <v>Putra wardana</v>
      </c>
      <c r="E980" s="3" t="str">
        <f>IFERROR(__xludf.DUMMYFUNCTION("""COMPUTED_VALUE"""),"TE")</f>
        <v>TE</v>
      </c>
      <c r="F980" s="3" t="str">
        <f>IFERROR(__xludf.DUMMYFUNCTION("""COMPUTED_VALUE"""),"Winda Sokenda")</f>
        <v>Winda Sokenda</v>
      </c>
      <c r="G980" s="3" t="str">
        <f>IFERROR(__xludf.DUMMYFUNCTION("""COMPUTED_VALUE"""),"Barito Raya")</f>
        <v>Barito Raya</v>
      </c>
      <c r="H980" s="3" t="str">
        <f>IFERROR(__xludf.DUMMYFUNCTION("""COMPUTED_VALUE"""),"Preventive")</f>
        <v>Preventive</v>
      </c>
      <c r="I980" s="3" t="str">
        <f>IFERROR(__xludf.DUMMYFUNCTION("""COMPUTED_VALUE"""),"MCB trip/Power upnormal")</f>
        <v>MCB trip/Power upnormal</v>
      </c>
      <c r="J980" s="3" t="str">
        <f>IFERROR(__xludf.DUMMYFUNCTION("""COMPUTED_VALUE"""),"On Progress")</f>
        <v>On Progress</v>
      </c>
      <c r="K980" s="27">
        <f>IFERROR(__xludf.DUMMYFUNCTION("""COMPUTED_VALUE"""),46045.0)</f>
        <v>46045</v>
      </c>
      <c r="L980" s="27">
        <f>IFERROR(__xludf.DUMMYFUNCTION("""COMPUTED_VALUE"""),46045.0)</f>
        <v>46045</v>
      </c>
      <c r="M980" s="3" t="str">
        <f>IFERROR(__xludf.DUMMYFUNCTION("""COMPUTED_VALUE"""),"Done")</f>
        <v>Done</v>
      </c>
      <c r="N980" s="3"/>
      <c r="O980" s="3" t="str">
        <f>IFERROR(VLOOKUP(C980,Sheet4!A980:F1767,6,0),"")</f>
        <v/>
      </c>
      <c r="Q980" s="2" t="str">
        <f t="shared" si="1"/>
        <v>23</v>
      </c>
    </row>
    <row r="981">
      <c r="A981" s="3" t="str">
        <f>IFERROR(__xludf.DUMMYFUNCTION("""COMPUTED_VALUE"""),"Cell down")</f>
        <v>Cell down</v>
      </c>
      <c r="B981" s="3" t="str">
        <f>IFERROR(__xludf.DUMMYFUNCTION("""COMPUTED_VALUE"""),"P1")</f>
        <v>P1</v>
      </c>
      <c r="C981" s="3" t="str">
        <f>IFERROR(__xludf.DUMMYFUNCTION("""COMPUTED_VALUE"""),"BNT525")</f>
        <v>BNT525</v>
      </c>
      <c r="D981" s="3" t="str">
        <f>IFERROR(__xludf.DUMMYFUNCTION("""COMPUTED_VALUE"""),"Sailillah")</f>
        <v>Sailillah</v>
      </c>
      <c r="E981" s="3" t="str">
        <f>IFERROR(__xludf.DUMMYFUNCTION("""COMPUTED_VALUE"""),"TE")</f>
        <v>TE</v>
      </c>
      <c r="F981" s="3" t="str">
        <f>IFERROR(__xludf.DUMMYFUNCTION("""COMPUTED_VALUE"""),"Winda Sokenda")</f>
        <v>Winda Sokenda</v>
      </c>
      <c r="G981" s="3" t="str">
        <f>IFERROR(__xludf.DUMMYFUNCTION("""COMPUTED_VALUE"""),"Barito Raya")</f>
        <v>Barito Raya</v>
      </c>
      <c r="H981" s="3" t="str">
        <f>IFERROR(__xludf.DUMMYFUNCTION("""COMPUTED_VALUE"""),"Corrective")</f>
        <v>Corrective</v>
      </c>
      <c r="I981" s="3" t="str">
        <f>IFERROR(__xludf.DUMMYFUNCTION("""COMPUTED_VALUE"""),"Replace Optik,RRU/Soket Power/Replace GPS")</f>
        <v>Replace Optik,RRU/Soket Power/Replace GPS</v>
      </c>
      <c r="J981" s="3" t="str">
        <f>IFERROR(__xludf.DUMMYFUNCTION("""COMPUTED_VALUE"""),"On Progress")</f>
        <v>On Progress</v>
      </c>
      <c r="K981" s="27">
        <f>IFERROR(__xludf.DUMMYFUNCTION("""COMPUTED_VALUE"""),46045.0)</f>
        <v>46045</v>
      </c>
      <c r="L981" s="27">
        <f>IFERROR(__xludf.DUMMYFUNCTION("""COMPUTED_VALUE"""),46045.0)</f>
        <v>46045</v>
      </c>
      <c r="M981" s="3" t="str">
        <f>IFERROR(__xludf.DUMMYFUNCTION("""COMPUTED_VALUE"""),"Done")</f>
        <v>Done</v>
      </c>
      <c r="N981" s="3"/>
      <c r="O981" s="3" t="str">
        <f>IFERROR(VLOOKUP(C981,Sheet4!A981:F1768,6,0),"")</f>
        <v/>
      </c>
      <c r="Q981" s="2" t="str">
        <f t="shared" si="1"/>
        <v>23</v>
      </c>
    </row>
    <row r="982">
      <c r="A982" s="3" t="str">
        <f>IFERROR(__xludf.DUMMYFUNCTION("""COMPUTED_VALUE"""),"Cell down")</f>
        <v>Cell down</v>
      </c>
      <c r="B982" s="3" t="str">
        <f>IFERROR(__xludf.DUMMYFUNCTION("""COMPUTED_VALUE"""),"P1")</f>
        <v>P1</v>
      </c>
      <c r="C982" s="3" t="str">
        <f>IFERROR(__xludf.DUMMYFUNCTION("""COMPUTED_VALUE"""),"BNT525")</f>
        <v>BNT525</v>
      </c>
      <c r="D982" s="3" t="str">
        <f>IFERROR(__xludf.DUMMYFUNCTION("""COMPUTED_VALUE"""),"Tiviansyah")</f>
        <v>Tiviansyah</v>
      </c>
      <c r="E982" s="3" t="str">
        <f>IFERROR(__xludf.DUMMYFUNCTION("""COMPUTED_VALUE"""),"TE")</f>
        <v>TE</v>
      </c>
      <c r="F982" s="3" t="str">
        <f>IFERROR(__xludf.DUMMYFUNCTION("""COMPUTED_VALUE"""),"Winda Sokenda")</f>
        <v>Winda Sokenda</v>
      </c>
      <c r="G982" s="3" t="str">
        <f>IFERROR(__xludf.DUMMYFUNCTION("""COMPUTED_VALUE"""),"Barito Raya")</f>
        <v>Barito Raya</v>
      </c>
      <c r="H982" s="3" t="str">
        <f>IFERROR(__xludf.DUMMYFUNCTION("""COMPUTED_VALUE"""),"Corrective")</f>
        <v>Corrective</v>
      </c>
      <c r="I982" s="3" t="str">
        <f>IFERROR(__xludf.DUMMYFUNCTION("""COMPUTED_VALUE"""),"Replace Optik,RRU/Soket Power/Replace GPS")</f>
        <v>Replace Optik,RRU/Soket Power/Replace GPS</v>
      </c>
      <c r="J982" s="3" t="str">
        <f>IFERROR(__xludf.DUMMYFUNCTION("""COMPUTED_VALUE"""),"On Progress")</f>
        <v>On Progress</v>
      </c>
      <c r="K982" s="27">
        <f>IFERROR(__xludf.DUMMYFUNCTION("""COMPUTED_VALUE"""),46045.0)</f>
        <v>46045</v>
      </c>
      <c r="L982" s="27">
        <f>IFERROR(__xludf.DUMMYFUNCTION("""COMPUTED_VALUE"""),46045.0)</f>
        <v>46045</v>
      </c>
      <c r="M982" s="3" t="str">
        <f>IFERROR(__xludf.DUMMYFUNCTION("""COMPUTED_VALUE"""),"Done")</f>
        <v>Done</v>
      </c>
      <c r="N982" s="3"/>
      <c r="O982" s="3" t="str">
        <f>IFERROR(VLOOKUP(C982,Sheet4!A982:F1769,6,0),"")</f>
        <v/>
      </c>
      <c r="Q982" s="2" t="str">
        <f t="shared" si="1"/>
        <v>23</v>
      </c>
    </row>
    <row r="983">
      <c r="A983" s="3" t="str">
        <f>IFERROR(__xludf.DUMMYFUNCTION("""COMPUTED_VALUE"""),"Pengecekan battrey")</f>
        <v>Pengecekan battrey</v>
      </c>
      <c r="B983" s="3" t="str">
        <f>IFERROR(__xludf.DUMMYFUNCTION("""COMPUTED_VALUE"""),"P2")</f>
        <v>P2</v>
      </c>
      <c r="C983" s="3" t="str">
        <f>IFERROR(__xludf.DUMMYFUNCTION("""COMPUTED_VALUE"""),"MTW179")</f>
        <v>MTW179</v>
      </c>
      <c r="D983" s="3" t="str">
        <f>IFERROR(__xludf.DUMMYFUNCTION("""COMPUTED_VALUE"""),"munawir akhmad")</f>
        <v>munawir akhmad</v>
      </c>
      <c r="E983" s="3" t="str">
        <f>IFERROR(__xludf.DUMMYFUNCTION("""COMPUTED_VALUE"""),"TE")</f>
        <v>TE</v>
      </c>
      <c r="F983" s="3" t="str">
        <f>IFERROR(__xludf.DUMMYFUNCTION("""COMPUTED_VALUE"""),"Winda Sokenda")</f>
        <v>Winda Sokenda</v>
      </c>
      <c r="G983" s="3" t="str">
        <f>IFERROR(__xludf.DUMMYFUNCTION("""COMPUTED_VALUE"""),"Barito Raya")</f>
        <v>Barito Raya</v>
      </c>
      <c r="H983" s="3" t="str">
        <f>IFERROR(__xludf.DUMMYFUNCTION("""COMPUTED_VALUE"""),"Preventive")</f>
        <v>Preventive</v>
      </c>
      <c r="I983" s="3" t="str">
        <f>IFERROR(__xludf.DUMMYFUNCTION("""COMPUTED_VALUE"""),"Pengukuran dan pengambilan data log serta input Gdoc BBT")</f>
        <v>Pengukuran dan pengambilan data log serta input Gdoc BBT</v>
      </c>
      <c r="J983" s="3" t="str">
        <f>IFERROR(__xludf.DUMMYFUNCTION("""COMPUTED_VALUE"""),"On Progress")</f>
        <v>On Progress</v>
      </c>
      <c r="K983" s="27">
        <f>IFERROR(__xludf.DUMMYFUNCTION("""COMPUTED_VALUE"""),46045.0)</f>
        <v>46045</v>
      </c>
      <c r="L983" s="27">
        <f>IFERROR(__xludf.DUMMYFUNCTION("""COMPUTED_VALUE"""),46045.0)</f>
        <v>46045</v>
      </c>
      <c r="M983" s="3" t="str">
        <f>IFERROR(__xludf.DUMMYFUNCTION("""COMPUTED_VALUE"""),"Done")</f>
        <v>Done</v>
      </c>
      <c r="N983" s="3"/>
      <c r="O983" s="3" t="str">
        <f>IFERROR(VLOOKUP(C983,Sheet4!A983:F1770,6,0),"")</f>
        <v/>
      </c>
      <c r="Q983" s="2" t="str">
        <f t="shared" si="1"/>
        <v>23</v>
      </c>
    </row>
    <row r="984">
      <c r="A984" s="3" t="str">
        <f>IFERROR(__xludf.DUMMYFUNCTION("""COMPUTED_VALUE"""),"Pengecekan Power")</f>
        <v>Pengecekan Power</v>
      </c>
      <c r="B984" s="3" t="str">
        <f>IFERROR(__xludf.DUMMYFUNCTION("""COMPUTED_VALUE"""),"P1")</f>
        <v>P1</v>
      </c>
      <c r="C984" s="3" t="str">
        <f>IFERROR(__xludf.DUMMYFUNCTION("""COMPUTED_VALUE"""),"MTW179")</f>
        <v>MTW179</v>
      </c>
      <c r="D984" s="3" t="str">
        <f>IFERROR(__xludf.DUMMYFUNCTION("""COMPUTED_VALUE"""),"Riki Hidayat")</f>
        <v>Riki Hidayat</v>
      </c>
      <c r="E984" s="3" t="str">
        <f>IFERROR(__xludf.DUMMYFUNCTION("""COMPUTED_VALUE"""),"TE")</f>
        <v>TE</v>
      </c>
      <c r="F984" s="3" t="str">
        <f>IFERROR(__xludf.DUMMYFUNCTION("""COMPUTED_VALUE"""),"Winda Sokenda")</f>
        <v>Winda Sokenda</v>
      </c>
      <c r="G984" s="3" t="str">
        <f>IFERROR(__xludf.DUMMYFUNCTION("""COMPUTED_VALUE"""),"Barito Raya")</f>
        <v>Barito Raya</v>
      </c>
      <c r="H984" s="3" t="str">
        <f>IFERROR(__xludf.DUMMYFUNCTION("""COMPUTED_VALUE"""),"Preventive")</f>
        <v>Preventive</v>
      </c>
      <c r="I984" s="3" t="str">
        <f>IFERROR(__xludf.DUMMYFUNCTION("""COMPUTED_VALUE"""),"MCB trip/Power upnormal")</f>
        <v>MCB trip/Power upnormal</v>
      </c>
      <c r="J984" s="3" t="str">
        <f>IFERROR(__xludf.DUMMYFUNCTION("""COMPUTED_VALUE"""),"On Progress")</f>
        <v>On Progress</v>
      </c>
      <c r="K984" s="27">
        <f>IFERROR(__xludf.DUMMYFUNCTION("""COMPUTED_VALUE"""),46045.0)</f>
        <v>46045</v>
      </c>
      <c r="L984" s="27">
        <f>IFERROR(__xludf.DUMMYFUNCTION("""COMPUTED_VALUE"""),46045.0)</f>
        <v>46045</v>
      </c>
      <c r="M984" s="3" t="str">
        <f>IFERROR(__xludf.DUMMYFUNCTION("""COMPUTED_VALUE"""),"Done")</f>
        <v>Done</v>
      </c>
      <c r="N984" s="3"/>
      <c r="O984" s="3" t="str">
        <f>IFERROR(VLOOKUP(C984,Sheet4!A984:F1771,6,0),"")</f>
        <v/>
      </c>
      <c r="Q984" s="2" t="str">
        <f t="shared" si="1"/>
        <v>23</v>
      </c>
    </row>
    <row r="985">
      <c r="A985" s="3" t="str">
        <f>IFERROR(__xludf.DUMMYFUNCTION("""COMPUTED_VALUE"""),"Site Down")</f>
        <v>Site Down</v>
      </c>
      <c r="B985" s="3" t="str">
        <f>IFERROR(__xludf.DUMMYFUNCTION("""COMPUTED_VALUE"""),"P1")</f>
        <v>P1</v>
      </c>
      <c r="C985" s="3" t="str">
        <f>IFERROR(__xludf.DUMMYFUNCTION("""COMPUTED_VALUE"""),"PRC023")</f>
        <v>PRC023</v>
      </c>
      <c r="D985" s="3" t="str">
        <f>IFERROR(__xludf.DUMMYFUNCTION("""COMPUTED_VALUE"""),"Murjani")</f>
        <v>Murjani</v>
      </c>
      <c r="E985" s="3" t="str">
        <f>IFERROR(__xludf.DUMMYFUNCTION("""COMPUTED_VALUE"""),"TE")</f>
        <v>TE</v>
      </c>
      <c r="F985" s="3" t="str">
        <f>IFERROR(__xludf.DUMMYFUNCTION("""COMPUTED_VALUE"""),"Winda Sokenda")</f>
        <v>Winda Sokenda</v>
      </c>
      <c r="G985" s="3" t="str">
        <f>IFERROR(__xludf.DUMMYFUNCTION("""COMPUTED_VALUE"""),"Barito Raya")</f>
        <v>Barito Raya</v>
      </c>
      <c r="H985" s="3" t="str">
        <f>IFERROR(__xludf.DUMMYFUNCTION("""COMPUTED_VALUE"""),"Corrective")</f>
        <v>Corrective</v>
      </c>
      <c r="I985" s="3" t="str">
        <f>IFERROR(__xludf.DUMMYFUNCTION("""COMPUTED_VALUE"""),"Pemadaman,MCB Trip,Transmisi problem")</f>
        <v>Pemadaman,MCB Trip,Transmisi problem</v>
      </c>
      <c r="J985" s="3" t="str">
        <f>IFERROR(__xludf.DUMMYFUNCTION("""COMPUTED_VALUE"""),"On Progress")</f>
        <v>On Progress</v>
      </c>
      <c r="K985" s="27">
        <f>IFERROR(__xludf.DUMMYFUNCTION("""COMPUTED_VALUE"""),46045.0)</f>
        <v>46045</v>
      </c>
      <c r="L985" s="27">
        <f>IFERROR(__xludf.DUMMYFUNCTION("""COMPUTED_VALUE"""),46045.0)</f>
        <v>46045</v>
      </c>
      <c r="M985" s="3" t="str">
        <f>IFERROR(__xludf.DUMMYFUNCTION("""COMPUTED_VALUE"""),"Done")</f>
        <v>Done</v>
      </c>
      <c r="N985" s="3"/>
      <c r="O985" s="3" t="str">
        <f>IFERROR(VLOOKUP(C985,Sheet4!A985:F1772,6,0),"")</f>
        <v/>
      </c>
      <c r="Q985" s="2" t="str">
        <f t="shared" si="1"/>
        <v>23</v>
      </c>
    </row>
    <row r="986">
      <c r="A986" s="3" t="str">
        <f>IFERROR(__xludf.DUMMYFUNCTION("""COMPUTED_VALUE"""),"Pengecekan Power")</f>
        <v>Pengecekan Power</v>
      </c>
      <c r="B986" s="3" t="str">
        <f>IFERROR(__xludf.DUMMYFUNCTION("""COMPUTED_VALUE"""),"P1")</f>
        <v>P1</v>
      </c>
      <c r="C986" s="3" t="str">
        <f>IFERROR(__xludf.DUMMYFUNCTION("""COMPUTED_VALUE"""),"EPQ044")</f>
        <v>EPQ044</v>
      </c>
      <c r="D986" s="3" t="str">
        <f>IFERROR(__xludf.DUMMYFUNCTION("""COMPUTED_VALUE"""),"Armadi")</f>
        <v>Armadi</v>
      </c>
      <c r="E986" s="3" t="str">
        <f>IFERROR(__xludf.DUMMYFUNCTION("""COMPUTED_VALUE"""),"TE")</f>
        <v>TE</v>
      </c>
      <c r="F986" s="3" t="str">
        <f>IFERROR(__xludf.DUMMYFUNCTION("""COMPUTED_VALUE"""),"Winda Sokenda")</f>
        <v>Winda Sokenda</v>
      </c>
      <c r="G986" s="3" t="str">
        <f>IFERROR(__xludf.DUMMYFUNCTION("""COMPUTED_VALUE"""),"Barito Raya")</f>
        <v>Barito Raya</v>
      </c>
      <c r="H986" s="3" t="str">
        <f>IFERROR(__xludf.DUMMYFUNCTION("""COMPUTED_VALUE"""),"Preventive")</f>
        <v>Preventive</v>
      </c>
      <c r="I986" s="3" t="str">
        <f>IFERROR(__xludf.DUMMYFUNCTION("""COMPUTED_VALUE"""),"MCB trip/Power upnormal")</f>
        <v>MCB trip/Power upnormal</v>
      </c>
      <c r="J986" s="3" t="str">
        <f>IFERROR(__xludf.DUMMYFUNCTION("""COMPUTED_VALUE"""),"On Progress")</f>
        <v>On Progress</v>
      </c>
      <c r="K986" s="27">
        <f>IFERROR(__xludf.DUMMYFUNCTION("""COMPUTED_VALUE"""),46045.0)</f>
        <v>46045</v>
      </c>
      <c r="L986" s="27">
        <f>IFERROR(__xludf.DUMMYFUNCTION("""COMPUTED_VALUE"""),46045.0)</f>
        <v>46045</v>
      </c>
      <c r="M986" s="3" t="str">
        <f>IFERROR(__xludf.DUMMYFUNCTION("""COMPUTED_VALUE"""),"Done")</f>
        <v>Done</v>
      </c>
      <c r="N986" s="3"/>
      <c r="O986" s="3" t="str">
        <f>IFERROR(VLOOKUP(C986,Sheet4!A986:F1773,6,0),"")</f>
        <v/>
      </c>
      <c r="Q986" s="2" t="str">
        <f t="shared" si="1"/>
        <v>23</v>
      </c>
    </row>
    <row r="987">
      <c r="A987" s="3" t="str">
        <f>IFERROR(__xludf.DUMMYFUNCTION("""COMPUTED_VALUE"""),"PM")</f>
        <v>PM</v>
      </c>
      <c r="B987" s="3" t="str">
        <f>IFERROR(__xludf.DUMMYFUNCTION("""COMPUTED_VALUE"""),"P2")</f>
        <v>P2</v>
      </c>
      <c r="C987" s="3" t="str">
        <f>IFERROR(__xludf.DUMMYFUNCTION("""COMPUTED_VALUE"""),"KKP017")</f>
        <v>KKP017</v>
      </c>
      <c r="D987" s="3" t="str">
        <f>IFERROR(__xludf.DUMMYFUNCTION("""COMPUTED_VALUE"""),"Reynaldy Ricardo Putra")</f>
        <v>Reynaldy Ricardo Putra</v>
      </c>
      <c r="E987" s="3" t="str">
        <f>IFERROR(__xludf.DUMMYFUNCTION("""COMPUTED_VALUE"""),"TE")</f>
        <v>TE</v>
      </c>
      <c r="F987" s="3" t="str">
        <f>IFERROR(__xludf.DUMMYFUNCTION("""COMPUTED_VALUE"""),"Winda Sokenda")</f>
        <v>Winda Sokenda</v>
      </c>
      <c r="G987" s="3" t="str">
        <f>IFERROR(__xludf.DUMMYFUNCTION("""COMPUTED_VALUE"""),"Barito Raya")</f>
        <v>Barito Raya</v>
      </c>
      <c r="H987" s="3" t="str">
        <f>IFERROR(__xludf.DUMMYFUNCTION("""COMPUTED_VALUE"""),"Preventive")</f>
        <v>Preventive</v>
      </c>
      <c r="I987" s="3" t="str">
        <f>IFERROR(__xludf.DUMMYFUNCTION("""COMPUTED_VALUE"""),"Preventive Maintenance")</f>
        <v>Preventive Maintenance</v>
      </c>
      <c r="J987" s="3" t="str">
        <f>IFERROR(__xludf.DUMMYFUNCTION("""COMPUTED_VALUE"""),"On Progress")</f>
        <v>On Progress</v>
      </c>
      <c r="K987" s="27">
        <f>IFERROR(__xludf.DUMMYFUNCTION("""COMPUTED_VALUE"""),46045.0)</f>
        <v>46045</v>
      </c>
      <c r="L987" s="27">
        <f>IFERROR(__xludf.DUMMYFUNCTION("""COMPUTED_VALUE"""),46045.0)</f>
        <v>46045</v>
      </c>
      <c r="M987" s="3" t="str">
        <f>IFERROR(__xludf.DUMMYFUNCTION("""COMPUTED_VALUE"""),"Done")</f>
        <v>Done</v>
      </c>
      <c r="N987" s="3"/>
      <c r="O987" s="3" t="str">
        <f>IFERROR(VLOOKUP(C987,Sheet4!A987:F1774,6,0),"")</f>
        <v/>
      </c>
      <c r="Q987" s="2" t="str">
        <f t="shared" si="1"/>
        <v>23</v>
      </c>
    </row>
    <row r="988">
      <c r="A988" s="3" t="str">
        <f>IFERROR(__xludf.DUMMYFUNCTION("""COMPUTED_VALUE"""),"Site Down")</f>
        <v>Site Down</v>
      </c>
      <c r="B988" s="3" t="str">
        <f>IFERROR(__xludf.DUMMYFUNCTION("""COMPUTED_VALUE"""),"P1")</f>
        <v>P1</v>
      </c>
      <c r="C988" s="3" t="str">
        <f>IFERROR(__xludf.DUMMYFUNCTION("""COMPUTED_VALUE"""),"KKP050")</f>
        <v>KKP050</v>
      </c>
      <c r="D988" s="3" t="str">
        <f>IFERROR(__xludf.DUMMYFUNCTION("""COMPUTED_VALUE"""),"Sahrul Saputra")</f>
        <v>Sahrul Saputra</v>
      </c>
      <c r="E988" s="3" t="str">
        <f>IFERROR(__xludf.DUMMYFUNCTION("""COMPUTED_VALUE"""),"TE")</f>
        <v>TE</v>
      </c>
      <c r="F988" s="3" t="str">
        <f>IFERROR(__xludf.DUMMYFUNCTION("""COMPUTED_VALUE"""),"Winda Sokenda")</f>
        <v>Winda Sokenda</v>
      </c>
      <c r="G988" s="3" t="str">
        <f>IFERROR(__xludf.DUMMYFUNCTION("""COMPUTED_VALUE"""),"Barito Raya")</f>
        <v>Barito Raya</v>
      </c>
      <c r="H988" s="3" t="str">
        <f>IFERROR(__xludf.DUMMYFUNCTION("""COMPUTED_VALUE"""),"Corrective")</f>
        <v>Corrective</v>
      </c>
      <c r="I988" s="3" t="str">
        <f>IFERROR(__xludf.DUMMYFUNCTION("""COMPUTED_VALUE"""),"Pemadaman,MCB Trip,Transmisi problem")</f>
        <v>Pemadaman,MCB Trip,Transmisi problem</v>
      </c>
      <c r="J988" s="3" t="str">
        <f>IFERROR(__xludf.DUMMYFUNCTION("""COMPUTED_VALUE"""),"On Progress")</f>
        <v>On Progress</v>
      </c>
      <c r="K988" s="27">
        <f>IFERROR(__xludf.DUMMYFUNCTION("""COMPUTED_VALUE"""),46045.0)</f>
        <v>46045</v>
      </c>
      <c r="L988" s="27">
        <f>IFERROR(__xludf.DUMMYFUNCTION("""COMPUTED_VALUE"""),46045.0)</f>
        <v>46045</v>
      </c>
      <c r="M988" s="3" t="str">
        <f>IFERROR(__xludf.DUMMYFUNCTION("""COMPUTED_VALUE"""),"Done")</f>
        <v>Done</v>
      </c>
      <c r="N988" s="3"/>
      <c r="O988" s="3" t="str">
        <f>IFERROR(VLOOKUP(C988,Sheet4!A988:F1775,6,0),"")</f>
        <v/>
      </c>
      <c r="Q988" s="2" t="str">
        <f t="shared" si="1"/>
        <v>23</v>
      </c>
    </row>
    <row r="989">
      <c r="A989" s="3" t="str">
        <f>IFERROR(__xludf.DUMMYFUNCTION("""COMPUTED_VALUE"""),"Standby On Call")</f>
        <v>Standby On Call</v>
      </c>
      <c r="B989" s="3" t="str">
        <f>IFERROR(__xludf.DUMMYFUNCTION("""COMPUTED_VALUE"""),"P3")</f>
        <v>P3</v>
      </c>
      <c r="C989" s="3"/>
      <c r="D989" s="3" t="str">
        <f>IFERROR(__xludf.DUMMYFUNCTION("""COMPUTED_VALUE"""),"Nurhayat")</f>
        <v>Nurhayat</v>
      </c>
      <c r="E989" s="3" t="str">
        <f>IFERROR(__xludf.DUMMYFUNCTION("""COMPUTED_VALUE"""),"MBP")</f>
        <v>MBP</v>
      </c>
      <c r="F989" s="3" t="str">
        <f>IFERROR(__xludf.DUMMYFUNCTION("""COMPUTED_VALUE"""),"Winda Sokenda")</f>
        <v>Winda Sokenda</v>
      </c>
      <c r="G989" s="3" t="str">
        <f>IFERROR(__xludf.DUMMYFUNCTION("""COMPUTED_VALUE"""),"Barito Raya")</f>
        <v>Barito Raya</v>
      </c>
      <c r="H989" s="3" t="str">
        <f>IFERROR(__xludf.DUMMYFUNCTION("""COMPUTED_VALUE"""),"Standby")</f>
        <v>Standby</v>
      </c>
      <c r="I989" s="3" t="str">
        <f>IFERROR(__xludf.DUMMYFUNCTION("""COMPUTED_VALUE"""),"Standby On Call")</f>
        <v>Standby On Call</v>
      </c>
      <c r="J989" s="3"/>
      <c r="K989" s="27">
        <f>IFERROR(__xludf.DUMMYFUNCTION("""COMPUTED_VALUE"""),46045.0)</f>
        <v>46045</v>
      </c>
      <c r="L989" s="27">
        <f>IFERROR(__xludf.DUMMYFUNCTION("""COMPUTED_VALUE"""),46045.0)</f>
        <v>46045</v>
      </c>
      <c r="M989" s="3"/>
      <c r="N989" s="3"/>
      <c r="O989" s="3" t="str">
        <f>IFERROR(VLOOKUP(C989,Sheet4!A989:F1776,6,0),"")</f>
        <v/>
      </c>
      <c r="Q989" s="2" t="str">
        <f t="shared" si="1"/>
        <v>23</v>
      </c>
    </row>
    <row r="990">
      <c r="A990" s="3" t="str">
        <f>IFERROR(__xludf.DUMMYFUNCTION("""COMPUTED_VALUE"""),"Standby On Call")</f>
        <v>Standby On Call</v>
      </c>
      <c r="B990" s="3" t="str">
        <f>IFERROR(__xludf.DUMMYFUNCTION("""COMPUTED_VALUE"""),"P3")</f>
        <v>P3</v>
      </c>
      <c r="C990" s="3"/>
      <c r="D990" s="3" t="str">
        <f>IFERROR(__xludf.DUMMYFUNCTION("""COMPUTED_VALUE"""),"Harun Nurasyid")</f>
        <v>Harun Nurasyid</v>
      </c>
      <c r="E990" s="3" t="str">
        <f>IFERROR(__xludf.DUMMYFUNCTION("""COMPUTED_VALUE"""),"CME")</f>
        <v>CME</v>
      </c>
      <c r="F990" s="3" t="str">
        <f>IFERROR(__xludf.DUMMYFUNCTION("""COMPUTED_VALUE"""),"Winda Sokenda")</f>
        <v>Winda Sokenda</v>
      </c>
      <c r="G990" s="3" t="str">
        <f>IFERROR(__xludf.DUMMYFUNCTION("""COMPUTED_VALUE"""),"Barito Raya")</f>
        <v>Barito Raya</v>
      </c>
      <c r="H990" s="3" t="str">
        <f>IFERROR(__xludf.DUMMYFUNCTION("""COMPUTED_VALUE"""),"Standby")</f>
        <v>Standby</v>
      </c>
      <c r="I990" s="3" t="str">
        <f>IFERROR(__xludf.DUMMYFUNCTION("""COMPUTED_VALUE"""),"Standby On Call")</f>
        <v>Standby On Call</v>
      </c>
      <c r="J990" s="3"/>
      <c r="K990" s="27">
        <f>IFERROR(__xludf.DUMMYFUNCTION("""COMPUTED_VALUE"""),46045.0)</f>
        <v>46045</v>
      </c>
      <c r="L990" s="27">
        <f>IFERROR(__xludf.DUMMYFUNCTION("""COMPUTED_VALUE"""),46045.0)</f>
        <v>46045</v>
      </c>
      <c r="M990" s="3"/>
      <c r="N990" s="3"/>
      <c r="O990" s="3" t="str">
        <f>IFERROR(VLOOKUP(C990,Sheet4!A990:F1777,6,0),"")</f>
        <v/>
      </c>
      <c r="Q990" s="2" t="str">
        <f t="shared" si="1"/>
        <v>23</v>
      </c>
    </row>
    <row r="991">
      <c r="A991" s="3" t="str">
        <f>IFERROR(__xludf.DUMMYFUNCTION("""COMPUTED_VALUE"""),"Standby On Call")</f>
        <v>Standby On Call</v>
      </c>
      <c r="B991" s="3" t="str">
        <f>IFERROR(__xludf.DUMMYFUNCTION("""COMPUTED_VALUE"""),"P3")</f>
        <v>P3</v>
      </c>
      <c r="C991" s="3"/>
      <c r="D991" s="3" t="str">
        <f>IFERROR(__xludf.DUMMYFUNCTION("""COMPUTED_VALUE"""),"Taklim")</f>
        <v>Taklim</v>
      </c>
      <c r="E991" s="3" t="str">
        <f>IFERROR(__xludf.DUMMYFUNCTION("""COMPUTED_VALUE"""),"MBP")</f>
        <v>MBP</v>
      </c>
      <c r="F991" s="3" t="str">
        <f>IFERROR(__xludf.DUMMYFUNCTION("""COMPUTED_VALUE"""),"Winda Sokenda")</f>
        <v>Winda Sokenda</v>
      </c>
      <c r="G991" s="3" t="str">
        <f>IFERROR(__xludf.DUMMYFUNCTION("""COMPUTED_VALUE"""),"Barito Raya")</f>
        <v>Barito Raya</v>
      </c>
      <c r="H991" s="3" t="str">
        <f>IFERROR(__xludf.DUMMYFUNCTION("""COMPUTED_VALUE"""),"Standby")</f>
        <v>Standby</v>
      </c>
      <c r="I991" s="3" t="str">
        <f>IFERROR(__xludf.DUMMYFUNCTION("""COMPUTED_VALUE"""),"Standby On Call")</f>
        <v>Standby On Call</v>
      </c>
      <c r="J991" s="3"/>
      <c r="K991" s="27">
        <f>IFERROR(__xludf.DUMMYFUNCTION("""COMPUTED_VALUE"""),46045.0)</f>
        <v>46045</v>
      </c>
      <c r="L991" s="27">
        <f>IFERROR(__xludf.DUMMYFUNCTION("""COMPUTED_VALUE"""),46045.0)</f>
        <v>46045</v>
      </c>
      <c r="M991" s="3"/>
      <c r="N991" s="3"/>
      <c r="O991" s="3" t="str">
        <f>IFERROR(VLOOKUP(C991,Sheet4!A991:F1778,6,0),"")</f>
        <v/>
      </c>
      <c r="Q991" s="2" t="str">
        <f t="shared" si="1"/>
        <v>23</v>
      </c>
    </row>
    <row r="992">
      <c r="A992" s="3" t="str">
        <f>IFERROR(__xludf.DUMMYFUNCTION("""COMPUTED_VALUE"""),"Site Down")</f>
        <v>Site Down</v>
      </c>
      <c r="B992" s="3" t="str">
        <f>IFERROR(__xludf.DUMMYFUNCTION("""COMPUTED_VALUE"""),"P1")</f>
        <v>P1</v>
      </c>
      <c r="C992" s="3" t="str">
        <f>IFERROR(__xludf.DUMMYFUNCTION("""COMPUTED_VALUE"""),"PRC001")</f>
        <v>PRC001</v>
      </c>
      <c r="D992" s="3" t="str">
        <f>IFERROR(__xludf.DUMMYFUNCTION("""COMPUTED_VALUE"""),"Ahmad Muzakir")</f>
        <v>Ahmad Muzakir</v>
      </c>
      <c r="E992" s="3" t="str">
        <f>IFERROR(__xludf.DUMMYFUNCTION("""COMPUTED_VALUE"""),"MBP")</f>
        <v>MBP</v>
      </c>
      <c r="F992" s="3" t="str">
        <f>IFERROR(__xludf.DUMMYFUNCTION("""COMPUTED_VALUE"""),"Winda Sokenda")</f>
        <v>Winda Sokenda</v>
      </c>
      <c r="G992" s="3" t="str">
        <f>IFERROR(__xludf.DUMMYFUNCTION("""COMPUTED_VALUE"""),"Barito Raya")</f>
        <v>Barito Raya</v>
      </c>
      <c r="H992" s="3" t="str">
        <f>IFERROR(__xludf.DUMMYFUNCTION("""COMPUTED_VALUE"""),"Corrective")</f>
        <v>Corrective</v>
      </c>
      <c r="I992" s="3" t="str">
        <f>IFERROR(__xludf.DUMMYFUNCTION("""COMPUTED_VALUE"""),"Pemadaman,MCB Trip,Transmisi problem")</f>
        <v>Pemadaman,MCB Trip,Transmisi problem</v>
      </c>
      <c r="J992" s="3" t="str">
        <f>IFERROR(__xludf.DUMMYFUNCTION("""COMPUTED_VALUE"""),"On Progress")</f>
        <v>On Progress</v>
      </c>
      <c r="K992" s="27">
        <f>IFERROR(__xludf.DUMMYFUNCTION("""COMPUTED_VALUE"""),46045.0)</f>
        <v>46045</v>
      </c>
      <c r="L992" s="27">
        <f>IFERROR(__xludf.DUMMYFUNCTION("""COMPUTED_VALUE"""),46045.0)</f>
        <v>46045</v>
      </c>
      <c r="M992" s="3" t="str">
        <f>IFERROR(__xludf.DUMMYFUNCTION("""COMPUTED_VALUE"""),"Done")</f>
        <v>Done</v>
      </c>
      <c r="N992" s="3"/>
      <c r="O992" s="3" t="str">
        <f>IFERROR(VLOOKUP(C992,Sheet4!A992:F1779,6,0),"")</f>
        <v/>
      </c>
      <c r="Q992" s="2" t="str">
        <f t="shared" si="1"/>
        <v>23</v>
      </c>
    </row>
    <row r="993">
      <c r="A993" s="3" t="str">
        <f>IFERROR(__xludf.DUMMYFUNCTION("""COMPUTED_VALUE"""),"Standby On Call")</f>
        <v>Standby On Call</v>
      </c>
      <c r="B993" s="3" t="str">
        <f>IFERROR(__xludf.DUMMYFUNCTION("""COMPUTED_VALUE"""),"P3")</f>
        <v>P3</v>
      </c>
      <c r="C993" s="3"/>
      <c r="D993" s="3" t="str">
        <f>IFERROR(__xludf.DUMMYFUNCTION("""COMPUTED_VALUE"""),"Alfi Syahri")</f>
        <v>Alfi Syahri</v>
      </c>
      <c r="E993" s="3" t="str">
        <f>IFERROR(__xludf.DUMMYFUNCTION("""COMPUTED_VALUE"""),"CME")</f>
        <v>CME</v>
      </c>
      <c r="F993" s="3" t="str">
        <f>IFERROR(__xludf.DUMMYFUNCTION("""COMPUTED_VALUE"""),"Winda Sokenda")</f>
        <v>Winda Sokenda</v>
      </c>
      <c r="G993" s="3" t="str">
        <f>IFERROR(__xludf.DUMMYFUNCTION("""COMPUTED_VALUE"""),"Barito Raya")</f>
        <v>Barito Raya</v>
      </c>
      <c r="H993" s="3" t="str">
        <f>IFERROR(__xludf.DUMMYFUNCTION("""COMPUTED_VALUE"""),"Standby")</f>
        <v>Standby</v>
      </c>
      <c r="I993" s="3" t="str">
        <f>IFERROR(__xludf.DUMMYFUNCTION("""COMPUTED_VALUE"""),"Standby On Call")</f>
        <v>Standby On Call</v>
      </c>
      <c r="J993" s="3"/>
      <c r="K993" s="27">
        <f>IFERROR(__xludf.DUMMYFUNCTION("""COMPUTED_VALUE"""),46045.0)</f>
        <v>46045</v>
      </c>
      <c r="L993" s="27">
        <f>IFERROR(__xludf.DUMMYFUNCTION("""COMPUTED_VALUE"""),46045.0)</f>
        <v>46045</v>
      </c>
      <c r="M993" s="3"/>
      <c r="N993" s="3"/>
      <c r="O993" s="3" t="str">
        <f>IFERROR(VLOOKUP(C993,Sheet4!A993:F1780,6,0),"")</f>
        <v/>
      </c>
      <c r="Q993" s="2" t="str">
        <f t="shared" si="1"/>
        <v>23</v>
      </c>
    </row>
    <row r="994">
      <c r="A994" s="3" t="str">
        <f>IFERROR(__xludf.DUMMYFUNCTION("""COMPUTED_VALUE"""),"Standby On Call")</f>
        <v>Standby On Call</v>
      </c>
      <c r="B994" s="3" t="str">
        <f>IFERROR(__xludf.DUMMYFUNCTION("""COMPUTED_VALUE"""),"P3")</f>
        <v>P3</v>
      </c>
      <c r="C994" s="3"/>
      <c r="D994" s="3" t="str">
        <f>IFERROR(__xludf.DUMMYFUNCTION("""COMPUTED_VALUE"""),"Pujianto")</f>
        <v>Pujianto</v>
      </c>
      <c r="E994" s="3" t="str">
        <f>IFERROR(__xludf.DUMMYFUNCTION("""COMPUTED_VALUE"""),"MBP")</f>
        <v>MBP</v>
      </c>
      <c r="F994" s="3" t="str">
        <f>IFERROR(__xludf.DUMMYFUNCTION("""COMPUTED_VALUE"""),"Winda Sokenda")</f>
        <v>Winda Sokenda</v>
      </c>
      <c r="G994" s="3" t="str">
        <f>IFERROR(__xludf.DUMMYFUNCTION("""COMPUTED_VALUE"""),"Barito Raya")</f>
        <v>Barito Raya</v>
      </c>
      <c r="H994" s="3" t="str">
        <f>IFERROR(__xludf.DUMMYFUNCTION("""COMPUTED_VALUE"""),"Standby")</f>
        <v>Standby</v>
      </c>
      <c r="I994" s="3" t="str">
        <f>IFERROR(__xludf.DUMMYFUNCTION("""COMPUTED_VALUE"""),"Standby On Call")</f>
        <v>Standby On Call</v>
      </c>
      <c r="J994" s="3"/>
      <c r="K994" s="27">
        <f>IFERROR(__xludf.DUMMYFUNCTION("""COMPUTED_VALUE"""),46045.0)</f>
        <v>46045</v>
      </c>
      <c r="L994" s="27">
        <f>IFERROR(__xludf.DUMMYFUNCTION("""COMPUTED_VALUE"""),46045.0)</f>
        <v>46045</v>
      </c>
      <c r="M994" s="3"/>
      <c r="N994" s="3"/>
      <c r="O994" s="3" t="str">
        <f>IFERROR(VLOOKUP(C994,Sheet4!A994:F1781,6,0),"")</f>
        <v/>
      </c>
      <c r="Q994" s="2" t="str">
        <f t="shared" si="1"/>
        <v>23</v>
      </c>
    </row>
    <row r="995">
      <c r="A995" s="3" t="str">
        <f>IFERROR(__xludf.DUMMYFUNCTION("""COMPUTED_VALUE"""),"PM")</f>
        <v>PM</v>
      </c>
      <c r="B995" s="3" t="str">
        <f>IFERROR(__xludf.DUMMYFUNCTION("""COMPUTED_VALUE"""),"P2")</f>
        <v>P2</v>
      </c>
      <c r="C995" s="3" t="str">
        <f>IFERROR(__xludf.DUMMYFUNCTION("""COMPUTED_VALUE"""),"KKP007")</f>
        <v>KKP007</v>
      </c>
      <c r="D995" s="3" t="str">
        <f>IFERROR(__xludf.DUMMYFUNCTION("""COMPUTED_VALUE"""),"Trisno Susanto")</f>
        <v>Trisno Susanto</v>
      </c>
      <c r="E995" s="3" t="str">
        <f>IFERROR(__xludf.DUMMYFUNCTION("""COMPUTED_VALUE"""),"PM")</f>
        <v>PM</v>
      </c>
      <c r="F995" s="3" t="str">
        <f>IFERROR(__xludf.DUMMYFUNCTION("""COMPUTED_VALUE"""),"Winda Sokenda")</f>
        <v>Winda Sokenda</v>
      </c>
      <c r="G995" s="3" t="str">
        <f>IFERROR(__xludf.DUMMYFUNCTION("""COMPUTED_VALUE"""),"Barito Raya")</f>
        <v>Barito Raya</v>
      </c>
      <c r="H995" s="3" t="str">
        <f>IFERROR(__xludf.DUMMYFUNCTION("""COMPUTED_VALUE"""),"Preventive")</f>
        <v>Preventive</v>
      </c>
      <c r="I995" s="3" t="str">
        <f>IFERROR(__xludf.DUMMYFUNCTION("""COMPUTED_VALUE"""),"Preventive Maintenance")</f>
        <v>Preventive Maintenance</v>
      </c>
      <c r="J995" s="3" t="str">
        <f>IFERROR(__xludf.DUMMYFUNCTION("""COMPUTED_VALUE"""),"On Progress")</f>
        <v>On Progress</v>
      </c>
      <c r="K995" s="27">
        <f>IFERROR(__xludf.DUMMYFUNCTION("""COMPUTED_VALUE"""),46045.0)</f>
        <v>46045</v>
      </c>
      <c r="L995" s="27">
        <f>IFERROR(__xludf.DUMMYFUNCTION("""COMPUTED_VALUE"""),46045.0)</f>
        <v>46045</v>
      </c>
      <c r="M995" s="3" t="str">
        <f>IFERROR(__xludf.DUMMYFUNCTION("""COMPUTED_VALUE"""),"Done")</f>
        <v>Done</v>
      </c>
      <c r="N995" s="3"/>
      <c r="O995" s="3" t="str">
        <f>IFERROR(VLOOKUP(C995,Sheet4!A995:F1782,6,0),"")</f>
        <v/>
      </c>
      <c r="Q995" s="2" t="str">
        <f t="shared" si="1"/>
        <v>23</v>
      </c>
    </row>
    <row r="996">
      <c r="A996" s="3" t="str">
        <f>IFERROR(__xludf.DUMMYFUNCTION("""COMPUTED_VALUE"""),"PM")</f>
        <v>PM</v>
      </c>
      <c r="B996" s="3" t="str">
        <f>IFERROR(__xludf.DUMMYFUNCTION("""COMPUTED_VALUE"""),"P2")</f>
        <v>P2</v>
      </c>
      <c r="C996" s="3" t="str">
        <f>IFERROR(__xludf.DUMMYFUNCTION("""COMPUTED_VALUE"""),"KKP007")</f>
        <v>KKP007</v>
      </c>
      <c r="D996" s="3" t="str">
        <f>IFERROR(__xludf.DUMMYFUNCTION("""COMPUTED_VALUE"""),"Khilal dawai katiri")</f>
        <v>Khilal dawai katiri</v>
      </c>
      <c r="E996" s="3" t="str">
        <f>IFERROR(__xludf.DUMMYFUNCTION("""COMPUTED_VALUE"""),"MBP")</f>
        <v>MBP</v>
      </c>
      <c r="F996" s="3" t="str">
        <f>IFERROR(__xludf.DUMMYFUNCTION("""COMPUTED_VALUE"""),"Winda Sokenda")</f>
        <v>Winda Sokenda</v>
      </c>
      <c r="G996" s="3" t="str">
        <f>IFERROR(__xludf.DUMMYFUNCTION("""COMPUTED_VALUE"""),"Barito Raya")</f>
        <v>Barito Raya</v>
      </c>
      <c r="H996" s="3" t="str">
        <f>IFERROR(__xludf.DUMMYFUNCTION("""COMPUTED_VALUE"""),"Preventive")</f>
        <v>Preventive</v>
      </c>
      <c r="I996" s="3" t="str">
        <f>IFERROR(__xludf.DUMMYFUNCTION("""COMPUTED_VALUE"""),"Preventive Maintenance")</f>
        <v>Preventive Maintenance</v>
      </c>
      <c r="J996" s="3" t="str">
        <f>IFERROR(__xludf.DUMMYFUNCTION("""COMPUTED_VALUE"""),"On Progress")</f>
        <v>On Progress</v>
      </c>
      <c r="K996" s="27">
        <f>IFERROR(__xludf.DUMMYFUNCTION("""COMPUTED_VALUE"""),46045.0)</f>
        <v>46045</v>
      </c>
      <c r="L996" s="27">
        <f>IFERROR(__xludf.DUMMYFUNCTION("""COMPUTED_VALUE"""),46045.0)</f>
        <v>46045</v>
      </c>
      <c r="M996" s="3" t="str">
        <f>IFERROR(__xludf.DUMMYFUNCTION("""COMPUTED_VALUE"""),"Done")</f>
        <v>Done</v>
      </c>
      <c r="N996" s="3"/>
      <c r="O996" s="3" t="str">
        <f>IFERROR(VLOOKUP(C996,Sheet4!A996:F1783,6,0),"")</f>
        <v/>
      </c>
      <c r="Q996" s="2" t="str">
        <f t="shared" si="1"/>
        <v>23</v>
      </c>
    </row>
    <row r="997">
      <c r="A997" s="3" t="str">
        <f>IFERROR(__xludf.DUMMYFUNCTION("""COMPUTED_VALUE"""),"PM")</f>
        <v>PM</v>
      </c>
      <c r="B997" s="3" t="str">
        <f>IFERROR(__xludf.DUMMYFUNCTION("""COMPUTED_VALUE"""),"P2")</f>
        <v>P2</v>
      </c>
      <c r="C997" s="3" t="str">
        <f>IFERROR(__xludf.DUMMYFUNCTION("""COMPUTED_VALUE"""),"PRC007")</f>
        <v>PRC007</v>
      </c>
      <c r="D997" s="3" t="str">
        <f>IFERROR(__xludf.DUMMYFUNCTION("""COMPUTED_VALUE"""),"Riko setiadi")</f>
        <v>Riko setiadi</v>
      </c>
      <c r="E997" s="3" t="str">
        <f>IFERROR(__xludf.DUMMYFUNCTION("""COMPUTED_VALUE"""),"PM")</f>
        <v>PM</v>
      </c>
      <c r="F997" s="3" t="str">
        <f>IFERROR(__xludf.DUMMYFUNCTION("""COMPUTED_VALUE"""),"Winda Sokenda")</f>
        <v>Winda Sokenda</v>
      </c>
      <c r="G997" s="3" t="str">
        <f>IFERROR(__xludf.DUMMYFUNCTION("""COMPUTED_VALUE"""),"Barito Raya")</f>
        <v>Barito Raya</v>
      </c>
      <c r="H997" s="3" t="str">
        <f>IFERROR(__xludf.DUMMYFUNCTION("""COMPUTED_VALUE"""),"Preventive")</f>
        <v>Preventive</v>
      </c>
      <c r="I997" s="3" t="str">
        <f>IFERROR(__xludf.DUMMYFUNCTION("""COMPUTED_VALUE"""),"Preventive Maintenance")</f>
        <v>Preventive Maintenance</v>
      </c>
      <c r="J997" s="3" t="str">
        <f>IFERROR(__xludf.DUMMYFUNCTION("""COMPUTED_VALUE"""),"On Progress")</f>
        <v>On Progress</v>
      </c>
      <c r="K997" s="27">
        <f>IFERROR(__xludf.DUMMYFUNCTION("""COMPUTED_VALUE"""),46045.0)</f>
        <v>46045</v>
      </c>
      <c r="L997" s="27">
        <f>IFERROR(__xludf.DUMMYFUNCTION("""COMPUTED_VALUE"""),46045.0)</f>
        <v>46045</v>
      </c>
      <c r="M997" s="3" t="str">
        <f>IFERROR(__xludf.DUMMYFUNCTION("""COMPUTED_VALUE"""),"Done")</f>
        <v>Done</v>
      </c>
      <c r="N997" s="3"/>
      <c r="O997" s="3" t="str">
        <f>IFERROR(VLOOKUP(C997,Sheet4!A997:F1784,6,0),"")</f>
        <v/>
      </c>
      <c r="Q997" s="2" t="str">
        <f t="shared" si="1"/>
        <v>23</v>
      </c>
    </row>
    <row r="998">
      <c r="A998" s="3" t="str">
        <f>IFERROR(__xludf.DUMMYFUNCTION("""COMPUTED_VALUE"""),"Standby On Call")</f>
        <v>Standby On Call</v>
      </c>
      <c r="B998" s="3" t="str">
        <f>IFERROR(__xludf.DUMMYFUNCTION("""COMPUTED_VALUE"""),"P3")</f>
        <v>P3</v>
      </c>
      <c r="C998" s="3"/>
      <c r="D998" s="3" t="str">
        <f>IFERROR(__xludf.DUMMYFUNCTION("""COMPUTED_VALUE"""),"Putra wardana")</f>
        <v>Putra wardana</v>
      </c>
      <c r="E998" s="3" t="str">
        <f>IFERROR(__xludf.DUMMYFUNCTION("""COMPUTED_VALUE"""),"TE")</f>
        <v>TE</v>
      </c>
      <c r="F998" s="3" t="str">
        <f>IFERROR(__xludf.DUMMYFUNCTION("""COMPUTED_VALUE"""),"Winda Sokenda")</f>
        <v>Winda Sokenda</v>
      </c>
      <c r="G998" s="3" t="str">
        <f>IFERROR(__xludf.DUMMYFUNCTION("""COMPUTED_VALUE"""),"Barito Raya")</f>
        <v>Barito Raya</v>
      </c>
      <c r="H998" s="3" t="str">
        <f>IFERROR(__xludf.DUMMYFUNCTION("""COMPUTED_VALUE"""),"Standby")</f>
        <v>Standby</v>
      </c>
      <c r="I998" s="3" t="str">
        <f>IFERROR(__xludf.DUMMYFUNCTION("""COMPUTED_VALUE"""),"Standby On Call")</f>
        <v>Standby On Call</v>
      </c>
      <c r="J998" s="3"/>
      <c r="K998" s="27">
        <f>IFERROR(__xludf.DUMMYFUNCTION("""COMPUTED_VALUE"""),46048.0)</f>
        <v>46048</v>
      </c>
      <c r="L998" s="27">
        <f>IFERROR(__xludf.DUMMYFUNCTION("""COMPUTED_VALUE"""),46048.0)</f>
        <v>46048</v>
      </c>
      <c r="M998" s="3"/>
      <c r="N998" s="3"/>
      <c r="O998" s="3" t="str">
        <f>IFERROR(VLOOKUP(C998,Sheet4!A998:F1785,6,0),"")</f>
        <v/>
      </c>
      <c r="Q998" s="2" t="str">
        <f t="shared" si="1"/>
        <v>26</v>
      </c>
    </row>
    <row r="999">
      <c r="A999" s="3" t="str">
        <f>IFERROR(__xludf.DUMMYFUNCTION("""COMPUTED_VALUE"""),"Pengecekan Power")</f>
        <v>Pengecekan Power</v>
      </c>
      <c r="B999" s="3" t="str">
        <f>IFERROR(__xludf.DUMMYFUNCTION("""COMPUTED_VALUE"""),"P1")</f>
        <v>P1</v>
      </c>
      <c r="C999" s="3" t="str">
        <f>IFERROR(__xludf.DUMMYFUNCTION("""COMPUTED_VALUE"""),"TML029")</f>
        <v>TML029</v>
      </c>
      <c r="D999" s="3" t="str">
        <f>IFERROR(__xludf.DUMMYFUNCTION("""COMPUTED_VALUE"""),"Sailillah")</f>
        <v>Sailillah</v>
      </c>
      <c r="E999" s="3" t="str">
        <f>IFERROR(__xludf.DUMMYFUNCTION("""COMPUTED_VALUE"""),"TE")</f>
        <v>TE</v>
      </c>
      <c r="F999" s="3" t="str">
        <f>IFERROR(__xludf.DUMMYFUNCTION("""COMPUTED_VALUE"""),"Winda Sokenda")</f>
        <v>Winda Sokenda</v>
      </c>
      <c r="G999" s="3" t="str">
        <f>IFERROR(__xludf.DUMMYFUNCTION("""COMPUTED_VALUE"""),"Barito Raya")</f>
        <v>Barito Raya</v>
      </c>
      <c r="H999" s="3" t="str">
        <f>IFERROR(__xludf.DUMMYFUNCTION("""COMPUTED_VALUE"""),"Preventive")</f>
        <v>Preventive</v>
      </c>
      <c r="I999" s="3" t="str">
        <f>IFERROR(__xludf.DUMMYFUNCTION("""COMPUTED_VALUE"""),"MCB trip/Power upnormal")</f>
        <v>MCB trip/Power upnormal</v>
      </c>
      <c r="J999" s="3" t="str">
        <f>IFERROR(__xludf.DUMMYFUNCTION("""COMPUTED_VALUE"""),"On Progress")</f>
        <v>On Progress</v>
      </c>
      <c r="K999" s="27">
        <f>IFERROR(__xludf.DUMMYFUNCTION("""COMPUTED_VALUE"""),46048.0)</f>
        <v>46048</v>
      </c>
      <c r="L999" s="27">
        <f>IFERROR(__xludf.DUMMYFUNCTION("""COMPUTED_VALUE"""),46048.0)</f>
        <v>46048</v>
      </c>
      <c r="M999" s="3"/>
      <c r="N999" s="3"/>
      <c r="O999" s="3" t="str">
        <f>IFERROR(VLOOKUP(C999,Sheet4!A999:F1786,6,0),"")</f>
        <v/>
      </c>
      <c r="Q999" s="2" t="str">
        <f t="shared" si="1"/>
        <v>26</v>
      </c>
    </row>
    <row r="1000">
      <c r="A1000" s="3" t="str">
        <f>IFERROR(__xludf.DUMMYFUNCTION("""COMPUTED_VALUE"""),"Cell down")</f>
        <v>Cell down</v>
      </c>
      <c r="B1000" s="3" t="str">
        <f>IFERROR(__xludf.DUMMYFUNCTION("""COMPUTED_VALUE"""),"P1")</f>
        <v>P1</v>
      </c>
      <c r="C1000" s="3" t="str">
        <f>IFERROR(__xludf.DUMMYFUNCTION("""COMPUTED_VALUE"""),"BNT160")</f>
        <v>BNT160</v>
      </c>
      <c r="D1000" s="3" t="str">
        <f>IFERROR(__xludf.DUMMYFUNCTION("""COMPUTED_VALUE"""),"Tiviansyah")</f>
        <v>Tiviansyah</v>
      </c>
      <c r="E1000" s="3" t="str">
        <f>IFERROR(__xludf.DUMMYFUNCTION("""COMPUTED_VALUE"""),"TE")</f>
        <v>TE</v>
      </c>
      <c r="F1000" s="3" t="str">
        <f>IFERROR(__xludf.DUMMYFUNCTION("""COMPUTED_VALUE"""),"Winda Sokenda")</f>
        <v>Winda Sokenda</v>
      </c>
      <c r="G1000" s="3" t="str">
        <f>IFERROR(__xludf.DUMMYFUNCTION("""COMPUTED_VALUE"""),"Barito Raya")</f>
        <v>Barito Raya</v>
      </c>
      <c r="H1000" s="3" t="str">
        <f>IFERROR(__xludf.DUMMYFUNCTION("""COMPUTED_VALUE"""),"Corrective")</f>
        <v>Corrective</v>
      </c>
      <c r="I1000" s="3" t="str">
        <f>IFERROR(__xludf.DUMMYFUNCTION("""COMPUTED_VALUE"""),"Replace Optik,RRU/Soket Power/Replace GPS")</f>
        <v>Replace Optik,RRU/Soket Power/Replace GPS</v>
      </c>
      <c r="J1000" s="3" t="str">
        <f>IFERROR(__xludf.DUMMYFUNCTION("""COMPUTED_VALUE"""),"On Progress")</f>
        <v>On Progress</v>
      </c>
      <c r="K1000" s="27">
        <f>IFERROR(__xludf.DUMMYFUNCTION("""COMPUTED_VALUE"""),46048.0)</f>
        <v>46048</v>
      </c>
      <c r="L1000" s="27">
        <f>IFERROR(__xludf.DUMMYFUNCTION("""COMPUTED_VALUE"""),46048.0)</f>
        <v>46048</v>
      </c>
      <c r="M1000" s="3"/>
      <c r="N1000" s="3"/>
      <c r="O1000" s="3" t="str">
        <f>IFERROR(VLOOKUP(C1000,Sheet4!A1000:F1787,6,0),"")</f>
        <v/>
      </c>
      <c r="Q1000" s="2" t="str">
        <f t="shared" si="1"/>
        <v>26</v>
      </c>
    </row>
    <row r="1001">
      <c r="A1001" s="3" t="str">
        <f>IFERROR(__xludf.DUMMYFUNCTION("""COMPUTED_VALUE"""),"Pengecekan/Pergantian BFAN BTS")</f>
        <v>Pengecekan/Pergantian BFAN BTS</v>
      </c>
      <c r="B1001" s="3" t="str">
        <f>IFERROR(__xludf.DUMMYFUNCTION("""COMPUTED_VALUE"""),"P2")</f>
        <v>P2</v>
      </c>
      <c r="C1001" s="3" t="str">
        <f>IFERROR(__xludf.DUMMYFUNCTION("""COMPUTED_VALUE"""),"MTW179")</f>
        <v>MTW179</v>
      </c>
      <c r="D1001" s="3" t="str">
        <f>IFERROR(__xludf.DUMMYFUNCTION("""COMPUTED_VALUE"""),"munawir akhmad")</f>
        <v>munawir akhmad</v>
      </c>
      <c r="E1001" s="3" t="str">
        <f>IFERROR(__xludf.DUMMYFUNCTION("""COMPUTED_VALUE"""),"TE")</f>
        <v>TE</v>
      </c>
      <c r="F1001" s="3" t="str">
        <f>IFERROR(__xludf.DUMMYFUNCTION("""COMPUTED_VALUE"""),"Winda Sokenda")</f>
        <v>Winda Sokenda</v>
      </c>
      <c r="G1001" s="3" t="str">
        <f>IFERROR(__xludf.DUMMYFUNCTION("""COMPUTED_VALUE"""),"Barito Raya")</f>
        <v>Barito Raya</v>
      </c>
      <c r="H1001" s="3" t="str">
        <f>IFERROR(__xludf.DUMMYFUNCTION("""COMPUTED_VALUE"""),"Preventive")</f>
        <v>Preventive</v>
      </c>
      <c r="I1001" s="3" t="str">
        <f>IFERROR(__xludf.DUMMYFUNCTION("""COMPUTED_VALUE"""),"Bts High temp impact fliker")</f>
        <v>Bts High temp impact fliker</v>
      </c>
      <c r="J1001" s="3" t="str">
        <f>IFERROR(__xludf.DUMMYFUNCTION("""COMPUTED_VALUE"""),"On Progress")</f>
        <v>On Progress</v>
      </c>
      <c r="K1001" s="27">
        <f>IFERROR(__xludf.DUMMYFUNCTION("""COMPUTED_VALUE"""),46048.0)</f>
        <v>46048</v>
      </c>
      <c r="L1001" s="27">
        <f>IFERROR(__xludf.DUMMYFUNCTION("""COMPUTED_VALUE"""),46048.0)</f>
        <v>46048</v>
      </c>
      <c r="M1001" s="3" t="str">
        <f>IFERROR(__xludf.DUMMYFUNCTION("""COMPUTED_VALUE"""),"Waiting Update")</f>
        <v>Waiting Update</v>
      </c>
      <c r="N1001" s="3"/>
      <c r="O1001" s="3" t="str">
        <f>IFERROR(VLOOKUP(C1001,Sheet4!A1001:F1788,6,0),"")</f>
        <v/>
      </c>
      <c r="Q1001" s="2" t="str">
        <f t="shared" si="1"/>
        <v>26</v>
      </c>
    </row>
    <row r="1002">
      <c r="A1002" s="3" t="str">
        <f>IFERROR(__xludf.DUMMYFUNCTION("""COMPUTED_VALUE"""),"Pengecekan/Pergantian BFAN BTS")</f>
        <v>Pengecekan/Pergantian BFAN BTS</v>
      </c>
      <c r="B1002" s="3" t="str">
        <f>IFERROR(__xludf.DUMMYFUNCTION("""COMPUTED_VALUE"""),"P2")</f>
        <v>P2</v>
      </c>
      <c r="C1002" s="3" t="str">
        <f>IFERROR(__xludf.DUMMYFUNCTION("""COMPUTED_VALUE"""),"MTW179")</f>
        <v>MTW179</v>
      </c>
      <c r="D1002" s="3" t="str">
        <f>IFERROR(__xludf.DUMMYFUNCTION("""COMPUTED_VALUE"""),"Riki Hidayat")</f>
        <v>Riki Hidayat</v>
      </c>
      <c r="E1002" s="3" t="str">
        <f>IFERROR(__xludf.DUMMYFUNCTION("""COMPUTED_VALUE"""),"TE")</f>
        <v>TE</v>
      </c>
      <c r="F1002" s="3" t="str">
        <f>IFERROR(__xludf.DUMMYFUNCTION("""COMPUTED_VALUE"""),"Winda Sokenda")</f>
        <v>Winda Sokenda</v>
      </c>
      <c r="G1002" s="3" t="str">
        <f>IFERROR(__xludf.DUMMYFUNCTION("""COMPUTED_VALUE"""),"Barito Raya")</f>
        <v>Barito Raya</v>
      </c>
      <c r="H1002" s="3" t="str">
        <f>IFERROR(__xludf.DUMMYFUNCTION("""COMPUTED_VALUE"""),"Preventive")</f>
        <v>Preventive</v>
      </c>
      <c r="I1002" s="3" t="str">
        <f>IFERROR(__xludf.DUMMYFUNCTION("""COMPUTED_VALUE"""),"Bts High temp impact fliker")</f>
        <v>Bts High temp impact fliker</v>
      </c>
      <c r="J1002" s="3" t="str">
        <f>IFERROR(__xludf.DUMMYFUNCTION("""COMPUTED_VALUE"""),"On Progress")</f>
        <v>On Progress</v>
      </c>
      <c r="K1002" s="27">
        <f>IFERROR(__xludf.DUMMYFUNCTION("""COMPUTED_VALUE"""),46048.0)</f>
        <v>46048</v>
      </c>
      <c r="L1002" s="27">
        <f>IFERROR(__xludf.DUMMYFUNCTION("""COMPUTED_VALUE"""),46048.0)</f>
        <v>46048</v>
      </c>
      <c r="M1002" s="3" t="str">
        <f>IFERROR(__xludf.DUMMYFUNCTION("""COMPUTED_VALUE"""),"Waiting Update")</f>
        <v>Waiting Update</v>
      </c>
      <c r="N1002" s="3"/>
      <c r="O1002" s="3" t="str">
        <f>IFERROR(VLOOKUP(C1002,Sheet4!A1002:F1789,6,0),"")</f>
        <v/>
      </c>
      <c r="Q1002" s="2" t="str">
        <f t="shared" si="1"/>
        <v>26</v>
      </c>
    </row>
    <row r="1003">
      <c r="A1003" s="3" t="str">
        <f>IFERROR(__xludf.DUMMYFUNCTION("""COMPUTED_VALUE"""),"Penambahan Modul Recti")</f>
        <v>Penambahan Modul Recti</v>
      </c>
      <c r="B1003" s="3" t="str">
        <f>IFERROR(__xludf.DUMMYFUNCTION("""COMPUTED_VALUE"""),"P2")</f>
        <v>P2</v>
      </c>
      <c r="C1003" s="3" t="str">
        <f>IFERROR(__xludf.DUMMYFUNCTION("""COMPUTED_VALUE"""),"PRC225")</f>
        <v>PRC225</v>
      </c>
      <c r="D1003" s="3" t="str">
        <f>IFERROR(__xludf.DUMMYFUNCTION("""COMPUTED_VALUE"""),"Murjani")</f>
        <v>Murjani</v>
      </c>
      <c r="E1003" s="3" t="str">
        <f>IFERROR(__xludf.DUMMYFUNCTION("""COMPUTED_VALUE"""),"TE")</f>
        <v>TE</v>
      </c>
      <c r="F1003" s="3" t="str">
        <f>IFERROR(__xludf.DUMMYFUNCTION("""COMPUTED_VALUE"""),"Winda Sokenda")</f>
        <v>Winda Sokenda</v>
      </c>
      <c r="G1003" s="3" t="str">
        <f>IFERROR(__xludf.DUMMYFUNCTION("""COMPUTED_VALUE"""),"Barito Raya")</f>
        <v>Barito Raya</v>
      </c>
      <c r="H1003" s="3" t="str">
        <f>IFERROR(__xludf.DUMMYFUNCTION("""COMPUTED_VALUE"""),"Corrective")</f>
        <v>Corrective</v>
      </c>
      <c r="I1003" s="3" t="str">
        <f>IFERROR(__xludf.DUMMYFUNCTION("""COMPUTED_VALUE"""),"Penambahan Modul Recti")</f>
        <v>Penambahan Modul Recti</v>
      </c>
      <c r="J1003" s="3" t="str">
        <f>IFERROR(__xludf.DUMMYFUNCTION("""COMPUTED_VALUE"""),"On Progress")</f>
        <v>On Progress</v>
      </c>
      <c r="K1003" s="27">
        <f>IFERROR(__xludf.DUMMYFUNCTION("""COMPUTED_VALUE"""),46048.0)</f>
        <v>46048</v>
      </c>
      <c r="L1003" s="27">
        <f>IFERROR(__xludf.DUMMYFUNCTION("""COMPUTED_VALUE"""),46048.0)</f>
        <v>46048</v>
      </c>
      <c r="M1003" s="3" t="str">
        <f>IFERROR(__xludf.DUMMYFUNCTION("""COMPUTED_VALUE"""),"Waiting Update")</f>
        <v>Waiting Update</v>
      </c>
      <c r="N1003" s="3"/>
      <c r="O1003" s="3" t="str">
        <f>IFERROR(VLOOKUP(C1003,Sheet4!A1003:F1790,6,0),"")</f>
        <v/>
      </c>
      <c r="Q1003" s="2" t="str">
        <f t="shared" si="1"/>
        <v>26</v>
      </c>
    </row>
    <row r="1004">
      <c r="A1004" s="3" t="str">
        <f>IFERROR(__xludf.DUMMYFUNCTION("""COMPUTED_VALUE"""),"Standby On Call")</f>
        <v>Standby On Call</v>
      </c>
      <c r="B1004" s="3" t="str">
        <f>IFERROR(__xludf.DUMMYFUNCTION("""COMPUTED_VALUE"""),"P3")</f>
        <v>P3</v>
      </c>
      <c r="C1004" s="3"/>
      <c r="D1004" s="3" t="str">
        <f>IFERROR(__xludf.DUMMYFUNCTION("""COMPUTED_VALUE"""),"Armadi")</f>
        <v>Armadi</v>
      </c>
      <c r="E1004" s="3" t="str">
        <f>IFERROR(__xludf.DUMMYFUNCTION("""COMPUTED_VALUE"""),"TE")</f>
        <v>TE</v>
      </c>
      <c r="F1004" s="3" t="str">
        <f>IFERROR(__xludf.DUMMYFUNCTION("""COMPUTED_VALUE"""),"Winda Sokenda")</f>
        <v>Winda Sokenda</v>
      </c>
      <c r="G1004" s="3" t="str">
        <f>IFERROR(__xludf.DUMMYFUNCTION("""COMPUTED_VALUE"""),"Barito Raya")</f>
        <v>Barito Raya</v>
      </c>
      <c r="H1004" s="3" t="str">
        <f>IFERROR(__xludf.DUMMYFUNCTION("""COMPUTED_VALUE"""),"Standby")</f>
        <v>Standby</v>
      </c>
      <c r="I1004" s="3" t="str">
        <f>IFERROR(__xludf.DUMMYFUNCTION("""COMPUTED_VALUE"""),"Standby On Call")</f>
        <v>Standby On Call</v>
      </c>
      <c r="J1004" s="3"/>
      <c r="K1004" s="27">
        <f>IFERROR(__xludf.DUMMYFUNCTION("""COMPUTED_VALUE"""),46048.0)</f>
        <v>46048</v>
      </c>
      <c r="L1004" s="27">
        <f>IFERROR(__xludf.DUMMYFUNCTION("""COMPUTED_VALUE"""),46048.0)</f>
        <v>46048</v>
      </c>
      <c r="M1004" s="3"/>
      <c r="N1004" s="3"/>
      <c r="O1004" s="3" t="str">
        <f>IFERROR(VLOOKUP(C1004,Sheet4!A1004:F1791,6,0),"")</f>
        <v/>
      </c>
      <c r="Q1004" s="2" t="str">
        <f t="shared" si="1"/>
        <v>26</v>
      </c>
    </row>
    <row r="1005">
      <c r="A1005" s="3" t="str">
        <f>IFERROR(__xludf.DUMMYFUNCTION("""COMPUTED_VALUE"""),"PM")</f>
        <v>PM</v>
      </c>
      <c r="B1005" s="3" t="str">
        <f>IFERROR(__xludf.DUMMYFUNCTION("""COMPUTED_VALUE"""),"P2")</f>
        <v>P2</v>
      </c>
      <c r="C1005" s="3" t="str">
        <f>IFERROR(__xludf.DUMMYFUNCTION("""COMPUTED_VALUE"""),"KKP017")</f>
        <v>KKP017</v>
      </c>
      <c r="D1005" s="3" t="str">
        <f>IFERROR(__xludf.DUMMYFUNCTION("""COMPUTED_VALUE"""),"Reynaldy Ricardo Putra")</f>
        <v>Reynaldy Ricardo Putra</v>
      </c>
      <c r="E1005" s="3" t="str">
        <f>IFERROR(__xludf.DUMMYFUNCTION("""COMPUTED_VALUE"""),"TE")</f>
        <v>TE</v>
      </c>
      <c r="F1005" s="3" t="str">
        <f>IFERROR(__xludf.DUMMYFUNCTION("""COMPUTED_VALUE"""),"Winda Sokenda")</f>
        <v>Winda Sokenda</v>
      </c>
      <c r="G1005" s="3" t="str">
        <f>IFERROR(__xludf.DUMMYFUNCTION("""COMPUTED_VALUE"""),"Barito Raya")</f>
        <v>Barito Raya</v>
      </c>
      <c r="H1005" s="3" t="str">
        <f>IFERROR(__xludf.DUMMYFUNCTION("""COMPUTED_VALUE"""),"Preventive")</f>
        <v>Preventive</v>
      </c>
      <c r="I1005" s="3" t="str">
        <f>IFERROR(__xludf.DUMMYFUNCTION("""COMPUTED_VALUE"""),"Preventive Maintenance")</f>
        <v>Preventive Maintenance</v>
      </c>
      <c r="J1005" s="3" t="str">
        <f>IFERROR(__xludf.DUMMYFUNCTION("""COMPUTED_VALUE"""),"On Progress")</f>
        <v>On Progress</v>
      </c>
      <c r="K1005" s="27">
        <f>IFERROR(__xludf.DUMMYFUNCTION("""COMPUTED_VALUE"""),46048.0)</f>
        <v>46048</v>
      </c>
      <c r="L1005" s="27">
        <f>IFERROR(__xludf.DUMMYFUNCTION("""COMPUTED_VALUE"""),46048.0)</f>
        <v>46048</v>
      </c>
      <c r="M1005" s="3" t="str">
        <f>IFERROR(__xludf.DUMMYFUNCTION("""COMPUTED_VALUE"""),"Waiting Update")</f>
        <v>Waiting Update</v>
      </c>
      <c r="N1005" s="3"/>
      <c r="O1005" s="3" t="str">
        <f>IFERROR(VLOOKUP(C1005,Sheet4!A1005:F1792,6,0),"")</f>
        <v/>
      </c>
      <c r="Q1005" s="2" t="str">
        <f t="shared" si="1"/>
        <v>26</v>
      </c>
    </row>
    <row r="1006">
      <c r="A1006" s="3" t="str">
        <f>IFERROR(__xludf.DUMMYFUNCTION("""COMPUTED_VALUE"""),"Pengecekan Power")</f>
        <v>Pengecekan Power</v>
      </c>
      <c r="B1006" s="3" t="str">
        <f>IFERROR(__xludf.DUMMYFUNCTION("""COMPUTED_VALUE"""),"P1")</f>
        <v>P1</v>
      </c>
      <c r="C1006" s="3" t="str">
        <f>IFERROR(__xludf.DUMMYFUNCTION("""COMPUTED_VALUE"""),"KKP026")</f>
        <v>KKP026</v>
      </c>
      <c r="D1006" s="3" t="str">
        <f>IFERROR(__xludf.DUMMYFUNCTION("""COMPUTED_VALUE"""),"Sahrul Saputra")</f>
        <v>Sahrul Saputra</v>
      </c>
      <c r="E1006" s="3" t="str">
        <f>IFERROR(__xludf.DUMMYFUNCTION("""COMPUTED_VALUE"""),"TE")</f>
        <v>TE</v>
      </c>
      <c r="F1006" s="3" t="str">
        <f>IFERROR(__xludf.DUMMYFUNCTION("""COMPUTED_VALUE"""),"Winda Sokenda")</f>
        <v>Winda Sokenda</v>
      </c>
      <c r="G1006" s="3" t="str">
        <f>IFERROR(__xludf.DUMMYFUNCTION("""COMPUTED_VALUE"""),"Barito Raya")</f>
        <v>Barito Raya</v>
      </c>
      <c r="H1006" s="3" t="str">
        <f>IFERROR(__xludf.DUMMYFUNCTION("""COMPUTED_VALUE"""),"Preventive")</f>
        <v>Preventive</v>
      </c>
      <c r="I1006" s="3" t="str">
        <f>IFERROR(__xludf.DUMMYFUNCTION("""COMPUTED_VALUE"""),"MCB trip/Power upnormal")</f>
        <v>MCB trip/Power upnormal</v>
      </c>
      <c r="J1006" s="3" t="str">
        <f>IFERROR(__xludf.DUMMYFUNCTION("""COMPUTED_VALUE"""),"On Progress")</f>
        <v>On Progress</v>
      </c>
      <c r="K1006" s="27">
        <f>IFERROR(__xludf.DUMMYFUNCTION("""COMPUTED_VALUE"""),46048.0)</f>
        <v>46048</v>
      </c>
      <c r="L1006" s="27">
        <f>IFERROR(__xludf.DUMMYFUNCTION("""COMPUTED_VALUE"""),46048.0)</f>
        <v>46048</v>
      </c>
      <c r="M1006" s="3"/>
      <c r="N1006" s="3"/>
      <c r="O1006" s="3" t="str">
        <f>IFERROR(VLOOKUP(C1006,Sheet4!A1006:F1793,6,0),"")</f>
        <v/>
      </c>
      <c r="Q1006" s="2" t="str">
        <f t="shared" si="1"/>
        <v>26</v>
      </c>
    </row>
    <row r="1007">
      <c r="A1007" s="3" t="str">
        <f>IFERROR(__xludf.DUMMYFUNCTION("""COMPUTED_VALUE"""),"Standby On Call")</f>
        <v>Standby On Call</v>
      </c>
      <c r="B1007" s="3" t="str">
        <f>IFERROR(__xludf.DUMMYFUNCTION("""COMPUTED_VALUE"""),"P3")</f>
        <v>P3</v>
      </c>
      <c r="C1007" s="3"/>
      <c r="D1007" s="3" t="str">
        <f>IFERROR(__xludf.DUMMYFUNCTION("""COMPUTED_VALUE"""),"Nurhayat")</f>
        <v>Nurhayat</v>
      </c>
      <c r="E1007" s="3" t="str">
        <f>IFERROR(__xludf.DUMMYFUNCTION("""COMPUTED_VALUE"""),"MBP")</f>
        <v>MBP</v>
      </c>
      <c r="F1007" s="3" t="str">
        <f>IFERROR(__xludf.DUMMYFUNCTION("""COMPUTED_VALUE"""),"Winda Sokenda")</f>
        <v>Winda Sokenda</v>
      </c>
      <c r="G1007" s="3" t="str">
        <f>IFERROR(__xludf.DUMMYFUNCTION("""COMPUTED_VALUE"""),"Barito Raya")</f>
        <v>Barito Raya</v>
      </c>
      <c r="H1007" s="3" t="str">
        <f>IFERROR(__xludf.DUMMYFUNCTION("""COMPUTED_VALUE"""),"Standby")</f>
        <v>Standby</v>
      </c>
      <c r="I1007" s="3" t="str">
        <f>IFERROR(__xludf.DUMMYFUNCTION("""COMPUTED_VALUE"""),"Standby On Call")</f>
        <v>Standby On Call</v>
      </c>
      <c r="J1007" s="3"/>
      <c r="K1007" s="27">
        <f>IFERROR(__xludf.DUMMYFUNCTION("""COMPUTED_VALUE"""),46048.0)</f>
        <v>46048</v>
      </c>
      <c r="L1007" s="27">
        <f>IFERROR(__xludf.DUMMYFUNCTION("""COMPUTED_VALUE"""),46048.0)</f>
        <v>46048</v>
      </c>
      <c r="M1007" s="3"/>
      <c r="N1007" s="3"/>
      <c r="O1007" s="3" t="str">
        <f>IFERROR(VLOOKUP(C1007,Sheet4!A1007:F1794,6,0),"")</f>
        <v/>
      </c>
      <c r="Q1007" s="2" t="str">
        <f t="shared" si="1"/>
        <v>26</v>
      </c>
    </row>
    <row r="1008">
      <c r="A1008" s="3" t="str">
        <f>IFERROR(__xludf.DUMMYFUNCTION("""COMPUTED_VALUE"""),"Site Down")</f>
        <v>Site Down</v>
      </c>
      <c r="B1008" s="3" t="str">
        <f>IFERROR(__xludf.DUMMYFUNCTION("""COMPUTED_VALUE"""),"P1")</f>
        <v>P1</v>
      </c>
      <c r="C1008" s="3" t="str">
        <f>IFERROR(__xludf.DUMMYFUNCTION("""COMPUTED_VALUE"""),"BNT160")</f>
        <v>BNT160</v>
      </c>
      <c r="D1008" s="3" t="str">
        <f>IFERROR(__xludf.DUMMYFUNCTION("""COMPUTED_VALUE"""),"Harun Nurasyid")</f>
        <v>Harun Nurasyid</v>
      </c>
      <c r="E1008" s="3" t="str">
        <f>IFERROR(__xludf.DUMMYFUNCTION("""COMPUTED_VALUE"""),"CME")</f>
        <v>CME</v>
      </c>
      <c r="F1008" s="3" t="str">
        <f>IFERROR(__xludf.DUMMYFUNCTION("""COMPUTED_VALUE"""),"Winda Sokenda")</f>
        <v>Winda Sokenda</v>
      </c>
      <c r="G1008" s="3" t="str">
        <f>IFERROR(__xludf.DUMMYFUNCTION("""COMPUTED_VALUE"""),"Barito Raya")</f>
        <v>Barito Raya</v>
      </c>
      <c r="H1008" s="3" t="str">
        <f>IFERROR(__xludf.DUMMYFUNCTION("""COMPUTED_VALUE"""),"Corrective")</f>
        <v>Corrective</v>
      </c>
      <c r="I1008" s="3" t="str">
        <f>IFERROR(__xludf.DUMMYFUNCTION("""COMPUTED_VALUE"""),"Pemadaman,MCB Trip,Transmisi problem")</f>
        <v>Pemadaman,MCB Trip,Transmisi problem</v>
      </c>
      <c r="J1008" s="3" t="str">
        <f>IFERROR(__xludf.DUMMYFUNCTION("""COMPUTED_VALUE"""),"On Progress")</f>
        <v>On Progress</v>
      </c>
      <c r="K1008" s="27">
        <f>IFERROR(__xludf.DUMMYFUNCTION("""COMPUTED_VALUE"""),46048.0)</f>
        <v>46048</v>
      </c>
      <c r="L1008" s="27">
        <f>IFERROR(__xludf.DUMMYFUNCTION("""COMPUTED_VALUE"""),46048.0)</f>
        <v>46048</v>
      </c>
      <c r="M1008" s="3"/>
      <c r="N1008" s="3"/>
      <c r="O1008" s="3" t="str">
        <f>IFERROR(VLOOKUP(C1008,Sheet4!A1008:F1795,6,0),"")</f>
        <v/>
      </c>
      <c r="Q1008" s="2" t="str">
        <f t="shared" si="1"/>
        <v>26</v>
      </c>
    </row>
    <row r="1009">
      <c r="A1009" s="3" t="str">
        <f>IFERROR(__xludf.DUMMYFUNCTION("""COMPUTED_VALUE"""),"Standby On Call")</f>
        <v>Standby On Call</v>
      </c>
      <c r="B1009" s="3" t="str">
        <f>IFERROR(__xludf.DUMMYFUNCTION("""COMPUTED_VALUE"""),"P3")</f>
        <v>P3</v>
      </c>
      <c r="C1009" s="3"/>
      <c r="D1009" s="3" t="str">
        <f>IFERROR(__xludf.DUMMYFUNCTION("""COMPUTED_VALUE"""),"Taklim")</f>
        <v>Taklim</v>
      </c>
      <c r="E1009" s="3" t="str">
        <f>IFERROR(__xludf.DUMMYFUNCTION("""COMPUTED_VALUE"""),"MBP")</f>
        <v>MBP</v>
      </c>
      <c r="F1009" s="3" t="str">
        <f>IFERROR(__xludf.DUMMYFUNCTION("""COMPUTED_VALUE"""),"Winda Sokenda")</f>
        <v>Winda Sokenda</v>
      </c>
      <c r="G1009" s="3" t="str">
        <f>IFERROR(__xludf.DUMMYFUNCTION("""COMPUTED_VALUE"""),"Barito Raya")</f>
        <v>Barito Raya</v>
      </c>
      <c r="H1009" s="3" t="str">
        <f>IFERROR(__xludf.DUMMYFUNCTION("""COMPUTED_VALUE"""),"Standby")</f>
        <v>Standby</v>
      </c>
      <c r="I1009" s="3" t="str">
        <f>IFERROR(__xludf.DUMMYFUNCTION("""COMPUTED_VALUE"""),"Standby On Call")</f>
        <v>Standby On Call</v>
      </c>
      <c r="J1009" s="3"/>
      <c r="K1009" s="27">
        <f>IFERROR(__xludf.DUMMYFUNCTION("""COMPUTED_VALUE"""),46048.0)</f>
        <v>46048</v>
      </c>
      <c r="L1009" s="27">
        <f>IFERROR(__xludf.DUMMYFUNCTION("""COMPUTED_VALUE"""),46048.0)</f>
        <v>46048</v>
      </c>
      <c r="M1009" s="3"/>
      <c r="N1009" s="3"/>
      <c r="O1009" s="3" t="str">
        <f>IFERROR(VLOOKUP(C1009,Sheet4!A1009:F1796,6,0),"")</f>
        <v/>
      </c>
      <c r="Q1009" s="2" t="str">
        <f t="shared" si="1"/>
        <v>26</v>
      </c>
    </row>
    <row r="1010">
      <c r="A1010" s="3" t="str">
        <f>IFERROR(__xludf.DUMMYFUNCTION("""COMPUTED_VALUE"""),"Standby On Call")</f>
        <v>Standby On Call</v>
      </c>
      <c r="B1010" s="3" t="str">
        <f>IFERROR(__xludf.DUMMYFUNCTION("""COMPUTED_VALUE"""),"P3")</f>
        <v>P3</v>
      </c>
      <c r="C1010" s="3"/>
      <c r="D1010" s="3" t="str">
        <f>IFERROR(__xludf.DUMMYFUNCTION("""COMPUTED_VALUE"""),"Ahmad Muzakir")</f>
        <v>Ahmad Muzakir</v>
      </c>
      <c r="E1010" s="3" t="str">
        <f>IFERROR(__xludf.DUMMYFUNCTION("""COMPUTED_VALUE"""),"MBP")</f>
        <v>MBP</v>
      </c>
      <c r="F1010" s="3" t="str">
        <f>IFERROR(__xludf.DUMMYFUNCTION("""COMPUTED_VALUE"""),"Winda Sokenda")</f>
        <v>Winda Sokenda</v>
      </c>
      <c r="G1010" s="3" t="str">
        <f>IFERROR(__xludf.DUMMYFUNCTION("""COMPUTED_VALUE"""),"Barito Raya")</f>
        <v>Barito Raya</v>
      </c>
      <c r="H1010" s="3" t="str">
        <f>IFERROR(__xludf.DUMMYFUNCTION("""COMPUTED_VALUE"""),"Standby")</f>
        <v>Standby</v>
      </c>
      <c r="I1010" s="3" t="str">
        <f>IFERROR(__xludf.DUMMYFUNCTION("""COMPUTED_VALUE"""),"Standby On Call")</f>
        <v>Standby On Call</v>
      </c>
      <c r="J1010" s="3"/>
      <c r="K1010" s="27">
        <f>IFERROR(__xludf.DUMMYFUNCTION("""COMPUTED_VALUE"""),46048.0)</f>
        <v>46048</v>
      </c>
      <c r="L1010" s="27">
        <f>IFERROR(__xludf.DUMMYFUNCTION("""COMPUTED_VALUE"""),46048.0)</f>
        <v>46048</v>
      </c>
      <c r="M1010" s="3"/>
      <c r="N1010" s="3"/>
      <c r="O1010" s="3" t="str">
        <f>IFERROR(VLOOKUP(C1010,Sheet4!A1010:F1797,6,0),"")</f>
        <v/>
      </c>
      <c r="Q1010" s="2" t="str">
        <f t="shared" si="1"/>
        <v>26</v>
      </c>
    </row>
    <row r="1011">
      <c r="A1011" s="3" t="str">
        <f>IFERROR(__xludf.DUMMYFUNCTION("""COMPUTED_VALUE"""),"Pengecekan Power")</f>
        <v>Pengecekan Power</v>
      </c>
      <c r="B1011" s="3" t="str">
        <f>IFERROR(__xludf.DUMMYFUNCTION("""COMPUTED_VALUE"""),"P1")</f>
        <v>P1</v>
      </c>
      <c r="C1011" s="3" t="str">
        <f>IFERROR(__xludf.DUMMYFUNCTION("""COMPUTED_VALUE"""),"KKP326")</f>
        <v>KKP326</v>
      </c>
      <c r="D1011" s="3" t="str">
        <f>IFERROR(__xludf.DUMMYFUNCTION("""COMPUTED_VALUE"""),"Alfi Syahri")</f>
        <v>Alfi Syahri</v>
      </c>
      <c r="E1011" s="3" t="str">
        <f>IFERROR(__xludf.DUMMYFUNCTION("""COMPUTED_VALUE"""),"CME")</f>
        <v>CME</v>
      </c>
      <c r="F1011" s="3" t="str">
        <f>IFERROR(__xludf.DUMMYFUNCTION("""COMPUTED_VALUE"""),"Winda Sokenda")</f>
        <v>Winda Sokenda</v>
      </c>
      <c r="G1011" s="3" t="str">
        <f>IFERROR(__xludf.DUMMYFUNCTION("""COMPUTED_VALUE"""),"Barito Raya")</f>
        <v>Barito Raya</v>
      </c>
      <c r="H1011" s="3" t="str">
        <f>IFERROR(__xludf.DUMMYFUNCTION("""COMPUTED_VALUE"""),"Preventive")</f>
        <v>Preventive</v>
      </c>
      <c r="I1011" s="3" t="str">
        <f>IFERROR(__xludf.DUMMYFUNCTION("""COMPUTED_VALUE"""),"MCB trip/Power upnormal")</f>
        <v>MCB trip/Power upnormal</v>
      </c>
      <c r="J1011" s="3" t="str">
        <f>IFERROR(__xludf.DUMMYFUNCTION("""COMPUTED_VALUE"""),"On Progress")</f>
        <v>On Progress</v>
      </c>
      <c r="K1011" s="27">
        <f>IFERROR(__xludf.DUMMYFUNCTION("""COMPUTED_VALUE"""),46048.0)</f>
        <v>46048</v>
      </c>
      <c r="L1011" s="27">
        <f>IFERROR(__xludf.DUMMYFUNCTION("""COMPUTED_VALUE"""),46048.0)</f>
        <v>46048</v>
      </c>
      <c r="M1011" s="3"/>
      <c r="N1011" s="3"/>
      <c r="O1011" s="3" t="str">
        <f>IFERROR(VLOOKUP(C1011,Sheet4!A1011:F1798,6,0),"")</f>
        <v/>
      </c>
      <c r="Q1011" s="2" t="str">
        <f t="shared" si="1"/>
        <v>26</v>
      </c>
    </row>
    <row r="1012">
      <c r="A1012" s="3" t="str">
        <f>IFERROR(__xludf.DUMMYFUNCTION("""COMPUTED_VALUE"""),"Site Down")</f>
        <v>Site Down</v>
      </c>
      <c r="B1012" s="3" t="str">
        <f>IFERROR(__xludf.DUMMYFUNCTION("""COMPUTED_VALUE"""),"P1")</f>
        <v>P1</v>
      </c>
      <c r="C1012" s="3" t="str">
        <f>IFERROR(__xludf.DUMMYFUNCTION("""COMPUTED_VALUE"""),"KKP021")</f>
        <v>KKP021</v>
      </c>
      <c r="D1012" s="3" t="str">
        <f>IFERROR(__xludf.DUMMYFUNCTION("""COMPUTED_VALUE"""),"Pujianto")</f>
        <v>Pujianto</v>
      </c>
      <c r="E1012" s="3" t="str">
        <f>IFERROR(__xludf.DUMMYFUNCTION("""COMPUTED_VALUE"""),"MBP")</f>
        <v>MBP</v>
      </c>
      <c r="F1012" s="3" t="str">
        <f>IFERROR(__xludf.DUMMYFUNCTION("""COMPUTED_VALUE"""),"Winda Sokenda")</f>
        <v>Winda Sokenda</v>
      </c>
      <c r="G1012" s="3" t="str">
        <f>IFERROR(__xludf.DUMMYFUNCTION("""COMPUTED_VALUE"""),"Barito Raya")</f>
        <v>Barito Raya</v>
      </c>
      <c r="H1012" s="3" t="str">
        <f>IFERROR(__xludf.DUMMYFUNCTION("""COMPUTED_VALUE"""),"Corrective")</f>
        <v>Corrective</v>
      </c>
      <c r="I1012" s="3" t="str">
        <f>IFERROR(__xludf.DUMMYFUNCTION("""COMPUTED_VALUE"""),"Pemadaman,MCB Trip,Transmisi problem")</f>
        <v>Pemadaman,MCB Trip,Transmisi problem</v>
      </c>
      <c r="J1012" s="3" t="str">
        <f>IFERROR(__xludf.DUMMYFUNCTION("""COMPUTED_VALUE"""),"On Progress")</f>
        <v>On Progress</v>
      </c>
      <c r="K1012" s="27">
        <f>IFERROR(__xludf.DUMMYFUNCTION("""COMPUTED_VALUE"""),46048.0)</f>
        <v>46048</v>
      </c>
      <c r="L1012" s="27">
        <f>IFERROR(__xludf.DUMMYFUNCTION("""COMPUTED_VALUE"""),46048.0)</f>
        <v>46048</v>
      </c>
      <c r="M1012" s="3"/>
      <c r="N1012" s="3"/>
      <c r="O1012" s="3" t="str">
        <f>IFERROR(VLOOKUP(C1012,Sheet4!A1012:F1799,6,0),"")</f>
        <v/>
      </c>
      <c r="Q1012" s="2" t="str">
        <f t="shared" si="1"/>
        <v>26</v>
      </c>
    </row>
    <row r="1013">
      <c r="A1013" s="3" t="str">
        <f>IFERROR(__xludf.DUMMYFUNCTION("""COMPUTED_VALUE"""),"PM")</f>
        <v>PM</v>
      </c>
      <c r="B1013" s="3" t="str">
        <f>IFERROR(__xludf.DUMMYFUNCTION("""COMPUTED_VALUE"""),"P2")</f>
        <v>P2</v>
      </c>
      <c r="C1013" s="3" t="str">
        <f>IFERROR(__xludf.DUMMYFUNCTION("""COMPUTED_VALUE"""),"BNT523")</f>
        <v>BNT523</v>
      </c>
      <c r="D1013" s="3" t="str">
        <f>IFERROR(__xludf.DUMMYFUNCTION("""COMPUTED_VALUE"""),"Trisno Susanto")</f>
        <v>Trisno Susanto</v>
      </c>
      <c r="E1013" s="3" t="str">
        <f>IFERROR(__xludf.DUMMYFUNCTION("""COMPUTED_VALUE"""),"PM")</f>
        <v>PM</v>
      </c>
      <c r="F1013" s="3" t="str">
        <f>IFERROR(__xludf.DUMMYFUNCTION("""COMPUTED_VALUE"""),"Winda Sokenda")</f>
        <v>Winda Sokenda</v>
      </c>
      <c r="G1013" s="3" t="str">
        <f>IFERROR(__xludf.DUMMYFUNCTION("""COMPUTED_VALUE"""),"Barito Raya")</f>
        <v>Barito Raya</v>
      </c>
      <c r="H1013" s="3" t="str">
        <f>IFERROR(__xludf.DUMMYFUNCTION("""COMPUTED_VALUE"""),"Preventive")</f>
        <v>Preventive</v>
      </c>
      <c r="I1013" s="3" t="str">
        <f>IFERROR(__xludf.DUMMYFUNCTION("""COMPUTED_VALUE"""),"Preventive Maintenance")</f>
        <v>Preventive Maintenance</v>
      </c>
      <c r="J1013" s="3" t="str">
        <f>IFERROR(__xludf.DUMMYFUNCTION("""COMPUTED_VALUE"""),"On Progress")</f>
        <v>On Progress</v>
      </c>
      <c r="K1013" s="27">
        <f>IFERROR(__xludf.DUMMYFUNCTION("""COMPUTED_VALUE"""),46048.0)</f>
        <v>46048</v>
      </c>
      <c r="L1013" s="27">
        <f>IFERROR(__xludf.DUMMYFUNCTION("""COMPUTED_VALUE"""),46048.0)</f>
        <v>46048</v>
      </c>
      <c r="M1013" s="3"/>
      <c r="N1013" s="3"/>
      <c r="O1013" s="3" t="str">
        <f>IFERROR(VLOOKUP(C1013,Sheet4!A1013:F1800,6,0),"")</f>
        <v/>
      </c>
      <c r="Q1013" s="2" t="str">
        <f t="shared" si="1"/>
        <v>26</v>
      </c>
    </row>
    <row r="1014">
      <c r="O1014" s="3" t="str">
        <f>IFERROR(VLOOKUP(C1014,Sheet4!A1014:F1801,6,0),"")</f>
        <v/>
      </c>
      <c r="Q1014" s="2" t="str">
        <f t="shared" si="1"/>
        <v/>
      </c>
    </row>
    <row r="1015">
      <c r="O1015" s="3" t="str">
        <f>IFERROR(VLOOKUP(C1015,Sheet4!A1015:F1802,6,0),"")</f>
        <v/>
      </c>
      <c r="Q1015" s="2" t="str">
        <f t="shared" si="1"/>
        <v/>
      </c>
    </row>
    <row r="1016">
      <c r="O1016" s="3" t="str">
        <f>IFERROR(VLOOKUP(C1016,Sheet4!A1016:F1803,6,0),"")</f>
        <v/>
      </c>
      <c r="Q1016" s="2" t="str">
        <f t="shared" si="1"/>
        <v/>
      </c>
    </row>
    <row r="1017">
      <c r="O1017" s="3" t="str">
        <f>IFERROR(VLOOKUP(C1017,Sheet4!A1017:F1804,6,0),"")</f>
        <v/>
      </c>
      <c r="Q1017" s="2" t="str">
        <f t="shared" si="1"/>
        <v/>
      </c>
    </row>
    <row r="1018">
      <c r="O1018" s="3" t="str">
        <f>IFERROR(VLOOKUP(C1018,Sheet4!A1018:F1805,6,0),"")</f>
        <v/>
      </c>
      <c r="Q1018" s="2" t="str">
        <f t="shared" si="1"/>
        <v/>
      </c>
    </row>
    <row r="1019">
      <c r="O1019" s="3" t="str">
        <f>IFERROR(VLOOKUP(C1019,Sheet4!A1019:F1806,6,0),"")</f>
        <v/>
      </c>
      <c r="Q1019" s="2" t="str">
        <f t="shared" si="1"/>
        <v/>
      </c>
    </row>
    <row r="1020">
      <c r="O1020" s="3" t="str">
        <f>IFERROR(VLOOKUP(C1020,Sheet4!A1020:F1807,6,0),"")</f>
        <v/>
      </c>
      <c r="Q1020" s="2" t="str">
        <f t="shared" si="1"/>
        <v/>
      </c>
    </row>
    <row r="1021">
      <c r="O1021" s="3" t="str">
        <f>IFERROR(VLOOKUP(C1021,Sheet4!A1021:F1808,6,0),"")</f>
        <v/>
      </c>
      <c r="Q1021" s="2" t="str">
        <f t="shared" si="1"/>
        <v/>
      </c>
    </row>
    <row r="1022">
      <c r="O1022" s="3" t="str">
        <f>IFERROR(VLOOKUP(C1022,Sheet4!A1022:F1809,6,0),"")</f>
        <v/>
      </c>
      <c r="Q1022" s="2" t="str">
        <f t="shared" si="1"/>
        <v/>
      </c>
    </row>
    <row r="1023">
      <c r="O1023" s="3" t="str">
        <f>IFERROR(VLOOKUP(C1023,Sheet4!A1023:F1810,6,0),"")</f>
        <v/>
      </c>
      <c r="Q1023" s="2" t="str">
        <f t="shared" si="1"/>
        <v/>
      </c>
    </row>
    <row r="1024">
      <c r="O1024" s="3" t="str">
        <f>IFERROR(VLOOKUP(C1024,Sheet4!A1024:F1811,6,0),"")</f>
        <v/>
      </c>
      <c r="Q1024" s="2" t="str">
        <f t="shared" si="1"/>
        <v/>
      </c>
    </row>
    <row r="1025">
      <c r="O1025" s="3" t="str">
        <f>IFERROR(VLOOKUP(C1025,Sheet4!A1025:F1812,6,0),"")</f>
        <v/>
      </c>
      <c r="Q1025" s="2" t="str">
        <f t="shared" si="1"/>
        <v/>
      </c>
    </row>
    <row r="1026">
      <c r="O1026" s="3" t="str">
        <f>IFERROR(VLOOKUP(C1026,Sheet4!A1026:F1813,6,0),"")</f>
        <v/>
      </c>
      <c r="Q1026" s="2" t="str">
        <f t="shared" si="1"/>
        <v/>
      </c>
    </row>
    <row r="1027">
      <c r="O1027" s="3" t="str">
        <f>IFERROR(VLOOKUP(C1027,Sheet4!A1027:F1814,6,0),"")</f>
        <v/>
      </c>
      <c r="Q1027" s="2" t="str">
        <f t="shared" si="1"/>
        <v/>
      </c>
    </row>
    <row r="1028">
      <c r="O1028" s="3" t="str">
        <f>IFERROR(VLOOKUP(C1028,Sheet4!A1028:F1815,6,0),"")</f>
        <v/>
      </c>
      <c r="Q1028" s="2" t="str">
        <f t="shared" si="1"/>
        <v/>
      </c>
    </row>
    <row r="1029">
      <c r="O1029" s="3" t="str">
        <f>IFERROR(VLOOKUP(C1029,Sheet4!A1029:F1816,6,0),"")</f>
        <v/>
      </c>
      <c r="Q1029" s="2" t="str">
        <f t="shared" si="1"/>
        <v/>
      </c>
    </row>
    <row r="1030">
      <c r="O1030" s="3" t="str">
        <f>IFERROR(VLOOKUP(C1030,Sheet4!A1030:F1817,6,0),"")</f>
        <v/>
      </c>
      <c r="Q1030" s="2" t="str">
        <f t="shared" si="1"/>
        <v/>
      </c>
    </row>
    <row r="1031">
      <c r="O1031" s="3" t="str">
        <f>IFERROR(VLOOKUP(C1031,Sheet4!A1031:F1818,6,0),"")</f>
        <v/>
      </c>
      <c r="Q1031" s="2" t="str">
        <f t="shared" si="1"/>
        <v/>
      </c>
    </row>
    <row r="1032">
      <c r="O1032" s="3" t="str">
        <f>IFERROR(VLOOKUP(C1032,Sheet4!A1032:F1819,6,0),"")</f>
        <v/>
      </c>
      <c r="Q1032" s="2" t="str">
        <f t="shared" si="1"/>
        <v/>
      </c>
    </row>
    <row r="1033">
      <c r="O1033" s="3" t="str">
        <f>IFERROR(VLOOKUP(C1033,Sheet4!A1033:F1820,6,0),"")</f>
        <v/>
      </c>
      <c r="Q1033" s="2" t="str">
        <f t="shared" si="1"/>
        <v/>
      </c>
    </row>
    <row r="1034">
      <c r="O1034" s="3" t="str">
        <f>IFERROR(VLOOKUP(C1034,Sheet4!A1034:F1821,6,0),"")</f>
        <v/>
      </c>
      <c r="Q1034" s="2" t="str">
        <f t="shared" si="1"/>
        <v/>
      </c>
    </row>
    <row r="1035">
      <c r="O1035" s="3" t="str">
        <f>IFERROR(VLOOKUP(C1035,Sheet4!A1035:F1822,6,0),"")</f>
        <v/>
      </c>
      <c r="Q1035" s="2" t="str">
        <f t="shared" si="1"/>
        <v/>
      </c>
    </row>
    <row r="1036">
      <c r="O1036" s="3" t="str">
        <f>IFERROR(VLOOKUP(C1036,Sheet4!A1036:F1823,6,0),"")</f>
        <v/>
      </c>
      <c r="Q1036" s="2" t="str">
        <f t="shared" si="1"/>
        <v/>
      </c>
    </row>
    <row r="1037">
      <c r="O1037" s="3" t="str">
        <f>IFERROR(VLOOKUP(C1037,Sheet4!A1037:F1824,6,0),"")</f>
        <v/>
      </c>
      <c r="Q1037" s="2" t="str">
        <f t="shared" si="1"/>
        <v/>
      </c>
    </row>
    <row r="1038">
      <c r="O1038" s="3" t="str">
        <f>IFERROR(VLOOKUP(C1038,Sheet4!A1038:F1825,6,0),"")</f>
        <v/>
      </c>
      <c r="Q1038" s="2" t="str">
        <f t="shared" si="1"/>
        <v/>
      </c>
    </row>
    <row r="1039">
      <c r="O1039" s="3" t="str">
        <f>IFERROR(VLOOKUP(C1039,Sheet4!A1039:F1826,6,0),"")</f>
        <v/>
      </c>
      <c r="Q1039" s="2" t="str">
        <f t="shared" si="1"/>
        <v/>
      </c>
    </row>
    <row r="1040">
      <c r="O1040" s="3" t="str">
        <f>IFERROR(VLOOKUP(C1040,Sheet4!A1040:F1827,6,0),"")</f>
        <v/>
      </c>
      <c r="Q1040" s="2" t="str">
        <f t="shared" si="1"/>
        <v/>
      </c>
    </row>
    <row r="1041">
      <c r="O1041" s="3" t="str">
        <f>IFERROR(VLOOKUP(C1041,Sheet4!A1041:F1828,6,0),"")</f>
        <v/>
      </c>
      <c r="Q1041" s="2" t="str">
        <f t="shared" si="1"/>
        <v/>
      </c>
    </row>
    <row r="1042">
      <c r="O1042" s="3" t="str">
        <f>IFERROR(VLOOKUP(C1042,Sheet4!A1042:F1829,6,0),"")</f>
        <v/>
      </c>
      <c r="Q1042" s="2" t="str">
        <f t="shared" si="1"/>
        <v/>
      </c>
    </row>
    <row r="1043">
      <c r="O1043" s="3" t="str">
        <f>IFERROR(VLOOKUP(C1043,Sheet4!A1043:F1830,6,0),"")</f>
        <v/>
      </c>
      <c r="Q1043" s="2" t="str">
        <f t="shared" si="1"/>
        <v/>
      </c>
    </row>
    <row r="1044">
      <c r="O1044" s="3" t="str">
        <f>IFERROR(VLOOKUP(C1044,Sheet4!A1044:F1831,6,0),"")</f>
        <v/>
      </c>
      <c r="Q1044" s="2" t="str">
        <f t="shared" si="1"/>
        <v/>
      </c>
    </row>
    <row r="1045">
      <c r="O1045" s="3" t="str">
        <f>IFERROR(VLOOKUP(C1045,Sheet4!A1045:F1832,6,0),"")</f>
        <v/>
      </c>
      <c r="Q1045" s="2" t="str">
        <f t="shared" si="1"/>
        <v/>
      </c>
    </row>
    <row r="1046">
      <c r="O1046" s="3" t="str">
        <f>IFERROR(VLOOKUP(C1046,Sheet4!A1046:F1833,6,0),"")</f>
        <v/>
      </c>
      <c r="Q1046" s="2" t="str">
        <f t="shared" si="1"/>
        <v/>
      </c>
    </row>
    <row r="1047">
      <c r="O1047" s="3" t="str">
        <f>IFERROR(VLOOKUP(C1047,Sheet4!A1047:F1834,6,0),"")</f>
        <v/>
      </c>
      <c r="Q1047" s="2" t="str">
        <f t="shared" si="1"/>
        <v/>
      </c>
    </row>
    <row r="1048">
      <c r="O1048" s="3" t="str">
        <f>IFERROR(VLOOKUP(C1048,Sheet4!A1048:F1835,6,0),"")</f>
        <v/>
      </c>
      <c r="Q1048" s="2" t="str">
        <f t="shared" si="1"/>
        <v/>
      </c>
    </row>
    <row r="1049">
      <c r="O1049" s="3" t="str">
        <f>IFERROR(VLOOKUP(C1049,Sheet4!A1049:F1836,6,0),"")</f>
        <v/>
      </c>
      <c r="Q1049" s="2" t="str">
        <f t="shared" si="1"/>
        <v/>
      </c>
    </row>
    <row r="1050">
      <c r="O1050" s="3" t="str">
        <f>IFERROR(VLOOKUP(C1050,Sheet4!A1050:F1837,6,0),"")</f>
        <v/>
      </c>
      <c r="Q1050" s="2" t="str">
        <f t="shared" si="1"/>
        <v/>
      </c>
    </row>
    <row r="1051">
      <c r="O1051" s="3" t="str">
        <f>IFERROR(VLOOKUP(C1051,Sheet4!A1051:F1838,6,0),"")</f>
        <v/>
      </c>
      <c r="Q1051" s="2" t="str">
        <f t="shared" si="1"/>
        <v/>
      </c>
    </row>
    <row r="1052">
      <c r="O1052" s="3" t="str">
        <f>IFERROR(VLOOKUP(C1052,Sheet4!A1052:F1839,6,0),"")</f>
        <v/>
      </c>
      <c r="Q1052" s="2" t="str">
        <f t="shared" si="1"/>
        <v/>
      </c>
    </row>
    <row r="1053">
      <c r="O1053" s="3" t="str">
        <f>IFERROR(VLOOKUP(C1053,Sheet4!A1053:F1840,6,0),"")</f>
        <v/>
      </c>
      <c r="Q1053" s="2" t="str">
        <f t="shared" si="1"/>
        <v/>
      </c>
    </row>
    <row r="1054">
      <c r="O1054" s="3" t="str">
        <f>IFERROR(VLOOKUP(C1054,Sheet4!A1054:F1841,6,0),"")</f>
        <v/>
      </c>
      <c r="Q1054" s="2" t="str">
        <f t="shared" si="1"/>
        <v/>
      </c>
    </row>
    <row r="1055">
      <c r="O1055" s="3" t="str">
        <f>IFERROR(VLOOKUP(C1055,Sheet4!A1055:F1842,6,0),"")</f>
        <v/>
      </c>
      <c r="Q1055" s="2" t="str">
        <f t="shared" si="1"/>
        <v/>
      </c>
    </row>
    <row r="1056">
      <c r="O1056" s="3" t="str">
        <f>IFERROR(VLOOKUP(C1056,Sheet4!A1056:F1843,6,0),"")</f>
        <v/>
      </c>
      <c r="Q1056" s="2" t="str">
        <f t="shared" si="1"/>
        <v/>
      </c>
    </row>
    <row r="1057">
      <c r="O1057" s="3" t="str">
        <f>IFERROR(VLOOKUP(C1057,Sheet4!A1057:F1844,6,0),"")</f>
        <v/>
      </c>
      <c r="Q1057" s="2" t="str">
        <f t="shared" si="1"/>
        <v/>
      </c>
    </row>
    <row r="1058">
      <c r="O1058" s="3" t="str">
        <f>IFERROR(VLOOKUP(C1058,Sheet4!A1058:F1845,6,0),"")</f>
        <v/>
      </c>
      <c r="Q1058" s="2" t="str">
        <f t="shared" si="1"/>
        <v/>
      </c>
    </row>
    <row r="1059">
      <c r="O1059" s="3" t="str">
        <f>IFERROR(VLOOKUP(C1059,Sheet4!A1059:F1846,6,0),"")</f>
        <v/>
      </c>
      <c r="Q1059" s="2" t="str">
        <f t="shared" si="1"/>
        <v/>
      </c>
    </row>
    <row r="1060">
      <c r="O1060" s="3" t="str">
        <f>IFERROR(VLOOKUP(C1060,Sheet4!A1060:F1847,6,0),"")</f>
        <v/>
      </c>
      <c r="Q1060" s="2" t="str">
        <f t="shared" si="1"/>
        <v/>
      </c>
    </row>
    <row r="1061">
      <c r="O1061" s="3" t="str">
        <f>IFERROR(VLOOKUP(C1061,Sheet4!A1061:F1848,6,0),"")</f>
        <v/>
      </c>
      <c r="Q1061" s="2" t="str">
        <f t="shared" si="1"/>
        <v/>
      </c>
    </row>
    <row r="1062">
      <c r="O1062" s="3" t="str">
        <f>IFERROR(VLOOKUP(C1062,Sheet4!A1062:F1849,6,0),"")</f>
        <v/>
      </c>
      <c r="Q1062" s="2" t="str">
        <f t="shared" si="1"/>
        <v/>
      </c>
    </row>
    <row r="1063">
      <c r="O1063" s="3" t="str">
        <f>IFERROR(VLOOKUP(C1063,Sheet4!A1063:F1850,6,0),"")</f>
        <v/>
      </c>
      <c r="Q1063" s="2" t="str">
        <f t="shared" si="1"/>
        <v/>
      </c>
    </row>
    <row r="1064">
      <c r="O1064" s="3" t="str">
        <f>IFERROR(VLOOKUP(C1064,Sheet4!A1064:F1851,6,0),"")</f>
        <v/>
      </c>
      <c r="Q1064" s="2" t="str">
        <f t="shared" si="1"/>
        <v/>
      </c>
    </row>
    <row r="1065">
      <c r="O1065" s="3" t="str">
        <f>IFERROR(VLOOKUP(C1065,Sheet4!A1065:F1852,6,0),"")</f>
        <v/>
      </c>
      <c r="Q1065" s="2" t="str">
        <f t="shared" si="1"/>
        <v/>
      </c>
    </row>
    <row r="1066">
      <c r="O1066" s="3" t="str">
        <f>IFERROR(VLOOKUP(C1066,Sheet4!A1066:F1853,6,0),"")</f>
        <v/>
      </c>
      <c r="Q1066" s="2" t="str">
        <f t="shared" si="1"/>
        <v/>
      </c>
    </row>
    <row r="1067">
      <c r="O1067" s="3" t="str">
        <f>IFERROR(VLOOKUP(C1067,Sheet4!A1067:F1854,6,0),"")</f>
        <v/>
      </c>
      <c r="Q1067" s="2" t="str">
        <f t="shared" si="1"/>
        <v/>
      </c>
    </row>
    <row r="1068">
      <c r="O1068" s="3" t="str">
        <f>IFERROR(VLOOKUP(C1068,Sheet4!A1068:F1855,6,0),"")</f>
        <v/>
      </c>
      <c r="Q1068" s="2" t="str">
        <f t="shared" si="1"/>
        <v/>
      </c>
    </row>
    <row r="1069">
      <c r="O1069" s="3" t="str">
        <f>IFERROR(VLOOKUP(C1069,Sheet4!A1069:F1856,6,0),"")</f>
        <v/>
      </c>
      <c r="Q1069" s="2" t="str">
        <f t="shared" si="1"/>
        <v/>
      </c>
    </row>
    <row r="1070">
      <c r="O1070" s="3" t="str">
        <f>IFERROR(VLOOKUP(C1070,Sheet4!A1070:F1857,6,0),"")</f>
        <v/>
      </c>
      <c r="Q1070" s="2" t="str">
        <f t="shared" si="1"/>
        <v/>
      </c>
    </row>
    <row r="1071">
      <c r="O1071" s="3" t="str">
        <f>IFERROR(VLOOKUP(C1071,Sheet4!A1071:F1858,6,0),"")</f>
        <v/>
      </c>
      <c r="Q1071" s="2" t="str">
        <f t="shared" si="1"/>
        <v/>
      </c>
    </row>
    <row r="1072">
      <c r="O1072" s="3" t="str">
        <f>IFERROR(VLOOKUP(C1072,Sheet4!A1072:F1859,6,0),"")</f>
        <v/>
      </c>
      <c r="Q1072" s="2" t="str">
        <f t="shared" si="1"/>
        <v/>
      </c>
    </row>
    <row r="1073">
      <c r="O1073" s="3" t="str">
        <f>IFERROR(VLOOKUP(C1073,Sheet4!A1073:F1860,6,0),"")</f>
        <v/>
      </c>
      <c r="Q1073" s="2" t="str">
        <f t="shared" si="1"/>
        <v/>
      </c>
    </row>
    <row r="1074">
      <c r="O1074" s="3" t="str">
        <f>IFERROR(VLOOKUP(C1074,Sheet4!A1074:F1861,6,0),"")</f>
        <v/>
      </c>
      <c r="Q1074" s="2" t="str">
        <f t="shared" si="1"/>
        <v/>
      </c>
    </row>
    <row r="1075">
      <c r="O1075" s="3" t="str">
        <f>IFERROR(VLOOKUP(C1075,Sheet4!A1075:F1862,6,0),"")</f>
        <v/>
      </c>
      <c r="Q1075" s="2" t="str">
        <f t="shared" si="1"/>
        <v/>
      </c>
    </row>
    <row r="1076">
      <c r="O1076" s="3" t="str">
        <f>IFERROR(VLOOKUP(C1076,Sheet4!A1076:F1863,6,0),"")</f>
        <v/>
      </c>
      <c r="Q1076" s="2" t="str">
        <f t="shared" si="1"/>
        <v/>
      </c>
    </row>
    <row r="1077">
      <c r="O1077" s="3" t="str">
        <f>IFERROR(VLOOKUP(C1077,Sheet4!A1077:F1864,6,0),"")</f>
        <v/>
      </c>
      <c r="Q1077" s="2" t="str">
        <f t="shared" si="1"/>
        <v/>
      </c>
    </row>
    <row r="1078">
      <c r="O1078" s="3" t="str">
        <f>IFERROR(VLOOKUP(C1078,Sheet4!A1078:F1865,6,0),"")</f>
        <v/>
      </c>
      <c r="Q1078" s="2" t="str">
        <f t="shared" si="1"/>
        <v/>
      </c>
    </row>
    <row r="1079">
      <c r="O1079" s="3" t="str">
        <f>IFERROR(VLOOKUP(C1079,Sheet4!A1079:F1866,6,0),"")</f>
        <v/>
      </c>
      <c r="Q1079" s="2" t="str">
        <f t="shared" si="1"/>
        <v/>
      </c>
    </row>
    <row r="1080">
      <c r="O1080" s="3" t="str">
        <f>IFERROR(VLOOKUP(C1080,Sheet4!A1080:F1867,6,0),"")</f>
        <v/>
      </c>
      <c r="Q1080" s="2" t="str">
        <f t="shared" si="1"/>
        <v/>
      </c>
    </row>
    <row r="1081">
      <c r="O1081" s="3" t="str">
        <f>IFERROR(VLOOKUP(C1081,Sheet4!A1081:F1868,6,0),"")</f>
        <v/>
      </c>
      <c r="Q1081" s="2" t="str">
        <f t="shared" si="1"/>
        <v/>
      </c>
    </row>
    <row r="1082">
      <c r="O1082" s="3" t="str">
        <f>IFERROR(VLOOKUP(C1082,Sheet4!A1082:F1869,6,0),"")</f>
        <v/>
      </c>
      <c r="Q1082" s="2" t="str">
        <f t="shared" si="1"/>
        <v/>
      </c>
    </row>
    <row r="1083">
      <c r="O1083" s="3" t="str">
        <f>IFERROR(VLOOKUP(C1083,Sheet4!A1083:F1870,6,0),"")</f>
        <v/>
      </c>
      <c r="Q1083" s="2" t="str">
        <f t="shared" si="1"/>
        <v/>
      </c>
    </row>
    <row r="1084">
      <c r="O1084" s="3" t="str">
        <f>IFERROR(VLOOKUP(C1084,Sheet4!A1084:F1871,6,0),"")</f>
        <v/>
      </c>
      <c r="Q1084" s="2" t="str">
        <f t="shared" si="1"/>
        <v/>
      </c>
    </row>
    <row r="1085">
      <c r="O1085" s="3" t="str">
        <f>IFERROR(VLOOKUP(C1085,Sheet4!A1085:F1872,6,0),"")</f>
        <v/>
      </c>
      <c r="Q1085" s="2" t="str">
        <f t="shared" si="1"/>
        <v/>
      </c>
    </row>
    <row r="1086">
      <c r="O1086" s="3" t="str">
        <f>IFERROR(VLOOKUP(C1086,Sheet4!A1086:F1873,6,0),"")</f>
        <v/>
      </c>
      <c r="Q1086" s="2" t="str">
        <f t="shared" si="1"/>
        <v/>
      </c>
    </row>
    <row r="1087">
      <c r="O1087" s="3" t="str">
        <f>IFERROR(VLOOKUP(C1087,Sheet4!A1087:F1874,6,0),"")</f>
        <v/>
      </c>
      <c r="Q1087" s="2" t="str">
        <f t="shared" si="1"/>
        <v/>
      </c>
    </row>
    <row r="1088">
      <c r="O1088" s="3" t="str">
        <f>IFERROR(VLOOKUP(C1088,Sheet4!A1088:F1875,6,0),"")</f>
        <v/>
      </c>
      <c r="Q1088" s="2" t="str">
        <f t="shared" si="1"/>
        <v/>
      </c>
    </row>
    <row r="1089">
      <c r="O1089" s="3" t="str">
        <f>IFERROR(VLOOKUP(C1089,Sheet4!A1089:F1876,6,0),"")</f>
        <v/>
      </c>
      <c r="Q1089" s="2" t="str">
        <f t="shared" si="1"/>
        <v/>
      </c>
    </row>
    <row r="1090">
      <c r="O1090" s="3" t="str">
        <f>IFERROR(VLOOKUP(C1090,Sheet4!A1090:F1877,6,0),"")</f>
        <v/>
      </c>
      <c r="Q1090" s="2" t="str">
        <f t="shared" si="1"/>
        <v/>
      </c>
    </row>
    <row r="1091">
      <c r="O1091" s="3" t="str">
        <f>IFERROR(VLOOKUP(C1091,Sheet4!A1091:F1878,6,0),"")</f>
        <v/>
      </c>
      <c r="Q1091" s="2" t="str">
        <f t="shared" si="1"/>
        <v/>
      </c>
    </row>
    <row r="1092">
      <c r="O1092" s="3" t="str">
        <f>IFERROR(VLOOKUP(C1092,Sheet4!A1092:F1879,6,0),"")</f>
        <v/>
      </c>
      <c r="Q1092" s="2" t="str">
        <f t="shared" si="1"/>
        <v/>
      </c>
    </row>
    <row r="1093">
      <c r="O1093" s="3" t="str">
        <f>IFERROR(VLOOKUP(C1093,Sheet4!A1093:F1880,6,0),"")</f>
        <v/>
      </c>
      <c r="Q1093" s="2" t="str">
        <f t="shared" si="1"/>
        <v/>
      </c>
    </row>
    <row r="1094">
      <c r="O1094" s="3" t="str">
        <f>IFERROR(VLOOKUP(C1094,Sheet4!A1094:F1881,6,0),"")</f>
        <v/>
      </c>
      <c r="Q1094" s="2" t="str">
        <f t="shared" si="1"/>
        <v/>
      </c>
    </row>
    <row r="1095">
      <c r="O1095" s="3" t="str">
        <f>IFERROR(VLOOKUP(C1095,Sheet4!A1095:F1882,6,0),"")</f>
        <v/>
      </c>
      <c r="Q1095" s="2" t="str">
        <f t="shared" si="1"/>
        <v/>
      </c>
    </row>
    <row r="1096">
      <c r="O1096" s="3" t="str">
        <f>IFERROR(VLOOKUP(C1096,Sheet4!A1096:F1883,6,0),"")</f>
        <v/>
      </c>
      <c r="Q1096" s="2" t="str">
        <f t="shared" si="1"/>
        <v/>
      </c>
    </row>
    <row r="1097">
      <c r="O1097" s="3" t="str">
        <f>IFERROR(VLOOKUP(C1097,Sheet4!A1097:F1884,6,0),"")</f>
        <v/>
      </c>
      <c r="Q1097" s="2" t="str">
        <f t="shared" si="1"/>
        <v/>
      </c>
    </row>
    <row r="1098">
      <c r="O1098" s="3" t="str">
        <f>IFERROR(VLOOKUP(C1098,Sheet4!A1098:F1885,6,0),"")</f>
        <v/>
      </c>
      <c r="Q1098" s="2" t="str">
        <f t="shared" si="1"/>
        <v/>
      </c>
    </row>
    <row r="1099">
      <c r="O1099" s="3" t="str">
        <f>IFERROR(VLOOKUP(C1099,Sheet4!A1099:F1886,6,0),"")</f>
        <v/>
      </c>
      <c r="Q1099" s="2" t="str">
        <f t="shared" si="1"/>
        <v/>
      </c>
    </row>
    <row r="1100">
      <c r="O1100" s="3" t="str">
        <f>IFERROR(VLOOKUP(C1100,Sheet4!A1100:F1887,6,0),"")</f>
        <v/>
      </c>
      <c r="Q1100" s="2" t="str">
        <f t="shared" si="1"/>
        <v/>
      </c>
    </row>
    <row r="1101">
      <c r="O1101" s="3" t="str">
        <f>IFERROR(VLOOKUP(C1101,Sheet4!A1101:F1888,6,0),"")</f>
        <v/>
      </c>
      <c r="Q1101" s="2" t="str">
        <f t="shared" si="1"/>
        <v/>
      </c>
    </row>
    <row r="1102">
      <c r="O1102" s="3" t="str">
        <f>IFERROR(VLOOKUP(C1102,Sheet4!A1102:F1889,6,0),"")</f>
        <v/>
      </c>
      <c r="Q1102" s="2" t="str">
        <f t="shared" si="1"/>
        <v/>
      </c>
    </row>
    <row r="1103">
      <c r="O1103" s="3" t="str">
        <f>IFERROR(VLOOKUP(C1103,Sheet4!A1103:F1890,6,0),"")</f>
        <v/>
      </c>
      <c r="Q1103" s="2" t="str">
        <f t="shared" si="1"/>
        <v/>
      </c>
    </row>
    <row r="1104">
      <c r="O1104" s="3" t="str">
        <f>IFERROR(VLOOKUP(C1104,Sheet4!A1104:F1891,6,0),"")</f>
        <v/>
      </c>
      <c r="Q1104" s="2" t="str">
        <f t="shared" si="1"/>
        <v/>
      </c>
    </row>
    <row r="1105">
      <c r="O1105" s="3" t="str">
        <f>IFERROR(VLOOKUP(C1105,Sheet4!A1105:F1892,6,0),"")</f>
        <v/>
      </c>
      <c r="Q1105" s="2" t="str">
        <f t="shared" si="1"/>
        <v/>
      </c>
    </row>
    <row r="1106">
      <c r="O1106" s="3" t="str">
        <f>IFERROR(VLOOKUP(C1106,Sheet4!A1106:F1893,6,0),"")</f>
        <v/>
      </c>
      <c r="Q1106" s="2" t="str">
        <f t="shared" si="1"/>
        <v/>
      </c>
    </row>
    <row r="1107">
      <c r="O1107" s="3" t="str">
        <f>IFERROR(VLOOKUP(C1107,Sheet4!A1107:F1894,6,0),"")</f>
        <v/>
      </c>
      <c r="Q1107" s="2" t="str">
        <f t="shared" si="1"/>
        <v/>
      </c>
    </row>
    <row r="1108">
      <c r="O1108" s="3" t="str">
        <f>IFERROR(VLOOKUP(C1108,Sheet4!A1108:F1895,6,0),"")</f>
        <v/>
      </c>
      <c r="Q1108" s="2" t="str">
        <f t="shared" si="1"/>
        <v/>
      </c>
    </row>
    <row r="1109">
      <c r="O1109" s="3" t="str">
        <f>IFERROR(VLOOKUP(C1109,Sheet4!A1109:F1896,6,0),"")</f>
        <v/>
      </c>
      <c r="Q1109" s="2" t="str">
        <f t="shared" si="1"/>
        <v/>
      </c>
    </row>
    <row r="1110">
      <c r="O1110" s="3" t="str">
        <f>IFERROR(VLOOKUP(C1110,Sheet4!A1110:F1897,6,0),"")</f>
        <v/>
      </c>
      <c r="Q1110" s="2" t="str">
        <f t="shared" si="1"/>
        <v/>
      </c>
    </row>
    <row r="1111">
      <c r="O1111" s="3" t="str">
        <f>IFERROR(VLOOKUP(C1111,Sheet4!A1111:F1898,6,0),"")</f>
        <v/>
      </c>
      <c r="Q1111" s="2" t="str">
        <f t="shared" si="1"/>
        <v/>
      </c>
    </row>
    <row r="1112">
      <c r="O1112" s="3" t="str">
        <f>IFERROR(VLOOKUP(C1112,Sheet4!A1112:F1899,6,0),"")</f>
        <v/>
      </c>
      <c r="Q1112" s="2" t="str">
        <f t="shared" si="1"/>
        <v/>
      </c>
    </row>
    <row r="1113">
      <c r="O1113" s="3" t="str">
        <f>IFERROR(VLOOKUP(C1113,Sheet4!A1113:F1900,6,0),"")</f>
        <v/>
      </c>
      <c r="Q1113" s="2" t="str">
        <f t="shared" si="1"/>
        <v/>
      </c>
    </row>
    <row r="1114">
      <c r="O1114" s="3" t="str">
        <f>IFERROR(VLOOKUP(C1114,Sheet4!A1114:F1901,6,0),"")</f>
        <v/>
      </c>
      <c r="Q1114" s="2" t="str">
        <f t="shared" si="1"/>
        <v/>
      </c>
    </row>
    <row r="1115">
      <c r="O1115" s="3" t="str">
        <f>IFERROR(VLOOKUP(C1115,Sheet4!A1115:F1902,6,0),"")</f>
        <v/>
      </c>
      <c r="Q1115" s="2" t="str">
        <f t="shared" si="1"/>
        <v/>
      </c>
    </row>
    <row r="1116">
      <c r="O1116" s="3" t="str">
        <f>IFERROR(VLOOKUP(C1116,Sheet4!A1116:F1903,6,0),"")</f>
        <v/>
      </c>
      <c r="Q1116" s="2" t="str">
        <f t="shared" si="1"/>
        <v/>
      </c>
    </row>
    <row r="1117">
      <c r="O1117" s="3" t="str">
        <f>IFERROR(VLOOKUP(C1117,Sheet4!A1117:F1904,6,0),"")</f>
        <v/>
      </c>
      <c r="Q1117" s="2" t="str">
        <f t="shared" si="1"/>
        <v/>
      </c>
    </row>
    <row r="1118">
      <c r="O1118" s="3" t="str">
        <f>IFERROR(VLOOKUP(C1118,Sheet4!A1118:F1905,6,0),"")</f>
        <v/>
      </c>
      <c r="Q1118" s="2" t="str">
        <f t="shared" si="1"/>
        <v/>
      </c>
    </row>
    <row r="1119">
      <c r="O1119" s="3" t="str">
        <f>IFERROR(VLOOKUP(C1119,Sheet4!A1119:F1906,6,0),"")</f>
        <v/>
      </c>
      <c r="Q1119" s="2" t="str">
        <f t="shared" si="1"/>
        <v/>
      </c>
    </row>
    <row r="1120">
      <c r="O1120" s="3" t="str">
        <f>IFERROR(VLOOKUP(C1120,Sheet4!A1120:F1907,6,0),"")</f>
        <v/>
      </c>
      <c r="Q1120" s="2" t="str">
        <f t="shared" si="1"/>
        <v/>
      </c>
    </row>
    <row r="1121">
      <c r="O1121" s="3" t="str">
        <f>IFERROR(VLOOKUP(C1121,Sheet4!A1121:F1908,6,0),"")</f>
        <v/>
      </c>
      <c r="Q1121" s="2" t="str">
        <f t="shared" si="1"/>
        <v/>
      </c>
    </row>
    <row r="1122">
      <c r="O1122" s="3" t="str">
        <f>IFERROR(VLOOKUP(C1122,Sheet4!A1122:F1909,6,0),"")</f>
        <v/>
      </c>
      <c r="Q1122" s="2" t="str">
        <f t="shared" si="1"/>
        <v/>
      </c>
    </row>
    <row r="1123">
      <c r="O1123" s="3" t="str">
        <f>IFERROR(VLOOKUP(C1123,Sheet4!A1123:F1910,6,0),"")</f>
        <v/>
      </c>
      <c r="Q1123" s="2" t="str">
        <f t="shared" si="1"/>
        <v/>
      </c>
    </row>
    <row r="1124">
      <c r="O1124" s="3" t="str">
        <f>IFERROR(VLOOKUP(C1124,Sheet4!A1124:F1911,6,0),"")</f>
        <v/>
      </c>
      <c r="Q1124" s="2" t="str">
        <f t="shared" si="1"/>
        <v/>
      </c>
    </row>
    <row r="1125">
      <c r="O1125" s="3" t="str">
        <f>IFERROR(VLOOKUP(C1125,Sheet4!A1125:F1912,6,0),"")</f>
        <v/>
      </c>
      <c r="Q1125" s="2" t="str">
        <f t="shared" si="1"/>
        <v/>
      </c>
    </row>
    <row r="1126">
      <c r="O1126" s="3" t="str">
        <f>IFERROR(VLOOKUP(C1126,Sheet4!A1126:F1913,6,0),"")</f>
        <v/>
      </c>
      <c r="Q1126" s="2" t="str">
        <f t="shared" si="1"/>
        <v/>
      </c>
    </row>
    <row r="1127">
      <c r="O1127" s="3" t="str">
        <f>IFERROR(VLOOKUP(C1127,Sheet4!A1127:F1914,6,0),"")</f>
        <v/>
      </c>
      <c r="Q1127" s="2" t="str">
        <f t="shared" si="1"/>
        <v/>
      </c>
    </row>
    <row r="1128">
      <c r="O1128" s="3" t="str">
        <f>IFERROR(VLOOKUP(C1128,Sheet4!A1128:F1915,6,0),"")</f>
        <v/>
      </c>
      <c r="Q1128" s="2" t="str">
        <f t="shared" si="1"/>
        <v/>
      </c>
    </row>
    <row r="1129">
      <c r="O1129" s="3" t="str">
        <f>IFERROR(VLOOKUP(C1129,Sheet4!A1129:F1916,6,0),"")</f>
        <v/>
      </c>
      <c r="Q1129" s="2" t="str">
        <f t="shared" si="1"/>
        <v/>
      </c>
    </row>
    <row r="1130">
      <c r="O1130" s="3" t="str">
        <f>IFERROR(VLOOKUP(C1130,Sheet4!A1130:F1917,6,0),"")</f>
        <v/>
      </c>
      <c r="Q1130" s="2" t="str">
        <f t="shared" si="1"/>
        <v/>
      </c>
    </row>
    <row r="1131">
      <c r="O1131" s="3" t="str">
        <f>IFERROR(VLOOKUP(C1131,Sheet4!A1131:F1918,6,0),"")</f>
        <v/>
      </c>
      <c r="Q1131" s="2" t="str">
        <f t="shared" si="1"/>
        <v/>
      </c>
    </row>
    <row r="1132">
      <c r="O1132" s="3" t="str">
        <f>IFERROR(VLOOKUP(C1132,Sheet4!A1132:F1919,6,0),"")</f>
        <v/>
      </c>
      <c r="Q1132" s="2" t="str">
        <f t="shared" si="1"/>
        <v/>
      </c>
    </row>
    <row r="1133">
      <c r="O1133" s="3" t="str">
        <f>IFERROR(VLOOKUP(C1133,Sheet4!A1133:F1920,6,0),"")</f>
        <v/>
      </c>
      <c r="Q1133" s="2" t="str">
        <f t="shared" si="1"/>
        <v/>
      </c>
    </row>
    <row r="1134">
      <c r="O1134" s="3" t="str">
        <f>IFERROR(VLOOKUP(C1134,Sheet4!A1134:F1921,6,0),"")</f>
        <v/>
      </c>
      <c r="Q1134" s="2" t="str">
        <f t="shared" si="1"/>
        <v/>
      </c>
    </row>
    <row r="1135">
      <c r="O1135" s="3" t="str">
        <f>IFERROR(VLOOKUP(C1135,Sheet4!A1135:F1922,6,0),"")</f>
        <v/>
      </c>
      <c r="Q1135" s="2" t="str">
        <f t="shared" si="1"/>
        <v/>
      </c>
    </row>
    <row r="1136">
      <c r="O1136" s="3" t="str">
        <f>IFERROR(VLOOKUP(C1136,Sheet4!A1136:F1923,6,0),"")</f>
        <v/>
      </c>
      <c r="Q1136" s="2" t="str">
        <f t="shared" si="1"/>
        <v/>
      </c>
    </row>
    <row r="1137">
      <c r="O1137" s="3" t="str">
        <f>IFERROR(VLOOKUP(C1137,Sheet4!A1137:F1924,6,0),"")</f>
        <v/>
      </c>
      <c r="Q1137" s="2" t="str">
        <f t="shared" si="1"/>
        <v/>
      </c>
    </row>
    <row r="1138">
      <c r="O1138" s="3" t="str">
        <f>IFERROR(VLOOKUP(C1138,Sheet4!A1138:F1925,6,0),"")</f>
        <v/>
      </c>
      <c r="Q1138" s="2" t="str">
        <f t="shared" si="1"/>
        <v/>
      </c>
    </row>
    <row r="1139">
      <c r="O1139" s="3" t="str">
        <f>IFERROR(VLOOKUP(C1139,Sheet4!A1139:F1926,6,0),"")</f>
        <v/>
      </c>
      <c r="Q1139" s="2" t="str">
        <f t="shared" si="1"/>
        <v/>
      </c>
    </row>
    <row r="1140">
      <c r="O1140" s="3" t="str">
        <f>IFERROR(VLOOKUP(C1140,Sheet4!A1140:F1927,6,0),"")</f>
        <v/>
      </c>
      <c r="Q1140" s="2" t="str">
        <f t="shared" si="1"/>
        <v/>
      </c>
    </row>
    <row r="1141">
      <c r="O1141" s="3" t="str">
        <f>IFERROR(VLOOKUP(C1141,Sheet4!A1141:F1928,6,0),"")</f>
        <v/>
      </c>
      <c r="Q1141" s="2" t="str">
        <f t="shared" si="1"/>
        <v/>
      </c>
    </row>
    <row r="1142">
      <c r="O1142" s="3" t="str">
        <f>IFERROR(VLOOKUP(C1142,Sheet4!A1142:F1929,6,0),"")</f>
        <v/>
      </c>
      <c r="Q1142" s="2" t="str">
        <f t="shared" si="1"/>
        <v/>
      </c>
    </row>
    <row r="1143">
      <c r="O1143" s="3" t="str">
        <f>IFERROR(VLOOKUP(C1143,Sheet4!A1143:F1930,6,0),"")</f>
        <v/>
      </c>
      <c r="Q1143" s="2" t="str">
        <f t="shared" si="1"/>
        <v/>
      </c>
    </row>
    <row r="1144">
      <c r="O1144" s="3" t="str">
        <f>IFERROR(VLOOKUP(C1144,Sheet4!A1144:F1931,6,0),"")</f>
        <v/>
      </c>
      <c r="Q1144" s="2" t="str">
        <f t="shared" si="1"/>
        <v/>
      </c>
    </row>
    <row r="1145">
      <c r="O1145" s="3" t="str">
        <f>IFERROR(VLOOKUP(C1145,Sheet4!A1145:F1932,6,0),"")</f>
        <v/>
      </c>
      <c r="Q1145" s="2" t="str">
        <f t="shared" si="1"/>
        <v/>
      </c>
    </row>
    <row r="1146">
      <c r="O1146" s="3" t="str">
        <f>IFERROR(VLOOKUP(C1146,Sheet4!A1146:F1933,6,0),"")</f>
        <v/>
      </c>
      <c r="Q1146" s="2" t="str">
        <f t="shared" si="1"/>
        <v/>
      </c>
    </row>
    <row r="1147">
      <c r="O1147" s="3" t="str">
        <f>IFERROR(VLOOKUP(C1147,Sheet4!A1147:F1934,6,0),"")</f>
        <v/>
      </c>
      <c r="Q1147" s="2" t="str">
        <f t="shared" si="1"/>
        <v/>
      </c>
    </row>
    <row r="1148">
      <c r="O1148" s="3" t="str">
        <f>IFERROR(VLOOKUP(C1148,Sheet4!A1148:F1935,6,0),"")</f>
        <v/>
      </c>
      <c r="Q1148" s="2" t="str">
        <f t="shared" si="1"/>
        <v/>
      </c>
    </row>
    <row r="1149">
      <c r="O1149" s="3" t="str">
        <f>IFERROR(VLOOKUP(C1149,Sheet4!A1149:F1936,6,0),"")</f>
        <v/>
      </c>
      <c r="Q1149" s="2" t="str">
        <f t="shared" si="1"/>
        <v/>
      </c>
    </row>
    <row r="1150">
      <c r="O1150" s="3" t="str">
        <f>IFERROR(VLOOKUP(C1150,Sheet4!A1150:F1937,6,0),"")</f>
        <v/>
      </c>
      <c r="Q1150" s="2" t="str">
        <f t="shared" si="1"/>
        <v/>
      </c>
    </row>
    <row r="1151">
      <c r="O1151" s="3" t="str">
        <f>IFERROR(VLOOKUP(C1151,Sheet4!A1151:F1938,6,0),"")</f>
        <v/>
      </c>
      <c r="Q1151" s="2" t="str">
        <f t="shared" si="1"/>
        <v/>
      </c>
    </row>
    <row r="1152">
      <c r="O1152" s="3" t="str">
        <f>IFERROR(VLOOKUP(C1152,Sheet4!A1152:F1939,6,0),"")</f>
        <v/>
      </c>
      <c r="Q1152" s="2" t="str">
        <f t="shared" si="1"/>
        <v/>
      </c>
    </row>
    <row r="1153">
      <c r="O1153" s="3" t="str">
        <f>IFERROR(VLOOKUP(C1153,Sheet4!A1153:F1940,6,0),"")</f>
        <v/>
      </c>
      <c r="Q1153" s="2" t="str">
        <f t="shared" si="1"/>
        <v/>
      </c>
    </row>
    <row r="1154">
      <c r="O1154" s="3" t="str">
        <f>IFERROR(VLOOKUP(C1154,Sheet4!A1154:F1941,6,0),"")</f>
        <v/>
      </c>
      <c r="Q1154" s="2" t="str">
        <f t="shared" si="1"/>
        <v/>
      </c>
    </row>
    <row r="1155">
      <c r="O1155" s="3" t="str">
        <f>IFERROR(VLOOKUP(C1155,Sheet4!A1155:F1942,6,0),"")</f>
        <v/>
      </c>
      <c r="Q1155" s="2" t="str">
        <f t="shared" si="1"/>
        <v/>
      </c>
    </row>
    <row r="1156">
      <c r="O1156" s="3" t="str">
        <f>IFERROR(VLOOKUP(C1156,Sheet4!A1156:F1943,6,0),"")</f>
        <v/>
      </c>
      <c r="Q1156" s="2" t="str">
        <f t="shared" si="1"/>
        <v/>
      </c>
    </row>
    <row r="1157">
      <c r="O1157" s="3" t="str">
        <f>IFERROR(VLOOKUP(C1157,Sheet4!A1157:F1944,6,0),"")</f>
        <v/>
      </c>
      <c r="Q1157" s="2" t="str">
        <f t="shared" si="1"/>
        <v/>
      </c>
    </row>
    <row r="1158">
      <c r="O1158" s="3" t="str">
        <f>IFERROR(VLOOKUP(C1158,Sheet4!A1158:F1945,6,0),"")</f>
        <v/>
      </c>
      <c r="Q1158" s="2" t="str">
        <f t="shared" si="1"/>
        <v/>
      </c>
    </row>
    <row r="1159">
      <c r="O1159" s="3" t="str">
        <f>IFERROR(VLOOKUP(C1159,Sheet4!A1159:F1946,6,0),"")</f>
        <v/>
      </c>
      <c r="Q1159" s="2" t="str">
        <f t="shared" si="1"/>
        <v/>
      </c>
    </row>
    <row r="1160">
      <c r="O1160" s="3" t="str">
        <f>IFERROR(VLOOKUP(C1160,Sheet4!A1160:F1947,6,0),"")</f>
        <v/>
      </c>
      <c r="Q1160" s="2" t="str">
        <f t="shared" si="1"/>
        <v/>
      </c>
    </row>
    <row r="1161">
      <c r="O1161" s="3" t="str">
        <f>IFERROR(VLOOKUP(C1161,Sheet4!A1161:F1948,6,0),"")</f>
        <v/>
      </c>
      <c r="Q1161" s="2" t="str">
        <f t="shared" si="1"/>
        <v/>
      </c>
    </row>
    <row r="1162">
      <c r="O1162" s="3" t="str">
        <f>IFERROR(VLOOKUP(C1162,Sheet4!A1162:F1949,6,0),"")</f>
        <v/>
      </c>
      <c r="Q1162" s="2" t="str">
        <f t="shared" si="1"/>
        <v/>
      </c>
    </row>
    <row r="1163">
      <c r="O1163" s="3" t="str">
        <f>IFERROR(VLOOKUP(C1163,Sheet4!A1163:F1950,6,0),"")</f>
        <v/>
      </c>
      <c r="Q1163" s="2" t="str">
        <f t="shared" si="1"/>
        <v/>
      </c>
    </row>
    <row r="1164">
      <c r="O1164" s="3" t="str">
        <f>IFERROR(VLOOKUP(C1164,Sheet4!A1164:F1951,6,0),"")</f>
        <v/>
      </c>
      <c r="Q1164" s="2" t="str">
        <f t="shared" si="1"/>
        <v/>
      </c>
    </row>
    <row r="1165">
      <c r="O1165" s="3" t="str">
        <f>IFERROR(VLOOKUP(C1165,Sheet4!A1165:F1952,6,0),"")</f>
        <v/>
      </c>
      <c r="Q1165" s="2" t="str">
        <f t="shared" si="1"/>
        <v/>
      </c>
    </row>
    <row r="1166">
      <c r="O1166" s="3" t="str">
        <f>IFERROR(VLOOKUP(C1166,Sheet4!A1166:F1953,6,0),"")</f>
        <v/>
      </c>
      <c r="Q1166" s="2" t="str">
        <f t="shared" si="1"/>
        <v/>
      </c>
    </row>
    <row r="1167">
      <c r="O1167" s="3" t="str">
        <f>IFERROR(VLOOKUP(C1167,Sheet4!A1167:F1954,6,0),"")</f>
        <v/>
      </c>
      <c r="Q1167" s="2" t="str">
        <f t="shared" si="1"/>
        <v/>
      </c>
    </row>
    <row r="1168">
      <c r="O1168" s="3" t="str">
        <f>IFERROR(VLOOKUP(C1168,Sheet4!A1168:F1955,6,0),"")</f>
        <v/>
      </c>
      <c r="Q1168" s="2" t="str">
        <f t="shared" si="1"/>
        <v/>
      </c>
    </row>
    <row r="1169">
      <c r="O1169" s="3" t="str">
        <f>IFERROR(VLOOKUP(C1169,Sheet4!A1169:F1956,6,0),"")</f>
        <v/>
      </c>
      <c r="Q1169" s="2" t="str">
        <f t="shared" si="1"/>
        <v/>
      </c>
    </row>
    <row r="1170">
      <c r="O1170" s="3" t="str">
        <f>IFERROR(VLOOKUP(C1170,Sheet4!A1170:F1957,6,0),"")</f>
        <v/>
      </c>
      <c r="Q1170" s="2" t="str">
        <f t="shared" si="1"/>
        <v/>
      </c>
    </row>
    <row r="1171">
      <c r="O1171" s="3" t="str">
        <f>IFERROR(VLOOKUP(C1171,Sheet4!A1171:F1958,6,0),"")</f>
        <v/>
      </c>
      <c r="Q1171" s="2" t="str">
        <f t="shared" si="1"/>
        <v/>
      </c>
    </row>
    <row r="1172">
      <c r="O1172" s="3" t="str">
        <f>IFERROR(VLOOKUP(C1172,Sheet4!A1172:F1959,6,0),"")</f>
        <v/>
      </c>
      <c r="Q1172" s="2" t="str">
        <f t="shared" si="1"/>
        <v/>
      </c>
    </row>
    <row r="1173">
      <c r="O1173" s="3" t="str">
        <f>IFERROR(VLOOKUP(C1173,Sheet4!A1173:F1960,6,0),"")</f>
        <v/>
      </c>
      <c r="Q1173" s="2" t="str">
        <f t="shared" si="1"/>
        <v/>
      </c>
    </row>
    <row r="1174">
      <c r="O1174" s="3" t="str">
        <f>IFERROR(VLOOKUP(C1174,Sheet4!A1174:F1961,6,0),"")</f>
        <v/>
      </c>
      <c r="Q1174" s="2" t="str">
        <f t="shared" si="1"/>
        <v/>
      </c>
    </row>
    <row r="1175">
      <c r="O1175" s="3" t="str">
        <f>IFERROR(VLOOKUP(C1175,Sheet4!A1175:F1962,6,0),"")</f>
        <v/>
      </c>
      <c r="Q1175" s="2" t="str">
        <f t="shared" si="1"/>
        <v/>
      </c>
    </row>
    <row r="1176">
      <c r="O1176" s="3" t="str">
        <f>IFERROR(VLOOKUP(C1176,Sheet4!A1176:F1963,6,0),"")</f>
        <v/>
      </c>
      <c r="Q1176" s="2" t="str">
        <f t="shared" si="1"/>
        <v/>
      </c>
    </row>
    <row r="1177">
      <c r="O1177" s="3" t="str">
        <f>IFERROR(VLOOKUP(C1177,Sheet4!A1177:F1964,6,0),"")</f>
        <v/>
      </c>
      <c r="Q1177" s="2" t="str">
        <f t="shared" si="1"/>
        <v/>
      </c>
    </row>
    <row r="1178">
      <c r="O1178" s="3" t="str">
        <f>IFERROR(VLOOKUP(C1178,Sheet4!A1178:F1965,6,0),"")</f>
        <v/>
      </c>
      <c r="Q1178" s="2" t="str">
        <f t="shared" si="1"/>
        <v/>
      </c>
    </row>
    <row r="1179">
      <c r="O1179" s="3" t="str">
        <f>IFERROR(VLOOKUP(C1179,Sheet4!A1179:F1966,6,0),"")</f>
        <v/>
      </c>
      <c r="Q1179" s="2" t="str">
        <f t="shared" si="1"/>
        <v/>
      </c>
    </row>
    <row r="1180">
      <c r="O1180" s="3" t="str">
        <f>IFERROR(VLOOKUP(C1180,Sheet4!A1180:F1967,6,0),"")</f>
        <v/>
      </c>
      <c r="Q1180" s="2" t="str">
        <f t="shared" si="1"/>
        <v/>
      </c>
    </row>
    <row r="1181">
      <c r="O1181" s="3" t="str">
        <f>IFERROR(VLOOKUP(C1181,Sheet4!A1181:F1968,6,0),"")</f>
        <v/>
      </c>
      <c r="Q1181" s="2" t="str">
        <f t="shared" si="1"/>
        <v/>
      </c>
    </row>
    <row r="1182">
      <c r="O1182" s="3" t="str">
        <f>IFERROR(VLOOKUP(C1182,Sheet4!A1182:F1969,6,0),"")</f>
        <v/>
      </c>
      <c r="Q1182" s="2" t="str">
        <f t="shared" si="1"/>
        <v/>
      </c>
    </row>
    <row r="1183">
      <c r="O1183" s="3" t="str">
        <f>IFERROR(VLOOKUP(C1183,Sheet4!A1183:F1970,6,0),"")</f>
        <v/>
      </c>
      <c r="Q1183" s="2" t="str">
        <f t="shared" si="1"/>
        <v/>
      </c>
    </row>
    <row r="1184">
      <c r="O1184" s="3" t="str">
        <f>IFERROR(VLOOKUP(C1184,Sheet4!A1184:F1971,6,0),"")</f>
        <v/>
      </c>
      <c r="Q1184" s="2" t="str">
        <f t="shared" si="1"/>
        <v/>
      </c>
    </row>
    <row r="1185">
      <c r="O1185" s="3" t="str">
        <f>IFERROR(VLOOKUP(C1185,Sheet4!A1185:F1972,6,0),"")</f>
        <v/>
      </c>
      <c r="Q1185" s="2" t="str">
        <f t="shared" si="1"/>
        <v/>
      </c>
    </row>
    <row r="1186">
      <c r="O1186" s="3" t="str">
        <f>IFERROR(VLOOKUP(C1186,Sheet4!A1186:F1973,6,0),"")</f>
        <v/>
      </c>
      <c r="Q1186" s="2" t="str">
        <f t="shared" si="1"/>
        <v/>
      </c>
    </row>
    <row r="1187">
      <c r="O1187" s="3" t="str">
        <f>IFERROR(VLOOKUP(C1187,Sheet4!A1187:F1974,6,0),"")</f>
        <v/>
      </c>
      <c r="Q1187" s="2" t="str">
        <f t="shared" si="1"/>
        <v/>
      </c>
    </row>
    <row r="1188">
      <c r="O1188" s="3" t="str">
        <f>IFERROR(VLOOKUP(C1188,Sheet4!A1188:F1975,6,0),"")</f>
        <v/>
      </c>
      <c r="Q1188" s="2" t="str">
        <f t="shared" si="1"/>
        <v/>
      </c>
    </row>
    <row r="1189">
      <c r="O1189" s="3" t="str">
        <f>IFERROR(VLOOKUP(C1189,Sheet4!A1189:F1976,6,0),"")</f>
        <v/>
      </c>
      <c r="Q1189" s="2" t="str">
        <f t="shared" si="1"/>
        <v/>
      </c>
    </row>
    <row r="1190">
      <c r="O1190" s="3" t="str">
        <f>IFERROR(VLOOKUP(C1190,Sheet4!A1190:F1977,6,0),"")</f>
        <v/>
      </c>
      <c r="Q1190" s="2" t="str">
        <f t="shared" si="1"/>
        <v/>
      </c>
    </row>
    <row r="1191">
      <c r="O1191" s="3" t="str">
        <f>IFERROR(VLOOKUP(C1191,Sheet4!A1191:F1978,6,0),"")</f>
        <v/>
      </c>
      <c r="Q1191" s="2" t="str">
        <f t="shared" si="1"/>
        <v/>
      </c>
    </row>
    <row r="1192">
      <c r="O1192" s="3" t="str">
        <f>IFERROR(VLOOKUP(C1192,Sheet4!A1192:F1979,6,0),"")</f>
        <v/>
      </c>
      <c r="Q1192" s="2" t="str">
        <f t="shared" si="1"/>
        <v/>
      </c>
    </row>
    <row r="1193">
      <c r="O1193" s="3" t="str">
        <f>IFERROR(VLOOKUP(C1193,Sheet4!A1193:F1980,6,0),"")</f>
        <v/>
      </c>
      <c r="Q1193" s="2" t="str">
        <f t="shared" si="1"/>
        <v/>
      </c>
    </row>
    <row r="1194">
      <c r="O1194" s="3" t="str">
        <f>IFERROR(VLOOKUP(C1194,Sheet4!A1194:F1981,6,0),"")</f>
        <v/>
      </c>
      <c r="Q1194" s="2" t="str">
        <f t="shared" si="1"/>
        <v/>
      </c>
    </row>
    <row r="1195">
      <c r="O1195" s="3" t="str">
        <f>IFERROR(VLOOKUP(C1195,Sheet4!A1195:F1982,6,0),"")</f>
        <v/>
      </c>
      <c r="Q1195" s="2" t="str">
        <f t="shared" si="1"/>
        <v/>
      </c>
    </row>
    <row r="1196">
      <c r="O1196" s="3" t="str">
        <f>IFERROR(VLOOKUP(C1196,Sheet4!A1196:F1983,6,0),"")</f>
        <v/>
      </c>
      <c r="Q1196" s="2" t="str">
        <f t="shared" si="1"/>
        <v/>
      </c>
    </row>
    <row r="1197">
      <c r="O1197" s="3" t="str">
        <f>IFERROR(VLOOKUP(C1197,Sheet4!A1197:F1984,6,0),"")</f>
        <v/>
      </c>
      <c r="Q1197" s="2" t="str">
        <f t="shared" si="1"/>
        <v/>
      </c>
    </row>
    <row r="1198">
      <c r="O1198" s="3" t="str">
        <f>IFERROR(VLOOKUP(C1198,Sheet4!A1198:F1985,6,0),"")</f>
        <v/>
      </c>
      <c r="Q1198" s="2" t="str">
        <f t="shared" si="1"/>
        <v/>
      </c>
    </row>
    <row r="1199">
      <c r="O1199" s="3" t="str">
        <f>IFERROR(VLOOKUP(C1199,Sheet4!A1199:F1986,6,0),"")</f>
        <v/>
      </c>
      <c r="Q1199" s="2" t="str">
        <f t="shared" si="1"/>
        <v/>
      </c>
    </row>
    <row r="1200">
      <c r="O1200" s="3" t="str">
        <f>IFERROR(VLOOKUP(C1200,Sheet4!A1200:F1987,6,0),"")</f>
        <v/>
      </c>
      <c r="Q1200" s="2" t="str">
        <f t="shared" si="1"/>
        <v/>
      </c>
    </row>
    <row r="1201">
      <c r="O1201" s="3" t="str">
        <f>IFERROR(VLOOKUP(C1201,Sheet4!A1201:F1988,6,0),"")</f>
        <v/>
      </c>
      <c r="Q1201" s="2" t="str">
        <f t="shared" si="1"/>
        <v/>
      </c>
    </row>
    <row r="1202">
      <c r="O1202" s="3" t="str">
        <f>IFERROR(VLOOKUP(C1202,Sheet4!A1202:F1989,6,0),"")</f>
        <v/>
      </c>
      <c r="Q1202" s="2" t="str">
        <f t="shared" si="1"/>
        <v/>
      </c>
    </row>
    <row r="1203">
      <c r="O1203" s="3" t="str">
        <f>IFERROR(VLOOKUP(C1203,Sheet4!A1203:F1990,6,0),"")</f>
        <v/>
      </c>
      <c r="Q1203" s="2" t="str">
        <f t="shared" si="1"/>
        <v/>
      </c>
    </row>
    <row r="1204">
      <c r="O1204" s="3" t="str">
        <f>IFERROR(VLOOKUP(C1204,Sheet4!A1204:F1991,6,0),"")</f>
        <v/>
      </c>
      <c r="Q1204" s="2" t="str">
        <f t="shared" si="1"/>
        <v/>
      </c>
    </row>
    <row r="1205">
      <c r="O1205" s="3" t="str">
        <f>IFERROR(VLOOKUP(C1205,Sheet4!A1205:F1992,6,0),"")</f>
        <v/>
      </c>
      <c r="Q1205" s="2" t="str">
        <f t="shared" si="1"/>
        <v/>
      </c>
    </row>
    <row r="1206">
      <c r="O1206" s="3" t="str">
        <f>IFERROR(VLOOKUP(C1206,Sheet4!A1206:F1993,6,0),"")</f>
        <v/>
      </c>
      <c r="Q1206" s="2" t="str">
        <f t="shared" si="1"/>
        <v/>
      </c>
    </row>
    <row r="1207">
      <c r="O1207" s="3" t="str">
        <f>IFERROR(VLOOKUP(C1207,Sheet4!A1207:F1994,6,0),"")</f>
        <v/>
      </c>
      <c r="Q1207" s="2" t="str">
        <f t="shared" si="1"/>
        <v/>
      </c>
    </row>
    <row r="1208">
      <c r="O1208" s="3" t="str">
        <f>IFERROR(VLOOKUP(C1208,Sheet4!A1208:F1995,6,0),"")</f>
        <v/>
      </c>
      <c r="Q1208" s="2" t="str">
        <f t="shared" si="1"/>
        <v/>
      </c>
    </row>
    <row r="1209">
      <c r="O1209" s="3" t="str">
        <f>IFERROR(VLOOKUP(C1209,Sheet4!A1209:F1996,6,0),"")</f>
        <v/>
      </c>
      <c r="Q1209" s="2" t="str">
        <f t="shared" si="1"/>
        <v/>
      </c>
    </row>
    <row r="1210">
      <c r="O1210" s="3" t="str">
        <f>IFERROR(VLOOKUP(C1210,Sheet4!A1210:F1997,6,0),"")</f>
        <v/>
      </c>
      <c r="Q1210" s="2" t="str">
        <f t="shared" si="1"/>
        <v/>
      </c>
    </row>
    <row r="1211">
      <c r="O1211" s="3" t="str">
        <f>IFERROR(VLOOKUP(C1211,Sheet4!A1211:F1998,6,0),"")</f>
        <v/>
      </c>
      <c r="Q1211" s="2" t="str">
        <f t="shared" si="1"/>
        <v/>
      </c>
    </row>
    <row r="1212">
      <c r="O1212" s="3" t="str">
        <f>IFERROR(VLOOKUP(C1212,Sheet4!A1212:F1999,6,0),"")</f>
        <v/>
      </c>
      <c r="Q1212" s="2" t="str">
        <f t="shared" si="1"/>
        <v/>
      </c>
    </row>
    <row r="1213">
      <c r="O1213" s="3" t="str">
        <f>IFERROR(VLOOKUP(C1213,Sheet4!A1213:F2000,6,0),"")</f>
        <v/>
      </c>
      <c r="Q1213" s="2" t="str">
        <f t="shared" si="1"/>
        <v/>
      </c>
    </row>
    <row r="1214">
      <c r="O1214" s="3" t="str">
        <f>IFERROR(VLOOKUP(C1214,Sheet4!A1214:F2001,6,0),"")</f>
        <v/>
      </c>
      <c r="Q1214" s="2" t="str">
        <f t="shared" si="1"/>
        <v/>
      </c>
    </row>
    <row r="1215">
      <c r="O1215" s="3" t="str">
        <f>IFERROR(VLOOKUP(C1215,Sheet4!A1215:F2002,6,0),"")</f>
        <v/>
      </c>
      <c r="Q1215" s="2" t="str">
        <f t="shared" si="1"/>
        <v/>
      </c>
    </row>
    <row r="1216">
      <c r="O1216" s="3" t="str">
        <f>IFERROR(VLOOKUP(C1216,Sheet4!A1216:F2003,6,0),"")</f>
        <v/>
      </c>
      <c r="Q1216" s="2" t="str">
        <f t="shared" si="1"/>
        <v/>
      </c>
    </row>
    <row r="1217">
      <c r="O1217" s="3" t="str">
        <f>IFERROR(VLOOKUP(C1217,Sheet4!A1217:F2004,6,0),"")</f>
        <v/>
      </c>
      <c r="Q1217" s="2" t="str">
        <f t="shared" si="1"/>
        <v/>
      </c>
    </row>
    <row r="1218">
      <c r="O1218" s="3" t="str">
        <f>IFERROR(VLOOKUP(C1218,Sheet4!A1218:F2005,6,0),"")</f>
        <v/>
      </c>
      <c r="Q1218" s="2" t="str">
        <f t="shared" si="1"/>
        <v/>
      </c>
    </row>
    <row r="1219">
      <c r="O1219" s="3" t="str">
        <f>IFERROR(VLOOKUP(C1219,Sheet4!A1219:F2006,6,0),"")</f>
        <v/>
      </c>
      <c r="Q1219" s="2" t="str">
        <f t="shared" si="1"/>
        <v/>
      </c>
    </row>
    <row r="1220">
      <c r="O1220" s="3" t="str">
        <f>IFERROR(VLOOKUP(C1220,Sheet4!A1220:F2007,6,0),"")</f>
        <v/>
      </c>
      <c r="Q1220" s="2" t="str">
        <f t="shared" si="1"/>
        <v/>
      </c>
    </row>
    <row r="1221">
      <c r="O1221" s="3" t="str">
        <f>IFERROR(VLOOKUP(C1221,Sheet4!A1221:F2008,6,0),"")</f>
        <v/>
      </c>
      <c r="Q1221" s="2" t="str">
        <f t="shared" si="1"/>
        <v/>
      </c>
    </row>
    <row r="1222">
      <c r="O1222" s="3" t="str">
        <f>IFERROR(VLOOKUP(C1222,Sheet4!A1222:F2009,6,0),"")</f>
        <v/>
      </c>
      <c r="Q1222" s="2" t="str">
        <f t="shared" si="1"/>
        <v/>
      </c>
    </row>
    <row r="1223">
      <c r="O1223" s="3" t="str">
        <f>IFERROR(VLOOKUP(C1223,Sheet4!A1223:F2010,6,0),"")</f>
        <v/>
      </c>
      <c r="Q1223" s="2" t="str">
        <f t="shared" si="1"/>
        <v/>
      </c>
    </row>
    <row r="1224">
      <c r="O1224" s="3" t="str">
        <f>IFERROR(VLOOKUP(C1224,Sheet4!A1224:F2011,6,0),"")</f>
        <v/>
      </c>
      <c r="Q1224" s="2" t="str">
        <f t="shared" si="1"/>
        <v/>
      </c>
    </row>
    <row r="1225">
      <c r="O1225" s="3" t="str">
        <f>IFERROR(VLOOKUP(C1225,Sheet4!A1225:F2012,6,0),"")</f>
        <v/>
      </c>
      <c r="Q1225" s="2" t="str">
        <f t="shared" si="1"/>
        <v/>
      </c>
    </row>
    <row r="1226">
      <c r="O1226" s="3" t="str">
        <f>IFERROR(VLOOKUP(C1226,Sheet4!A1226:F2013,6,0),"")</f>
        <v/>
      </c>
      <c r="Q1226" s="2" t="str">
        <f t="shared" si="1"/>
        <v/>
      </c>
    </row>
    <row r="1227">
      <c r="O1227" s="3" t="str">
        <f>IFERROR(VLOOKUP(C1227,Sheet4!A1227:F2014,6,0),"")</f>
        <v/>
      </c>
      <c r="Q1227" s="2" t="str">
        <f t="shared" si="1"/>
        <v/>
      </c>
    </row>
    <row r="1228">
      <c r="O1228" s="3" t="str">
        <f>IFERROR(VLOOKUP(C1228,Sheet4!A1228:F2015,6,0),"")</f>
        <v/>
      </c>
      <c r="Q1228" s="2" t="str">
        <f t="shared" si="1"/>
        <v/>
      </c>
    </row>
    <row r="1229">
      <c r="O1229" s="3" t="str">
        <f>IFERROR(VLOOKUP(C1229,Sheet4!A1229:F2016,6,0),"")</f>
        <v/>
      </c>
      <c r="Q1229" s="2" t="str">
        <f t="shared" si="1"/>
        <v/>
      </c>
    </row>
    <row r="1230">
      <c r="O1230" s="3" t="str">
        <f>IFERROR(VLOOKUP(C1230,Sheet4!A1230:F2017,6,0),"")</f>
        <v/>
      </c>
      <c r="Q1230" s="2" t="str">
        <f t="shared" si="1"/>
        <v/>
      </c>
    </row>
    <row r="1231">
      <c r="O1231" s="3" t="str">
        <f>IFERROR(VLOOKUP(C1231,Sheet4!A1231:F2018,6,0),"")</f>
        <v/>
      </c>
      <c r="Q1231" s="2" t="str">
        <f t="shared" si="1"/>
        <v/>
      </c>
    </row>
    <row r="1232">
      <c r="O1232" s="3" t="str">
        <f>IFERROR(VLOOKUP(C1232,Sheet4!A1232:F2019,6,0),"")</f>
        <v/>
      </c>
      <c r="Q1232" s="2" t="str">
        <f t="shared" si="1"/>
        <v/>
      </c>
    </row>
    <row r="1233">
      <c r="O1233" s="3" t="str">
        <f>IFERROR(VLOOKUP(C1233,Sheet4!A1233:F2020,6,0),"")</f>
        <v/>
      </c>
      <c r="Q1233" s="2" t="str">
        <f t="shared" si="1"/>
        <v/>
      </c>
    </row>
    <row r="1234">
      <c r="O1234" s="3" t="str">
        <f>IFERROR(VLOOKUP(C1234,Sheet4!A1234:F2021,6,0),"")</f>
        <v/>
      </c>
      <c r="Q1234" s="2" t="str">
        <f t="shared" si="1"/>
        <v/>
      </c>
    </row>
    <row r="1235">
      <c r="O1235" s="3" t="str">
        <f>IFERROR(VLOOKUP(C1235,Sheet4!A1235:F2022,6,0),"")</f>
        <v/>
      </c>
      <c r="Q1235" s="2" t="str">
        <f t="shared" si="1"/>
        <v/>
      </c>
    </row>
    <row r="1236">
      <c r="O1236" s="3" t="str">
        <f>IFERROR(VLOOKUP(C1236,Sheet4!A1236:F2023,6,0),"")</f>
        <v/>
      </c>
      <c r="Q1236" s="2" t="str">
        <f t="shared" si="1"/>
        <v/>
      </c>
    </row>
    <row r="1237">
      <c r="O1237" s="3" t="str">
        <f>IFERROR(VLOOKUP(C1237,Sheet4!A1237:F2024,6,0),"")</f>
        <v/>
      </c>
      <c r="Q1237" s="2" t="str">
        <f t="shared" si="1"/>
        <v/>
      </c>
    </row>
    <row r="1238">
      <c r="O1238" s="3" t="str">
        <f>IFERROR(VLOOKUP(C1238,Sheet4!A1238:F2025,6,0),"")</f>
        <v/>
      </c>
      <c r="Q1238" s="2" t="str">
        <f t="shared" si="1"/>
        <v/>
      </c>
    </row>
    <row r="1239">
      <c r="O1239" s="3" t="str">
        <f>IFERROR(VLOOKUP(C1239,Sheet4!A1239:F2026,6,0),"")</f>
        <v/>
      </c>
      <c r="Q1239" s="2" t="str">
        <f t="shared" si="1"/>
        <v/>
      </c>
    </row>
    <row r="1240">
      <c r="O1240" s="3" t="str">
        <f>IFERROR(VLOOKUP(C1240,Sheet4!A1240:F2027,6,0),"")</f>
        <v/>
      </c>
      <c r="Q1240" s="2" t="str">
        <f t="shared" si="1"/>
        <v/>
      </c>
    </row>
    <row r="1241">
      <c r="O1241" s="3" t="str">
        <f>IFERROR(VLOOKUP(C1241,Sheet4!A1241:F2028,6,0),"")</f>
        <v/>
      </c>
      <c r="Q1241" s="2" t="str">
        <f t="shared" si="1"/>
        <v/>
      </c>
    </row>
    <row r="1242">
      <c r="O1242" s="3" t="str">
        <f>IFERROR(VLOOKUP(C1242,Sheet4!A1242:F2029,6,0),"")</f>
        <v/>
      </c>
      <c r="Q1242" s="2" t="str">
        <f t="shared" si="1"/>
        <v/>
      </c>
    </row>
    <row r="1243">
      <c r="O1243" s="3" t="str">
        <f>IFERROR(VLOOKUP(C1243,Sheet4!A1243:F2030,6,0),"")</f>
        <v/>
      </c>
      <c r="Q1243" s="2" t="str">
        <f t="shared" si="1"/>
        <v/>
      </c>
    </row>
    <row r="1244">
      <c r="O1244" s="3" t="str">
        <f>IFERROR(VLOOKUP(C1244,Sheet4!A1244:F2031,6,0),"")</f>
        <v/>
      </c>
      <c r="Q1244" s="2" t="str">
        <f t="shared" si="1"/>
        <v/>
      </c>
    </row>
    <row r="1245">
      <c r="O1245" s="3" t="str">
        <f>IFERROR(VLOOKUP(C1245,Sheet4!A1245:F2032,6,0),"")</f>
        <v/>
      </c>
      <c r="Q1245" s="2" t="str">
        <f t="shared" si="1"/>
        <v/>
      </c>
    </row>
    <row r="1246">
      <c r="O1246" s="3" t="str">
        <f>IFERROR(VLOOKUP(C1246,Sheet4!A1246:F2033,6,0),"")</f>
        <v/>
      </c>
      <c r="Q1246" s="2" t="str">
        <f t="shared" si="1"/>
        <v/>
      </c>
    </row>
    <row r="1247">
      <c r="O1247" s="3" t="str">
        <f>IFERROR(VLOOKUP(C1247,Sheet4!A1247:F2034,6,0),"")</f>
        <v/>
      </c>
      <c r="Q1247" s="2" t="str">
        <f t="shared" si="1"/>
        <v/>
      </c>
    </row>
    <row r="1248">
      <c r="O1248" s="3" t="str">
        <f>IFERROR(VLOOKUP(C1248,Sheet4!A1248:F2035,6,0),"")</f>
        <v/>
      </c>
      <c r="Q1248" s="2" t="str">
        <f t="shared" si="1"/>
        <v/>
      </c>
    </row>
    <row r="1249">
      <c r="O1249" s="3" t="str">
        <f>IFERROR(VLOOKUP(C1249,Sheet4!A1249:F2036,6,0),"")</f>
        <v/>
      </c>
      <c r="Q1249" s="2" t="str">
        <f t="shared" si="1"/>
        <v/>
      </c>
    </row>
    <row r="1250">
      <c r="O1250" s="3" t="str">
        <f>IFERROR(VLOOKUP(C1250,Sheet4!A1250:F2037,6,0),"")</f>
        <v/>
      </c>
      <c r="Q1250" s="2" t="str">
        <f t="shared" si="1"/>
        <v/>
      </c>
    </row>
    <row r="1251">
      <c r="O1251" s="3" t="str">
        <f>IFERROR(VLOOKUP(C1251,Sheet4!A1251:F2038,6,0),"")</f>
        <v/>
      </c>
      <c r="Q1251" s="2" t="str">
        <f t="shared" si="1"/>
        <v/>
      </c>
    </row>
    <row r="1252">
      <c r="O1252" s="3" t="str">
        <f>IFERROR(VLOOKUP(C1252,Sheet4!A1252:F2039,6,0),"")</f>
        <v/>
      </c>
      <c r="Q1252" s="2" t="str">
        <f t="shared" si="1"/>
        <v/>
      </c>
    </row>
    <row r="1253">
      <c r="O1253" s="3" t="str">
        <f>IFERROR(VLOOKUP(C1253,Sheet4!A1253:F2040,6,0),"")</f>
        <v/>
      </c>
      <c r="Q1253" s="2" t="str">
        <f t="shared" si="1"/>
        <v/>
      </c>
    </row>
    <row r="1254">
      <c r="O1254" s="3" t="str">
        <f>IFERROR(VLOOKUP(C1254,Sheet4!A1254:F2041,6,0),"")</f>
        <v/>
      </c>
      <c r="Q1254" s="2" t="str">
        <f t="shared" si="1"/>
        <v/>
      </c>
    </row>
    <row r="1255">
      <c r="O1255" s="3" t="str">
        <f>IFERROR(VLOOKUP(C1255,Sheet4!A1255:F2042,6,0),"")</f>
        <v/>
      </c>
      <c r="Q1255" s="2" t="str">
        <f t="shared" si="1"/>
        <v/>
      </c>
    </row>
    <row r="1256">
      <c r="O1256" s="3" t="str">
        <f>IFERROR(VLOOKUP(C1256,Sheet4!A1256:F2043,6,0),"")</f>
        <v/>
      </c>
      <c r="Q1256" s="2" t="str">
        <f t="shared" si="1"/>
        <v/>
      </c>
    </row>
    <row r="1257">
      <c r="O1257" s="3" t="str">
        <f>IFERROR(VLOOKUP(C1257,Sheet4!A1257:F2044,6,0),"")</f>
        <v/>
      </c>
      <c r="Q1257" s="2" t="str">
        <f t="shared" si="1"/>
        <v/>
      </c>
    </row>
    <row r="1258">
      <c r="O1258" s="3" t="str">
        <f>IFERROR(VLOOKUP(C1258,Sheet4!A1258:F2045,6,0),"")</f>
        <v/>
      </c>
      <c r="Q1258" s="2" t="str">
        <f t="shared" si="1"/>
        <v/>
      </c>
    </row>
    <row r="1259">
      <c r="O1259" s="3" t="str">
        <f>IFERROR(VLOOKUP(C1259,Sheet4!A1259:F2046,6,0),"")</f>
        <v/>
      </c>
      <c r="Q1259" s="2" t="str">
        <f t="shared" si="1"/>
        <v/>
      </c>
    </row>
    <row r="1260">
      <c r="O1260" s="3" t="str">
        <f>IFERROR(VLOOKUP(C1260,Sheet4!A1260:F2047,6,0),"")</f>
        <v/>
      </c>
      <c r="Q1260" s="2" t="str">
        <f t="shared" si="1"/>
        <v/>
      </c>
    </row>
    <row r="1261">
      <c r="O1261" s="3" t="str">
        <f>IFERROR(VLOOKUP(C1261,Sheet4!A1261:F2048,6,0),"")</f>
        <v/>
      </c>
      <c r="Q1261" s="2" t="str">
        <f t="shared" si="1"/>
        <v/>
      </c>
    </row>
    <row r="1262">
      <c r="O1262" s="3" t="str">
        <f>IFERROR(VLOOKUP(C1262,Sheet4!A1262:F2049,6,0),"")</f>
        <v/>
      </c>
      <c r="Q1262" s="2" t="str">
        <f t="shared" si="1"/>
        <v/>
      </c>
    </row>
    <row r="1263">
      <c r="O1263" s="3" t="str">
        <f>IFERROR(VLOOKUP(C1263,Sheet4!A1263:F2050,6,0),"")</f>
        <v/>
      </c>
      <c r="Q1263" s="2" t="str">
        <f t="shared" si="1"/>
        <v/>
      </c>
    </row>
    <row r="1264">
      <c r="O1264" s="3" t="str">
        <f>IFERROR(VLOOKUP(C1264,Sheet4!A1264:F2051,6,0),"")</f>
        <v/>
      </c>
      <c r="Q1264" s="2" t="str">
        <f t="shared" si="1"/>
        <v/>
      </c>
    </row>
    <row r="1265">
      <c r="O1265" s="3" t="str">
        <f>IFERROR(VLOOKUP(C1265,Sheet4!A1265:F2052,6,0),"")</f>
        <v/>
      </c>
      <c r="Q1265" s="2" t="str">
        <f t="shared" si="1"/>
        <v/>
      </c>
    </row>
    <row r="1266">
      <c r="O1266" s="3" t="str">
        <f>IFERROR(VLOOKUP(C1266,Sheet4!A1266:F2053,6,0),"")</f>
        <v/>
      </c>
      <c r="Q1266" s="2" t="str">
        <f t="shared" si="1"/>
        <v/>
      </c>
    </row>
    <row r="1267">
      <c r="O1267" s="3" t="str">
        <f>IFERROR(VLOOKUP(C1267,Sheet4!A1267:F2054,6,0),"")</f>
        <v/>
      </c>
      <c r="Q1267" s="2" t="str">
        <f t="shared" si="1"/>
        <v/>
      </c>
    </row>
    <row r="1268">
      <c r="O1268" s="3" t="str">
        <f>IFERROR(VLOOKUP(C1268,Sheet4!A1268:F2055,6,0),"")</f>
        <v/>
      </c>
      <c r="Q1268" s="2" t="str">
        <f t="shared" si="1"/>
        <v/>
      </c>
    </row>
    <row r="1269">
      <c r="O1269" s="3" t="str">
        <f>IFERROR(VLOOKUP(C1269,Sheet4!A1269:F2056,6,0),"")</f>
        <v/>
      </c>
      <c r="Q1269" s="2" t="str">
        <f t="shared" si="1"/>
        <v/>
      </c>
    </row>
    <row r="1270">
      <c r="O1270" s="3" t="str">
        <f>IFERROR(VLOOKUP(C1270,Sheet4!A1270:F2057,6,0),"")</f>
        <v/>
      </c>
      <c r="Q1270" s="2" t="str">
        <f t="shared" si="1"/>
        <v/>
      </c>
    </row>
    <row r="1271">
      <c r="O1271" s="3" t="str">
        <f>IFERROR(VLOOKUP(C1271,Sheet4!A1271:F2058,6,0),"")</f>
        <v/>
      </c>
      <c r="Q1271" s="2" t="str">
        <f t="shared" si="1"/>
        <v/>
      </c>
    </row>
    <row r="1272">
      <c r="O1272" s="3" t="str">
        <f>IFERROR(VLOOKUP(C1272,Sheet4!A1272:F2059,6,0),"")</f>
        <v/>
      </c>
      <c r="Q1272" s="2" t="str">
        <f t="shared" si="1"/>
        <v/>
      </c>
    </row>
    <row r="1273">
      <c r="O1273" s="3" t="str">
        <f>IFERROR(VLOOKUP(C1273,Sheet4!A1273:F2060,6,0),"")</f>
        <v/>
      </c>
      <c r="Q1273" s="2" t="str">
        <f t="shared" si="1"/>
        <v/>
      </c>
    </row>
    <row r="1274">
      <c r="O1274" s="3" t="str">
        <f>IFERROR(VLOOKUP(C1274,Sheet4!A1274:F2061,6,0),"")</f>
        <v/>
      </c>
      <c r="Q1274" s="2" t="str">
        <f t="shared" si="1"/>
        <v/>
      </c>
    </row>
    <row r="1275">
      <c r="O1275" s="3" t="str">
        <f>IFERROR(VLOOKUP(C1275,Sheet4!A1275:F2062,6,0),"")</f>
        <v/>
      </c>
      <c r="Q1275" s="2" t="str">
        <f t="shared" si="1"/>
        <v/>
      </c>
    </row>
    <row r="1276">
      <c r="O1276" s="3" t="str">
        <f>IFERROR(VLOOKUP(C1276,Sheet4!A1276:F2063,6,0),"")</f>
        <v/>
      </c>
      <c r="Q1276" s="2" t="str">
        <f t="shared" si="1"/>
        <v/>
      </c>
    </row>
    <row r="1277">
      <c r="O1277" s="3" t="str">
        <f>IFERROR(VLOOKUP(C1277,Sheet4!A1277:F2064,6,0),"")</f>
        <v/>
      </c>
      <c r="Q1277" s="2" t="str">
        <f t="shared" si="1"/>
        <v/>
      </c>
    </row>
    <row r="1278">
      <c r="O1278" s="3" t="str">
        <f>IFERROR(VLOOKUP(C1278,Sheet4!A1278:F2065,6,0),"")</f>
        <v/>
      </c>
      <c r="Q1278" s="2" t="str">
        <f t="shared" si="1"/>
        <v/>
      </c>
    </row>
    <row r="1279">
      <c r="O1279" s="3" t="str">
        <f>IFERROR(VLOOKUP(C1279,Sheet4!A1279:F2066,6,0),"")</f>
        <v/>
      </c>
      <c r="Q1279" s="2" t="str">
        <f t="shared" si="1"/>
        <v/>
      </c>
    </row>
    <row r="1280">
      <c r="O1280" s="3" t="str">
        <f>IFERROR(VLOOKUP(C1280,Sheet4!A1280:F2067,6,0),"")</f>
        <v/>
      </c>
      <c r="Q1280" s="2" t="str">
        <f t="shared" si="1"/>
        <v/>
      </c>
    </row>
    <row r="1281">
      <c r="O1281" s="3" t="str">
        <f>IFERROR(VLOOKUP(C1281,Sheet4!A1281:F2068,6,0),"")</f>
        <v/>
      </c>
      <c r="Q1281" s="2" t="str">
        <f t="shared" si="1"/>
        <v/>
      </c>
    </row>
    <row r="1282">
      <c r="O1282" s="3" t="str">
        <f>IFERROR(VLOOKUP(C1282,Sheet4!A1282:F2069,6,0),"")</f>
        <v/>
      </c>
      <c r="Q1282" s="2" t="str">
        <f t="shared" si="1"/>
        <v/>
      </c>
    </row>
    <row r="1283">
      <c r="O1283" s="3" t="str">
        <f>IFERROR(VLOOKUP(C1283,Sheet4!A1283:F2070,6,0),"")</f>
        <v/>
      </c>
      <c r="Q1283" s="2" t="str">
        <f t="shared" si="1"/>
        <v/>
      </c>
    </row>
    <row r="1284">
      <c r="O1284" s="3" t="str">
        <f>IFERROR(VLOOKUP(C1284,Sheet4!A1284:F2071,6,0),"")</f>
        <v/>
      </c>
      <c r="Q1284" s="2" t="str">
        <f t="shared" si="1"/>
        <v/>
      </c>
    </row>
    <row r="1285">
      <c r="O1285" s="3" t="str">
        <f>IFERROR(VLOOKUP(C1285,Sheet4!A1285:F2072,6,0),"")</f>
        <v/>
      </c>
      <c r="Q1285" s="2" t="str">
        <f t="shared" si="1"/>
        <v/>
      </c>
    </row>
    <row r="1286">
      <c r="O1286" s="3" t="str">
        <f>IFERROR(VLOOKUP(C1286,Sheet4!A1286:F2073,6,0),"")</f>
        <v/>
      </c>
      <c r="Q1286" s="2" t="str">
        <f t="shared" si="1"/>
        <v/>
      </c>
    </row>
    <row r="1287">
      <c r="O1287" s="3" t="str">
        <f>IFERROR(VLOOKUP(C1287,Sheet4!A1287:F2074,6,0),"")</f>
        <v/>
      </c>
      <c r="Q1287" s="2" t="str">
        <f t="shared" si="1"/>
        <v/>
      </c>
    </row>
    <row r="1288">
      <c r="O1288" s="3" t="str">
        <f>IFERROR(VLOOKUP(C1288,Sheet4!A1288:F2075,6,0),"")</f>
        <v/>
      </c>
      <c r="Q1288" s="2" t="str">
        <f t="shared" si="1"/>
        <v/>
      </c>
    </row>
    <row r="1289">
      <c r="O1289" s="3" t="str">
        <f>IFERROR(VLOOKUP(C1289,Sheet4!A1289:F2076,6,0),"")</f>
        <v/>
      </c>
      <c r="Q1289" s="2" t="str">
        <f t="shared" si="1"/>
        <v/>
      </c>
    </row>
    <row r="1290">
      <c r="O1290" s="3" t="str">
        <f>IFERROR(VLOOKUP(C1290,Sheet4!A1290:F2077,6,0),"")</f>
        <v/>
      </c>
      <c r="Q1290" s="2" t="str">
        <f t="shared" si="1"/>
        <v/>
      </c>
    </row>
    <row r="1291">
      <c r="O1291" s="3" t="str">
        <f>IFERROR(VLOOKUP(C1291,Sheet4!A1291:F2078,6,0),"")</f>
        <v/>
      </c>
      <c r="Q1291" s="2" t="str">
        <f t="shared" si="1"/>
        <v/>
      </c>
    </row>
    <row r="1292">
      <c r="O1292" s="3" t="str">
        <f>IFERROR(VLOOKUP(C1292,Sheet4!A1292:F2079,6,0),"")</f>
        <v/>
      </c>
      <c r="Q1292" s="2" t="str">
        <f t="shared" si="1"/>
        <v/>
      </c>
    </row>
    <row r="1293">
      <c r="O1293" s="3" t="str">
        <f>IFERROR(VLOOKUP(C1293,Sheet4!A1293:F2080,6,0),"")</f>
        <v/>
      </c>
      <c r="Q1293" s="2" t="str">
        <f t="shared" si="1"/>
        <v/>
      </c>
    </row>
    <row r="1294">
      <c r="O1294" s="3" t="str">
        <f>IFERROR(VLOOKUP(C1294,Sheet4!A1294:F2081,6,0),"")</f>
        <v/>
      </c>
      <c r="Q1294" s="2" t="str">
        <f t="shared" si="1"/>
        <v/>
      </c>
    </row>
    <row r="1295">
      <c r="O1295" s="3" t="str">
        <f>IFERROR(VLOOKUP(C1295,Sheet4!A1295:F2082,6,0),"")</f>
        <v/>
      </c>
      <c r="Q1295" s="2" t="str">
        <f t="shared" si="1"/>
        <v/>
      </c>
    </row>
    <row r="1296">
      <c r="O1296" s="3" t="str">
        <f>IFERROR(VLOOKUP(C1296,Sheet4!A1296:F2083,6,0),"")</f>
        <v/>
      </c>
      <c r="Q1296" s="2" t="str">
        <f t="shared" si="1"/>
        <v/>
      </c>
    </row>
    <row r="1297">
      <c r="O1297" s="3" t="str">
        <f>IFERROR(VLOOKUP(C1297,Sheet4!A1297:F2084,6,0),"")</f>
        <v/>
      </c>
      <c r="Q1297" s="2" t="str">
        <f t="shared" si="1"/>
        <v/>
      </c>
    </row>
    <row r="1298">
      <c r="O1298" s="3" t="str">
        <f>IFERROR(VLOOKUP(C1298,Sheet4!A1298:F2085,6,0),"")</f>
        <v/>
      </c>
      <c r="Q1298" s="2" t="str">
        <f t="shared" si="1"/>
        <v/>
      </c>
    </row>
    <row r="1299">
      <c r="O1299" s="3" t="str">
        <f>IFERROR(VLOOKUP(C1299,Sheet4!A1299:F2086,6,0),"")</f>
        <v/>
      </c>
      <c r="Q1299" s="2" t="str">
        <f t="shared" si="1"/>
        <v/>
      </c>
    </row>
    <row r="1300">
      <c r="O1300" s="3" t="str">
        <f>IFERROR(VLOOKUP(C1300,Sheet4!A1300:F2087,6,0),"")</f>
        <v/>
      </c>
      <c r="Q1300" s="2" t="str">
        <f t="shared" si="1"/>
        <v/>
      </c>
    </row>
    <row r="1301">
      <c r="O1301" s="3" t="str">
        <f>IFERROR(VLOOKUP(C1301,Sheet4!A1301:F2088,6,0),"")</f>
        <v/>
      </c>
      <c r="Q1301" s="2" t="str">
        <f t="shared" si="1"/>
        <v/>
      </c>
    </row>
    <row r="1302">
      <c r="O1302" s="3" t="str">
        <f>IFERROR(VLOOKUP(C1302,Sheet4!A1302:F2089,6,0),"")</f>
        <v/>
      </c>
      <c r="Q1302" s="2" t="str">
        <f t="shared" si="1"/>
        <v/>
      </c>
    </row>
    <row r="1303">
      <c r="O1303" s="3" t="str">
        <f>IFERROR(VLOOKUP(C1303,Sheet4!A1303:F2090,6,0),"")</f>
        <v/>
      </c>
      <c r="Q1303" s="2" t="str">
        <f t="shared" si="1"/>
        <v/>
      </c>
    </row>
    <row r="1304">
      <c r="O1304" s="3" t="str">
        <f>IFERROR(VLOOKUP(C1304,Sheet4!A1304:F2091,6,0),"")</f>
        <v/>
      </c>
      <c r="Q1304" s="2" t="str">
        <f t="shared" si="1"/>
        <v/>
      </c>
    </row>
    <row r="1305">
      <c r="O1305" s="3" t="str">
        <f>IFERROR(VLOOKUP(C1305,Sheet4!A1305:F2092,6,0),"")</f>
        <v/>
      </c>
      <c r="Q1305" s="2" t="str">
        <f t="shared" si="1"/>
        <v/>
      </c>
    </row>
    <row r="1306">
      <c r="O1306" s="3" t="str">
        <f>IFERROR(VLOOKUP(C1306,Sheet4!A1306:F2093,6,0),"")</f>
        <v/>
      </c>
      <c r="Q1306" s="2" t="str">
        <f t="shared" si="1"/>
        <v/>
      </c>
    </row>
    <row r="1307">
      <c r="O1307" s="3" t="str">
        <f>IFERROR(VLOOKUP(C1307,Sheet4!A1307:F2094,6,0),"")</f>
        <v/>
      </c>
      <c r="Q1307" s="2" t="str">
        <f t="shared" si="1"/>
        <v/>
      </c>
    </row>
    <row r="1308">
      <c r="O1308" s="3" t="str">
        <f>IFERROR(VLOOKUP(C1308,Sheet4!A1308:F2095,6,0),"")</f>
        <v/>
      </c>
      <c r="Q1308" s="2" t="str">
        <f t="shared" si="1"/>
        <v/>
      </c>
    </row>
    <row r="1309">
      <c r="O1309" s="3" t="str">
        <f>IFERROR(VLOOKUP(C1309,Sheet4!A1309:F2096,6,0),"")</f>
        <v/>
      </c>
      <c r="Q1309" s="2" t="str">
        <f t="shared" si="1"/>
        <v/>
      </c>
    </row>
    <row r="1310">
      <c r="O1310" s="3" t="str">
        <f>IFERROR(VLOOKUP(C1310,Sheet4!A1310:F2097,6,0),"")</f>
        <v/>
      </c>
      <c r="Q1310" s="2" t="str">
        <f t="shared" si="1"/>
        <v/>
      </c>
    </row>
    <row r="1311">
      <c r="O1311" s="3" t="str">
        <f>IFERROR(VLOOKUP(C1311,Sheet4!A1311:F2098,6,0),"")</f>
        <v/>
      </c>
      <c r="Q1311" s="2" t="str">
        <f t="shared" si="1"/>
        <v/>
      </c>
    </row>
    <row r="1312">
      <c r="O1312" s="3" t="str">
        <f>IFERROR(VLOOKUP(C1312,Sheet4!A1312:F2099,6,0),"")</f>
        <v/>
      </c>
      <c r="Q1312" s="2" t="str">
        <f t="shared" si="1"/>
        <v/>
      </c>
    </row>
    <row r="1313">
      <c r="O1313" s="3" t="str">
        <f>IFERROR(VLOOKUP(C1313,Sheet4!A1313:F2100,6,0),"")</f>
        <v/>
      </c>
      <c r="Q1313" s="2" t="str">
        <f t="shared" si="1"/>
        <v/>
      </c>
    </row>
    <row r="1314">
      <c r="O1314" s="3" t="str">
        <f>IFERROR(VLOOKUP(C1314,Sheet4!A1314:F2101,6,0),"")</f>
        <v/>
      </c>
      <c r="Q1314" s="2" t="str">
        <f t="shared" si="1"/>
        <v/>
      </c>
    </row>
    <row r="1315">
      <c r="O1315" s="3" t="str">
        <f>IFERROR(VLOOKUP(C1315,Sheet4!A1315:F2102,6,0),"")</f>
        <v/>
      </c>
      <c r="Q1315" s="2" t="str">
        <f t="shared" si="1"/>
        <v/>
      </c>
    </row>
    <row r="1316">
      <c r="O1316" s="3" t="str">
        <f>IFERROR(VLOOKUP(C1316,Sheet4!A1316:F2103,6,0),"")</f>
        <v/>
      </c>
      <c r="Q1316" s="2" t="str">
        <f t="shared" si="1"/>
        <v/>
      </c>
    </row>
    <row r="1317">
      <c r="O1317" s="3" t="str">
        <f>IFERROR(VLOOKUP(C1317,Sheet4!A1317:F2104,6,0),"")</f>
        <v/>
      </c>
      <c r="Q1317" s="2" t="str">
        <f t="shared" si="1"/>
        <v/>
      </c>
    </row>
    <row r="1318">
      <c r="O1318" s="3" t="str">
        <f>IFERROR(VLOOKUP(C1318,Sheet4!A1318:F2105,6,0),"")</f>
        <v/>
      </c>
      <c r="Q1318" s="2" t="str">
        <f t="shared" si="1"/>
        <v/>
      </c>
    </row>
    <row r="1319">
      <c r="O1319" s="3" t="str">
        <f>IFERROR(VLOOKUP(C1319,Sheet4!A1319:F2106,6,0),"")</f>
        <v/>
      </c>
      <c r="Q1319" s="2" t="str">
        <f t="shared" si="1"/>
        <v/>
      </c>
    </row>
    <row r="1320">
      <c r="O1320" s="3" t="str">
        <f>IFERROR(VLOOKUP(C1320,Sheet4!A1320:F2107,6,0),"")</f>
        <v/>
      </c>
      <c r="Q1320" s="2" t="str">
        <f t="shared" si="1"/>
        <v/>
      </c>
    </row>
    <row r="1321">
      <c r="O1321" s="3" t="str">
        <f>IFERROR(VLOOKUP(C1321,Sheet4!A1321:F2108,6,0),"")</f>
        <v/>
      </c>
      <c r="Q1321" s="2" t="str">
        <f t="shared" si="1"/>
        <v/>
      </c>
    </row>
    <row r="1322">
      <c r="O1322" s="3" t="str">
        <f>IFERROR(VLOOKUP(C1322,Sheet4!A1322:F2109,6,0),"")</f>
        <v/>
      </c>
      <c r="Q1322" s="2" t="str">
        <f t="shared" si="1"/>
        <v/>
      </c>
    </row>
    <row r="1323">
      <c r="O1323" s="3" t="str">
        <f>IFERROR(VLOOKUP(C1323,Sheet4!A1323:F2110,6,0),"")</f>
        <v/>
      </c>
      <c r="Q1323" s="2" t="str">
        <f t="shared" si="1"/>
        <v/>
      </c>
    </row>
    <row r="1324">
      <c r="O1324" s="3" t="str">
        <f>IFERROR(VLOOKUP(C1324,Sheet4!A1324:F2111,6,0),"")</f>
        <v/>
      </c>
      <c r="Q1324" s="2" t="str">
        <f t="shared" si="1"/>
        <v/>
      </c>
    </row>
    <row r="1325">
      <c r="O1325" s="3" t="str">
        <f>IFERROR(VLOOKUP(C1325,Sheet4!A1325:F2112,6,0),"")</f>
        <v/>
      </c>
      <c r="Q1325" s="2" t="str">
        <f t="shared" si="1"/>
        <v/>
      </c>
    </row>
    <row r="1326">
      <c r="O1326" s="3" t="str">
        <f>IFERROR(VLOOKUP(C1326,Sheet4!A1326:F2113,6,0),"")</f>
        <v/>
      </c>
      <c r="Q1326" s="2" t="str">
        <f t="shared" si="1"/>
        <v/>
      </c>
    </row>
    <row r="1327">
      <c r="O1327" s="3" t="str">
        <f>IFERROR(VLOOKUP(C1327,Sheet4!A1327:F2114,6,0),"")</f>
        <v/>
      </c>
      <c r="Q1327" s="2" t="str">
        <f t="shared" si="1"/>
        <v/>
      </c>
    </row>
    <row r="1328">
      <c r="O1328" s="3" t="str">
        <f>IFERROR(VLOOKUP(C1328,Sheet4!A1328:F2115,6,0),"")</f>
        <v/>
      </c>
      <c r="Q1328" s="2" t="str">
        <f t="shared" si="1"/>
        <v/>
      </c>
    </row>
    <row r="1329">
      <c r="O1329" s="3" t="str">
        <f>IFERROR(VLOOKUP(C1329,Sheet4!A1329:F2116,6,0),"")</f>
        <v/>
      </c>
      <c r="Q1329" s="2" t="str">
        <f t="shared" si="1"/>
        <v/>
      </c>
    </row>
    <row r="1330">
      <c r="O1330" s="3" t="str">
        <f>IFERROR(VLOOKUP(C1330,Sheet4!A1330:F2117,6,0),"")</f>
        <v/>
      </c>
      <c r="Q1330" s="2" t="str">
        <f t="shared" si="1"/>
        <v/>
      </c>
    </row>
    <row r="1331">
      <c r="O1331" s="3" t="str">
        <f>IFERROR(VLOOKUP(C1331,Sheet4!A1331:F2118,6,0),"")</f>
        <v/>
      </c>
      <c r="Q1331" s="2" t="str">
        <f t="shared" si="1"/>
        <v/>
      </c>
    </row>
    <row r="1332">
      <c r="O1332" s="3" t="str">
        <f>IFERROR(VLOOKUP(C1332,Sheet4!A1332:F2119,6,0),"")</f>
        <v/>
      </c>
      <c r="Q1332" s="2" t="str">
        <f t="shared" si="1"/>
        <v/>
      </c>
    </row>
    <row r="1333">
      <c r="O1333" s="3" t="str">
        <f>IFERROR(VLOOKUP(C1333,Sheet4!A1333:F2120,6,0),"")</f>
        <v/>
      </c>
      <c r="Q1333" s="2" t="str">
        <f t="shared" si="1"/>
        <v/>
      </c>
    </row>
    <row r="1334">
      <c r="O1334" s="3" t="str">
        <f>IFERROR(VLOOKUP(C1334,Sheet4!A1334:F2121,6,0),"")</f>
        <v/>
      </c>
      <c r="Q1334" s="2" t="str">
        <f t="shared" si="1"/>
        <v/>
      </c>
    </row>
    <row r="1335">
      <c r="O1335" s="3" t="str">
        <f>IFERROR(VLOOKUP(C1335,Sheet4!A1335:F2122,6,0),"")</f>
        <v/>
      </c>
      <c r="Q1335" s="2" t="str">
        <f t="shared" si="1"/>
        <v/>
      </c>
    </row>
    <row r="1336">
      <c r="O1336" s="3" t="str">
        <f>IFERROR(VLOOKUP(C1336,Sheet4!A1336:F2123,6,0),"")</f>
        <v/>
      </c>
      <c r="Q1336" s="2" t="str">
        <f t="shared" si="1"/>
        <v/>
      </c>
    </row>
    <row r="1337">
      <c r="O1337" s="3" t="str">
        <f>IFERROR(VLOOKUP(C1337,Sheet4!A1337:F2124,6,0),"")</f>
        <v/>
      </c>
      <c r="Q1337" s="2" t="str">
        <f t="shared" si="1"/>
        <v/>
      </c>
    </row>
    <row r="1338">
      <c r="O1338" s="3" t="str">
        <f>IFERROR(VLOOKUP(C1338,Sheet4!A1338:F2125,6,0),"")</f>
        <v/>
      </c>
      <c r="Q1338" s="2" t="str">
        <f t="shared" si="1"/>
        <v/>
      </c>
    </row>
    <row r="1339">
      <c r="O1339" s="3" t="str">
        <f>IFERROR(VLOOKUP(C1339,Sheet4!A1339:F2126,6,0),"")</f>
        <v/>
      </c>
      <c r="Q1339" s="2" t="str">
        <f t="shared" si="1"/>
        <v/>
      </c>
    </row>
    <row r="1340">
      <c r="O1340" s="3" t="str">
        <f>IFERROR(VLOOKUP(C1340,Sheet4!A1340:F2127,6,0),"")</f>
        <v/>
      </c>
      <c r="Q1340" s="2" t="str">
        <f t="shared" si="1"/>
        <v/>
      </c>
    </row>
    <row r="1341">
      <c r="O1341" s="3" t="str">
        <f>IFERROR(VLOOKUP(C1341,Sheet4!A1341:F2128,6,0),"")</f>
        <v/>
      </c>
      <c r="Q1341" s="2" t="str">
        <f t="shared" si="1"/>
        <v/>
      </c>
    </row>
    <row r="1342">
      <c r="O1342" s="3" t="str">
        <f>IFERROR(VLOOKUP(C1342,Sheet4!A1342:F2129,6,0),"")</f>
        <v/>
      </c>
      <c r="Q1342" s="2" t="str">
        <f t="shared" si="1"/>
        <v/>
      </c>
    </row>
    <row r="1343">
      <c r="O1343" s="3" t="str">
        <f>IFERROR(VLOOKUP(C1343,Sheet4!A1343:F2130,6,0),"")</f>
        <v/>
      </c>
      <c r="Q1343" s="2" t="str">
        <f t="shared" si="1"/>
        <v/>
      </c>
    </row>
    <row r="1344">
      <c r="O1344" s="3" t="str">
        <f>IFERROR(VLOOKUP(C1344,Sheet4!A1344:F2131,6,0),"")</f>
        <v/>
      </c>
      <c r="Q1344" s="2" t="str">
        <f t="shared" si="1"/>
        <v/>
      </c>
    </row>
    <row r="1345">
      <c r="O1345" s="3" t="str">
        <f>IFERROR(VLOOKUP(C1345,Sheet4!A1345:F2132,6,0),"")</f>
        <v/>
      </c>
      <c r="Q1345" s="2" t="str">
        <f t="shared" si="1"/>
        <v/>
      </c>
    </row>
    <row r="1346">
      <c r="O1346" s="3" t="str">
        <f>IFERROR(VLOOKUP(C1346,Sheet4!A1346:F2133,6,0),"")</f>
        <v/>
      </c>
      <c r="Q1346" s="2" t="str">
        <f t="shared" si="1"/>
        <v/>
      </c>
    </row>
    <row r="1347">
      <c r="O1347" s="3" t="str">
        <f>IFERROR(VLOOKUP(C1347,Sheet4!A1347:F2134,6,0),"")</f>
        <v/>
      </c>
      <c r="Q1347" s="2" t="str">
        <f t="shared" si="1"/>
        <v/>
      </c>
    </row>
    <row r="1348">
      <c r="O1348" s="3" t="str">
        <f>IFERROR(VLOOKUP(C1348,Sheet4!A1348:F2135,6,0),"")</f>
        <v/>
      </c>
      <c r="Q1348" s="2" t="str">
        <f t="shared" si="1"/>
        <v/>
      </c>
    </row>
    <row r="1349">
      <c r="O1349" s="3" t="str">
        <f>IFERROR(VLOOKUP(C1349,Sheet4!A1349:F2136,6,0),"")</f>
        <v/>
      </c>
      <c r="Q1349" s="2" t="str">
        <f t="shared" si="1"/>
        <v/>
      </c>
    </row>
    <row r="1350">
      <c r="O1350" s="3" t="str">
        <f>IFERROR(VLOOKUP(C1350,Sheet4!A1350:F2137,6,0),"")</f>
        <v/>
      </c>
      <c r="Q1350" s="2" t="str">
        <f t="shared" si="1"/>
        <v/>
      </c>
    </row>
    <row r="1351">
      <c r="O1351" s="3" t="str">
        <f>IFERROR(VLOOKUP(C1351,Sheet4!A1351:F2138,6,0),"")</f>
        <v/>
      </c>
      <c r="Q1351" s="2" t="str">
        <f t="shared" si="1"/>
        <v/>
      </c>
    </row>
    <row r="1352">
      <c r="O1352" s="3" t="str">
        <f>IFERROR(VLOOKUP(C1352,Sheet4!A1352:F2139,6,0),"")</f>
        <v/>
      </c>
      <c r="Q1352" s="2" t="str">
        <f t="shared" si="1"/>
        <v/>
      </c>
    </row>
    <row r="1353">
      <c r="O1353" s="3" t="str">
        <f>IFERROR(VLOOKUP(C1353,Sheet4!A1353:F2140,6,0),"")</f>
        <v/>
      </c>
      <c r="Q1353" s="2" t="str">
        <f t="shared" si="1"/>
        <v/>
      </c>
    </row>
    <row r="1354">
      <c r="O1354" s="3" t="str">
        <f>IFERROR(VLOOKUP(C1354,Sheet4!A1354:F2141,6,0),"")</f>
        <v/>
      </c>
      <c r="Q1354" s="2" t="str">
        <f t="shared" si="1"/>
        <v/>
      </c>
    </row>
    <row r="1355">
      <c r="O1355" s="3" t="str">
        <f>IFERROR(VLOOKUP(C1355,Sheet4!A1355:F2142,6,0),"")</f>
        <v/>
      </c>
      <c r="Q1355" s="2" t="str">
        <f t="shared" si="1"/>
        <v/>
      </c>
    </row>
    <row r="1356">
      <c r="O1356" s="3" t="str">
        <f>IFERROR(VLOOKUP(C1356,Sheet4!A1356:F2143,6,0),"")</f>
        <v/>
      </c>
      <c r="Q1356" s="2" t="str">
        <f t="shared" si="1"/>
        <v/>
      </c>
    </row>
    <row r="1357">
      <c r="O1357" s="3" t="str">
        <f>IFERROR(VLOOKUP(C1357,Sheet4!A1357:F2144,6,0),"")</f>
        <v/>
      </c>
      <c r="Q1357" s="2" t="str">
        <f t="shared" si="1"/>
        <v/>
      </c>
    </row>
    <row r="1358">
      <c r="O1358" s="3" t="str">
        <f>IFERROR(VLOOKUP(C1358,Sheet4!A1358:F2145,6,0),"")</f>
        <v/>
      </c>
      <c r="Q1358" s="2" t="str">
        <f t="shared" si="1"/>
        <v/>
      </c>
    </row>
    <row r="1359">
      <c r="O1359" s="3" t="str">
        <f>IFERROR(VLOOKUP(C1359,Sheet4!A1359:F2146,6,0),"")</f>
        <v/>
      </c>
      <c r="Q1359" s="2" t="str">
        <f t="shared" si="1"/>
        <v/>
      </c>
    </row>
    <row r="1360">
      <c r="O1360" s="3" t="str">
        <f>IFERROR(VLOOKUP(C1360,Sheet4!A1360:F2147,6,0),"")</f>
        <v/>
      </c>
      <c r="Q1360" s="2" t="str">
        <f t="shared" si="1"/>
        <v/>
      </c>
    </row>
    <row r="1361">
      <c r="O1361" s="3" t="str">
        <f>IFERROR(VLOOKUP(C1361,Sheet4!A1361:F2148,6,0),"")</f>
        <v/>
      </c>
      <c r="Q1361" s="2" t="str">
        <f t="shared" si="1"/>
        <v/>
      </c>
    </row>
    <row r="1362">
      <c r="O1362" s="3" t="str">
        <f>IFERROR(VLOOKUP(C1362,Sheet4!A1362:F2149,6,0),"")</f>
        <v/>
      </c>
      <c r="Q1362" s="2" t="str">
        <f t="shared" si="1"/>
        <v/>
      </c>
    </row>
    <row r="1363">
      <c r="O1363" s="3" t="str">
        <f>IFERROR(VLOOKUP(C1363,Sheet4!A1363:F2150,6,0),"")</f>
        <v/>
      </c>
      <c r="Q1363" s="2" t="str">
        <f t="shared" si="1"/>
        <v/>
      </c>
    </row>
    <row r="1364">
      <c r="O1364" s="3" t="str">
        <f>IFERROR(VLOOKUP(C1364,Sheet4!A1364:F2151,6,0),"")</f>
        <v/>
      </c>
      <c r="Q1364" s="2" t="str">
        <f t="shared" si="1"/>
        <v/>
      </c>
    </row>
    <row r="1365">
      <c r="O1365" s="3" t="str">
        <f>IFERROR(VLOOKUP(C1365,Sheet4!A1365:F2152,6,0),"")</f>
        <v/>
      </c>
      <c r="Q1365" s="2" t="str">
        <f t="shared" si="1"/>
        <v/>
      </c>
    </row>
    <row r="1366">
      <c r="O1366" s="3" t="str">
        <f>IFERROR(VLOOKUP(C1366,Sheet4!A1366:F2153,6,0),"")</f>
        <v/>
      </c>
      <c r="Q1366" s="2" t="str">
        <f t="shared" si="1"/>
        <v/>
      </c>
    </row>
    <row r="1367">
      <c r="O1367" s="3" t="str">
        <f>IFERROR(VLOOKUP(C1367,Sheet4!A1367:F2154,6,0),"")</f>
        <v/>
      </c>
      <c r="Q1367" s="2" t="str">
        <f t="shared" si="1"/>
        <v/>
      </c>
    </row>
    <row r="1368">
      <c r="O1368" s="3" t="str">
        <f>IFERROR(VLOOKUP(C1368,Sheet4!A1368:F2155,6,0),"")</f>
        <v/>
      </c>
      <c r="Q1368" s="2" t="str">
        <f t="shared" si="1"/>
        <v/>
      </c>
    </row>
    <row r="1369">
      <c r="O1369" s="3" t="str">
        <f>IFERROR(VLOOKUP(C1369,Sheet4!A1369:F2156,6,0),"")</f>
        <v/>
      </c>
      <c r="Q1369" s="2" t="str">
        <f t="shared" si="1"/>
        <v/>
      </c>
    </row>
    <row r="1370">
      <c r="O1370" s="3" t="str">
        <f>IFERROR(VLOOKUP(C1370,Sheet4!A1370:F2157,6,0),"")</f>
        <v/>
      </c>
      <c r="Q1370" s="2" t="str">
        <f t="shared" si="1"/>
        <v/>
      </c>
    </row>
    <row r="1371">
      <c r="O1371" s="3" t="str">
        <f>IFERROR(VLOOKUP(C1371,Sheet4!A1371:F2158,6,0),"")</f>
        <v/>
      </c>
      <c r="Q1371" s="2" t="str">
        <f t="shared" si="1"/>
        <v/>
      </c>
    </row>
    <row r="1372">
      <c r="O1372" s="3" t="str">
        <f>IFERROR(VLOOKUP(C1372,Sheet4!A1372:F2159,6,0),"")</f>
        <v/>
      </c>
      <c r="Q1372" s="2" t="str">
        <f t="shared" si="1"/>
        <v/>
      </c>
    </row>
    <row r="1373">
      <c r="O1373" s="3" t="str">
        <f>IFERROR(VLOOKUP(C1373,Sheet4!A1373:F2160,6,0),"")</f>
        <v/>
      </c>
      <c r="Q1373" s="2" t="str">
        <f t="shared" si="1"/>
        <v/>
      </c>
    </row>
    <row r="1374">
      <c r="O1374" s="3" t="str">
        <f>IFERROR(VLOOKUP(C1374,Sheet4!A1374:F2161,6,0),"")</f>
        <v/>
      </c>
      <c r="Q1374" s="2" t="str">
        <f t="shared" si="1"/>
        <v/>
      </c>
    </row>
    <row r="1375">
      <c r="O1375" s="3" t="str">
        <f>IFERROR(VLOOKUP(C1375,Sheet4!A1375:F2162,6,0),"")</f>
        <v/>
      </c>
      <c r="Q1375" s="2" t="str">
        <f t="shared" si="1"/>
        <v/>
      </c>
    </row>
    <row r="1376">
      <c r="O1376" s="3" t="str">
        <f>IFERROR(VLOOKUP(C1376,Sheet4!A1376:F2163,6,0),"")</f>
        <v/>
      </c>
      <c r="Q1376" s="2" t="str">
        <f t="shared" si="1"/>
        <v/>
      </c>
    </row>
    <row r="1377">
      <c r="O1377" s="3" t="str">
        <f>IFERROR(VLOOKUP(C1377,Sheet4!A1377:F2164,6,0),"")</f>
        <v/>
      </c>
      <c r="Q1377" s="2" t="str">
        <f t="shared" si="1"/>
        <v/>
      </c>
    </row>
    <row r="1378">
      <c r="O1378" s="3" t="str">
        <f>IFERROR(VLOOKUP(C1378,Sheet4!A1378:F2165,6,0),"")</f>
        <v/>
      </c>
      <c r="Q1378" s="2" t="str">
        <f t="shared" si="1"/>
        <v/>
      </c>
    </row>
    <row r="1379">
      <c r="O1379" s="3" t="str">
        <f>IFERROR(VLOOKUP(C1379,Sheet4!A1379:F2166,6,0),"")</f>
        <v/>
      </c>
      <c r="Q1379" s="2" t="str">
        <f t="shared" si="1"/>
        <v/>
      </c>
    </row>
    <row r="1380">
      <c r="O1380" s="3" t="str">
        <f>IFERROR(VLOOKUP(C1380,Sheet4!A1380:F2167,6,0),"")</f>
        <v/>
      </c>
      <c r="Q1380" s="2" t="str">
        <f t="shared" si="1"/>
        <v/>
      </c>
    </row>
    <row r="1381">
      <c r="O1381" s="3" t="str">
        <f>IFERROR(VLOOKUP(C1381,Sheet4!A1381:F2168,6,0),"")</f>
        <v/>
      </c>
      <c r="Q1381" s="2" t="str">
        <f t="shared" si="1"/>
        <v/>
      </c>
    </row>
    <row r="1382">
      <c r="O1382" s="3" t="str">
        <f>IFERROR(VLOOKUP(C1382,Sheet4!A1382:F2169,6,0),"")</f>
        <v/>
      </c>
      <c r="Q1382" s="2" t="str">
        <f t="shared" si="1"/>
        <v/>
      </c>
    </row>
    <row r="1383">
      <c r="O1383" s="3" t="str">
        <f>IFERROR(VLOOKUP(C1383,Sheet4!A1383:F2170,6,0),"")</f>
        <v/>
      </c>
      <c r="Q1383" s="2" t="str">
        <f t="shared" si="1"/>
        <v/>
      </c>
    </row>
    <row r="1384">
      <c r="O1384" s="3" t="str">
        <f>IFERROR(VLOOKUP(C1384,Sheet4!A1384:F2171,6,0),"")</f>
        <v/>
      </c>
      <c r="Q1384" s="2" t="str">
        <f t="shared" si="1"/>
        <v/>
      </c>
    </row>
    <row r="1385">
      <c r="O1385" s="3" t="str">
        <f>IFERROR(VLOOKUP(C1385,Sheet4!A1385:F2172,6,0),"")</f>
        <v/>
      </c>
      <c r="Q1385" s="2" t="str">
        <f t="shared" si="1"/>
        <v/>
      </c>
    </row>
    <row r="1386">
      <c r="O1386" s="3" t="str">
        <f>IFERROR(VLOOKUP(C1386,Sheet4!A1386:F2173,6,0),"")</f>
        <v/>
      </c>
      <c r="Q1386" s="2" t="str">
        <f t="shared" si="1"/>
        <v/>
      </c>
    </row>
    <row r="1387">
      <c r="O1387" s="3" t="str">
        <f>IFERROR(VLOOKUP(C1387,Sheet4!A1387:F2174,6,0),"")</f>
        <v/>
      </c>
      <c r="Q1387" s="2" t="str">
        <f t="shared" si="1"/>
        <v/>
      </c>
    </row>
    <row r="1388">
      <c r="O1388" s="3" t="str">
        <f>IFERROR(VLOOKUP(C1388,Sheet4!A1388:F2175,6,0),"")</f>
        <v/>
      </c>
      <c r="Q1388" s="2" t="str">
        <f t="shared" si="1"/>
        <v/>
      </c>
    </row>
    <row r="1389">
      <c r="O1389" s="3" t="str">
        <f>IFERROR(VLOOKUP(C1389,Sheet4!A1389:F2176,6,0),"")</f>
        <v/>
      </c>
      <c r="Q1389" s="2" t="str">
        <f t="shared" si="1"/>
        <v/>
      </c>
    </row>
    <row r="1390">
      <c r="O1390" s="3" t="str">
        <f>IFERROR(VLOOKUP(C1390,Sheet4!A1390:F2177,6,0),"")</f>
        <v/>
      </c>
      <c r="Q1390" s="2" t="str">
        <f t="shared" si="1"/>
        <v/>
      </c>
    </row>
    <row r="1391">
      <c r="O1391" s="3" t="str">
        <f>IFERROR(VLOOKUP(C1391,Sheet4!A1391:F2178,6,0),"")</f>
        <v/>
      </c>
      <c r="Q1391" s="2" t="str">
        <f t="shared" si="1"/>
        <v/>
      </c>
    </row>
    <row r="1392">
      <c r="O1392" s="3" t="str">
        <f>IFERROR(VLOOKUP(C1392,Sheet4!A1392:F2179,6,0),"")</f>
        <v/>
      </c>
      <c r="Q1392" s="2" t="str">
        <f t="shared" si="1"/>
        <v/>
      </c>
    </row>
    <row r="1393">
      <c r="O1393" s="3" t="str">
        <f>IFERROR(VLOOKUP(C1393,Sheet4!A1393:F2180,6,0),"")</f>
        <v/>
      </c>
      <c r="Q1393" s="2" t="str">
        <f t="shared" si="1"/>
        <v/>
      </c>
    </row>
    <row r="1394">
      <c r="O1394" s="3" t="str">
        <f>IFERROR(VLOOKUP(C1394,Sheet4!A1394:F2181,6,0),"")</f>
        <v/>
      </c>
      <c r="Q1394" s="2" t="str">
        <f t="shared" si="1"/>
        <v/>
      </c>
    </row>
    <row r="1395">
      <c r="O1395" s="3" t="str">
        <f>IFERROR(VLOOKUP(C1395,Sheet4!A1395:F2182,6,0),"")</f>
        <v/>
      </c>
      <c r="Q1395" s="2" t="str">
        <f t="shared" si="1"/>
        <v/>
      </c>
    </row>
    <row r="1396">
      <c r="O1396" s="3" t="str">
        <f>IFERROR(VLOOKUP(C1396,Sheet4!A1396:F2183,6,0),"")</f>
        <v/>
      </c>
      <c r="Q1396" s="2" t="str">
        <f t="shared" si="1"/>
        <v/>
      </c>
    </row>
    <row r="1397">
      <c r="O1397" s="3" t="str">
        <f>IFERROR(VLOOKUP(C1397,Sheet4!A1397:F2184,6,0),"")</f>
        <v/>
      </c>
      <c r="Q1397" s="2" t="str">
        <f t="shared" si="1"/>
        <v/>
      </c>
    </row>
    <row r="1398">
      <c r="O1398" s="3" t="str">
        <f>IFERROR(VLOOKUP(C1398,Sheet4!A1398:F2185,6,0),"")</f>
        <v/>
      </c>
      <c r="Q1398" s="2" t="str">
        <f t="shared" si="1"/>
        <v/>
      </c>
    </row>
    <row r="1399">
      <c r="O1399" s="3" t="str">
        <f>IFERROR(VLOOKUP(C1399,Sheet4!A1399:F2186,6,0),"")</f>
        <v/>
      </c>
      <c r="Q1399" s="2" t="str">
        <f t="shared" si="1"/>
        <v/>
      </c>
    </row>
    <row r="1400">
      <c r="O1400" s="3" t="str">
        <f>IFERROR(VLOOKUP(C1400,Sheet4!A1400:F2187,6,0),"")</f>
        <v/>
      </c>
      <c r="Q1400" s="2" t="str">
        <f t="shared" si="1"/>
        <v/>
      </c>
    </row>
    <row r="1401">
      <c r="O1401" s="3" t="str">
        <f>IFERROR(VLOOKUP(C1401,Sheet4!A1401:F2188,6,0),"")</f>
        <v/>
      </c>
      <c r="Q1401" s="2" t="str">
        <f t="shared" si="1"/>
        <v/>
      </c>
    </row>
    <row r="1402">
      <c r="O1402" s="3" t="str">
        <f>IFERROR(VLOOKUP(C1402,Sheet4!A1402:F2189,6,0),"")</f>
        <v/>
      </c>
      <c r="Q1402" s="2" t="str">
        <f t="shared" si="1"/>
        <v/>
      </c>
    </row>
    <row r="1403">
      <c r="O1403" s="3" t="str">
        <f>IFERROR(VLOOKUP(C1403,Sheet4!A1403:F2190,6,0),"")</f>
        <v/>
      </c>
      <c r="Q1403" s="2" t="str">
        <f t="shared" si="1"/>
        <v/>
      </c>
    </row>
    <row r="1404">
      <c r="O1404" s="3" t="str">
        <f>IFERROR(VLOOKUP(C1404,Sheet4!A1404:F2191,6,0),"")</f>
        <v/>
      </c>
      <c r="Q1404" s="2" t="str">
        <f t="shared" si="1"/>
        <v/>
      </c>
    </row>
    <row r="1405">
      <c r="O1405" s="3" t="str">
        <f>IFERROR(VLOOKUP(C1405,Sheet4!A1405:F2192,6,0),"")</f>
        <v/>
      </c>
      <c r="Q1405" s="2" t="str">
        <f t="shared" si="1"/>
        <v/>
      </c>
    </row>
    <row r="1406">
      <c r="O1406" s="3" t="str">
        <f>IFERROR(VLOOKUP(C1406,Sheet4!A1406:F2193,6,0),"")</f>
        <v/>
      </c>
      <c r="Q1406" s="2" t="str">
        <f t="shared" si="1"/>
        <v/>
      </c>
    </row>
    <row r="1407">
      <c r="O1407" s="3" t="str">
        <f>IFERROR(VLOOKUP(C1407,Sheet4!A1407:F2194,6,0),"")</f>
        <v/>
      </c>
      <c r="Q1407" s="2" t="str">
        <f t="shared" si="1"/>
        <v/>
      </c>
    </row>
    <row r="1408">
      <c r="O1408" s="3" t="str">
        <f>IFERROR(VLOOKUP(C1408,Sheet4!A1408:F2195,6,0),"")</f>
        <v/>
      </c>
      <c r="Q1408" s="2" t="str">
        <f t="shared" si="1"/>
        <v/>
      </c>
    </row>
    <row r="1409">
      <c r="O1409" s="3" t="str">
        <f>IFERROR(VLOOKUP(C1409,Sheet4!A1409:F2196,6,0),"")</f>
        <v/>
      </c>
      <c r="Q1409" s="2" t="str">
        <f t="shared" si="1"/>
        <v/>
      </c>
    </row>
    <row r="1410">
      <c r="O1410" s="3" t="str">
        <f>IFERROR(VLOOKUP(C1410,Sheet4!A1410:F2197,6,0),"")</f>
        <v/>
      </c>
      <c r="Q1410" s="2" t="str">
        <f t="shared" si="1"/>
        <v/>
      </c>
    </row>
    <row r="1411">
      <c r="O1411" s="3" t="str">
        <f>IFERROR(VLOOKUP(C1411,Sheet4!A1411:F2198,6,0),"")</f>
        <v/>
      </c>
      <c r="Q1411" s="2" t="str">
        <f t="shared" si="1"/>
        <v/>
      </c>
    </row>
    <row r="1412">
      <c r="O1412" s="3" t="str">
        <f>IFERROR(VLOOKUP(C1412,Sheet4!A1412:F2199,6,0),"")</f>
        <v/>
      </c>
      <c r="Q1412" s="2" t="str">
        <f t="shared" si="1"/>
        <v/>
      </c>
    </row>
    <row r="1413">
      <c r="O1413" s="3" t="str">
        <f>IFERROR(VLOOKUP(C1413,Sheet4!A1413:F2200,6,0),"")</f>
        <v/>
      </c>
      <c r="Q1413" s="2" t="str">
        <f t="shared" si="1"/>
        <v/>
      </c>
    </row>
    <row r="1414">
      <c r="O1414" s="3" t="str">
        <f>IFERROR(VLOOKUP(C1414,Sheet4!A1414:F2201,6,0),"")</f>
        <v/>
      </c>
      <c r="Q1414" s="2" t="str">
        <f t="shared" si="1"/>
        <v/>
      </c>
    </row>
    <row r="1415">
      <c r="O1415" s="3" t="str">
        <f>IFERROR(VLOOKUP(C1415,Sheet4!A1415:F2202,6,0),"")</f>
        <v/>
      </c>
      <c r="Q1415" s="2" t="str">
        <f t="shared" si="1"/>
        <v/>
      </c>
    </row>
    <row r="1416">
      <c r="O1416" s="3" t="str">
        <f>IFERROR(VLOOKUP(C1416,Sheet4!A1416:F2203,6,0),"")</f>
        <v/>
      </c>
      <c r="Q1416" s="2" t="str">
        <f t="shared" si="1"/>
        <v/>
      </c>
    </row>
    <row r="1417">
      <c r="O1417" s="3" t="str">
        <f>IFERROR(VLOOKUP(C1417,Sheet4!A1417:F2204,6,0),"")</f>
        <v/>
      </c>
      <c r="Q1417" s="2" t="str">
        <f t="shared" si="1"/>
        <v/>
      </c>
    </row>
    <row r="1418">
      <c r="O1418" s="3" t="str">
        <f>IFERROR(VLOOKUP(C1418,Sheet4!A1418:F2205,6,0),"")</f>
        <v/>
      </c>
      <c r="Q1418" s="2" t="str">
        <f t="shared" si="1"/>
        <v/>
      </c>
    </row>
    <row r="1419">
      <c r="O1419" s="3" t="str">
        <f>IFERROR(VLOOKUP(C1419,Sheet4!A1419:F2206,6,0),"")</f>
        <v/>
      </c>
      <c r="Q1419" s="2" t="str">
        <f t="shared" si="1"/>
        <v/>
      </c>
    </row>
    <row r="1420">
      <c r="O1420" s="3" t="str">
        <f>IFERROR(VLOOKUP(C1420,Sheet4!A1420:F2207,6,0),"")</f>
        <v/>
      </c>
      <c r="Q1420" s="2" t="str">
        <f t="shared" si="1"/>
        <v/>
      </c>
    </row>
    <row r="1421">
      <c r="O1421" s="3" t="str">
        <f>IFERROR(VLOOKUP(C1421,Sheet4!A1421:F2208,6,0),"")</f>
        <v/>
      </c>
      <c r="Q1421" s="2" t="str">
        <f t="shared" si="1"/>
        <v/>
      </c>
    </row>
    <row r="1422">
      <c r="O1422" s="3" t="str">
        <f>IFERROR(VLOOKUP(C1422,Sheet4!A1422:F2209,6,0),"")</f>
        <v/>
      </c>
      <c r="Q1422" s="2" t="str">
        <f t="shared" si="1"/>
        <v/>
      </c>
    </row>
    <row r="1423">
      <c r="O1423" s="3" t="str">
        <f>IFERROR(VLOOKUP(C1423,Sheet4!A1423:F2210,6,0),"")</f>
        <v/>
      </c>
      <c r="Q1423" s="2" t="str">
        <f t="shared" si="1"/>
        <v/>
      </c>
    </row>
    <row r="1424">
      <c r="O1424" s="3" t="str">
        <f>IFERROR(VLOOKUP(C1424,Sheet4!A1424:F2211,6,0),"")</f>
        <v/>
      </c>
      <c r="Q1424" s="2" t="str">
        <f t="shared" si="1"/>
        <v/>
      </c>
    </row>
    <row r="1425">
      <c r="O1425" s="3" t="str">
        <f>IFERROR(VLOOKUP(C1425,Sheet4!A1425:F2212,6,0),"")</f>
        <v/>
      </c>
      <c r="Q1425" s="2" t="str">
        <f t="shared" si="1"/>
        <v/>
      </c>
    </row>
    <row r="1426">
      <c r="O1426" s="3" t="str">
        <f>IFERROR(VLOOKUP(C1426,Sheet4!A1426:F2213,6,0),"")</f>
        <v/>
      </c>
      <c r="Q1426" s="2" t="str">
        <f t="shared" si="1"/>
        <v/>
      </c>
    </row>
    <row r="1427">
      <c r="O1427" s="3" t="str">
        <f>IFERROR(VLOOKUP(C1427,Sheet4!A1427:F2214,6,0),"")</f>
        <v/>
      </c>
      <c r="Q1427" s="2" t="str">
        <f t="shared" si="1"/>
        <v/>
      </c>
    </row>
    <row r="1428">
      <c r="O1428" s="3" t="str">
        <f>IFERROR(VLOOKUP(C1428,Sheet4!A1428:F2215,6,0),"")</f>
        <v/>
      </c>
      <c r="Q1428" s="2" t="str">
        <f t="shared" si="1"/>
        <v/>
      </c>
    </row>
    <row r="1429">
      <c r="O1429" s="3" t="str">
        <f>IFERROR(VLOOKUP(C1429,Sheet4!A1429:F2216,6,0),"")</f>
        <v/>
      </c>
      <c r="Q1429" s="2" t="str">
        <f t="shared" si="1"/>
        <v/>
      </c>
    </row>
    <row r="1430">
      <c r="O1430" s="3" t="str">
        <f>IFERROR(VLOOKUP(C1430,Sheet4!A1430:F2217,6,0),"")</f>
        <v/>
      </c>
      <c r="Q1430" s="2" t="str">
        <f t="shared" si="1"/>
        <v/>
      </c>
    </row>
    <row r="1431">
      <c r="O1431" s="3" t="str">
        <f>IFERROR(VLOOKUP(C1431,Sheet4!A1431:F2218,6,0),"")</f>
        <v/>
      </c>
      <c r="Q1431" s="2" t="str">
        <f t="shared" si="1"/>
        <v/>
      </c>
    </row>
    <row r="1432">
      <c r="O1432" s="3" t="str">
        <f>IFERROR(VLOOKUP(C1432,Sheet4!A1432:F2219,6,0),"")</f>
        <v/>
      </c>
      <c r="Q1432" s="2" t="str">
        <f t="shared" si="1"/>
        <v/>
      </c>
    </row>
    <row r="1433">
      <c r="O1433" s="3" t="str">
        <f>IFERROR(VLOOKUP(C1433,Sheet4!A1433:F2220,6,0),"")</f>
        <v/>
      </c>
      <c r="Q1433" s="2" t="str">
        <f t="shared" si="1"/>
        <v/>
      </c>
    </row>
    <row r="1434">
      <c r="O1434" s="3" t="str">
        <f>IFERROR(VLOOKUP(C1434,Sheet4!A1434:F2221,6,0),"")</f>
        <v/>
      </c>
      <c r="Q1434" s="2" t="str">
        <f t="shared" si="1"/>
        <v/>
      </c>
    </row>
    <row r="1435">
      <c r="O1435" s="3" t="str">
        <f>IFERROR(VLOOKUP(C1435,Sheet4!A1435:F2222,6,0),"")</f>
        <v/>
      </c>
      <c r="Q1435" s="2" t="str">
        <f t="shared" si="1"/>
        <v/>
      </c>
    </row>
    <row r="1436">
      <c r="O1436" s="3" t="str">
        <f>IFERROR(VLOOKUP(C1436,Sheet4!A1436:F2223,6,0),"")</f>
        <v/>
      </c>
      <c r="Q1436" s="2" t="str">
        <f t="shared" si="1"/>
        <v/>
      </c>
    </row>
    <row r="1437">
      <c r="O1437" s="3" t="str">
        <f>IFERROR(VLOOKUP(C1437,Sheet4!A1437:F2224,6,0),"")</f>
        <v/>
      </c>
      <c r="Q1437" s="2" t="str">
        <f t="shared" si="1"/>
        <v/>
      </c>
    </row>
    <row r="1438">
      <c r="O1438" s="3" t="str">
        <f>IFERROR(VLOOKUP(C1438,Sheet4!A1438:F2225,6,0),"")</f>
        <v/>
      </c>
      <c r="Q1438" s="2" t="str">
        <f t="shared" si="1"/>
        <v/>
      </c>
    </row>
    <row r="1439">
      <c r="O1439" s="3" t="str">
        <f>IFERROR(VLOOKUP(C1439,Sheet4!A1439:F2226,6,0),"")</f>
        <v/>
      </c>
      <c r="Q1439" s="2" t="str">
        <f t="shared" si="1"/>
        <v/>
      </c>
    </row>
    <row r="1440">
      <c r="O1440" s="3" t="str">
        <f>IFERROR(VLOOKUP(C1440,Sheet4!A1440:F2227,6,0),"")</f>
        <v/>
      </c>
      <c r="Q1440" s="2" t="str">
        <f t="shared" si="1"/>
        <v/>
      </c>
    </row>
    <row r="1441">
      <c r="O1441" s="3" t="str">
        <f>IFERROR(VLOOKUP(C1441,Sheet4!A1441:F2228,6,0),"")</f>
        <v/>
      </c>
      <c r="Q1441" s="2" t="str">
        <f t="shared" si="1"/>
        <v/>
      </c>
    </row>
    <row r="1442">
      <c r="O1442" s="3" t="str">
        <f>IFERROR(VLOOKUP(C1442,Sheet4!A1442:F2229,6,0),"")</f>
        <v/>
      </c>
      <c r="Q1442" s="2" t="str">
        <f t="shared" si="1"/>
        <v/>
      </c>
    </row>
    <row r="1443">
      <c r="O1443" s="3" t="str">
        <f>IFERROR(VLOOKUP(C1443,Sheet4!A1443:F2230,6,0),"")</f>
        <v/>
      </c>
      <c r="Q1443" s="2" t="str">
        <f t="shared" si="1"/>
        <v/>
      </c>
    </row>
    <row r="1444">
      <c r="O1444" s="3" t="str">
        <f>IFERROR(VLOOKUP(C1444,Sheet4!A1444:F2231,6,0),"")</f>
        <v/>
      </c>
      <c r="Q1444" s="2" t="str">
        <f t="shared" si="1"/>
        <v/>
      </c>
    </row>
    <row r="1445">
      <c r="O1445" s="3" t="str">
        <f>IFERROR(VLOOKUP(C1445,Sheet4!A1445:F2232,6,0),"")</f>
        <v/>
      </c>
      <c r="Q1445" s="2" t="str">
        <f t="shared" si="1"/>
        <v/>
      </c>
    </row>
    <row r="1446">
      <c r="O1446" s="3" t="str">
        <f>IFERROR(VLOOKUP(C1446,Sheet4!A1446:F2233,6,0),"")</f>
        <v/>
      </c>
      <c r="Q1446" s="2" t="str">
        <f t="shared" si="1"/>
        <v/>
      </c>
    </row>
    <row r="1447">
      <c r="O1447" s="3" t="str">
        <f>IFERROR(VLOOKUP(C1447,Sheet4!A1447:F2234,6,0),"")</f>
        <v/>
      </c>
      <c r="Q1447" s="2" t="str">
        <f t="shared" si="1"/>
        <v/>
      </c>
    </row>
    <row r="1448">
      <c r="O1448" s="3" t="str">
        <f>IFERROR(VLOOKUP(C1448,Sheet4!A1448:F2235,6,0),"")</f>
        <v/>
      </c>
      <c r="Q1448" s="2" t="str">
        <f t="shared" si="1"/>
        <v/>
      </c>
    </row>
    <row r="1449">
      <c r="O1449" s="3" t="str">
        <f>IFERROR(VLOOKUP(C1449,Sheet4!A1449:F2236,6,0),"")</f>
        <v/>
      </c>
      <c r="Q1449" s="2" t="str">
        <f t="shared" si="1"/>
        <v/>
      </c>
    </row>
    <row r="1450">
      <c r="O1450" s="3" t="str">
        <f>IFERROR(VLOOKUP(C1450,Sheet4!A1450:F2237,6,0),"")</f>
        <v/>
      </c>
      <c r="Q1450" s="2" t="str">
        <f t="shared" si="1"/>
        <v/>
      </c>
    </row>
    <row r="1451">
      <c r="O1451" s="3" t="str">
        <f>IFERROR(VLOOKUP(C1451,Sheet4!A1451:F2238,6,0),"")</f>
        <v/>
      </c>
      <c r="Q1451" s="2" t="str">
        <f t="shared" si="1"/>
        <v/>
      </c>
    </row>
    <row r="1452">
      <c r="O1452" s="3" t="str">
        <f>IFERROR(VLOOKUP(C1452,Sheet4!A1452:F2239,6,0),"")</f>
        <v/>
      </c>
      <c r="Q1452" s="2" t="str">
        <f t="shared" si="1"/>
        <v/>
      </c>
    </row>
    <row r="1453">
      <c r="O1453" s="3" t="str">
        <f>IFERROR(VLOOKUP(C1453,Sheet4!A1453:F2240,6,0),"")</f>
        <v/>
      </c>
      <c r="Q1453" s="2" t="str">
        <f t="shared" si="1"/>
        <v/>
      </c>
    </row>
    <row r="1454">
      <c r="O1454" s="3" t="str">
        <f>IFERROR(VLOOKUP(C1454,Sheet4!A1454:F2241,6,0),"")</f>
        <v/>
      </c>
      <c r="Q1454" s="2" t="str">
        <f t="shared" si="1"/>
        <v/>
      </c>
    </row>
    <row r="1455">
      <c r="O1455" s="3" t="str">
        <f>IFERROR(VLOOKUP(C1455,Sheet4!A1455:F2242,6,0),"")</f>
        <v/>
      </c>
      <c r="Q1455" s="2" t="str">
        <f t="shared" si="1"/>
        <v/>
      </c>
    </row>
    <row r="1456">
      <c r="O1456" s="3" t="str">
        <f>IFERROR(VLOOKUP(C1456,Sheet4!A1456:F2243,6,0),"")</f>
        <v/>
      </c>
      <c r="Q1456" s="2" t="str">
        <f t="shared" si="1"/>
        <v/>
      </c>
    </row>
    <row r="1457">
      <c r="O1457" s="3" t="str">
        <f>IFERROR(VLOOKUP(C1457,Sheet4!A1457:F2244,6,0),"")</f>
        <v/>
      </c>
      <c r="Q1457" s="2" t="str">
        <f t="shared" si="1"/>
        <v/>
      </c>
    </row>
    <row r="1458">
      <c r="O1458" s="3" t="str">
        <f>IFERROR(VLOOKUP(C1458,Sheet4!A1458:F2245,6,0),"")</f>
        <v/>
      </c>
      <c r="Q1458" s="2" t="str">
        <f t="shared" si="1"/>
        <v/>
      </c>
    </row>
    <row r="1459">
      <c r="O1459" s="3" t="str">
        <f>IFERROR(VLOOKUP(C1459,Sheet4!A1459:F2246,6,0),"")</f>
        <v/>
      </c>
      <c r="Q1459" s="2" t="str">
        <f t="shared" si="1"/>
        <v/>
      </c>
    </row>
    <row r="1460">
      <c r="O1460" s="3" t="str">
        <f>IFERROR(VLOOKUP(C1460,Sheet4!A1460:F2247,6,0),"")</f>
        <v/>
      </c>
      <c r="Q1460" s="2" t="str">
        <f t="shared" si="1"/>
        <v/>
      </c>
    </row>
    <row r="1461">
      <c r="O1461" s="3" t="str">
        <f>IFERROR(VLOOKUP(C1461,Sheet4!A1461:F2248,6,0),"")</f>
        <v/>
      </c>
      <c r="Q1461" s="2" t="str">
        <f t="shared" si="1"/>
        <v/>
      </c>
    </row>
    <row r="1462">
      <c r="O1462" s="3" t="str">
        <f>IFERROR(VLOOKUP(C1462,Sheet4!A1462:F2249,6,0),"")</f>
        <v/>
      </c>
      <c r="Q1462" s="2" t="str">
        <f t="shared" si="1"/>
        <v/>
      </c>
    </row>
    <row r="1463">
      <c r="O1463" s="3" t="str">
        <f>IFERROR(VLOOKUP(C1463,Sheet4!A1463:F2250,6,0),"")</f>
        <v/>
      </c>
      <c r="Q1463" s="2" t="str">
        <f t="shared" si="1"/>
        <v/>
      </c>
    </row>
    <row r="1464">
      <c r="O1464" s="3" t="str">
        <f>IFERROR(VLOOKUP(C1464,Sheet4!A1464:F2251,6,0),"")</f>
        <v/>
      </c>
      <c r="Q1464" s="2" t="str">
        <f t="shared" si="1"/>
        <v/>
      </c>
    </row>
    <row r="1465">
      <c r="O1465" s="3" t="str">
        <f>IFERROR(VLOOKUP(C1465,Sheet4!A1465:F2252,6,0),"")</f>
        <v/>
      </c>
      <c r="Q1465" s="2" t="str">
        <f t="shared" si="1"/>
        <v/>
      </c>
    </row>
    <row r="1466">
      <c r="O1466" s="3" t="str">
        <f>IFERROR(VLOOKUP(C1466,Sheet4!A1466:F2253,6,0),"")</f>
        <v/>
      </c>
      <c r="Q1466" s="2" t="str">
        <f t="shared" si="1"/>
        <v/>
      </c>
    </row>
    <row r="1467">
      <c r="O1467" s="3" t="str">
        <f>IFERROR(VLOOKUP(C1467,Sheet4!A1467:F2254,6,0),"")</f>
        <v/>
      </c>
      <c r="Q1467" s="2" t="str">
        <f t="shared" si="1"/>
        <v/>
      </c>
    </row>
    <row r="1468">
      <c r="O1468" s="3" t="str">
        <f>IFERROR(VLOOKUP(C1468,Sheet4!A1468:F2255,6,0),"")</f>
        <v/>
      </c>
      <c r="Q1468" s="2" t="str">
        <f t="shared" si="1"/>
        <v/>
      </c>
    </row>
    <row r="1469">
      <c r="O1469" s="3" t="str">
        <f>IFERROR(VLOOKUP(C1469,Sheet4!A1469:F2256,6,0),"")</f>
        <v/>
      </c>
      <c r="Q1469" s="2" t="str">
        <f t="shared" si="1"/>
        <v/>
      </c>
    </row>
    <row r="1470">
      <c r="O1470" s="3" t="str">
        <f>IFERROR(VLOOKUP(C1470,Sheet4!A1470:F2257,6,0),"")</f>
        <v/>
      </c>
      <c r="Q1470" s="2" t="str">
        <f t="shared" si="1"/>
        <v/>
      </c>
    </row>
    <row r="1471">
      <c r="O1471" s="3" t="str">
        <f>IFERROR(VLOOKUP(C1471,Sheet4!A1471:F2258,6,0),"")</f>
        <v/>
      </c>
      <c r="Q1471" s="2" t="str">
        <f t="shared" si="1"/>
        <v/>
      </c>
    </row>
    <row r="1472">
      <c r="O1472" s="3" t="str">
        <f>IFERROR(VLOOKUP(C1472,Sheet4!A1472:F2259,6,0),"")</f>
        <v/>
      </c>
      <c r="Q1472" s="2" t="str">
        <f t="shared" si="1"/>
        <v/>
      </c>
    </row>
    <row r="1473">
      <c r="O1473" s="3" t="str">
        <f>IFERROR(VLOOKUP(C1473,Sheet4!A1473:F2260,6,0),"")</f>
        <v/>
      </c>
      <c r="Q1473" s="2" t="str">
        <f t="shared" si="1"/>
        <v/>
      </c>
    </row>
    <row r="1474">
      <c r="O1474" s="3" t="str">
        <f>IFERROR(VLOOKUP(C1474,Sheet4!A1474:F2261,6,0),"")</f>
        <v/>
      </c>
      <c r="Q1474" s="2" t="str">
        <f t="shared" si="1"/>
        <v/>
      </c>
    </row>
    <row r="1475">
      <c r="O1475" s="3" t="str">
        <f>IFERROR(VLOOKUP(C1475,Sheet4!A1475:F2262,6,0),"")</f>
        <v/>
      </c>
      <c r="Q1475" s="2" t="str">
        <f t="shared" si="1"/>
        <v/>
      </c>
    </row>
    <row r="1476">
      <c r="O1476" s="3" t="str">
        <f>IFERROR(VLOOKUP(C1476,Sheet4!A1476:F2263,6,0),"")</f>
        <v/>
      </c>
      <c r="Q1476" s="2" t="str">
        <f t="shared" si="1"/>
        <v/>
      </c>
    </row>
    <row r="1477">
      <c r="O1477" s="3" t="str">
        <f>IFERROR(VLOOKUP(C1477,Sheet4!A1477:F2264,6,0),"")</f>
        <v/>
      </c>
      <c r="Q1477" s="2" t="str">
        <f t="shared" si="1"/>
        <v/>
      </c>
    </row>
    <row r="1478">
      <c r="O1478" s="3" t="str">
        <f>IFERROR(VLOOKUP(C1478,Sheet4!A1478:F2265,6,0),"")</f>
        <v/>
      </c>
      <c r="Q1478" s="2" t="str">
        <f t="shared" si="1"/>
        <v/>
      </c>
    </row>
    <row r="1479">
      <c r="O1479" s="3" t="str">
        <f>IFERROR(VLOOKUP(C1479,Sheet4!A1479:F2266,6,0),"")</f>
        <v/>
      </c>
      <c r="Q1479" s="2" t="str">
        <f t="shared" si="1"/>
        <v/>
      </c>
    </row>
    <row r="1480">
      <c r="O1480" s="3" t="str">
        <f>IFERROR(VLOOKUP(C1480,Sheet4!A1480:F2267,6,0),"")</f>
        <v/>
      </c>
      <c r="Q1480" s="2" t="str">
        <f t="shared" si="1"/>
        <v/>
      </c>
    </row>
    <row r="1481">
      <c r="O1481" s="3" t="str">
        <f>IFERROR(VLOOKUP(C1481,Sheet4!A1481:F2268,6,0),"")</f>
        <v/>
      </c>
      <c r="Q1481" s="2" t="str">
        <f t="shared" si="1"/>
        <v/>
      </c>
    </row>
    <row r="1482">
      <c r="O1482" s="3" t="str">
        <f>IFERROR(VLOOKUP(C1482,Sheet4!A1482:F2269,6,0),"")</f>
        <v/>
      </c>
      <c r="Q1482" s="2" t="str">
        <f t="shared" si="1"/>
        <v/>
      </c>
    </row>
    <row r="1483">
      <c r="O1483" s="3" t="str">
        <f>IFERROR(VLOOKUP(C1483,Sheet4!A1483:F2270,6,0),"")</f>
        <v/>
      </c>
      <c r="Q1483" s="2" t="str">
        <f t="shared" si="1"/>
        <v/>
      </c>
    </row>
    <row r="1484">
      <c r="O1484" s="3" t="str">
        <f>IFERROR(VLOOKUP(C1484,Sheet4!A1484:F2271,6,0),"")</f>
        <v/>
      </c>
      <c r="Q1484" s="2" t="str">
        <f t="shared" si="1"/>
        <v/>
      </c>
    </row>
    <row r="1485">
      <c r="O1485" s="3" t="str">
        <f>IFERROR(VLOOKUP(C1485,Sheet4!A1485:F2272,6,0),"")</f>
        <v/>
      </c>
      <c r="Q1485" s="2" t="str">
        <f t="shared" si="1"/>
        <v/>
      </c>
    </row>
    <row r="1486">
      <c r="O1486" s="3" t="str">
        <f>IFERROR(VLOOKUP(C1486,Sheet4!A1486:F2273,6,0),"")</f>
        <v/>
      </c>
      <c r="Q1486" s="2" t="str">
        <f t="shared" si="1"/>
        <v/>
      </c>
    </row>
    <row r="1487">
      <c r="O1487" s="3" t="str">
        <f>IFERROR(VLOOKUP(C1487,Sheet4!A1487:F2274,6,0),"")</f>
        <v/>
      </c>
      <c r="Q1487" s="2" t="str">
        <f t="shared" si="1"/>
        <v/>
      </c>
    </row>
    <row r="1488">
      <c r="O1488" s="3" t="str">
        <f>IFERROR(VLOOKUP(C1488,Sheet4!A1488:F2275,6,0),"")</f>
        <v/>
      </c>
      <c r="Q1488" s="2" t="str">
        <f t="shared" si="1"/>
        <v/>
      </c>
    </row>
    <row r="1489">
      <c r="O1489" s="3" t="str">
        <f>IFERROR(VLOOKUP(C1489,Sheet4!A1489:F2276,6,0),"")</f>
        <v/>
      </c>
      <c r="Q1489" s="2" t="str">
        <f t="shared" si="1"/>
        <v/>
      </c>
    </row>
    <row r="1490">
      <c r="O1490" s="3" t="str">
        <f>IFERROR(VLOOKUP(C1490,Sheet4!A1490:F2277,6,0),"")</f>
        <v/>
      </c>
      <c r="Q1490" s="2" t="str">
        <f t="shared" si="1"/>
        <v/>
      </c>
    </row>
    <row r="1491">
      <c r="O1491" s="3" t="str">
        <f>IFERROR(VLOOKUP(C1491,Sheet4!A1491:F2278,6,0),"")</f>
        <v/>
      </c>
      <c r="Q1491" s="2" t="str">
        <f t="shared" si="1"/>
        <v/>
      </c>
    </row>
    <row r="1492">
      <c r="O1492" s="3" t="str">
        <f>IFERROR(VLOOKUP(C1492,Sheet4!A1492:F2279,6,0),"")</f>
        <v/>
      </c>
      <c r="Q1492" s="2" t="str">
        <f t="shared" si="1"/>
        <v/>
      </c>
    </row>
    <row r="1493">
      <c r="O1493" s="3" t="str">
        <f>IFERROR(VLOOKUP(C1493,Sheet4!A1493:F2280,6,0),"")</f>
        <v/>
      </c>
      <c r="Q1493" s="2" t="str">
        <f t="shared" si="1"/>
        <v/>
      </c>
    </row>
    <row r="1494">
      <c r="O1494" s="3" t="str">
        <f>IFERROR(VLOOKUP(C1494,Sheet4!A1494:F2281,6,0),"")</f>
        <v/>
      </c>
      <c r="Q1494" s="2" t="str">
        <f t="shared" si="1"/>
        <v/>
      </c>
    </row>
    <row r="1495">
      <c r="O1495" s="3" t="str">
        <f>IFERROR(VLOOKUP(C1495,Sheet4!A1495:F2282,6,0),"")</f>
        <v/>
      </c>
      <c r="Q1495" s="2" t="str">
        <f t="shared" si="1"/>
        <v/>
      </c>
    </row>
    <row r="1496">
      <c r="O1496" s="3" t="str">
        <f>IFERROR(VLOOKUP(C1496,Sheet4!A1496:F2283,6,0),"")</f>
        <v/>
      </c>
      <c r="Q1496" s="2" t="str">
        <f t="shared" si="1"/>
        <v/>
      </c>
    </row>
    <row r="1497">
      <c r="O1497" s="3" t="str">
        <f>IFERROR(VLOOKUP(C1497,Sheet4!A1497:F2284,6,0),"")</f>
        <v/>
      </c>
      <c r="Q1497" s="2" t="str">
        <f t="shared" si="1"/>
        <v/>
      </c>
    </row>
    <row r="1498">
      <c r="O1498" s="3" t="str">
        <f>IFERROR(VLOOKUP(C1498,Sheet4!A1498:F2285,6,0),"")</f>
        <v/>
      </c>
      <c r="Q1498" s="2" t="str">
        <f t="shared" si="1"/>
        <v/>
      </c>
    </row>
    <row r="1499">
      <c r="O1499" s="3" t="str">
        <f>IFERROR(VLOOKUP(C1499,Sheet4!A1499:F2286,6,0),"")</f>
        <v/>
      </c>
      <c r="Q1499" s="2" t="str">
        <f t="shared" si="1"/>
        <v/>
      </c>
    </row>
    <row r="1500">
      <c r="O1500" s="3" t="str">
        <f>IFERROR(VLOOKUP(C1500,Sheet4!A1500:F2287,6,0),"")</f>
        <v/>
      </c>
      <c r="Q1500" s="2" t="str">
        <f t="shared" si="1"/>
        <v/>
      </c>
    </row>
    <row r="1501">
      <c r="O1501" s="3" t="str">
        <f>IFERROR(VLOOKUP(C1501,Sheet4!A1501:F2288,6,0),"")</f>
        <v/>
      </c>
      <c r="Q1501" s="2" t="str">
        <f t="shared" si="1"/>
        <v/>
      </c>
    </row>
    <row r="1502">
      <c r="O1502" s="3" t="str">
        <f>IFERROR(VLOOKUP(C1502,Sheet4!A1502:F2289,6,0),"")</f>
        <v/>
      </c>
      <c r="Q1502" s="2" t="str">
        <f t="shared" si="1"/>
        <v/>
      </c>
    </row>
    <row r="1503">
      <c r="O1503" s="3" t="str">
        <f>IFERROR(VLOOKUP(C1503,Sheet4!A1503:F2290,6,0),"")</f>
        <v/>
      </c>
      <c r="Q1503" s="2" t="str">
        <f t="shared" si="1"/>
        <v/>
      </c>
    </row>
    <row r="1504">
      <c r="O1504" s="3" t="str">
        <f>IFERROR(VLOOKUP(C1504,Sheet4!A1504:F2291,6,0),"")</f>
        <v/>
      </c>
      <c r="Q1504" s="2" t="str">
        <f t="shared" si="1"/>
        <v/>
      </c>
    </row>
    <row r="1505">
      <c r="O1505" s="3" t="str">
        <f>IFERROR(VLOOKUP(C1505,Sheet4!A1505:F2292,6,0),"")</f>
        <v/>
      </c>
      <c r="Q1505" s="2" t="str">
        <f t="shared" si="1"/>
        <v/>
      </c>
    </row>
    <row r="1506">
      <c r="O1506" s="3" t="str">
        <f>IFERROR(VLOOKUP(C1506,Sheet4!A1506:F2293,6,0),"")</f>
        <v/>
      </c>
      <c r="Q1506" s="2" t="str">
        <f t="shared" si="1"/>
        <v/>
      </c>
    </row>
    <row r="1507">
      <c r="O1507" s="3" t="str">
        <f>IFERROR(VLOOKUP(C1507,Sheet4!A1507:F2294,6,0),"")</f>
        <v/>
      </c>
      <c r="Q1507" s="2" t="str">
        <f t="shared" si="1"/>
        <v/>
      </c>
    </row>
    <row r="1508">
      <c r="O1508" s="3" t="str">
        <f>IFERROR(VLOOKUP(C1508,Sheet4!A1508:F2295,6,0),"")</f>
        <v/>
      </c>
      <c r="Q1508" s="2" t="str">
        <f t="shared" si="1"/>
        <v/>
      </c>
    </row>
    <row r="1509">
      <c r="O1509" s="3" t="str">
        <f>IFERROR(VLOOKUP(C1509,Sheet4!A1509:F2296,6,0),"")</f>
        <v/>
      </c>
      <c r="Q1509" s="2" t="str">
        <f t="shared" si="1"/>
        <v/>
      </c>
    </row>
    <row r="1510">
      <c r="O1510" s="3" t="str">
        <f>IFERROR(VLOOKUP(C1510,Sheet4!A1510:F2297,6,0),"")</f>
        <v/>
      </c>
      <c r="Q1510" s="2" t="str">
        <f t="shared" si="1"/>
        <v/>
      </c>
    </row>
    <row r="1511">
      <c r="O1511" s="3" t="str">
        <f>IFERROR(VLOOKUP(C1511,Sheet4!A1511:F2298,6,0),"")</f>
        <v/>
      </c>
      <c r="Q1511" s="2" t="str">
        <f t="shared" si="1"/>
        <v/>
      </c>
    </row>
    <row r="1512">
      <c r="O1512" s="3" t="str">
        <f>IFERROR(VLOOKUP(C1512,Sheet4!A1512:F2299,6,0),"")</f>
        <v/>
      </c>
      <c r="Q1512" s="2" t="str">
        <f t="shared" si="1"/>
        <v/>
      </c>
    </row>
    <row r="1513">
      <c r="O1513" s="3" t="str">
        <f>IFERROR(VLOOKUP(C1513,Sheet4!A1513:F2300,6,0),"")</f>
        <v/>
      </c>
      <c r="Q1513" s="2" t="str">
        <f t="shared" si="1"/>
        <v/>
      </c>
    </row>
    <row r="1514">
      <c r="O1514" s="3" t="str">
        <f>IFERROR(VLOOKUP(C1514,Sheet4!A1514:F2301,6,0),"")</f>
        <v/>
      </c>
      <c r="Q1514" s="2" t="str">
        <f t="shared" si="1"/>
        <v/>
      </c>
    </row>
    <row r="1515">
      <c r="O1515" s="3" t="str">
        <f>IFERROR(VLOOKUP(C1515,Sheet4!A1515:F2302,6,0),"")</f>
        <v/>
      </c>
      <c r="Q1515" s="2" t="str">
        <f t="shared" si="1"/>
        <v/>
      </c>
    </row>
  </sheetData>
  <customSheetViews>
    <customSheetView guid="{88A91579-1256-4D1B-B698-3B2C7BE0BC38}" filter="1" showAutoFilter="1">
      <autoFilter ref="$A$1:$P$40"/>
    </customSheetView>
  </customSheetView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772</v>
      </c>
      <c r="B1" s="2" t="s">
        <v>773</v>
      </c>
      <c r="C1" s="2" t="s">
        <v>774</v>
      </c>
      <c r="D1" s="2" t="s">
        <v>775</v>
      </c>
      <c r="E1" s="2" t="s">
        <v>776</v>
      </c>
      <c r="F1" s="28" t="s">
        <v>777</v>
      </c>
    </row>
    <row r="2">
      <c r="A2" s="2" t="s">
        <v>607</v>
      </c>
      <c r="B2" s="2" t="s">
        <v>778</v>
      </c>
      <c r="C2" s="2" t="s">
        <v>779</v>
      </c>
      <c r="D2" s="2" t="s">
        <v>780</v>
      </c>
      <c r="E2" s="28">
        <v>-151576.0</v>
      </c>
      <c r="F2" s="28">
        <v>112892.0</v>
      </c>
    </row>
    <row r="3">
      <c r="A3" s="2" t="s">
        <v>195</v>
      </c>
      <c r="B3" s="2" t="s">
        <v>781</v>
      </c>
      <c r="C3" s="2" t="s">
        <v>782</v>
      </c>
      <c r="D3" s="2" t="s">
        <v>783</v>
      </c>
      <c r="E3" s="28">
        <v>-151808.0</v>
      </c>
      <c r="F3" s="28">
        <v>1.1444172E7</v>
      </c>
    </row>
    <row r="4">
      <c r="A4" s="2" t="s">
        <v>398</v>
      </c>
      <c r="B4" s="2" t="s">
        <v>784</v>
      </c>
      <c r="C4" s="2" t="s">
        <v>785</v>
      </c>
      <c r="D4" s="2" t="s">
        <v>786</v>
      </c>
      <c r="E4" s="28">
        <v>-1437868.0</v>
      </c>
      <c r="F4" s="28">
        <v>1.14394771E8</v>
      </c>
    </row>
    <row r="5">
      <c r="A5" s="2" t="s">
        <v>787</v>
      </c>
      <c r="B5" s="2" t="s">
        <v>788</v>
      </c>
      <c r="C5" s="2" t="s">
        <v>785</v>
      </c>
      <c r="D5" s="2" t="s">
        <v>789</v>
      </c>
      <c r="E5" s="28">
        <v>-335699.0</v>
      </c>
      <c r="F5" s="28">
        <v>1.1432452E7</v>
      </c>
    </row>
    <row r="6">
      <c r="A6" s="2" t="s">
        <v>790</v>
      </c>
      <c r="B6" s="2" t="s">
        <v>791</v>
      </c>
      <c r="C6" s="2" t="s">
        <v>782</v>
      </c>
      <c r="D6" s="2" t="s">
        <v>786</v>
      </c>
      <c r="E6" s="28">
        <v>-322019.0</v>
      </c>
      <c r="F6" s="28">
        <v>1.1336054E7</v>
      </c>
    </row>
    <row r="7">
      <c r="A7" s="2" t="s">
        <v>203</v>
      </c>
      <c r="B7" s="2" t="s">
        <v>792</v>
      </c>
      <c r="C7" s="2" t="s">
        <v>782</v>
      </c>
      <c r="D7" s="2" t="s">
        <v>789</v>
      </c>
      <c r="E7" s="28">
        <v>-142462.0</v>
      </c>
      <c r="F7" s="28">
        <v>1.1301678E7</v>
      </c>
    </row>
    <row r="8">
      <c r="A8" s="2" t="s">
        <v>536</v>
      </c>
      <c r="B8" s="2" t="s">
        <v>793</v>
      </c>
      <c r="C8" s="2" t="s">
        <v>782</v>
      </c>
      <c r="D8" s="2" t="s">
        <v>780</v>
      </c>
      <c r="E8" s="28">
        <v>-315903.0</v>
      </c>
      <c r="F8" s="28">
        <v>1.13340778E8</v>
      </c>
    </row>
    <row r="9">
      <c r="A9" s="2" t="s">
        <v>794</v>
      </c>
      <c r="B9" s="2" t="s">
        <v>795</v>
      </c>
      <c r="C9" s="2" t="s">
        <v>782</v>
      </c>
      <c r="D9" s="2" t="s">
        <v>786</v>
      </c>
      <c r="E9" s="28">
        <v>-289176.0</v>
      </c>
      <c r="F9" s="28">
        <v>1.1376931E7</v>
      </c>
    </row>
    <row r="10">
      <c r="A10" s="2" t="s">
        <v>796</v>
      </c>
      <c r="B10" s="2" t="s">
        <v>797</v>
      </c>
      <c r="C10" s="2" t="s">
        <v>782</v>
      </c>
      <c r="D10" s="2" t="s">
        <v>786</v>
      </c>
      <c r="E10" s="28">
        <v>-152843.0</v>
      </c>
      <c r="F10" s="28">
        <v>1.1316294E7</v>
      </c>
    </row>
    <row r="11">
      <c r="A11" s="2" t="s">
        <v>562</v>
      </c>
      <c r="B11" s="2" t="s">
        <v>798</v>
      </c>
      <c r="C11" s="2" t="s">
        <v>785</v>
      </c>
      <c r="D11" s="2" t="s">
        <v>786</v>
      </c>
      <c r="E11" s="28">
        <v>-1360827.0</v>
      </c>
      <c r="F11" s="28">
        <v>1.14350785E8</v>
      </c>
    </row>
    <row r="12">
      <c r="A12" s="2" t="s">
        <v>799</v>
      </c>
      <c r="B12" s="2" t="s">
        <v>800</v>
      </c>
      <c r="C12" s="2" t="s">
        <v>779</v>
      </c>
      <c r="D12" s="2" t="s">
        <v>786</v>
      </c>
      <c r="E12" s="28">
        <v>-268426.0</v>
      </c>
      <c r="F12" s="28">
        <v>1.14732931E8</v>
      </c>
    </row>
    <row r="13">
      <c r="A13" s="2" t="s">
        <v>115</v>
      </c>
      <c r="B13" s="2" t="s">
        <v>801</v>
      </c>
      <c r="C13" s="2" t="s">
        <v>779</v>
      </c>
      <c r="D13" s="2" t="s">
        <v>786</v>
      </c>
      <c r="E13" s="28">
        <v>-96378.0</v>
      </c>
      <c r="F13" s="28">
        <v>1.1490638E7</v>
      </c>
    </row>
    <row r="14">
      <c r="A14" s="2" t="s">
        <v>439</v>
      </c>
      <c r="B14" s="2" t="s">
        <v>802</v>
      </c>
      <c r="C14" s="2" t="s">
        <v>785</v>
      </c>
      <c r="D14" s="2" t="s">
        <v>786</v>
      </c>
      <c r="E14" s="28">
        <v>-3180818.0</v>
      </c>
      <c r="F14" s="28">
        <v>1.14196945E8</v>
      </c>
    </row>
    <row r="15">
      <c r="A15" s="2" t="s">
        <v>242</v>
      </c>
      <c r="B15" s="2" t="s">
        <v>803</v>
      </c>
      <c r="C15" s="2" t="s">
        <v>785</v>
      </c>
      <c r="D15" s="2" t="s">
        <v>786</v>
      </c>
      <c r="E15" s="28">
        <v>-103583.0</v>
      </c>
      <c r="F15" s="28">
        <v>1.1493022E7</v>
      </c>
    </row>
    <row r="16">
      <c r="A16" s="2" t="s">
        <v>804</v>
      </c>
      <c r="B16" s="2" t="s">
        <v>805</v>
      </c>
      <c r="C16" s="2" t="s">
        <v>785</v>
      </c>
      <c r="D16" s="2" t="s">
        <v>786</v>
      </c>
      <c r="E16" s="28">
        <v>-1532231.0</v>
      </c>
      <c r="F16" s="28">
        <v>1.13918214E8</v>
      </c>
    </row>
    <row r="17">
      <c r="A17" s="2" t="s">
        <v>308</v>
      </c>
      <c r="B17" s="2" t="s">
        <v>806</v>
      </c>
      <c r="C17" s="2" t="s">
        <v>782</v>
      </c>
      <c r="D17" s="2" t="s">
        <v>786</v>
      </c>
      <c r="E17" s="28">
        <v>-210903.0</v>
      </c>
      <c r="F17" s="28">
        <v>1.1493277E7</v>
      </c>
    </row>
    <row r="18">
      <c r="A18" s="2" t="s">
        <v>807</v>
      </c>
      <c r="B18" s="2" t="s">
        <v>808</v>
      </c>
      <c r="C18" s="2" t="s">
        <v>782</v>
      </c>
      <c r="D18" s="2" t="s">
        <v>786</v>
      </c>
      <c r="E18" s="28">
        <v>-271581.0</v>
      </c>
      <c r="F18" s="28">
        <v>1.1427352E7</v>
      </c>
    </row>
    <row r="19">
      <c r="A19" s="2" t="s">
        <v>237</v>
      </c>
      <c r="B19" s="2" t="s">
        <v>809</v>
      </c>
      <c r="C19" s="2" t="s">
        <v>782</v>
      </c>
      <c r="D19" s="2" t="s">
        <v>786</v>
      </c>
      <c r="E19" s="28">
        <v>-171456.0</v>
      </c>
      <c r="F19" s="28">
        <v>1.1484964E7</v>
      </c>
    </row>
    <row r="20">
      <c r="A20" s="2" t="s">
        <v>810</v>
      </c>
      <c r="B20" s="2" t="s">
        <v>811</v>
      </c>
      <c r="C20" s="2" t="s">
        <v>782</v>
      </c>
      <c r="D20" s="2" t="s">
        <v>786</v>
      </c>
      <c r="E20" s="28">
        <v>-2997461.0</v>
      </c>
      <c r="F20" s="28">
        <v>1.14351286E8</v>
      </c>
    </row>
    <row r="21">
      <c r="A21" s="2" t="s">
        <v>812</v>
      </c>
      <c r="B21" s="2" t="s">
        <v>813</v>
      </c>
      <c r="C21" s="2" t="s">
        <v>785</v>
      </c>
      <c r="D21" s="2" t="s">
        <v>786</v>
      </c>
      <c r="E21" s="28">
        <v>-139046.0</v>
      </c>
      <c r="F21" s="28">
        <v>1128945.0</v>
      </c>
    </row>
    <row r="22">
      <c r="A22" s="2" t="s">
        <v>507</v>
      </c>
      <c r="B22" s="2" t="s">
        <v>814</v>
      </c>
      <c r="C22" s="2" t="s">
        <v>782</v>
      </c>
      <c r="D22" s="2" t="s">
        <v>786</v>
      </c>
      <c r="E22" s="28">
        <v>-164387.0</v>
      </c>
      <c r="F22" s="28">
        <v>1.1394031E7</v>
      </c>
    </row>
    <row r="23">
      <c r="A23" s="2" t="s">
        <v>697</v>
      </c>
      <c r="B23" s="2" t="s">
        <v>815</v>
      </c>
      <c r="C23" s="2" t="s">
        <v>782</v>
      </c>
      <c r="D23" s="2" t="s">
        <v>786</v>
      </c>
      <c r="E23" s="28">
        <v>-2924674.0</v>
      </c>
      <c r="F23" s="28">
        <v>1.14104478E8</v>
      </c>
    </row>
    <row r="24">
      <c r="A24" s="2" t="s">
        <v>816</v>
      </c>
      <c r="B24" s="2" t="s">
        <v>817</v>
      </c>
      <c r="C24" s="2" t="s">
        <v>785</v>
      </c>
      <c r="D24" s="2" t="s">
        <v>783</v>
      </c>
      <c r="E24" s="28">
        <v>-126314.0</v>
      </c>
      <c r="F24" s="28">
        <v>1138994.0</v>
      </c>
    </row>
    <row r="25">
      <c r="A25" s="2" t="s">
        <v>818</v>
      </c>
      <c r="B25" s="2" t="s">
        <v>819</v>
      </c>
      <c r="C25" s="2" t="s">
        <v>782</v>
      </c>
      <c r="D25" s="2" t="s">
        <v>786</v>
      </c>
      <c r="E25" s="28">
        <v>-2010832.0</v>
      </c>
      <c r="F25" s="28">
        <v>1.1489251E7</v>
      </c>
    </row>
    <row r="26">
      <c r="A26" s="2" t="s">
        <v>213</v>
      </c>
      <c r="B26" s="2" t="s">
        <v>820</v>
      </c>
      <c r="C26" s="2" t="s">
        <v>782</v>
      </c>
      <c r="D26" s="2" t="s">
        <v>780</v>
      </c>
      <c r="E26" s="28">
        <v>-193094.0</v>
      </c>
      <c r="F26" s="28">
        <v>1.1449531E7</v>
      </c>
    </row>
    <row r="27">
      <c r="A27" s="2" t="s">
        <v>821</v>
      </c>
      <c r="B27" s="2" t="s">
        <v>822</v>
      </c>
      <c r="C27" s="2" t="s">
        <v>785</v>
      </c>
      <c r="D27" s="2" t="s">
        <v>786</v>
      </c>
      <c r="E27" s="28">
        <v>-269665.0</v>
      </c>
      <c r="F27" s="28">
        <v>1.1462096E7</v>
      </c>
    </row>
    <row r="28">
      <c r="A28" s="2" t="s">
        <v>823</v>
      </c>
      <c r="B28" s="2" t="s">
        <v>824</v>
      </c>
      <c r="C28" s="2" t="s">
        <v>785</v>
      </c>
      <c r="D28" s="2" t="s">
        <v>780</v>
      </c>
      <c r="E28" s="28">
        <v>-110309.0</v>
      </c>
      <c r="F28" s="28">
        <v>1.1409865E7</v>
      </c>
    </row>
    <row r="29">
      <c r="A29" s="2" t="s">
        <v>825</v>
      </c>
      <c r="B29" s="2" t="s">
        <v>826</v>
      </c>
      <c r="C29" s="2" t="s">
        <v>782</v>
      </c>
      <c r="D29" s="2" t="s">
        <v>786</v>
      </c>
      <c r="E29" s="28">
        <v>-2868918.0</v>
      </c>
      <c r="F29" s="28">
        <v>1.13794088E8</v>
      </c>
    </row>
    <row r="30">
      <c r="A30" s="2" t="s">
        <v>189</v>
      </c>
      <c r="B30" s="2" t="s">
        <v>827</v>
      </c>
      <c r="C30" s="2" t="s">
        <v>782</v>
      </c>
      <c r="D30" s="2" t="s">
        <v>783</v>
      </c>
      <c r="E30" s="28">
        <v>-175257.0</v>
      </c>
      <c r="F30" s="28">
        <v>1.1434703E7</v>
      </c>
    </row>
    <row r="31">
      <c r="A31" s="2" t="s">
        <v>828</v>
      </c>
      <c r="B31" s="2" t="s">
        <v>829</v>
      </c>
      <c r="C31" s="2" t="s">
        <v>785</v>
      </c>
      <c r="D31" s="2" t="s">
        <v>786</v>
      </c>
      <c r="E31" s="28">
        <v>-2085233.0</v>
      </c>
      <c r="F31" s="28">
        <v>1.15141319E8</v>
      </c>
    </row>
    <row r="32">
      <c r="A32" s="2" t="s">
        <v>435</v>
      </c>
      <c r="B32" s="2" t="s">
        <v>830</v>
      </c>
      <c r="C32" s="2" t="s">
        <v>782</v>
      </c>
      <c r="D32" s="2" t="s">
        <v>789</v>
      </c>
      <c r="E32" s="28">
        <v>-194702.0</v>
      </c>
      <c r="F32" s="28">
        <v>1.1435894E7</v>
      </c>
    </row>
    <row r="33">
      <c r="A33" s="2" t="s">
        <v>651</v>
      </c>
      <c r="B33" s="2" t="s">
        <v>831</v>
      </c>
      <c r="C33" s="2" t="s">
        <v>785</v>
      </c>
      <c r="D33" s="2" t="s">
        <v>786</v>
      </c>
      <c r="E33" s="28">
        <v>-112313.0</v>
      </c>
      <c r="F33" s="28">
        <v>1.1256155E7</v>
      </c>
    </row>
    <row r="34">
      <c r="A34" s="2" t="s">
        <v>411</v>
      </c>
      <c r="B34" s="2" t="s">
        <v>832</v>
      </c>
      <c r="C34" s="2" t="s">
        <v>782</v>
      </c>
      <c r="D34" s="2" t="s">
        <v>786</v>
      </c>
      <c r="E34" s="28">
        <v>-1806323.0</v>
      </c>
      <c r="F34" s="28">
        <v>1.15082988E8</v>
      </c>
    </row>
    <row r="35">
      <c r="A35" s="2" t="s">
        <v>263</v>
      </c>
      <c r="B35" s="2" t="s">
        <v>833</v>
      </c>
      <c r="C35" s="2" t="s">
        <v>782</v>
      </c>
      <c r="D35" s="2" t="s">
        <v>789</v>
      </c>
      <c r="E35" s="28">
        <v>-125825.0</v>
      </c>
      <c r="F35" s="28">
        <v>1.1427969E7</v>
      </c>
    </row>
    <row r="36">
      <c r="A36" s="2" t="s">
        <v>834</v>
      </c>
      <c r="B36" s="2" t="s">
        <v>835</v>
      </c>
      <c r="C36" s="2" t="s">
        <v>785</v>
      </c>
      <c r="D36" s="2" t="s">
        <v>786</v>
      </c>
      <c r="E36" s="28">
        <v>-144525.0</v>
      </c>
      <c r="F36" s="28">
        <v>1.13922718E8</v>
      </c>
    </row>
    <row r="37">
      <c r="A37" s="2" t="s">
        <v>427</v>
      </c>
      <c r="B37" s="2" t="s">
        <v>836</v>
      </c>
      <c r="C37" s="2" t="s">
        <v>779</v>
      </c>
      <c r="D37" s="2" t="s">
        <v>780</v>
      </c>
      <c r="E37" s="28">
        <v>-175719.0</v>
      </c>
      <c r="F37" s="28">
        <v>1.1331853E7</v>
      </c>
    </row>
    <row r="38">
      <c r="A38" s="2" t="s">
        <v>837</v>
      </c>
      <c r="B38" s="2" t="s">
        <v>838</v>
      </c>
      <c r="C38" s="2" t="s">
        <v>779</v>
      </c>
      <c r="D38" s="2" t="s">
        <v>780</v>
      </c>
      <c r="E38" s="28">
        <v>-2259414.0</v>
      </c>
      <c r="F38" s="28">
        <v>1.13948543E8</v>
      </c>
    </row>
    <row r="39">
      <c r="A39" s="2" t="s">
        <v>204</v>
      </c>
      <c r="B39" s="2" t="s">
        <v>839</v>
      </c>
      <c r="C39" s="2" t="s">
        <v>779</v>
      </c>
      <c r="D39" s="2" t="s">
        <v>780</v>
      </c>
      <c r="E39" s="28">
        <v>-194329.0</v>
      </c>
      <c r="F39" s="28">
        <v>1.1366148E7</v>
      </c>
    </row>
    <row r="40">
      <c r="A40" s="2" t="s">
        <v>840</v>
      </c>
      <c r="B40" s="2" t="s">
        <v>841</v>
      </c>
      <c r="C40" s="2" t="s">
        <v>779</v>
      </c>
      <c r="D40" s="2" t="s">
        <v>780</v>
      </c>
      <c r="E40" s="28">
        <v>-222827.0</v>
      </c>
      <c r="F40" s="28">
        <v>1.1393497E7</v>
      </c>
    </row>
    <row r="41">
      <c r="A41" s="2" t="s">
        <v>373</v>
      </c>
      <c r="B41" s="2" t="s">
        <v>842</v>
      </c>
      <c r="C41" s="2" t="s">
        <v>785</v>
      </c>
      <c r="D41" s="2" t="s">
        <v>783</v>
      </c>
      <c r="E41" s="28">
        <v>-144031.0</v>
      </c>
      <c r="F41" s="28">
        <v>1.1345117E7</v>
      </c>
    </row>
    <row r="42">
      <c r="A42" s="2" t="s">
        <v>843</v>
      </c>
      <c r="B42" s="2" t="s">
        <v>844</v>
      </c>
      <c r="C42" s="2" t="s">
        <v>782</v>
      </c>
      <c r="D42" s="2" t="s">
        <v>780</v>
      </c>
      <c r="E42" s="28">
        <v>-185171.0</v>
      </c>
      <c r="F42" s="28">
        <v>1.1446328E7</v>
      </c>
    </row>
    <row r="43">
      <c r="A43" s="2" t="s">
        <v>845</v>
      </c>
      <c r="B43" s="2" t="s">
        <v>846</v>
      </c>
      <c r="C43" s="2" t="s">
        <v>847</v>
      </c>
      <c r="D43" s="2" t="s">
        <v>783</v>
      </c>
      <c r="E43" s="28">
        <v>-144352.0</v>
      </c>
      <c r="F43" s="28">
        <v>1.1366486E7</v>
      </c>
    </row>
    <row r="44">
      <c r="A44" s="2" t="s">
        <v>848</v>
      </c>
      <c r="B44" s="2" t="s">
        <v>849</v>
      </c>
      <c r="C44" s="2" t="s">
        <v>782</v>
      </c>
      <c r="D44" s="2" t="s">
        <v>780</v>
      </c>
      <c r="E44" s="28">
        <v>-139884.0</v>
      </c>
      <c r="F44" s="28">
        <v>1.1373616E7</v>
      </c>
    </row>
    <row r="45">
      <c r="A45" s="2" t="s">
        <v>850</v>
      </c>
      <c r="B45" s="2" t="s">
        <v>851</v>
      </c>
      <c r="C45" s="2" t="s">
        <v>782</v>
      </c>
      <c r="D45" s="2" t="s">
        <v>783</v>
      </c>
      <c r="E45" s="28">
        <v>-137354.0</v>
      </c>
      <c r="F45" s="28">
        <v>113563.0</v>
      </c>
    </row>
    <row r="46">
      <c r="A46" s="2" t="s">
        <v>852</v>
      </c>
      <c r="B46" s="2" t="s">
        <v>853</v>
      </c>
      <c r="C46" s="2" t="s">
        <v>785</v>
      </c>
      <c r="D46" s="2" t="s">
        <v>789</v>
      </c>
      <c r="E46" s="28">
        <v>-15089.0</v>
      </c>
      <c r="F46" s="28">
        <v>1.1343885E7</v>
      </c>
    </row>
    <row r="47">
      <c r="A47" s="2" t="s">
        <v>854</v>
      </c>
      <c r="B47" s="2" t="s">
        <v>855</v>
      </c>
      <c r="C47" s="2" t="s">
        <v>785</v>
      </c>
      <c r="D47" s="2" t="s">
        <v>783</v>
      </c>
      <c r="E47" s="28">
        <v>-135731.0</v>
      </c>
      <c r="F47" s="28">
        <v>1.1350302E7</v>
      </c>
    </row>
    <row r="48">
      <c r="A48" s="2" t="s">
        <v>523</v>
      </c>
      <c r="B48" s="2" t="s">
        <v>856</v>
      </c>
      <c r="C48" s="2" t="s">
        <v>857</v>
      </c>
      <c r="D48" s="2" t="s">
        <v>858</v>
      </c>
      <c r="E48" s="28">
        <v>-98182.0</v>
      </c>
      <c r="F48" s="28">
        <v>1.1441935E7</v>
      </c>
    </row>
    <row r="49">
      <c r="A49" s="2" t="s">
        <v>859</v>
      </c>
      <c r="B49" s="2" t="s">
        <v>860</v>
      </c>
      <c r="C49" s="2" t="s">
        <v>785</v>
      </c>
      <c r="D49" s="2" t="s">
        <v>789</v>
      </c>
      <c r="E49" s="28">
        <v>-84396.0</v>
      </c>
      <c r="F49" s="28">
        <v>1.1408102E7</v>
      </c>
    </row>
    <row r="50">
      <c r="A50" s="2" t="s">
        <v>676</v>
      </c>
      <c r="B50" s="2" t="s">
        <v>861</v>
      </c>
      <c r="C50" s="2" t="s">
        <v>779</v>
      </c>
      <c r="D50" s="2" t="s">
        <v>780</v>
      </c>
      <c r="E50" s="28">
        <v>-306233.0</v>
      </c>
      <c r="F50" s="28">
        <v>1.1415566E7</v>
      </c>
    </row>
    <row r="51">
      <c r="A51" s="2" t="s">
        <v>682</v>
      </c>
      <c r="B51" s="2" t="s">
        <v>862</v>
      </c>
      <c r="C51" s="2" t="s">
        <v>779</v>
      </c>
      <c r="D51" s="2" t="s">
        <v>780</v>
      </c>
      <c r="E51" s="28">
        <v>-2.81363039E8</v>
      </c>
      <c r="F51" s="28">
        <v>1.145958973E9</v>
      </c>
    </row>
    <row r="52">
      <c r="A52" s="2" t="s">
        <v>863</v>
      </c>
      <c r="B52" s="2" t="s">
        <v>864</v>
      </c>
      <c r="C52" s="2" t="s">
        <v>779</v>
      </c>
      <c r="D52" s="2" t="s">
        <v>780</v>
      </c>
      <c r="E52" s="28">
        <v>-298928.0</v>
      </c>
      <c r="F52" s="28">
        <v>1.1436151E7</v>
      </c>
    </row>
    <row r="53">
      <c r="A53" s="2" t="s">
        <v>865</v>
      </c>
      <c r="B53" s="2" t="s">
        <v>866</v>
      </c>
      <c r="C53" s="2" t="s">
        <v>779</v>
      </c>
      <c r="D53" s="2" t="s">
        <v>783</v>
      </c>
      <c r="E53" s="28">
        <v>-99311.0</v>
      </c>
      <c r="F53" s="28">
        <v>1.1435203E7</v>
      </c>
    </row>
    <row r="54">
      <c r="A54" s="2" t="s">
        <v>867</v>
      </c>
      <c r="B54" s="2" t="s">
        <v>868</v>
      </c>
      <c r="C54" s="2" t="s">
        <v>869</v>
      </c>
      <c r="D54" s="2" t="s">
        <v>780</v>
      </c>
      <c r="E54" s="28">
        <v>-108119.0</v>
      </c>
      <c r="F54" s="28">
        <v>1.1414037E7</v>
      </c>
    </row>
    <row r="55">
      <c r="A55" s="2" t="s">
        <v>870</v>
      </c>
      <c r="B55" s="2" t="s">
        <v>871</v>
      </c>
      <c r="C55" s="2" t="s">
        <v>869</v>
      </c>
      <c r="D55" s="2" t="s">
        <v>789</v>
      </c>
      <c r="E55" s="28">
        <v>-82065.0</v>
      </c>
      <c r="F55" s="28">
        <v>1.1412538E7</v>
      </c>
    </row>
    <row r="56">
      <c r="A56" s="2" t="s">
        <v>588</v>
      </c>
      <c r="B56" s="2" t="s">
        <v>872</v>
      </c>
      <c r="C56" s="2" t="s">
        <v>869</v>
      </c>
      <c r="D56" s="2" t="s">
        <v>780</v>
      </c>
      <c r="E56" s="28">
        <v>-259016.0</v>
      </c>
      <c r="F56" s="28">
        <v>1.1459278E7</v>
      </c>
    </row>
    <row r="57">
      <c r="A57" s="2" t="s">
        <v>873</v>
      </c>
      <c r="B57" s="2" t="s">
        <v>874</v>
      </c>
      <c r="C57" s="2" t="s">
        <v>785</v>
      </c>
      <c r="D57" s="2" t="s">
        <v>786</v>
      </c>
      <c r="E57" s="28">
        <v>-1203298.0</v>
      </c>
      <c r="F57" s="28">
        <v>1.13873168E8</v>
      </c>
    </row>
    <row r="58">
      <c r="A58" s="2" t="s">
        <v>875</v>
      </c>
      <c r="B58" s="2" t="s">
        <v>876</v>
      </c>
      <c r="C58" s="2" t="s">
        <v>782</v>
      </c>
      <c r="D58" s="2" t="s">
        <v>786</v>
      </c>
      <c r="E58" s="28">
        <v>-308648.0</v>
      </c>
      <c r="F58" s="28">
        <v>1.1420382E7</v>
      </c>
    </row>
    <row r="59">
      <c r="A59" s="2" t="s">
        <v>503</v>
      </c>
      <c r="B59" s="2" t="s">
        <v>877</v>
      </c>
      <c r="C59" s="2" t="s">
        <v>869</v>
      </c>
      <c r="D59" s="2" t="s">
        <v>780</v>
      </c>
      <c r="E59" s="28">
        <v>-256837.0</v>
      </c>
      <c r="F59" s="28">
        <v>1.1454372E7</v>
      </c>
    </row>
    <row r="60">
      <c r="A60" s="2" t="s">
        <v>878</v>
      </c>
      <c r="B60" s="2" t="s">
        <v>879</v>
      </c>
      <c r="C60" s="2" t="s">
        <v>869</v>
      </c>
      <c r="D60" s="2" t="s">
        <v>786</v>
      </c>
      <c r="E60" s="28">
        <v>-1014024.0</v>
      </c>
      <c r="F60" s="28">
        <v>1.14271136E8</v>
      </c>
    </row>
    <row r="61">
      <c r="A61" s="2" t="s">
        <v>647</v>
      </c>
      <c r="B61" s="2" t="s">
        <v>880</v>
      </c>
      <c r="C61" s="2" t="s">
        <v>779</v>
      </c>
      <c r="D61" s="2" t="s">
        <v>858</v>
      </c>
      <c r="E61" s="28">
        <v>-105572.0</v>
      </c>
      <c r="F61" s="28">
        <v>1146828.0</v>
      </c>
    </row>
    <row r="62">
      <c r="A62" s="2" t="s">
        <v>420</v>
      </c>
      <c r="B62" s="2" t="s">
        <v>881</v>
      </c>
      <c r="C62" s="2" t="s">
        <v>779</v>
      </c>
      <c r="D62" s="2" t="s">
        <v>786</v>
      </c>
      <c r="E62" s="28">
        <v>-171565.0</v>
      </c>
      <c r="F62" s="28">
        <v>1.1485938E7</v>
      </c>
    </row>
    <row r="63">
      <c r="A63" s="2" t="s">
        <v>273</v>
      </c>
      <c r="B63" s="2" t="s">
        <v>882</v>
      </c>
      <c r="C63" s="2" t="s">
        <v>779</v>
      </c>
      <c r="D63" s="2" t="s">
        <v>786</v>
      </c>
      <c r="E63" s="28">
        <v>-172202.0</v>
      </c>
      <c r="F63" s="28">
        <v>1.1484601E7</v>
      </c>
    </row>
    <row r="64">
      <c r="A64" s="2" t="s">
        <v>593</v>
      </c>
      <c r="B64" s="2" t="s">
        <v>883</v>
      </c>
      <c r="C64" s="2" t="s">
        <v>779</v>
      </c>
      <c r="D64" s="2" t="s">
        <v>783</v>
      </c>
      <c r="E64" s="28">
        <v>-121529.0</v>
      </c>
      <c r="F64" s="28">
        <v>1.1386901E7</v>
      </c>
    </row>
    <row r="65">
      <c r="A65" s="2" t="s">
        <v>415</v>
      </c>
      <c r="B65" s="2" t="s">
        <v>884</v>
      </c>
      <c r="C65" s="2" t="s">
        <v>785</v>
      </c>
      <c r="D65" s="2" t="s">
        <v>780</v>
      </c>
      <c r="E65" s="28">
        <v>-152999.0</v>
      </c>
      <c r="F65" s="28">
        <v>1.1294782E7</v>
      </c>
    </row>
    <row r="66">
      <c r="A66" s="2" t="s">
        <v>885</v>
      </c>
      <c r="B66" s="2" t="s">
        <v>886</v>
      </c>
      <c r="C66" s="2" t="s">
        <v>782</v>
      </c>
      <c r="D66" s="2" t="s">
        <v>789</v>
      </c>
      <c r="E66" s="28">
        <v>-169802.0</v>
      </c>
      <c r="F66" s="28">
        <v>1.1492025E7</v>
      </c>
    </row>
    <row r="67">
      <c r="A67" s="2" t="s">
        <v>478</v>
      </c>
      <c r="B67" s="2" t="s">
        <v>887</v>
      </c>
      <c r="C67" s="2" t="s">
        <v>785</v>
      </c>
      <c r="D67" s="2" t="s">
        <v>783</v>
      </c>
      <c r="E67" s="28">
        <v>-143897.0</v>
      </c>
      <c r="F67" s="28">
        <v>112873.0</v>
      </c>
    </row>
    <row r="68">
      <c r="A68" s="2" t="s">
        <v>723</v>
      </c>
      <c r="B68" s="2" t="s">
        <v>888</v>
      </c>
      <c r="C68" s="2" t="s">
        <v>782</v>
      </c>
      <c r="D68" s="2" t="s">
        <v>783</v>
      </c>
      <c r="E68" s="28">
        <v>-115172.0</v>
      </c>
      <c r="F68" s="28">
        <v>1.1395617E7</v>
      </c>
    </row>
    <row r="69">
      <c r="A69" s="2" t="s">
        <v>889</v>
      </c>
      <c r="B69" s="2" t="s">
        <v>890</v>
      </c>
      <c r="C69" s="2" t="s">
        <v>782</v>
      </c>
      <c r="D69" s="2" t="s">
        <v>789</v>
      </c>
      <c r="E69" s="28">
        <v>-151175.0</v>
      </c>
      <c r="F69" s="28">
        <v>1.1346322E7</v>
      </c>
    </row>
    <row r="70">
      <c r="A70" s="2" t="s">
        <v>376</v>
      </c>
      <c r="B70" s="2" t="s">
        <v>891</v>
      </c>
      <c r="C70" s="2" t="s">
        <v>785</v>
      </c>
      <c r="D70" s="2" t="s">
        <v>783</v>
      </c>
      <c r="E70" s="28">
        <v>-329306.0</v>
      </c>
      <c r="F70" s="28">
        <v>1.1395538E7</v>
      </c>
    </row>
    <row r="71">
      <c r="A71" s="2" t="s">
        <v>477</v>
      </c>
      <c r="B71" s="2" t="s">
        <v>892</v>
      </c>
      <c r="C71" s="2" t="s">
        <v>785</v>
      </c>
      <c r="D71" s="2" t="s">
        <v>783</v>
      </c>
      <c r="E71" s="28">
        <v>-315079.0</v>
      </c>
      <c r="F71" s="28">
        <v>1.1364872E7</v>
      </c>
    </row>
    <row r="72">
      <c r="A72" s="2" t="s">
        <v>300</v>
      </c>
      <c r="B72" s="2" t="s">
        <v>893</v>
      </c>
      <c r="C72" s="2" t="s">
        <v>782</v>
      </c>
      <c r="D72" s="2" t="s">
        <v>783</v>
      </c>
      <c r="E72" s="28">
        <v>-303098.0</v>
      </c>
      <c r="F72" s="28">
        <v>1.1385608E7</v>
      </c>
    </row>
    <row r="73">
      <c r="A73" s="2" t="s">
        <v>756</v>
      </c>
      <c r="B73" s="2" t="s">
        <v>894</v>
      </c>
      <c r="C73" s="2" t="s">
        <v>779</v>
      </c>
      <c r="D73" s="2" t="s">
        <v>783</v>
      </c>
      <c r="E73" s="28">
        <v>-189847.0</v>
      </c>
      <c r="F73" s="28">
        <v>1.1329679E7</v>
      </c>
    </row>
    <row r="74">
      <c r="A74" s="2" t="s">
        <v>208</v>
      </c>
      <c r="B74" s="2" t="s">
        <v>895</v>
      </c>
      <c r="C74" s="2" t="s">
        <v>857</v>
      </c>
      <c r="D74" s="2" t="s">
        <v>783</v>
      </c>
      <c r="E74" s="28">
        <v>-132325.0</v>
      </c>
      <c r="F74" s="28">
        <v>1.1435782E7</v>
      </c>
    </row>
    <row r="75">
      <c r="A75" s="2" t="s">
        <v>338</v>
      </c>
      <c r="B75" s="2" t="s">
        <v>896</v>
      </c>
      <c r="C75" s="2" t="s">
        <v>785</v>
      </c>
      <c r="D75" s="2" t="s">
        <v>783</v>
      </c>
      <c r="E75" s="28">
        <v>-166437.0</v>
      </c>
      <c r="F75" s="28">
        <v>1144854.0</v>
      </c>
    </row>
    <row r="76">
      <c r="A76" s="2" t="s">
        <v>897</v>
      </c>
      <c r="B76" s="2" t="s">
        <v>898</v>
      </c>
      <c r="C76" s="2" t="s">
        <v>782</v>
      </c>
      <c r="D76" s="2" t="s">
        <v>789</v>
      </c>
      <c r="E76" s="28">
        <v>-194473.0</v>
      </c>
      <c r="F76" s="28">
        <v>1.1417636E7</v>
      </c>
    </row>
    <row r="77">
      <c r="A77" s="2" t="s">
        <v>609</v>
      </c>
      <c r="B77" s="2" t="s">
        <v>899</v>
      </c>
      <c r="C77" s="2" t="s">
        <v>782</v>
      </c>
      <c r="D77" s="2" t="s">
        <v>786</v>
      </c>
      <c r="E77" s="28">
        <v>-178357.0</v>
      </c>
      <c r="F77" s="28">
        <v>1.1481827E7</v>
      </c>
    </row>
    <row r="78">
      <c r="A78" s="2" t="s">
        <v>487</v>
      </c>
      <c r="B78" s="2" t="s">
        <v>900</v>
      </c>
      <c r="C78" s="2" t="s">
        <v>785</v>
      </c>
      <c r="D78" s="2" t="s">
        <v>786</v>
      </c>
      <c r="E78" s="28">
        <v>-173022.0</v>
      </c>
      <c r="F78" s="28">
        <v>1.1447813E7</v>
      </c>
    </row>
    <row r="79">
      <c r="A79" s="2" t="s">
        <v>529</v>
      </c>
      <c r="B79" s="2" t="s">
        <v>901</v>
      </c>
      <c r="C79" s="2" t="s">
        <v>782</v>
      </c>
      <c r="D79" s="2" t="s">
        <v>789</v>
      </c>
      <c r="E79" s="28">
        <v>-172224.0</v>
      </c>
      <c r="F79" s="28">
        <v>1.1483601E7</v>
      </c>
    </row>
    <row r="80">
      <c r="A80" s="2" t="s">
        <v>402</v>
      </c>
      <c r="B80" s="2" t="s">
        <v>902</v>
      </c>
      <c r="C80" s="2" t="s">
        <v>782</v>
      </c>
      <c r="D80" s="2" t="s">
        <v>789</v>
      </c>
      <c r="E80" s="28">
        <v>-257655.0</v>
      </c>
      <c r="F80" s="28">
        <v>1143651.0</v>
      </c>
    </row>
    <row r="81">
      <c r="A81" s="2" t="s">
        <v>285</v>
      </c>
      <c r="B81" s="2" t="s">
        <v>903</v>
      </c>
      <c r="C81" s="2" t="s">
        <v>857</v>
      </c>
      <c r="D81" s="2" t="s">
        <v>780</v>
      </c>
      <c r="E81" s="28">
        <v>-171553.0</v>
      </c>
      <c r="F81" s="28">
        <v>1.1484384E7</v>
      </c>
    </row>
    <row r="82">
      <c r="A82" s="2" t="s">
        <v>904</v>
      </c>
      <c r="B82" s="2" t="s">
        <v>905</v>
      </c>
      <c r="C82" s="2" t="s">
        <v>857</v>
      </c>
      <c r="D82" s="2" t="s">
        <v>786</v>
      </c>
      <c r="E82" s="28">
        <v>-180714.0</v>
      </c>
      <c r="F82" s="28">
        <v>1.1477989E7</v>
      </c>
    </row>
    <row r="83">
      <c r="A83" s="2" t="s">
        <v>500</v>
      </c>
      <c r="B83" s="2" t="s">
        <v>906</v>
      </c>
      <c r="C83" s="2" t="s">
        <v>785</v>
      </c>
      <c r="D83" s="2" t="s">
        <v>780</v>
      </c>
      <c r="E83" s="28">
        <v>-172901.0</v>
      </c>
      <c r="F83" s="28">
        <v>1148425.0</v>
      </c>
    </row>
    <row r="84">
      <c r="A84" s="2" t="s">
        <v>410</v>
      </c>
      <c r="B84" s="2" t="s">
        <v>907</v>
      </c>
      <c r="C84" s="2" t="s">
        <v>779</v>
      </c>
      <c r="D84" s="2" t="s">
        <v>786</v>
      </c>
      <c r="E84" s="28">
        <v>-172269.0</v>
      </c>
      <c r="F84" s="28">
        <v>1.1483306E7</v>
      </c>
    </row>
    <row r="85">
      <c r="A85" s="2" t="s">
        <v>253</v>
      </c>
      <c r="B85" s="2" t="s">
        <v>908</v>
      </c>
      <c r="C85" s="2" t="s">
        <v>785</v>
      </c>
      <c r="D85" s="2" t="s">
        <v>786</v>
      </c>
      <c r="E85" s="28">
        <v>-171782.0</v>
      </c>
      <c r="F85" s="28">
        <v>1.1485338E7</v>
      </c>
    </row>
    <row r="86">
      <c r="A86" s="2" t="s">
        <v>465</v>
      </c>
      <c r="B86" s="2" t="s">
        <v>909</v>
      </c>
      <c r="C86" s="2" t="s">
        <v>782</v>
      </c>
      <c r="D86" s="2" t="s">
        <v>789</v>
      </c>
      <c r="E86" s="28">
        <v>-173632.0</v>
      </c>
      <c r="F86" s="28">
        <v>1.1483156E7</v>
      </c>
    </row>
    <row r="87">
      <c r="A87" s="2" t="s">
        <v>568</v>
      </c>
      <c r="B87" s="2" t="s">
        <v>910</v>
      </c>
      <c r="C87" s="2" t="s">
        <v>782</v>
      </c>
      <c r="D87" s="2" t="s">
        <v>786</v>
      </c>
      <c r="E87" s="28">
        <v>-171977.0</v>
      </c>
      <c r="F87" s="28">
        <v>1.1483888E7</v>
      </c>
    </row>
    <row r="88">
      <c r="A88" s="2" t="s">
        <v>403</v>
      </c>
      <c r="B88" s="2" t="s">
        <v>911</v>
      </c>
      <c r="C88" s="2" t="s">
        <v>785</v>
      </c>
      <c r="D88" s="2" t="s">
        <v>789</v>
      </c>
      <c r="E88" s="28">
        <v>-162892.0</v>
      </c>
      <c r="F88" s="28">
        <v>1.1484482E7</v>
      </c>
    </row>
    <row r="89">
      <c r="A89" s="2" t="s">
        <v>912</v>
      </c>
      <c r="B89" s="2" t="s">
        <v>913</v>
      </c>
      <c r="C89" s="2" t="s">
        <v>782</v>
      </c>
      <c r="D89" s="2" t="s">
        <v>786</v>
      </c>
      <c r="E89" s="28">
        <v>-172088.0</v>
      </c>
      <c r="F89" s="28">
        <v>1.1483127E7</v>
      </c>
    </row>
    <row r="90">
      <c r="A90" s="2" t="s">
        <v>537</v>
      </c>
      <c r="B90" s="2" t="s">
        <v>914</v>
      </c>
      <c r="C90" s="2" t="s">
        <v>779</v>
      </c>
      <c r="D90" s="2" t="s">
        <v>789</v>
      </c>
      <c r="E90" s="28">
        <v>-16423.0</v>
      </c>
      <c r="F90" s="28">
        <v>1.1481416E7</v>
      </c>
    </row>
    <row r="91">
      <c r="A91" s="2" t="s">
        <v>188</v>
      </c>
      <c r="B91" s="2" t="s">
        <v>915</v>
      </c>
      <c r="C91" s="2" t="s">
        <v>782</v>
      </c>
      <c r="D91" s="2" t="s">
        <v>789</v>
      </c>
      <c r="E91" s="28">
        <v>-136067.0</v>
      </c>
      <c r="F91" s="28">
        <v>1.1439398E7</v>
      </c>
    </row>
    <row r="92">
      <c r="A92" s="2" t="s">
        <v>470</v>
      </c>
      <c r="B92" s="2" t="s">
        <v>916</v>
      </c>
      <c r="C92" s="2" t="s">
        <v>857</v>
      </c>
      <c r="D92" s="2" t="s">
        <v>789</v>
      </c>
      <c r="E92" s="28">
        <v>-171061.0</v>
      </c>
      <c r="F92" s="28">
        <v>1.1487051E7</v>
      </c>
    </row>
    <row r="93">
      <c r="A93" s="2" t="s">
        <v>917</v>
      </c>
      <c r="B93" s="2" t="s">
        <v>918</v>
      </c>
      <c r="C93" s="2" t="s">
        <v>779</v>
      </c>
      <c r="D93" s="2" t="s">
        <v>780</v>
      </c>
      <c r="E93" s="28">
        <v>-160947.0</v>
      </c>
      <c r="F93" s="28">
        <v>1.1520627E7</v>
      </c>
    </row>
    <row r="94">
      <c r="A94" s="2" t="s">
        <v>139</v>
      </c>
      <c r="B94" s="2" t="s">
        <v>919</v>
      </c>
      <c r="C94" s="2" t="s">
        <v>782</v>
      </c>
      <c r="D94" s="2" t="s">
        <v>789</v>
      </c>
      <c r="E94" s="28">
        <v>-154398.0</v>
      </c>
      <c r="F94" s="28">
        <v>1.1505932E7</v>
      </c>
    </row>
    <row r="95">
      <c r="A95" s="2" t="s">
        <v>480</v>
      </c>
      <c r="B95" s="2" t="s">
        <v>920</v>
      </c>
      <c r="C95" s="2" t="s">
        <v>857</v>
      </c>
      <c r="D95" s="2" t="s">
        <v>789</v>
      </c>
      <c r="E95" s="28">
        <v>-171689.0</v>
      </c>
      <c r="F95" s="28">
        <v>1.1483817E7</v>
      </c>
    </row>
    <row r="96">
      <c r="A96" s="2" t="s">
        <v>321</v>
      </c>
      <c r="B96" s="2" t="s">
        <v>921</v>
      </c>
      <c r="C96" s="2" t="s">
        <v>782</v>
      </c>
      <c r="D96" s="2" t="s">
        <v>789</v>
      </c>
      <c r="E96" s="28">
        <v>-151326.0</v>
      </c>
      <c r="F96" s="28">
        <v>1.1487098E7</v>
      </c>
    </row>
    <row r="97">
      <c r="A97" s="2" t="s">
        <v>627</v>
      </c>
      <c r="B97" s="2" t="s">
        <v>922</v>
      </c>
      <c r="C97" s="2" t="s">
        <v>782</v>
      </c>
      <c r="D97" s="2" t="s">
        <v>786</v>
      </c>
      <c r="E97" s="28">
        <v>-171538.0</v>
      </c>
      <c r="F97" s="28">
        <v>1.1484769E7</v>
      </c>
    </row>
    <row r="98">
      <c r="A98" s="2" t="s">
        <v>334</v>
      </c>
      <c r="B98" s="2" t="s">
        <v>923</v>
      </c>
      <c r="C98" s="2" t="s">
        <v>857</v>
      </c>
      <c r="D98" s="2" t="s">
        <v>783</v>
      </c>
      <c r="E98" s="28">
        <v>-232022.0</v>
      </c>
      <c r="F98" s="28">
        <v>1.1487542E7</v>
      </c>
    </row>
    <row r="99">
      <c r="A99" s="2" t="s">
        <v>924</v>
      </c>
      <c r="B99" s="2" t="s">
        <v>925</v>
      </c>
      <c r="C99" s="2" t="s">
        <v>869</v>
      </c>
      <c r="D99" s="2" t="s">
        <v>789</v>
      </c>
      <c r="E99" s="28">
        <v>-245659.0</v>
      </c>
      <c r="F99" s="28">
        <v>1.1471049E7</v>
      </c>
    </row>
    <row r="100">
      <c r="A100" s="2" t="s">
        <v>517</v>
      </c>
      <c r="B100" s="2" t="s">
        <v>926</v>
      </c>
      <c r="C100" s="2" t="s">
        <v>857</v>
      </c>
      <c r="D100" s="2" t="s">
        <v>789</v>
      </c>
      <c r="E100" s="28">
        <v>-171907.0</v>
      </c>
      <c r="F100" s="28">
        <v>1.1483244E7</v>
      </c>
    </row>
    <row r="101">
      <c r="A101" s="2" t="s">
        <v>927</v>
      </c>
      <c r="B101" s="2" t="s">
        <v>928</v>
      </c>
      <c r="C101" s="2" t="s">
        <v>929</v>
      </c>
      <c r="D101" s="2" t="s">
        <v>780</v>
      </c>
      <c r="E101" s="28">
        <v>-173414.0</v>
      </c>
      <c r="F101" s="28">
        <v>1.1484318E7</v>
      </c>
    </row>
    <row r="102">
      <c r="A102" s="2" t="s">
        <v>930</v>
      </c>
      <c r="B102" s="2" t="s">
        <v>931</v>
      </c>
      <c r="C102" s="2" t="s">
        <v>929</v>
      </c>
      <c r="D102" s="2" t="s">
        <v>780</v>
      </c>
      <c r="E102" s="28">
        <v>-168623.0</v>
      </c>
      <c r="F102" s="28">
        <v>1.1490753E7</v>
      </c>
    </row>
    <row r="103">
      <c r="A103" s="2" t="s">
        <v>282</v>
      </c>
      <c r="B103" s="2" t="s">
        <v>932</v>
      </c>
      <c r="C103" s="2" t="s">
        <v>782</v>
      </c>
      <c r="D103" s="2" t="s">
        <v>789</v>
      </c>
      <c r="E103" s="28">
        <v>-222858.0</v>
      </c>
      <c r="F103" s="28">
        <v>1.1485438E7</v>
      </c>
    </row>
    <row r="104">
      <c r="A104" s="2" t="s">
        <v>283</v>
      </c>
      <c r="B104" s="2" t="s">
        <v>933</v>
      </c>
      <c r="C104" s="2" t="s">
        <v>782</v>
      </c>
      <c r="D104" s="2" t="s">
        <v>786</v>
      </c>
      <c r="E104" s="28">
        <v>-221495.0</v>
      </c>
      <c r="F104" s="28">
        <v>1.1484841E7</v>
      </c>
    </row>
    <row r="105">
      <c r="A105" s="2" t="s">
        <v>934</v>
      </c>
      <c r="B105" s="2" t="s">
        <v>935</v>
      </c>
      <c r="C105" s="2" t="s">
        <v>929</v>
      </c>
      <c r="D105" s="2" t="s">
        <v>789</v>
      </c>
      <c r="E105" s="28">
        <v>-177953.0</v>
      </c>
      <c r="F105" s="28">
        <v>1.1480391E7</v>
      </c>
    </row>
    <row r="106">
      <c r="A106" s="2" t="s">
        <v>936</v>
      </c>
      <c r="B106" s="2" t="s">
        <v>937</v>
      </c>
      <c r="C106" s="2" t="s">
        <v>782</v>
      </c>
      <c r="D106" s="2" t="s">
        <v>786</v>
      </c>
      <c r="E106" s="28">
        <v>-172104.0</v>
      </c>
      <c r="F106" s="28">
        <v>1.1484235E7</v>
      </c>
    </row>
    <row r="107">
      <c r="A107" s="2" t="s">
        <v>141</v>
      </c>
      <c r="B107" s="2" t="s">
        <v>938</v>
      </c>
      <c r="C107" s="2" t="s">
        <v>779</v>
      </c>
      <c r="D107" s="2" t="s">
        <v>789</v>
      </c>
      <c r="E107" s="28">
        <v>-244976.0</v>
      </c>
      <c r="F107" s="28">
        <v>1.1491403E7</v>
      </c>
    </row>
    <row r="108">
      <c r="A108" s="2" t="s">
        <v>381</v>
      </c>
      <c r="B108" s="2" t="s">
        <v>939</v>
      </c>
      <c r="C108" s="2" t="s">
        <v>779</v>
      </c>
      <c r="D108" s="2" t="s">
        <v>789</v>
      </c>
      <c r="E108" s="28">
        <v>-7072.0</v>
      </c>
      <c r="F108" s="28">
        <v>1144556.0</v>
      </c>
    </row>
    <row r="109">
      <c r="A109" s="2" t="s">
        <v>170</v>
      </c>
      <c r="B109" s="2" t="s">
        <v>940</v>
      </c>
      <c r="C109" s="2" t="s">
        <v>785</v>
      </c>
      <c r="D109" s="2" t="s">
        <v>789</v>
      </c>
      <c r="E109" s="28">
        <v>-162487.0</v>
      </c>
      <c r="F109" s="28">
        <v>1.1518049E7</v>
      </c>
    </row>
    <row r="110">
      <c r="A110" s="2" t="s">
        <v>941</v>
      </c>
      <c r="B110" s="2" t="s">
        <v>942</v>
      </c>
      <c r="C110" s="2" t="s">
        <v>943</v>
      </c>
      <c r="D110" s="2" t="s">
        <v>786</v>
      </c>
      <c r="E110" s="28">
        <v>-1454637.0</v>
      </c>
      <c r="F110" s="28">
        <v>1.15158472E8</v>
      </c>
    </row>
    <row r="111">
      <c r="A111" s="2" t="s">
        <v>336</v>
      </c>
      <c r="B111" s="2" t="s">
        <v>944</v>
      </c>
      <c r="C111" s="2" t="s">
        <v>782</v>
      </c>
      <c r="D111" s="2" t="s">
        <v>780</v>
      </c>
      <c r="E111" s="28">
        <v>-152401.0</v>
      </c>
      <c r="F111" s="28">
        <v>1.1516043E7</v>
      </c>
    </row>
    <row r="112">
      <c r="A112" s="2" t="s">
        <v>407</v>
      </c>
      <c r="B112" s="2" t="s">
        <v>945</v>
      </c>
      <c r="C112" s="2" t="s">
        <v>782</v>
      </c>
      <c r="D112" s="2" t="s">
        <v>789</v>
      </c>
      <c r="E112" s="28">
        <v>-153375.0</v>
      </c>
      <c r="F112" s="28">
        <v>1.1516045E7</v>
      </c>
    </row>
    <row r="113">
      <c r="A113" s="2" t="s">
        <v>161</v>
      </c>
      <c r="B113" s="2" t="s">
        <v>946</v>
      </c>
      <c r="C113" s="2" t="s">
        <v>782</v>
      </c>
      <c r="D113" s="2" t="s">
        <v>780</v>
      </c>
      <c r="E113" s="28">
        <v>-139994.0</v>
      </c>
      <c r="F113" s="28">
        <v>1.1514783E7</v>
      </c>
    </row>
    <row r="114">
      <c r="A114" s="2" t="s">
        <v>947</v>
      </c>
      <c r="B114" s="2" t="s">
        <v>948</v>
      </c>
      <c r="C114" s="2" t="s">
        <v>782</v>
      </c>
      <c r="D114" s="2" t="s">
        <v>789</v>
      </c>
      <c r="E114" s="28">
        <v>-138136.0</v>
      </c>
      <c r="F114" s="28">
        <v>1148568.0</v>
      </c>
    </row>
    <row r="115">
      <c r="A115" s="2" t="s">
        <v>949</v>
      </c>
      <c r="B115" s="2" t="s">
        <v>950</v>
      </c>
      <c r="C115" s="2" t="s">
        <v>929</v>
      </c>
      <c r="D115" s="2" t="s">
        <v>789</v>
      </c>
      <c r="E115" s="28">
        <v>-246646.0</v>
      </c>
      <c r="F115" s="28">
        <v>1.1487337E7</v>
      </c>
    </row>
    <row r="116">
      <c r="A116" s="2" t="s">
        <v>446</v>
      </c>
      <c r="B116" s="2" t="s">
        <v>951</v>
      </c>
      <c r="C116" s="2" t="s">
        <v>785</v>
      </c>
      <c r="D116" s="2" t="s">
        <v>786</v>
      </c>
      <c r="E116" s="28">
        <v>-209767.0</v>
      </c>
      <c r="F116" s="28">
        <v>1.1487555E7</v>
      </c>
    </row>
    <row r="117">
      <c r="A117" s="2" t="s">
        <v>157</v>
      </c>
      <c r="B117" s="2" t="s">
        <v>952</v>
      </c>
      <c r="C117" s="2" t="s">
        <v>779</v>
      </c>
      <c r="D117" s="2" t="s">
        <v>789</v>
      </c>
      <c r="E117" s="28">
        <v>-163461.0</v>
      </c>
      <c r="F117" s="28">
        <v>1.1515247E7</v>
      </c>
    </row>
    <row r="118">
      <c r="A118" s="2" t="s">
        <v>953</v>
      </c>
      <c r="B118" s="2" t="s">
        <v>954</v>
      </c>
      <c r="C118" s="2" t="s">
        <v>782</v>
      </c>
      <c r="D118" s="2" t="s">
        <v>789</v>
      </c>
      <c r="E118" s="28">
        <v>-138706.0</v>
      </c>
      <c r="F118" s="28">
        <v>113099.0</v>
      </c>
    </row>
    <row r="119">
      <c r="A119" s="2" t="s">
        <v>512</v>
      </c>
      <c r="B119" s="2" t="s">
        <v>955</v>
      </c>
      <c r="C119" s="2" t="s">
        <v>782</v>
      </c>
      <c r="D119" s="2" t="s">
        <v>789</v>
      </c>
      <c r="E119" s="28">
        <v>-202994.0</v>
      </c>
      <c r="F119" s="28">
        <v>1149081.0</v>
      </c>
    </row>
    <row r="120">
      <c r="A120" s="2" t="s">
        <v>516</v>
      </c>
      <c r="B120" s="2" t="s">
        <v>956</v>
      </c>
      <c r="C120" s="2" t="s">
        <v>782</v>
      </c>
      <c r="D120" s="2" t="s">
        <v>858</v>
      </c>
      <c r="E120" s="28">
        <v>-134919.0</v>
      </c>
      <c r="F120" s="28">
        <v>1.1436358E7</v>
      </c>
    </row>
    <row r="121">
      <c r="A121" s="2" t="s">
        <v>371</v>
      </c>
      <c r="B121" s="2" t="s">
        <v>957</v>
      </c>
      <c r="C121" s="2" t="s">
        <v>779</v>
      </c>
      <c r="D121" s="2" t="s">
        <v>783</v>
      </c>
      <c r="E121" s="28">
        <v>-291943.0</v>
      </c>
      <c r="F121" s="28">
        <v>1.1381479E7</v>
      </c>
    </row>
    <row r="122">
      <c r="A122" s="2" t="s">
        <v>298</v>
      </c>
      <c r="B122" s="2" t="s">
        <v>958</v>
      </c>
      <c r="C122" s="2" t="s">
        <v>857</v>
      </c>
      <c r="D122" s="2" t="s">
        <v>858</v>
      </c>
      <c r="E122" s="28">
        <v>-146434.0</v>
      </c>
      <c r="F122" s="28">
        <v>1144165.0</v>
      </c>
    </row>
    <row r="123">
      <c r="A123" s="2" t="s">
        <v>185</v>
      </c>
      <c r="B123" s="2" t="s">
        <v>959</v>
      </c>
      <c r="C123" s="2" t="s">
        <v>782</v>
      </c>
      <c r="D123" s="2" t="s">
        <v>858</v>
      </c>
      <c r="E123" s="28">
        <v>-135674.0</v>
      </c>
      <c r="F123" s="28">
        <v>1.1436101E7</v>
      </c>
    </row>
    <row r="124">
      <c r="A124" s="2" t="s">
        <v>960</v>
      </c>
      <c r="B124" s="2" t="s">
        <v>961</v>
      </c>
      <c r="C124" s="2" t="s">
        <v>782</v>
      </c>
      <c r="D124" s="2" t="s">
        <v>780</v>
      </c>
      <c r="E124" s="28">
        <v>-184463.0</v>
      </c>
      <c r="F124" s="28">
        <v>1.1483268E7</v>
      </c>
    </row>
    <row r="125">
      <c r="A125" s="2" t="s">
        <v>178</v>
      </c>
      <c r="B125" s="2" t="s">
        <v>962</v>
      </c>
      <c r="C125" s="2" t="s">
        <v>782</v>
      </c>
      <c r="D125" s="2" t="s">
        <v>783</v>
      </c>
      <c r="E125" s="28">
        <v>-118908.0</v>
      </c>
      <c r="F125" s="28">
        <v>1126923.0</v>
      </c>
    </row>
    <row r="126">
      <c r="A126" s="2" t="s">
        <v>963</v>
      </c>
      <c r="B126" s="2" t="s">
        <v>964</v>
      </c>
      <c r="C126" s="2" t="s">
        <v>782</v>
      </c>
      <c r="D126" s="2" t="s">
        <v>786</v>
      </c>
      <c r="E126" s="28">
        <v>-134056.0</v>
      </c>
      <c r="F126" s="28">
        <v>1.1512484E7</v>
      </c>
    </row>
    <row r="127">
      <c r="A127" s="2" t="s">
        <v>965</v>
      </c>
      <c r="B127" s="2" t="s">
        <v>966</v>
      </c>
      <c r="C127" s="2" t="s">
        <v>857</v>
      </c>
      <c r="D127" s="2" t="s">
        <v>780</v>
      </c>
      <c r="E127" s="28">
        <v>-163996.0</v>
      </c>
      <c r="F127" s="28">
        <v>1.1503484E7</v>
      </c>
    </row>
    <row r="128">
      <c r="A128" s="2" t="s">
        <v>967</v>
      </c>
      <c r="B128" s="2" t="s">
        <v>968</v>
      </c>
      <c r="C128" s="2" t="s">
        <v>782</v>
      </c>
      <c r="D128" s="2" t="s">
        <v>789</v>
      </c>
      <c r="E128" s="28">
        <v>-196919.0</v>
      </c>
      <c r="F128" s="28">
        <v>1151308.0</v>
      </c>
    </row>
    <row r="129">
      <c r="A129" s="2" t="s">
        <v>111</v>
      </c>
      <c r="B129" s="2" t="s">
        <v>969</v>
      </c>
      <c r="C129" s="2" t="s">
        <v>779</v>
      </c>
      <c r="D129" s="2" t="s">
        <v>780</v>
      </c>
      <c r="E129" s="28">
        <v>-197781.0</v>
      </c>
      <c r="F129" s="28">
        <v>1.1519868E7</v>
      </c>
    </row>
    <row r="130">
      <c r="A130" s="2" t="s">
        <v>456</v>
      </c>
      <c r="B130" s="2" t="s">
        <v>970</v>
      </c>
      <c r="C130" s="2" t="s">
        <v>782</v>
      </c>
      <c r="D130" s="2" t="s">
        <v>780</v>
      </c>
      <c r="E130" s="28">
        <v>-191528.0</v>
      </c>
      <c r="F130" s="28">
        <v>1.1505682E7</v>
      </c>
    </row>
    <row r="131">
      <c r="A131" s="2" t="s">
        <v>971</v>
      </c>
      <c r="B131" s="2" t="s">
        <v>972</v>
      </c>
      <c r="C131" s="2" t="s">
        <v>782</v>
      </c>
      <c r="D131" s="2" t="s">
        <v>780</v>
      </c>
      <c r="E131" s="28">
        <v>-187751.0</v>
      </c>
      <c r="F131" s="28">
        <v>1.1520679E7</v>
      </c>
    </row>
    <row r="132">
      <c r="A132" s="2" t="s">
        <v>408</v>
      </c>
      <c r="B132" s="2" t="s">
        <v>973</v>
      </c>
      <c r="C132" s="2" t="s">
        <v>782</v>
      </c>
      <c r="D132" s="2" t="s">
        <v>789</v>
      </c>
      <c r="E132" s="28">
        <v>-181094.0</v>
      </c>
      <c r="F132" s="28">
        <v>1151646.0</v>
      </c>
    </row>
    <row r="133">
      <c r="A133" s="2" t="s">
        <v>349</v>
      </c>
      <c r="B133" s="2" t="s">
        <v>974</v>
      </c>
      <c r="C133" s="2" t="s">
        <v>779</v>
      </c>
      <c r="D133" s="2" t="s">
        <v>783</v>
      </c>
      <c r="E133" s="28">
        <v>-13519.0</v>
      </c>
      <c r="F133" s="28">
        <v>1.1338514E7</v>
      </c>
    </row>
    <row r="134">
      <c r="A134" s="2" t="s">
        <v>255</v>
      </c>
      <c r="B134" s="2" t="s">
        <v>975</v>
      </c>
      <c r="C134" s="2" t="s">
        <v>782</v>
      </c>
      <c r="D134" s="2" t="s">
        <v>789</v>
      </c>
      <c r="E134" s="28">
        <v>-181948.0</v>
      </c>
      <c r="F134" s="28">
        <v>1150303.0</v>
      </c>
    </row>
    <row r="135">
      <c r="A135" s="2" t="s">
        <v>267</v>
      </c>
      <c r="B135" s="2" t="s">
        <v>976</v>
      </c>
      <c r="C135" s="2" t="s">
        <v>779</v>
      </c>
      <c r="D135" s="2" t="s">
        <v>783</v>
      </c>
      <c r="E135" s="28">
        <v>-136263.0</v>
      </c>
      <c r="F135" s="28">
        <v>1139183.0</v>
      </c>
    </row>
    <row r="136">
      <c r="A136" s="2" t="s">
        <v>454</v>
      </c>
      <c r="B136" s="2" t="s">
        <v>977</v>
      </c>
      <c r="C136" s="2" t="s">
        <v>782</v>
      </c>
      <c r="D136" s="2" t="s">
        <v>786</v>
      </c>
      <c r="E136" s="28">
        <v>-193075.0</v>
      </c>
      <c r="F136" s="28">
        <v>1.1334199E7</v>
      </c>
    </row>
    <row r="137">
      <c r="A137" s="2" t="s">
        <v>527</v>
      </c>
      <c r="B137" s="2" t="s">
        <v>978</v>
      </c>
      <c r="C137" s="2" t="s">
        <v>782</v>
      </c>
      <c r="D137" s="2" t="s">
        <v>786</v>
      </c>
      <c r="E137" s="28">
        <v>-188955.0</v>
      </c>
      <c r="F137" s="28">
        <v>1.1350484E7</v>
      </c>
    </row>
    <row r="138">
      <c r="A138" s="2" t="s">
        <v>979</v>
      </c>
      <c r="B138" s="2" t="s">
        <v>980</v>
      </c>
      <c r="C138" s="2" t="s">
        <v>779</v>
      </c>
      <c r="D138" s="2" t="s">
        <v>783</v>
      </c>
      <c r="E138" s="28">
        <v>-93364.0</v>
      </c>
      <c r="F138" s="28">
        <v>1.1401974E7</v>
      </c>
    </row>
    <row r="139">
      <c r="A139" s="2" t="s">
        <v>414</v>
      </c>
      <c r="B139" s="2" t="s">
        <v>981</v>
      </c>
      <c r="C139" s="2" t="s">
        <v>857</v>
      </c>
      <c r="D139" s="2" t="s">
        <v>783</v>
      </c>
      <c r="E139" s="28">
        <v>-129222.0</v>
      </c>
      <c r="F139" s="28">
        <v>1.1392683E7</v>
      </c>
    </row>
    <row r="140">
      <c r="A140" s="2" t="s">
        <v>982</v>
      </c>
      <c r="B140" s="2" t="s">
        <v>983</v>
      </c>
      <c r="C140" s="2" t="s">
        <v>857</v>
      </c>
      <c r="D140" s="2" t="s">
        <v>783</v>
      </c>
      <c r="E140" s="28">
        <v>-148871.0</v>
      </c>
      <c r="F140" s="28">
        <v>1.1389503E7</v>
      </c>
    </row>
    <row r="141">
      <c r="A141" s="2" t="s">
        <v>984</v>
      </c>
      <c r="B141" s="2" t="s">
        <v>985</v>
      </c>
      <c r="C141" s="2" t="s">
        <v>782</v>
      </c>
      <c r="D141" s="2" t="s">
        <v>789</v>
      </c>
      <c r="E141" s="28">
        <v>-111021.0</v>
      </c>
      <c r="F141" s="28">
        <v>1.1387165E7</v>
      </c>
    </row>
    <row r="142">
      <c r="A142" s="2" t="s">
        <v>986</v>
      </c>
      <c r="B142" s="2" t="s">
        <v>987</v>
      </c>
      <c r="C142" s="2" t="s">
        <v>782</v>
      </c>
      <c r="D142" s="2" t="s">
        <v>780</v>
      </c>
      <c r="E142" s="28">
        <v>-15609.0</v>
      </c>
      <c r="F142" s="28">
        <v>1.1389946E7</v>
      </c>
    </row>
    <row r="143">
      <c r="A143" s="2" t="s">
        <v>988</v>
      </c>
      <c r="B143" s="2" t="s">
        <v>989</v>
      </c>
      <c r="C143" s="2" t="s">
        <v>785</v>
      </c>
      <c r="D143" s="2" t="s">
        <v>783</v>
      </c>
      <c r="E143" s="28">
        <v>-144783.0</v>
      </c>
      <c r="F143" s="28">
        <v>1.1339166E7</v>
      </c>
    </row>
    <row r="144">
      <c r="A144" s="2" t="s">
        <v>990</v>
      </c>
      <c r="B144" s="2" t="s">
        <v>991</v>
      </c>
      <c r="C144" s="2" t="s">
        <v>785</v>
      </c>
      <c r="D144" s="2" t="s">
        <v>783</v>
      </c>
      <c r="E144" s="28">
        <v>-159127.0</v>
      </c>
      <c r="F144" s="28">
        <v>1.1353769E7</v>
      </c>
    </row>
    <row r="145">
      <c r="A145" s="2" t="s">
        <v>992</v>
      </c>
      <c r="B145" s="2" t="s">
        <v>993</v>
      </c>
      <c r="C145" s="2" t="s">
        <v>857</v>
      </c>
      <c r="D145" s="2" t="s">
        <v>789</v>
      </c>
      <c r="E145" s="28">
        <v>-11058.0</v>
      </c>
      <c r="F145" s="28">
        <v>1.1386759E7</v>
      </c>
    </row>
    <row r="146">
      <c r="A146" s="2" t="s">
        <v>994</v>
      </c>
      <c r="B146" s="2" t="s">
        <v>995</v>
      </c>
      <c r="C146" s="2" t="s">
        <v>857</v>
      </c>
      <c r="D146" s="2" t="s">
        <v>789</v>
      </c>
      <c r="E146" s="28">
        <v>-113701.0</v>
      </c>
      <c r="F146" s="28">
        <v>1.1389876E7</v>
      </c>
    </row>
    <row r="147">
      <c r="A147" s="2" t="s">
        <v>996</v>
      </c>
      <c r="B147" s="2" t="s">
        <v>997</v>
      </c>
      <c r="C147" s="2" t="s">
        <v>782</v>
      </c>
      <c r="D147" s="2" t="s">
        <v>789</v>
      </c>
      <c r="E147" s="28">
        <v>-123107.0</v>
      </c>
      <c r="F147" s="28">
        <v>113456.0</v>
      </c>
    </row>
    <row r="148">
      <c r="A148" s="2" t="s">
        <v>667</v>
      </c>
      <c r="B148" s="2" t="s">
        <v>998</v>
      </c>
      <c r="C148" s="2" t="s">
        <v>785</v>
      </c>
      <c r="D148" s="2" t="s">
        <v>789</v>
      </c>
      <c r="E148" s="28">
        <v>-123144.0</v>
      </c>
      <c r="F148" s="28">
        <v>1.1391146E7</v>
      </c>
    </row>
    <row r="149">
      <c r="A149" s="2" t="s">
        <v>999</v>
      </c>
      <c r="B149" s="2" t="s">
        <v>1000</v>
      </c>
      <c r="C149" s="2" t="s">
        <v>857</v>
      </c>
      <c r="D149" s="2" t="s">
        <v>789</v>
      </c>
      <c r="E149" s="28">
        <v>-11286.0</v>
      </c>
      <c r="F149" s="28">
        <v>1.1385585E7</v>
      </c>
    </row>
    <row r="150">
      <c r="A150" s="2" t="s">
        <v>305</v>
      </c>
      <c r="B150" s="2" t="s">
        <v>1001</v>
      </c>
      <c r="C150" s="2" t="s">
        <v>857</v>
      </c>
      <c r="D150" s="2" t="s">
        <v>783</v>
      </c>
      <c r="E150" s="28">
        <v>-103185.0</v>
      </c>
      <c r="F150" s="28">
        <v>1.1372985E7</v>
      </c>
    </row>
    <row r="151">
      <c r="A151" s="2" t="s">
        <v>218</v>
      </c>
      <c r="B151" s="2" t="s">
        <v>1002</v>
      </c>
      <c r="C151" s="2" t="s">
        <v>779</v>
      </c>
      <c r="D151" s="2" t="s">
        <v>783</v>
      </c>
      <c r="E151" s="28">
        <v>-176731.0</v>
      </c>
      <c r="F151" s="28">
        <v>113289.0</v>
      </c>
    </row>
    <row r="152">
      <c r="A152" s="2" t="s">
        <v>686</v>
      </c>
      <c r="B152" s="2" t="s">
        <v>1003</v>
      </c>
      <c r="C152" s="2" t="s">
        <v>857</v>
      </c>
      <c r="D152" s="2" t="s">
        <v>789</v>
      </c>
      <c r="E152" s="28">
        <v>-11172.0</v>
      </c>
      <c r="F152" s="28">
        <v>1.1385776E7</v>
      </c>
    </row>
    <row r="153">
      <c r="A153" s="2" t="s">
        <v>1004</v>
      </c>
      <c r="B153" s="2" t="s">
        <v>1005</v>
      </c>
      <c r="C153" s="2" t="s">
        <v>857</v>
      </c>
      <c r="D153" s="2" t="s">
        <v>780</v>
      </c>
      <c r="E153" s="28">
        <v>-123663.0</v>
      </c>
      <c r="F153" s="28">
        <v>1.1355098E7</v>
      </c>
    </row>
    <row r="154">
      <c r="A154" s="2" t="s">
        <v>1006</v>
      </c>
      <c r="B154" s="2" t="s">
        <v>1007</v>
      </c>
      <c r="C154" s="2" t="s">
        <v>782</v>
      </c>
      <c r="D154" s="2" t="s">
        <v>780</v>
      </c>
      <c r="E154" s="28">
        <v>-116669.0</v>
      </c>
      <c r="F154" s="28">
        <v>1.1354999E7</v>
      </c>
    </row>
    <row r="155">
      <c r="A155" s="2" t="s">
        <v>1008</v>
      </c>
      <c r="B155" s="2" t="s">
        <v>1009</v>
      </c>
      <c r="C155" s="2" t="s">
        <v>782</v>
      </c>
      <c r="D155" s="2" t="s">
        <v>783</v>
      </c>
      <c r="E155" s="28">
        <v>-110066.0</v>
      </c>
      <c r="F155" s="28">
        <v>1138682.0</v>
      </c>
    </row>
    <row r="156">
      <c r="A156" s="2" t="s">
        <v>567</v>
      </c>
      <c r="B156" s="2" t="s">
        <v>1010</v>
      </c>
      <c r="C156" s="2" t="s">
        <v>1011</v>
      </c>
      <c r="D156" s="2" t="s">
        <v>789</v>
      </c>
      <c r="E156" s="28">
        <v>-104563.0</v>
      </c>
      <c r="F156" s="28">
        <v>1.1372094E7</v>
      </c>
    </row>
    <row r="157">
      <c r="A157" s="2" t="s">
        <v>455</v>
      </c>
      <c r="B157" s="2" t="s">
        <v>1012</v>
      </c>
      <c r="C157" s="2" t="s">
        <v>782</v>
      </c>
      <c r="D157" s="2" t="s">
        <v>780</v>
      </c>
      <c r="E157" s="28">
        <v>-110438.0</v>
      </c>
      <c r="F157" s="28">
        <v>1.1386222E7</v>
      </c>
    </row>
    <row r="158">
      <c r="A158" s="2" t="s">
        <v>1013</v>
      </c>
      <c r="B158" s="2" t="s">
        <v>1014</v>
      </c>
      <c r="C158" s="2" t="s">
        <v>782</v>
      </c>
      <c r="D158" s="2" t="s">
        <v>789</v>
      </c>
      <c r="E158" s="28">
        <v>-109298.0</v>
      </c>
      <c r="F158" s="28">
        <v>1.1386795E7</v>
      </c>
    </row>
    <row r="159">
      <c r="A159" s="2" t="s">
        <v>1015</v>
      </c>
      <c r="B159" s="2" t="s">
        <v>1016</v>
      </c>
      <c r="C159" s="2" t="s">
        <v>782</v>
      </c>
      <c r="D159" s="2" t="s">
        <v>789</v>
      </c>
      <c r="E159" s="28">
        <v>-149744.0</v>
      </c>
      <c r="F159" s="28">
        <v>1139043.0</v>
      </c>
    </row>
    <row r="160">
      <c r="A160" s="2" t="s">
        <v>1017</v>
      </c>
      <c r="B160" s="2" t="s">
        <v>1018</v>
      </c>
      <c r="C160" s="2" t="s">
        <v>782</v>
      </c>
      <c r="D160" s="2" t="s">
        <v>783</v>
      </c>
      <c r="E160" s="28">
        <v>-189632.0</v>
      </c>
      <c r="F160" s="28">
        <v>1.1345218E7</v>
      </c>
    </row>
    <row r="161">
      <c r="A161" s="2" t="s">
        <v>1019</v>
      </c>
      <c r="B161" s="2" t="s">
        <v>1020</v>
      </c>
      <c r="C161" s="2" t="s">
        <v>782</v>
      </c>
      <c r="D161" s="2" t="s">
        <v>789</v>
      </c>
      <c r="E161" s="28">
        <v>-121933.0</v>
      </c>
      <c r="F161" s="28">
        <v>1135208.0</v>
      </c>
    </row>
    <row r="162">
      <c r="A162" s="2" t="s">
        <v>662</v>
      </c>
      <c r="B162" s="2" t="s">
        <v>1021</v>
      </c>
      <c r="C162" s="2" t="s">
        <v>782</v>
      </c>
      <c r="D162" s="2" t="s">
        <v>783</v>
      </c>
      <c r="E162" s="28">
        <v>-146527.0</v>
      </c>
      <c r="F162" s="28">
        <v>1.1392345E7</v>
      </c>
    </row>
    <row r="163">
      <c r="A163" s="2" t="s">
        <v>235</v>
      </c>
      <c r="B163" s="2" t="s">
        <v>1022</v>
      </c>
      <c r="C163" s="2" t="s">
        <v>782</v>
      </c>
      <c r="D163" s="2" t="s">
        <v>789</v>
      </c>
      <c r="E163" s="28">
        <v>-157978.0</v>
      </c>
      <c r="F163" s="28">
        <v>1.1392894E7</v>
      </c>
    </row>
    <row r="164">
      <c r="A164" s="2" t="s">
        <v>1023</v>
      </c>
      <c r="B164" s="2" t="s">
        <v>1024</v>
      </c>
      <c r="C164" s="2" t="s">
        <v>782</v>
      </c>
      <c r="D164" s="2" t="s">
        <v>789</v>
      </c>
      <c r="E164" s="28">
        <v>-158362.0</v>
      </c>
      <c r="F164" s="28">
        <v>1136215.0</v>
      </c>
    </row>
    <row r="165">
      <c r="A165" s="2" t="s">
        <v>1025</v>
      </c>
      <c r="B165" s="2" t="s">
        <v>1026</v>
      </c>
      <c r="C165" s="2" t="s">
        <v>782</v>
      </c>
      <c r="D165" s="2" t="s">
        <v>789</v>
      </c>
      <c r="E165" s="28">
        <v>-128923.0</v>
      </c>
      <c r="F165" s="28">
        <v>1139121.0</v>
      </c>
    </row>
    <row r="166">
      <c r="A166" s="2" t="s">
        <v>302</v>
      </c>
      <c r="B166" s="2" t="s">
        <v>1027</v>
      </c>
      <c r="C166" s="2" t="s">
        <v>785</v>
      </c>
      <c r="D166" s="2" t="s">
        <v>789</v>
      </c>
      <c r="E166" s="28">
        <v>-106391.0</v>
      </c>
      <c r="F166" s="28">
        <v>1.1382378E7</v>
      </c>
    </row>
    <row r="167">
      <c r="A167" s="2" t="s">
        <v>1028</v>
      </c>
      <c r="B167" s="2" t="s">
        <v>1029</v>
      </c>
      <c r="C167" s="2" t="s">
        <v>782</v>
      </c>
      <c r="D167" s="2" t="s">
        <v>789</v>
      </c>
      <c r="E167" s="28">
        <v>-151094.0</v>
      </c>
      <c r="F167" s="28">
        <v>1139132.0</v>
      </c>
    </row>
    <row r="168">
      <c r="A168" s="2" t="s">
        <v>1030</v>
      </c>
      <c r="B168" s="2" t="s">
        <v>1031</v>
      </c>
      <c r="C168" s="2" t="s">
        <v>782</v>
      </c>
      <c r="D168" s="2" t="s">
        <v>789</v>
      </c>
      <c r="E168" s="28">
        <v>-109356.0</v>
      </c>
      <c r="F168" s="28">
        <v>113685.0</v>
      </c>
    </row>
    <row r="169">
      <c r="A169" s="2" t="s">
        <v>1032</v>
      </c>
      <c r="B169" s="2" t="s">
        <v>1033</v>
      </c>
      <c r="C169" s="2" t="s">
        <v>782</v>
      </c>
      <c r="D169" s="2" t="s">
        <v>780</v>
      </c>
      <c r="E169" s="28">
        <v>-112797.0</v>
      </c>
      <c r="F169" s="28">
        <v>1.1386357E7</v>
      </c>
    </row>
    <row r="170">
      <c r="A170" s="2" t="s">
        <v>1034</v>
      </c>
      <c r="B170" s="2" t="s">
        <v>1035</v>
      </c>
      <c r="C170" s="2" t="s">
        <v>782</v>
      </c>
      <c r="D170" s="2" t="s">
        <v>780</v>
      </c>
      <c r="E170" s="28">
        <v>-106036.0</v>
      </c>
      <c r="F170" s="28">
        <v>1.1373172E7</v>
      </c>
    </row>
    <row r="171">
      <c r="A171" s="2" t="s">
        <v>1036</v>
      </c>
      <c r="B171" s="2" t="s">
        <v>1037</v>
      </c>
      <c r="C171" s="2" t="s">
        <v>782</v>
      </c>
      <c r="D171" s="2" t="s">
        <v>780</v>
      </c>
      <c r="E171" s="28">
        <v>-131858.0</v>
      </c>
      <c r="F171" s="28">
        <v>1.1355784E7</v>
      </c>
    </row>
    <row r="172">
      <c r="A172" s="2" t="s">
        <v>426</v>
      </c>
      <c r="B172" s="2" t="s">
        <v>1038</v>
      </c>
      <c r="C172" s="2" t="s">
        <v>779</v>
      </c>
      <c r="D172" s="2" t="s">
        <v>783</v>
      </c>
      <c r="E172" s="28">
        <v>-145729.0</v>
      </c>
      <c r="F172" s="28">
        <v>1.1310095E7</v>
      </c>
    </row>
    <row r="173">
      <c r="A173" s="2" t="s">
        <v>1039</v>
      </c>
      <c r="B173" s="2" t="s">
        <v>1040</v>
      </c>
      <c r="C173" s="2" t="s">
        <v>782</v>
      </c>
      <c r="D173" s="2" t="s">
        <v>780</v>
      </c>
      <c r="E173" s="28">
        <v>-106439.0</v>
      </c>
      <c r="F173" s="28">
        <v>113716.0</v>
      </c>
    </row>
    <row r="174">
      <c r="A174" s="2" t="s">
        <v>1041</v>
      </c>
      <c r="B174" s="2" t="s">
        <v>1042</v>
      </c>
      <c r="C174" s="2" t="s">
        <v>782</v>
      </c>
      <c r="D174" s="2" t="s">
        <v>783</v>
      </c>
      <c r="E174" s="28">
        <v>-128592.0</v>
      </c>
      <c r="F174" s="28">
        <v>1135704.0</v>
      </c>
    </row>
    <row r="175">
      <c r="A175" s="2" t="s">
        <v>311</v>
      </c>
      <c r="B175" s="2" t="s">
        <v>1043</v>
      </c>
      <c r="C175" s="2" t="s">
        <v>782</v>
      </c>
      <c r="D175" s="2" t="s">
        <v>789</v>
      </c>
      <c r="E175" s="28">
        <v>-260799.0</v>
      </c>
      <c r="F175" s="28">
        <v>1.1446597E7</v>
      </c>
    </row>
    <row r="176">
      <c r="A176" s="2" t="s">
        <v>1044</v>
      </c>
      <c r="B176" s="2" t="s">
        <v>1045</v>
      </c>
      <c r="C176" s="2" t="s">
        <v>782</v>
      </c>
      <c r="D176" s="2" t="s">
        <v>789</v>
      </c>
      <c r="E176" s="28">
        <v>-294859.0</v>
      </c>
      <c r="F176" s="28">
        <v>1.1430228E7</v>
      </c>
    </row>
    <row r="177">
      <c r="A177" s="2" t="s">
        <v>677</v>
      </c>
      <c r="B177" s="2" t="s">
        <v>1046</v>
      </c>
      <c r="C177" s="2" t="s">
        <v>782</v>
      </c>
      <c r="D177" s="2" t="s">
        <v>783</v>
      </c>
      <c r="E177" s="28">
        <v>-226052.0</v>
      </c>
      <c r="F177" s="28">
        <v>1.1391919E7</v>
      </c>
    </row>
    <row r="178">
      <c r="A178" s="2" t="s">
        <v>661</v>
      </c>
      <c r="B178" s="2" t="s">
        <v>1047</v>
      </c>
      <c r="C178" s="2" t="s">
        <v>782</v>
      </c>
      <c r="D178" s="2" t="s">
        <v>789</v>
      </c>
      <c r="E178" s="28">
        <v>-289913.0</v>
      </c>
      <c r="F178" s="28">
        <v>1.1449146E7</v>
      </c>
    </row>
    <row r="179">
      <c r="A179" s="2" t="s">
        <v>319</v>
      </c>
      <c r="B179" s="2" t="s">
        <v>1048</v>
      </c>
      <c r="C179" s="2" t="s">
        <v>779</v>
      </c>
      <c r="D179" s="2" t="s">
        <v>783</v>
      </c>
      <c r="E179" s="28">
        <v>-161772.0</v>
      </c>
      <c r="F179" s="28">
        <v>1.1393122E7</v>
      </c>
    </row>
    <row r="180">
      <c r="A180" s="2" t="s">
        <v>1049</v>
      </c>
      <c r="B180" s="2" t="s">
        <v>1050</v>
      </c>
      <c r="C180" s="2" t="s">
        <v>782</v>
      </c>
      <c r="D180" s="2" t="s">
        <v>780</v>
      </c>
      <c r="E180" s="28">
        <v>-227812.0</v>
      </c>
      <c r="F180" s="28">
        <v>1.1397476E7</v>
      </c>
    </row>
    <row r="181">
      <c r="A181" s="2" t="s">
        <v>1051</v>
      </c>
      <c r="B181" s="2" t="s">
        <v>1052</v>
      </c>
      <c r="C181" s="2" t="s">
        <v>857</v>
      </c>
      <c r="D181" s="2" t="s">
        <v>786</v>
      </c>
      <c r="E181" s="28">
        <v>-297775.0</v>
      </c>
      <c r="F181" s="28">
        <v>1.1440338E7</v>
      </c>
    </row>
    <row r="182">
      <c r="A182" s="2" t="s">
        <v>423</v>
      </c>
      <c r="B182" s="2" t="s">
        <v>1053</v>
      </c>
      <c r="C182" s="2" t="s">
        <v>785</v>
      </c>
      <c r="D182" s="2" t="s">
        <v>789</v>
      </c>
      <c r="E182" s="28">
        <v>-312713.0</v>
      </c>
      <c r="F182" s="28">
        <v>1.1431898E7</v>
      </c>
    </row>
    <row r="183">
      <c r="A183" s="2" t="s">
        <v>1054</v>
      </c>
      <c r="B183" s="2" t="s">
        <v>1055</v>
      </c>
      <c r="C183" s="2" t="s">
        <v>782</v>
      </c>
      <c r="D183" s="2" t="s">
        <v>789</v>
      </c>
      <c r="E183" s="28">
        <v>-298646.0</v>
      </c>
      <c r="F183" s="28">
        <v>1143978.0</v>
      </c>
    </row>
    <row r="184">
      <c r="A184" s="2" t="s">
        <v>1056</v>
      </c>
      <c r="B184" s="2" t="s">
        <v>1057</v>
      </c>
      <c r="C184" s="2" t="s">
        <v>779</v>
      </c>
      <c r="D184" s="2" t="s">
        <v>783</v>
      </c>
      <c r="E184" s="28">
        <v>-297125.0</v>
      </c>
      <c r="F184" s="28">
        <v>1.1412086E7</v>
      </c>
    </row>
    <row r="185">
      <c r="A185" s="2" t="s">
        <v>419</v>
      </c>
      <c r="B185" s="2" t="s">
        <v>1058</v>
      </c>
      <c r="C185" s="2" t="s">
        <v>782</v>
      </c>
      <c r="D185" s="2" t="s">
        <v>789</v>
      </c>
      <c r="E185" s="28">
        <v>-225019.0</v>
      </c>
      <c r="F185" s="28">
        <v>1.1392934E7</v>
      </c>
    </row>
    <row r="186">
      <c r="A186" s="2" t="s">
        <v>727</v>
      </c>
      <c r="B186" s="2" t="s">
        <v>1059</v>
      </c>
      <c r="C186" s="2" t="s">
        <v>782</v>
      </c>
      <c r="D186" s="2" t="s">
        <v>783</v>
      </c>
      <c r="E186" s="28">
        <v>-229308.0</v>
      </c>
      <c r="F186" s="28">
        <v>1.1391595E7</v>
      </c>
    </row>
    <row r="187">
      <c r="A187" s="2" t="s">
        <v>1060</v>
      </c>
      <c r="B187" s="2" t="s">
        <v>1061</v>
      </c>
      <c r="C187" s="2" t="s">
        <v>782</v>
      </c>
      <c r="D187" s="2" t="s">
        <v>786</v>
      </c>
      <c r="E187" s="28">
        <v>-295865.0</v>
      </c>
      <c r="F187" s="28">
        <v>114356.0</v>
      </c>
    </row>
    <row r="188">
      <c r="A188" s="2" t="s">
        <v>207</v>
      </c>
      <c r="B188" s="2" t="s">
        <v>1062</v>
      </c>
      <c r="C188" s="2" t="s">
        <v>782</v>
      </c>
      <c r="D188" s="2" t="s">
        <v>789</v>
      </c>
      <c r="E188" s="28">
        <v>-274869.0</v>
      </c>
      <c r="F188" s="28">
        <v>1.1458852E7</v>
      </c>
    </row>
    <row r="189">
      <c r="A189" s="2" t="s">
        <v>357</v>
      </c>
      <c r="B189" s="2" t="s">
        <v>1063</v>
      </c>
      <c r="C189" s="2" t="s">
        <v>857</v>
      </c>
      <c r="D189" s="2" t="s">
        <v>786</v>
      </c>
      <c r="E189" s="28">
        <v>-300584.0</v>
      </c>
      <c r="F189" s="28">
        <v>1.1438137E7</v>
      </c>
    </row>
    <row r="190">
      <c r="A190" s="2" t="s">
        <v>624</v>
      </c>
      <c r="B190" s="2" t="s">
        <v>1064</v>
      </c>
      <c r="C190" s="2" t="s">
        <v>785</v>
      </c>
      <c r="D190" s="2" t="s">
        <v>789</v>
      </c>
      <c r="E190" s="28">
        <v>-278829.0</v>
      </c>
      <c r="F190" s="28">
        <v>1.1443668E7</v>
      </c>
    </row>
    <row r="191">
      <c r="A191" s="2" t="s">
        <v>310</v>
      </c>
      <c r="B191" s="2" t="s">
        <v>1065</v>
      </c>
      <c r="C191" s="2" t="s">
        <v>857</v>
      </c>
      <c r="D191" s="2" t="s">
        <v>783</v>
      </c>
      <c r="E191" s="28">
        <v>-300467.0</v>
      </c>
      <c r="F191" s="28">
        <v>1.1439573E7</v>
      </c>
    </row>
    <row r="192">
      <c r="A192" s="2" t="s">
        <v>1066</v>
      </c>
      <c r="B192" s="2" t="s">
        <v>1067</v>
      </c>
      <c r="C192" s="2" t="s">
        <v>857</v>
      </c>
      <c r="D192" s="2" t="s">
        <v>780</v>
      </c>
      <c r="E192" s="28">
        <v>-276815.0</v>
      </c>
      <c r="F192" s="28">
        <v>1.1430597E7</v>
      </c>
    </row>
    <row r="193">
      <c r="A193" s="2" t="s">
        <v>177</v>
      </c>
      <c r="B193" s="2" t="s">
        <v>1068</v>
      </c>
      <c r="C193" s="2" t="s">
        <v>857</v>
      </c>
      <c r="D193" s="2" t="s">
        <v>780</v>
      </c>
      <c r="E193" s="28">
        <v>-302462.0</v>
      </c>
      <c r="F193" s="28">
        <v>1.1438998E7</v>
      </c>
    </row>
    <row r="194">
      <c r="A194" s="2" t="s">
        <v>554</v>
      </c>
      <c r="B194" s="2" t="s">
        <v>1069</v>
      </c>
      <c r="C194" s="2" t="s">
        <v>782</v>
      </c>
      <c r="D194" s="2" t="s">
        <v>789</v>
      </c>
      <c r="E194" s="28">
        <v>-262792.0</v>
      </c>
      <c r="F194" s="28">
        <v>1.1451474E7</v>
      </c>
    </row>
    <row r="195">
      <c r="A195" s="2" t="s">
        <v>1070</v>
      </c>
      <c r="B195" s="2" t="s">
        <v>1071</v>
      </c>
      <c r="C195" s="2" t="s">
        <v>782</v>
      </c>
      <c r="D195" s="2" t="s">
        <v>789</v>
      </c>
      <c r="E195" s="28">
        <v>-325531.0</v>
      </c>
      <c r="F195" s="28">
        <v>1.1423235E7</v>
      </c>
    </row>
    <row r="196">
      <c r="A196" s="2" t="s">
        <v>560</v>
      </c>
      <c r="B196" s="2" t="s">
        <v>1072</v>
      </c>
      <c r="C196" s="2" t="s">
        <v>782</v>
      </c>
      <c r="D196" s="2" t="s">
        <v>786</v>
      </c>
      <c r="E196" s="28">
        <v>-334927.0</v>
      </c>
      <c r="F196" s="28">
        <v>1142432.0</v>
      </c>
    </row>
    <row r="197">
      <c r="A197" s="2" t="s">
        <v>1073</v>
      </c>
      <c r="B197" s="2" t="s">
        <v>1074</v>
      </c>
      <c r="C197" s="2" t="s">
        <v>782</v>
      </c>
      <c r="D197" s="2" t="s">
        <v>786</v>
      </c>
      <c r="E197" s="28">
        <v>-223463.0</v>
      </c>
      <c r="F197" s="28">
        <v>1.1395796E7</v>
      </c>
    </row>
    <row r="198">
      <c r="A198" s="2" t="s">
        <v>329</v>
      </c>
      <c r="B198" s="2" t="s">
        <v>1075</v>
      </c>
      <c r="C198" s="2" t="s">
        <v>857</v>
      </c>
      <c r="D198" s="2" t="s">
        <v>789</v>
      </c>
      <c r="E198" s="28">
        <v>-262703.0</v>
      </c>
      <c r="F198" s="28">
        <v>1.1439246E7</v>
      </c>
    </row>
    <row r="199">
      <c r="A199" s="2" t="s">
        <v>1076</v>
      </c>
      <c r="B199" s="2" t="s">
        <v>1077</v>
      </c>
      <c r="C199" s="2" t="s">
        <v>782</v>
      </c>
      <c r="D199" s="2" t="s">
        <v>789</v>
      </c>
      <c r="E199" s="28">
        <v>-225202.0</v>
      </c>
      <c r="F199" s="28">
        <v>1.1387079E7</v>
      </c>
    </row>
    <row r="200">
      <c r="A200" s="2" t="s">
        <v>1078</v>
      </c>
      <c r="B200" s="2" t="s">
        <v>1079</v>
      </c>
      <c r="C200" s="2" t="s">
        <v>785</v>
      </c>
      <c r="D200" s="2" t="s">
        <v>786</v>
      </c>
      <c r="E200" s="28">
        <v>-298337.0</v>
      </c>
      <c r="F200" s="28">
        <v>1.1441074E7</v>
      </c>
    </row>
    <row r="201">
      <c r="A201" s="2" t="s">
        <v>460</v>
      </c>
      <c r="B201" s="2" t="s">
        <v>1080</v>
      </c>
      <c r="C201" s="2" t="s">
        <v>857</v>
      </c>
      <c r="D201" s="2" t="s">
        <v>780</v>
      </c>
      <c r="E201" s="28">
        <v>-301718.0</v>
      </c>
      <c r="F201" s="28">
        <v>1.1438401E7</v>
      </c>
    </row>
    <row r="202">
      <c r="A202" s="2" t="s">
        <v>1081</v>
      </c>
      <c r="B202" s="2" t="s">
        <v>1082</v>
      </c>
      <c r="C202" s="2" t="s">
        <v>782</v>
      </c>
      <c r="D202" s="2" t="s">
        <v>789</v>
      </c>
      <c r="E202" s="28">
        <v>-270081.0</v>
      </c>
      <c r="F202" s="28">
        <v>1.1444518E7</v>
      </c>
    </row>
    <row r="203">
      <c r="A203" s="2" t="s">
        <v>474</v>
      </c>
      <c r="B203" s="2" t="s">
        <v>1083</v>
      </c>
      <c r="C203" s="2" t="s">
        <v>782</v>
      </c>
      <c r="D203" s="2" t="s">
        <v>789</v>
      </c>
      <c r="E203" s="28">
        <v>-28035.0</v>
      </c>
      <c r="F203" s="28">
        <v>1.1457134E7</v>
      </c>
    </row>
    <row r="204">
      <c r="A204" s="2" t="s">
        <v>679</v>
      </c>
      <c r="B204" s="2" t="s">
        <v>1084</v>
      </c>
      <c r="C204" s="2" t="s">
        <v>1085</v>
      </c>
      <c r="D204" s="2" t="s">
        <v>789</v>
      </c>
      <c r="E204" s="28">
        <v>-226299.0</v>
      </c>
      <c r="F204" s="28">
        <v>1.1392453E7</v>
      </c>
    </row>
    <row r="205">
      <c r="A205" s="2" t="s">
        <v>452</v>
      </c>
      <c r="B205" s="2" t="s">
        <v>1086</v>
      </c>
      <c r="C205" s="2" t="s">
        <v>782</v>
      </c>
      <c r="D205" s="2" t="s">
        <v>780</v>
      </c>
      <c r="E205" s="28">
        <v>-224912.0</v>
      </c>
      <c r="F205" s="28">
        <v>1.1397522E7</v>
      </c>
    </row>
    <row r="206">
      <c r="A206" s="2" t="s">
        <v>1087</v>
      </c>
      <c r="B206" s="2" t="s">
        <v>1088</v>
      </c>
      <c r="C206" s="2" t="s">
        <v>782</v>
      </c>
      <c r="D206" s="2" t="s">
        <v>786</v>
      </c>
      <c r="E206" s="28">
        <v>-222095.0</v>
      </c>
      <c r="F206" s="28">
        <v>1.1394883E7</v>
      </c>
    </row>
    <row r="207">
      <c r="A207" s="2" t="s">
        <v>1089</v>
      </c>
      <c r="B207" s="2" t="s">
        <v>1090</v>
      </c>
      <c r="C207" s="2" t="s">
        <v>857</v>
      </c>
      <c r="D207" s="2" t="s">
        <v>786</v>
      </c>
      <c r="E207" s="28">
        <v>-301136.0</v>
      </c>
      <c r="F207" s="28">
        <v>1.1439147E7</v>
      </c>
    </row>
    <row r="208">
      <c r="A208" s="2" t="s">
        <v>1091</v>
      </c>
      <c r="B208" s="2" t="s">
        <v>1092</v>
      </c>
      <c r="C208" s="2" t="s">
        <v>785</v>
      </c>
      <c r="D208" s="2" t="s">
        <v>786</v>
      </c>
      <c r="E208" s="28">
        <v>-279317.0</v>
      </c>
      <c r="F208" s="28">
        <v>1143087.0</v>
      </c>
    </row>
    <row r="209">
      <c r="A209" s="2" t="s">
        <v>628</v>
      </c>
      <c r="B209" s="2" t="s">
        <v>1093</v>
      </c>
      <c r="C209" s="2" t="s">
        <v>857</v>
      </c>
      <c r="D209" s="2" t="s">
        <v>786</v>
      </c>
      <c r="E209" s="28">
        <v>-300211.0</v>
      </c>
      <c r="F209" s="28">
        <v>1143716.0</v>
      </c>
    </row>
    <row r="210">
      <c r="A210" s="2" t="s">
        <v>1094</v>
      </c>
      <c r="B210" s="2" t="s">
        <v>1095</v>
      </c>
      <c r="C210" s="2" t="s">
        <v>782</v>
      </c>
      <c r="D210" s="2" t="s">
        <v>780</v>
      </c>
      <c r="E210" s="28">
        <v>-321251.0</v>
      </c>
      <c r="F210" s="28">
        <v>1.1425616E7</v>
      </c>
    </row>
    <row r="211">
      <c r="A211" s="2" t="s">
        <v>1096</v>
      </c>
      <c r="B211" s="2" t="s">
        <v>1097</v>
      </c>
      <c r="C211" s="2" t="s">
        <v>857</v>
      </c>
      <c r="D211" s="2" t="s">
        <v>786</v>
      </c>
      <c r="E211" s="28">
        <v>-302008.0</v>
      </c>
      <c r="F211" s="28">
        <v>1.1439203E7</v>
      </c>
    </row>
    <row r="212">
      <c r="A212" s="2" t="s">
        <v>306</v>
      </c>
      <c r="B212" s="2" t="s">
        <v>1098</v>
      </c>
      <c r="C212" s="2" t="s">
        <v>857</v>
      </c>
      <c r="D212" s="2" t="s">
        <v>780</v>
      </c>
      <c r="E212" s="28">
        <v>-228513.0</v>
      </c>
      <c r="F212" s="28">
        <v>1.1391965E7</v>
      </c>
    </row>
    <row r="213">
      <c r="A213" s="2" t="s">
        <v>584</v>
      </c>
      <c r="B213" s="2" t="s">
        <v>1099</v>
      </c>
      <c r="C213" s="2" t="s">
        <v>782</v>
      </c>
      <c r="D213" s="2" t="s">
        <v>789</v>
      </c>
      <c r="E213" s="28">
        <v>-267363.0</v>
      </c>
      <c r="F213" s="28">
        <v>1.1439234E7</v>
      </c>
    </row>
    <row r="214">
      <c r="A214" s="2" t="s">
        <v>192</v>
      </c>
      <c r="B214" s="2" t="s">
        <v>1100</v>
      </c>
      <c r="C214" s="2" t="s">
        <v>782</v>
      </c>
      <c r="D214" s="2" t="s">
        <v>789</v>
      </c>
      <c r="E214" s="28">
        <v>-254015.0</v>
      </c>
      <c r="F214" s="28">
        <v>1.1444619E7</v>
      </c>
    </row>
    <row r="215">
      <c r="A215" s="2" t="s">
        <v>164</v>
      </c>
      <c r="B215" s="2" t="s">
        <v>1101</v>
      </c>
      <c r="C215" s="2" t="s">
        <v>782</v>
      </c>
      <c r="D215" s="2" t="s">
        <v>789</v>
      </c>
      <c r="E215" s="28">
        <v>-266069.0</v>
      </c>
      <c r="F215" s="28">
        <v>1146016.0</v>
      </c>
    </row>
    <row r="216">
      <c r="A216" s="2" t="s">
        <v>1102</v>
      </c>
      <c r="B216" s="2" t="s">
        <v>1103</v>
      </c>
      <c r="C216" s="2" t="s">
        <v>782</v>
      </c>
      <c r="D216" s="2" t="s">
        <v>789</v>
      </c>
      <c r="E216" s="28">
        <v>-282099.0</v>
      </c>
      <c r="F216" s="28">
        <v>1143484.0</v>
      </c>
    </row>
    <row r="217">
      <c r="A217" s="2" t="s">
        <v>1104</v>
      </c>
      <c r="B217" s="2" t="s">
        <v>1105</v>
      </c>
      <c r="C217" s="2" t="s">
        <v>857</v>
      </c>
      <c r="D217" s="2" t="s">
        <v>789</v>
      </c>
      <c r="E217" s="28">
        <v>-267494.0</v>
      </c>
      <c r="F217" s="28">
        <v>114671.0</v>
      </c>
    </row>
    <row r="218">
      <c r="A218" s="2" t="s">
        <v>494</v>
      </c>
      <c r="B218" s="2" t="s">
        <v>1106</v>
      </c>
      <c r="C218" s="2" t="s">
        <v>782</v>
      </c>
      <c r="D218" s="2" t="s">
        <v>789</v>
      </c>
      <c r="E218" s="28">
        <v>-228124.0</v>
      </c>
      <c r="F218" s="28">
        <v>1.1401335E7</v>
      </c>
    </row>
    <row r="219">
      <c r="A219" s="2" t="s">
        <v>1107</v>
      </c>
      <c r="B219" s="2" t="s">
        <v>1108</v>
      </c>
      <c r="C219" s="2" t="s">
        <v>857</v>
      </c>
      <c r="D219" s="2" t="s">
        <v>789</v>
      </c>
      <c r="E219" s="28">
        <v>-2274.0</v>
      </c>
      <c r="F219" s="28">
        <v>1139137.0</v>
      </c>
    </row>
    <row r="220">
      <c r="A220" s="2" t="s">
        <v>424</v>
      </c>
      <c r="B220" s="2" t="s">
        <v>1109</v>
      </c>
      <c r="C220" s="2" t="s">
        <v>782</v>
      </c>
      <c r="D220" s="2" t="s">
        <v>783</v>
      </c>
      <c r="E220" s="28">
        <v>-250109.0</v>
      </c>
      <c r="F220" s="28">
        <v>1.1449801E7</v>
      </c>
    </row>
    <row r="221">
      <c r="A221" s="2" t="s">
        <v>148</v>
      </c>
      <c r="B221" s="2" t="s">
        <v>1110</v>
      </c>
      <c r="C221" s="2" t="s">
        <v>857</v>
      </c>
      <c r="D221" s="2" t="s">
        <v>786</v>
      </c>
      <c r="E221" s="28">
        <v>-296175.0</v>
      </c>
      <c r="F221" s="28">
        <v>1.1447436E7</v>
      </c>
    </row>
    <row r="222">
      <c r="A222" s="2" t="s">
        <v>1111</v>
      </c>
      <c r="B222" s="2" t="s">
        <v>1112</v>
      </c>
      <c r="C222" s="2" t="s">
        <v>782</v>
      </c>
      <c r="D222" s="2" t="s">
        <v>789</v>
      </c>
      <c r="E222" s="28">
        <v>-314774.0</v>
      </c>
      <c r="F222" s="28">
        <v>1.1419894E7</v>
      </c>
    </row>
    <row r="223">
      <c r="A223" s="2" t="s">
        <v>1113</v>
      </c>
      <c r="B223" s="2" t="s">
        <v>1114</v>
      </c>
      <c r="C223" s="2" t="s">
        <v>857</v>
      </c>
      <c r="D223" s="2" t="s">
        <v>786</v>
      </c>
      <c r="E223" s="28">
        <v>-272018.0</v>
      </c>
      <c r="F223" s="28">
        <v>1.1430686E7</v>
      </c>
    </row>
    <row r="224">
      <c r="A224" s="2" t="s">
        <v>121</v>
      </c>
      <c r="B224" s="2" t="s">
        <v>1115</v>
      </c>
      <c r="C224" s="2" t="s">
        <v>857</v>
      </c>
      <c r="D224" s="2" t="s">
        <v>780</v>
      </c>
      <c r="E224" s="28">
        <v>-244968.0</v>
      </c>
      <c r="F224" s="28">
        <v>1.1448663E7</v>
      </c>
    </row>
    <row r="225">
      <c r="A225" s="2" t="s">
        <v>1116</v>
      </c>
      <c r="B225" s="2" t="s">
        <v>1117</v>
      </c>
      <c r="C225" s="2" t="s">
        <v>857</v>
      </c>
      <c r="D225" s="2" t="s">
        <v>780</v>
      </c>
      <c r="E225" s="28">
        <v>-276443.0</v>
      </c>
      <c r="F225" s="28">
        <v>1.1428571E7</v>
      </c>
    </row>
    <row r="226">
      <c r="A226" s="2" t="s">
        <v>597</v>
      </c>
      <c r="B226" s="2" t="s">
        <v>1118</v>
      </c>
      <c r="C226" s="2" t="s">
        <v>857</v>
      </c>
      <c r="D226" s="2" t="s">
        <v>780</v>
      </c>
      <c r="E226" s="28">
        <v>-297136.0</v>
      </c>
      <c r="F226" s="28">
        <v>1143894.0</v>
      </c>
    </row>
    <row r="227">
      <c r="A227" s="2" t="s">
        <v>1119</v>
      </c>
      <c r="B227" s="2" t="s">
        <v>1120</v>
      </c>
      <c r="C227" s="2" t="s">
        <v>782</v>
      </c>
      <c r="D227" s="2" t="s">
        <v>780</v>
      </c>
      <c r="E227" s="28">
        <v>-227779.0</v>
      </c>
      <c r="F227" s="28">
        <v>1.1392022E7</v>
      </c>
    </row>
    <row r="228">
      <c r="A228" s="2" t="s">
        <v>1121</v>
      </c>
      <c r="B228" s="2" t="s">
        <v>1122</v>
      </c>
      <c r="C228" s="2" t="s">
        <v>857</v>
      </c>
      <c r="D228" s="2" t="s">
        <v>780</v>
      </c>
      <c r="E228" s="28">
        <v>-301439.0</v>
      </c>
      <c r="F228" s="28">
        <v>1.1438378E7</v>
      </c>
    </row>
    <row r="229">
      <c r="A229" s="2" t="s">
        <v>1123</v>
      </c>
      <c r="B229" s="2" t="s">
        <v>1124</v>
      </c>
      <c r="C229" s="2" t="s">
        <v>857</v>
      </c>
      <c r="D229" s="2" t="s">
        <v>780</v>
      </c>
      <c r="E229" s="28">
        <v>-29992.0</v>
      </c>
      <c r="F229" s="28">
        <v>1.1438549E7</v>
      </c>
    </row>
    <row r="230">
      <c r="A230" s="2" t="s">
        <v>1125</v>
      </c>
      <c r="B230" s="2" t="s">
        <v>1126</v>
      </c>
      <c r="C230" s="2" t="s">
        <v>782</v>
      </c>
      <c r="D230" s="2" t="s">
        <v>780</v>
      </c>
      <c r="E230" s="28">
        <v>-225056.0</v>
      </c>
      <c r="F230" s="28">
        <v>1.1391753E7</v>
      </c>
    </row>
    <row r="231">
      <c r="A231" s="2" t="s">
        <v>1127</v>
      </c>
      <c r="B231" s="2" t="s">
        <v>1128</v>
      </c>
      <c r="C231" s="2" t="s">
        <v>782</v>
      </c>
      <c r="D231" s="2" t="s">
        <v>789</v>
      </c>
      <c r="E231" s="28">
        <v>-280798.0</v>
      </c>
      <c r="F231" s="28">
        <v>1.1424488E7</v>
      </c>
    </row>
    <row r="232">
      <c r="A232" s="2" t="s">
        <v>406</v>
      </c>
      <c r="B232" s="2" t="s">
        <v>1129</v>
      </c>
      <c r="C232" s="2" t="s">
        <v>782</v>
      </c>
      <c r="D232" s="2" t="s">
        <v>780</v>
      </c>
      <c r="E232" s="28">
        <v>-279725.0</v>
      </c>
      <c r="F232" s="28">
        <v>1.1449578E7</v>
      </c>
    </row>
    <row r="233">
      <c r="A233" s="2" t="s">
        <v>1130</v>
      </c>
      <c r="B233" s="2" t="s">
        <v>1131</v>
      </c>
      <c r="C233" s="2" t="s">
        <v>782</v>
      </c>
      <c r="D233" s="2" t="s">
        <v>786</v>
      </c>
      <c r="E233" s="28">
        <v>-301574.0</v>
      </c>
      <c r="F233" s="28">
        <v>1.1439244E7</v>
      </c>
    </row>
    <row r="234">
      <c r="A234" s="2" t="s">
        <v>1132</v>
      </c>
      <c r="B234" s="2" t="s">
        <v>1133</v>
      </c>
      <c r="C234" s="2" t="s">
        <v>779</v>
      </c>
      <c r="D234" s="2" t="s">
        <v>789</v>
      </c>
      <c r="E234" s="28">
        <v>-88863.0</v>
      </c>
      <c r="F234" s="28">
        <v>1.1394356E7</v>
      </c>
    </row>
    <row r="235">
      <c r="A235" s="2" t="s">
        <v>1134</v>
      </c>
      <c r="B235" s="2" t="s">
        <v>1135</v>
      </c>
      <c r="C235" s="2" t="s">
        <v>857</v>
      </c>
      <c r="D235" s="2" t="s">
        <v>780</v>
      </c>
      <c r="E235" s="28">
        <v>-275598.0</v>
      </c>
      <c r="F235" s="28">
        <v>1142599.0</v>
      </c>
    </row>
    <row r="236">
      <c r="A236" s="2" t="s">
        <v>1136</v>
      </c>
      <c r="B236" s="2" t="s">
        <v>1137</v>
      </c>
      <c r="C236" s="2" t="s">
        <v>857</v>
      </c>
      <c r="D236" s="2" t="s">
        <v>780</v>
      </c>
      <c r="E236" s="28">
        <v>-300396.0</v>
      </c>
      <c r="F236" s="28">
        <v>1.1437952E7</v>
      </c>
    </row>
    <row r="237">
      <c r="A237" s="2" t="s">
        <v>1138</v>
      </c>
      <c r="B237" s="2" t="s">
        <v>1139</v>
      </c>
      <c r="C237" s="2" t="s">
        <v>785</v>
      </c>
      <c r="D237" s="2" t="s">
        <v>786</v>
      </c>
      <c r="E237" s="28">
        <v>-296757.0</v>
      </c>
      <c r="F237" s="28">
        <v>1143455.0</v>
      </c>
    </row>
    <row r="238">
      <c r="A238" s="2" t="s">
        <v>1140</v>
      </c>
      <c r="B238" s="2" t="s">
        <v>1141</v>
      </c>
      <c r="C238" s="2" t="s">
        <v>785</v>
      </c>
      <c r="D238" s="2" t="s">
        <v>789</v>
      </c>
      <c r="E238" s="28">
        <v>-301788.0</v>
      </c>
      <c r="F238" s="28">
        <v>1.1439209E7</v>
      </c>
    </row>
    <row r="239">
      <c r="A239" s="2" t="s">
        <v>154</v>
      </c>
      <c r="B239" s="2" t="s">
        <v>1142</v>
      </c>
      <c r="C239" s="2" t="s">
        <v>785</v>
      </c>
      <c r="D239" s="2" t="s">
        <v>789</v>
      </c>
      <c r="E239" s="28">
        <v>-274067.0</v>
      </c>
      <c r="F239" s="28">
        <v>1.1426215E7</v>
      </c>
    </row>
    <row r="240">
      <c r="A240" s="2" t="s">
        <v>1143</v>
      </c>
      <c r="B240" s="2" t="s">
        <v>1144</v>
      </c>
      <c r="C240" s="2" t="s">
        <v>782</v>
      </c>
      <c r="D240" s="2" t="s">
        <v>786</v>
      </c>
      <c r="E240" s="28">
        <v>-301051.0</v>
      </c>
      <c r="F240" s="28">
        <v>1.1439529E7</v>
      </c>
    </row>
    <row r="241">
      <c r="A241" s="2" t="s">
        <v>412</v>
      </c>
      <c r="B241" s="2" t="s">
        <v>1145</v>
      </c>
      <c r="C241" s="2" t="s">
        <v>782</v>
      </c>
      <c r="D241" s="2" t="s">
        <v>786</v>
      </c>
      <c r="E241" s="28">
        <v>-300715.0</v>
      </c>
      <c r="F241" s="28">
        <v>1.1438892E7</v>
      </c>
    </row>
    <row r="242">
      <c r="A242" s="2" t="s">
        <v>1146</v>
      </c>
      <c r="B242" s="2" t="s">
        <v>1147</v>
      </c>
      <c r="C242" s="2" t="s">
        <v>782</v>
      </c>
      <c r="D242" s="2" t="s">
        <v>780</v>
      </c>
      <c r="E242" s="28">
        <v>-3003.0</v>
      </c>
      <c r="F242" s="28">
        <v>1.1438371E7</v>
      </c>
    </row>
    <row r="243">
      <c r="A243" s="2" t="s">
        <v>1148</v>
      </c>
      <c r="B243" s="2" t="s">
        <v>1149</v>
      </c>
      <c r="C243" s="2" t="s">
        <v>782</v>
      </c>
      <c r="D243" s="2" t="s">
        <v>786</v>
      </c>
      <c r="E243" s="28">
        <v>-300817.0</v>
      </c>
      <c r="F243" s="28">
        <v>1.1439977E7</v>
      </c>
    </row>
    <row r="244">
      <c r="A244" s="2" t="s">
        <v>246</v>
      </c>
      <c r="B244" s="2" t="s">
        <v>1150</v>
      </c>
      <c r="C244" s="2" t="s">
        <v>782</v>
      </c>
      <c r="D244" s="2" t="s">
        <v>786</v>
      </c>
      <c r="E244" s="28">
        <v>-282421.0</v>
      </c>
      <c r="F244" s="28">
        <v>1.1455174E7</v>
      </c>
    </row>
    <row r="245">
      <c r="A245" s="2" t="s">
        <v>291</v>
      </c>
      <c r="B245" s="2" t="s">
        <v>1151</v>
      </c>
      <c r="C245" s="2" t="s">
        <v>782</v>
      </c>
      <c r="D245" s="2" t="s">
        <v>789</v>
      </c>
      <c r="E245" s="28">
        <v>-293597.0</v>
      </c>
      <c r="F245" s="28">
        <v>1.1445138E7</v>
      </c>
    </row>
    <row r="246">
      <c r="A246" s="2" t="s">
        <v>1152</v>
      </c>
      <c r="B246" s="2" t="s">
        <v>1153</v>
      </c>
      <c r="C246" s="2" t="s">
        <v>782</v>
      </c>
      <c r="D246" s="2" t="s">
        <v>786</v>
      </c>
      <c r="E246" s="28">
        <v>-292738.0</v>
      </c>
      <c r="F246" s="28">
        <v>1.1428296E7</v>
      </c>
    </row>
    <row r="247">
      <c r="A247" s="2" t="s">
        <v>146</v>
      </c>
      <c r="B247" s="2" t="s">
        <v>1154</v>
      </c>
      <c r="C247" s="2" t="s">
        <v>782</v>
      </c>
      <c r="D247" s="2" t="s">
        <v>780</v>
      </c>
      <c r="E247" s="28">
        <v>-30119.0</v>
      </c>
      <c r="F247" s="28">
        <v>1.1433822E7</v>
      </c>
    </row>
    <row r="248">
      <c r="A248" s="2" t="s">
        <v>1155</v>
      </c>
      <c r="B248" s="2" t="s">
        <v>1156</v>
      </c>
      <c r="C248" s="2" t="s">
        <v>779</v>
      </c>
      <c r="D248" s="2" t="s">
        <v>789</v>
      </c>
      <c r="E248" s="28">
        <v>-117259.0</v>
      </c>
      <c r="F248" s="28">
        <v>1.1405227E7</v>
      </c>
    </row>
    <row r="249">
      <c r="A249" s="2" t="s">
        <v>1157</v>
      </c>
      <c r="B249" s="2" t="s">
        <v>1158</v>
      </c>
      <c r="C249" s="2" t="s">
        <v>782</v>
      </c>
      <c r="D249" s="2" t="s">
        <v>786</v>
      </c>
      <c r="E249" s="28">
        <v>-279208.0</v>
      </c>
      <c r="F249" s="28">
        <v>1143944.0</v>
      </c>
    </row>
    <row r="250">
      <c r="A250" s="2" t="s">
        <v>405</v>
      </c>
      <c r="B250" s="2" t="s">
        <v>1159</v>
      </c>
      <c r="C250" s="2" t="s">
        <v>779</v>
      </c>
      <c r="D250" s="2" t="s">
        <v>789</v>
      </c>
      <c r="E250" s="28">
        <v>-301106.0</v>
      </c>
      <c r="F250" s="28">
        <v>1.1438741E7</v>
      </c>
    </row>
    <row r="251">
      <c r="A251" s="2" t="s">
        <v>590</v>
      </c>
      <c r="B251" s="2" t="s">
        <v>1160</v>
      </c>
      <c r="C251" s="2" t="s">
        <v>779</v>
      </c>
      <c r="D251" s="2" t="s">
        <v>789</v>
      </c>
      <c r="E251" s="28">
        <v>-290147.0</v>
      </c>
      <c r="F251" s="28">
        <v>114258.0</v>
      </c>
    </row>
    <row r="252">
      <c r="A252" s="2" t="s">
        <v>1161</v>
      </c>
      <c r="B252" s="2" t="s">
        <v>1162</v>
      </c>
      <c r="C252" s="2" t="s">
        <v>785</v>
      </c>
      <c r="D252" s="2" t="s">
        <v>780</v>
      </c>
      <c r="E252" s="28">
        <v>-225076.0</v>
      </c>
      <c r="F252" s="28">
        <v>1.1390521E7</v>
      </c>
    </row>
    <row r="253">
      <c r="A253" s="2" t="s">
        <v>1163</v>
      </c>
      <c r="B253" s="2" t="s">
        <v>1164</v>
      </c>
      <c r="C253" s="2" t="s">
        <v>929</v>
      </c>
      <c r="D253" s="2" t="s">
        <v>786</v>
      </c>
      <c r="E253" s="28">
        <v>-289122.0</v>
      </c>
      <c r="F253" s="28">
        <v>1.1448241E7</v>
      </c>
    </row>
    <row r="254">
      <c r="A254" s="2" t="s">
        <v>280</v>
      </c>
      <c r="B254" s="2" t="s">
        <v>1165</v>
      </c>
      <c r="C254" s="2" t="s">
        <v>779</v>
      </c>
      <c r="D254" s="2" t="s">
        <v>789</v>
      </c>
      <c r="E254" s="28">
        <v>-284323.0</v>
      </c>
      <c r="F254" s="28">
        <v>1.1451949E7</v>
      </c>
    </row>
    <row r="255">
      <c r="A255" s="2" t="s">
        <v>617</v>
      </c>
      <c r="B255" s="2" t="s">
        <v>1166</v>
      </c>
      <c r="C255" s="2" t="s">
        <v>785</v>
      </c>
      <c r="D255" s="2" t="s">
        <v>789</v>
      </c>
      <c r="E255" s="28">
        <v>-228991.0</v>
      </c>
      <c r="F255" s="28">
        <v>1.1390777E7</v>
      </c>
    </row>
    <row r="256">
      <c r="A256" s="2" t="s">
        <v>674</v>
      </c>
      <c r="B256" s="2" t="s">
        <v>1167</v>
      </c>
      <c r="C256" s="2" t="s">
        <v>782</v>
      </c>
      <c r="D256" s="2" t="s">
        <v>786</v>
      </c>
      <c r="E256" s="28">
        <v>-299532.0</v>
      </c>
      <c r="F256" s="28">
        <v>1.1439433E7</v>
      </c>
    </row>
    <row r="257">
      <c r="A257" s="2" t="s">
        <v>1168</v>
      </c>
      <c r="B257" s="2" t="s">
        <v>1169</v>
      </c>
      <c r="C257" s="2" t="s">
        <v>782</v>
      </c>
      <c r="D257" s="2" t="s">
        <v>786</v>
      </c>
      <c r="E257" s="28">
        <v>-188891.0</v>
      </c>
      <c r="F257" s="28">
        <v>1.1329377E7</v>
      </c>
    </row>
    <row r="258">
      <c r="A258" s="2" t="s">
        <v>1170</v>
      </c>
      <c r="B258" s="2" t="s">
        <v>1171</v>
      </c>
      <c r="C258" s="2" t="s">
        <v>782</v>
      </c>
      <c r="D258" s="2" t="s">
        <v>786</v>
      </c>
      <c r="E258" s="28">
        <v>-145313.0</v>
      </c>
      <c r="F258" s="28">
        <v>1131033.0</v>
      </c>
    </row>
    <row r="259">
      <c r="A259" s="2" t="s">
        <v>636</v>
      </c>
      <c r="B259" s="2" t="s">
        <v>1172</v>
      </c>
      <c r="C259" s="2" t="s">
        <v>782</v>
      </c>
      <c r="D259" s="2" t="s">
        <v>786</v>
      </c>
      <c r="E259" s="28">
        <v>-190236.0</v>
      </c>
      <c r="F259" s="28">
        <v>1.1333135E7</v>
      </c>
    </row>
    <row r="260">
      <c r="A260" s="2" t="s">
        <v>214</v>
      </c>
      <c r="B260" s="2" t="s">
        <v>1173</v>
      </c>
      <c r="C260" s="2" t="s">
        <v>782</v>
      </c>
      <c r="D260" s="2" t="s">
        <v>789</v>
      </c>
      <c r="E260" s="28">
        <v>-193373.0</v>
      </c>
      <c r="F260" s="28">
        <v>1.1321067E7</v>
      </c>
    </row>
    <row r="261">
      <c r="A261" s="2" t="s">
        <v>733</v>
      </c>
      <c r="B261" s="2" t="s">
        <v>1174</v>
      </c>
      <c r="C261" s="2" t="s">
        <v>782</v>
      </c>
      <c r="D261" s="2" t="s">
        <v>789</v>
      </c>
      <c r="E261" s="28">
        <v>-188913.0</v>
      </c>
      <c r="F261" s="28">
        <v>1.1339726E7</v>
      </c>
    </row>
    <row r="262">
      <c r="A262" s="2" t="s">
        <v>463</v>
      </c>
      <c r="B262" s="2" t="s">
        <v>1175</v>
      </c>
      <c r="C262" s="2" t="s">
        <v>782</v>
      </c>
      <c r="D262" s="2" t="s">
        <v>789</v>
      </c>
      <c r="E262" s="28">
        <v>-191357.0</v>
      </c>
      <c r="F262" s="28">
        <v>1.1338343E7</v>
      </c>
    </row>
    <row r="263">
      <c r="A263" s="2" t="s">
        <v>1176</v>
      </c>
      <c r="B263" s="2" t="s">
        <v>1177</v>
      </c>
      <c r="C263" s="2" t="s">
        <v>785</v>
      </c>
      <c r="D263" s="2" t="s">
        <v>780</v>
      </c>
      <c r="E263" s="28">
        <v>-190461.0</v>
      </c>
      <c r="F263" s="28">
        <v>1.1326334E7</v>
      </c>
    </row>
    <row r="264">
      <c r="A264" s="2" t="s">
        <v>1178</v>
      </c>
      <c r="B264" s="2" t="s">
        <v>1179</v>
      </c>
      <c r="C264" s="2" t="s">
        <v>857</v>
      </c>
      <c r="D264" s="2" t="s">
        <v>786</v>
      </c>
      <c r="E264" s="28">
        <v>-189629.0</v>
      </c>
      <c r="F264" s="28">
        <v>1132898.0</v>
      </c>
    </row>
    <row r="265">
      <c r="A265" s="2" t="s">
        <v>1180</v>
      </c>
      <c r="B265" s="2" t="s">
        <v>1181</v>
      </c>
      <c r="C265" s="2" t="s">
        <v>857</v>
      </c>
      <c r="D265" s="2" t="s">
        <v>789</v>
      </c>
      <c r="E265" s="28">
        <v>-189889.0</v>
      </c>
      <c r="F265" s="28">
        <v>1.1338664E7</v>
      </c>
    </row>
    <row r="266">
      <c r="A266" s="2" t="s">
        <v>1182</v>
      </c>
      <c r="B266" s="2" t="s">
        <v>1183</v>
      </c>
      <c r="C266" s="2" t="s">
        <v>785</v>
      </c>
      <c r="D266" s="2" t="s">
        <v>789</v>
      </c>
      <c r="E266" s="2" t="s">
        <v>1184</v>
      </c>
      <c r="F266" s="28">
        <v>1.1341835E7</v>
      </c>
    </row>
    <row r="267">
      <c r="A267" s="2" t="s">
        <v>1185</v>
      </c>
      <c r="B267" s="2" t="s">
        <v>1186</v>
      </c>
      <c r="C267" s="2" t="s">
        <v>782</v>
      </c>
      <c r="D267" s="2" t="s">
        <v>786</v>
      </c>
      <c r="E267" s="28">
        <v>-191911.0</v>
      </c>
      <c r="F267" s="28">
        <v>1.1337676E7</v>
      </c>
    </row>
    <row r="268">
      <c r="A268" s="2" t="s">
        <v>1187</v>
      </c>
      <c r="B268" s="2" t="s">
        <v>1188</v>
      </c>
      <c r="C268" s="2" t="s">
        <v>782</v>
      </c>
      <c r="D268" s="2" t="s">
        <v>780</v>
      </c>
      <c r="E268" s="28">
        <v>-191272.0</v>
      </c>
      <c r="F268" s="28">
        <v>1.1339026E7</v>
      </c>
    </row>
    <row r="269">
      <c r="A269" s="2" t="s">
        <v>1189</v>
      </c>
      <c r="B269" s="2" t="s">
        <v>1190</v>
      </c>
      <c r="C269" s="2" t="s">
        <v>782</v>
      </c>
      <c r="D269" s="2" t="s">
        <v>780</v>
      </c>
      <c r="E269" s="28">
        <v>-189327.0</v>
      </c>
      <c r="F269" s="28">
        <v>1.1329358E7</v>
      </c>
    </row>
    <row r="270">
      <c r="A270" s="2" t="s">
        <v>1191</v>
      </c>
      <c r="B270" s="2" t="s">
        <v>1192</v>
      </c>
      <c r="C270" s="2" t="s">
        <v>782</v>
      </c>
      <c r="D270" s="2" t="s">
        <v>780</v>
      </c>
      <c r="E270" s="28">
        <v>-189377.0</v>
      </c>
      <c r="F270" s="28">
        <v>1.1330238E7</v>
      </c>
    </row>
    <row r="271">
      <c r="A271" s="2" t="s">
        <v>364</v>
      </c>
      <c r="B271" s="2" t="s">
        <v>1193</v>
      </c>
      <c r="C271" s="2" t="s">
        <v>857</v>
      </c>
      <c r="D271" s="2" t="s">
        <v>783</v>
      </c>
      <c r="E271" s="28">
        <v>-13315.0</v>
      </c>
      <c r="F271" s="28">
        <v>1.1309064E7</v>
      </c>
    </row>
    <row r="272">
      <c r="A272" s="2" t="s">
        <v>1194</v>
      </c>
      <c r="B272" s="2" t="s">
        <v>1195</v>
      </c>
      <c r="C272" s="2" t="s">
        <v>782</v>
      </c>
      <c r="D272" s="2" t="s">
        <v>786</v>
      </c>
      <c r="E272" s="28">
        <v>-18889.0</v>
      </c>
      <c r="F272" s="28">
        <v>1.1331459E7</v>
      </c>
    </row>
    <row r="273">
      <c r="A273" s="2" t="s">
        <v>1196</v>
      </c>
      <c r="B273" s="2" t="s">
        <v>1197</v>
      </c>
      <c r="C273" s="2" t="s">
        <v>782</v>
      </c>
      <c r="D273" s="2" t="s">
        <v>780</v>
      </c>
      <c r="E273" s="28">
        <v>-192639.0</v>
      </c>
      <c r="F273" s="28">
        <v>1.1318185E7</v>
      </c>
    </row>
    <row r="274">
      <c r="A274" s="2" t="s">
        <v>1198</v>
      </c>
      <c r="B274" s="2" t="s">
        <v>1199</v>
      </c>
      <c r="C274" s="2" t="s">
        <v>779</v>
      </c>
      <c r="D274" s="2" t="s">
        <v>789</v>
      </c>
      <c r="E274" s="28">
        <v>-99519.0</v>
      </c>
      <c r="F274" s="28">
        <v>1.1419808E7</v>
      </c>
    </row>
    <row r="275">
      <c r="A275" s="2" t="s">
        <v>578</v>
      </c>
      <c r="B275" s="2" t="s">
        <v>1200</v>
      </c>
      <c r="C275" s="2" t="s">
        <v>857</v>
      </c>
      <c r="D275" s="2" t="s">
        <v>783</v>
      </c>
      <c r="E275" s="28">
        <v>-197517.0</v>
      </c>
      <c r="F275" s="28">
        <v>1.1328378E7</v>
      </c>
    </row>
    <row r="276">
      <c r="A276" s="2" t="s">
        <v>650</v>
      </c>
      <c r="B276" s="2" t="s">
        <v>1201</v>
      </c>
      <c r="C276" s="2" t="s">
        <v>857</v>
      </c>
      <c r="D276" s="2" t="s">
        <v>783</v>
      </c>
      <c r="E276" s="28">
        <v>-145355.0</v>
      </c>
      <c r="F276" s="28">
        <v>1130945.0</v>
      </c>
    </row>
    <row r="277">
      <c r="A277" s="2" t="s">
        <v>215</v>
      </c>
      <c r="B277" s="2" t="s">
        <v>1202</v>
      </c>
      <c r="C277" s="2" t="s">
        <v>782</v>
      </c>
      <c r="D277" s="2" t="s">
        <v>789</v>
      </c>
      <c r="E277" s="28">
        <v>-140676.0</v>
      </c>
      <c r="F277" s="28">
        <v>1129584.0</v>
      </c>
    </row>
    <row r="278">
      <c r="A278" s="2" t="s">
        <v>1203</v>
      </c>
      <c r="B278" s="2" t="s">
        <v>1204</v>
      </c>
      <c r="C278" s="2" t="s">
        <v>785</v>
      </c>
      <c r="D278" s="2" t="s">
        <v>789</v>
      </c>
      <c r="E278" s="28">
        <v>-188797.0</v>
      </c>
      <c r="F278" s="28">
        <v>1.1341538E7</v>
      </c>
    </row>
    <row r="279">
      <c r="A279" s="2" t="s">
        <v>304</v>
      </c>
      <c r="B279" s="2" t="s">
        <v>1205</v>
      </c>
      <c r="C279" s="2" t="s">
        <v>782</v>
      </c>
      <c r="D279" s="2" t="s">
        <v>783</v>
      </c>
      <c r="E279" s="28">
        <v>-131592.0</v>
      </c>
      <c r="F279" s="28">
        <v>1.1309504E7</v>
      </c>
    </row>
    <row r="280">
      <c r="A280" s="2" t="s">
        <v>1206</v>
      </c>
      <c r="B280" s="2" t="s">
        <v>1207</v>
      </c>
      <c r="C280" s="2" t="s">
        <v>785</v>
      </c>
      <c r="D280" s="2" t="s">
        <v>786</v>
      </c>
      <c r="E280" s="28">
        <v>-188019.0</v>
      </c>
      <c r="F280" s="28">
        <v>1.1331796E7</v>
      </c>
    </row>
    <row r="281">
      <c r="A281" s="2" t="s">
        <v>206</v>
      </c>
      <c r="B281" s="2" t="s">
        <v>1208</v>
      </c>
      <c r="C281" s="2" t="s">
        <v>779</v>
      </c>
      <c r="D281" s="2" t="s">
        <v>789</v>
      </c>
      <c r="E281" s="28">
        <v>-310194.0</v>
      </c>
      <c r="F281" s="28">
        <v>1.1446143E7</v>
      </c>
    </row>
    <row r="282">
      <c r="A282" s="2" t="s">
        <v>1209</v>
      </c>
      <c r="B282" s="2" t="s">
        <v>1210</v>
      </c>
      <c r="C282" s="2" t="s">
        <v>785</v>
      </c>
      <c r="D282" s="2" t="s">
        <v>786</v>
      </c>
      <c r="E282" s="28">
        <v>-192566.0</v>
      </c>
      <c r="F282" s="28">
        <v>1.1319877E7</v>
      </c>
    </row>
    <row r="283">
      <c r="A283" s="2" t="s">
        <v>1211</v>
      </c>
      <c r="B283" s="2" t="s">
        <v>1212</v>
      </c>
      <c r="C283" s="2" t="s">
        <v>782</v>
      </c>
      <c r="D283" s="2" t="s">
        <v>783</v>
      </c>
      <c r="E283" s="28">
        <v>-16101.0</v>
      </c>
      <c r="F283" s="28">
        <v>1132259.0</v>
      </c>
    </row>
    <row r="284">
      <c r="A284" s="2" t="s">
        <v>1213</v>
      </c>
      <c r="B284" s="2" t="s">
        <v>1214</v>
      </c>
      <c r="C284" s="2" t="s">
        <v>785</v>
      </c>
      <c r="D284" s="2" t="s">
        <v>783</v>
      </c>
      <c r="E284" s="28">
        <v>-143403.0</v>
      </c>
      <c r="F284" s="28">
        <v>1.1310029E7</v>
      </c>
    </row>
    <row r="285">
      <c r="A285" s="2" t="s">
        <v>1215</v>
      </c>
      <c r="B285" s="2" t="s">
        <v>1216</v>
      </c>
      <c r="C285" s="2" t="s">
        <v>929</v>
      </c>
      <c r="D285" s="2" t="s">
        <v>786</v>
      </c>
      <c r="E285" s="28">
        <v>-203486.0</v>
      </c>
      <c r="F285" s="28">
        <v>1.1346727E7</v>
      </c>
    </row>
    <row r="286">
      <c r="A286" s="2" t="s">
        <v>268</v>
      </c>
      <c r="B286" s="2" t="s">
        <v>1217</v>
      </c>
      <c r="C286" s="2" t="s">
        <v>785</v>
      </c>
      <c r="D286" s="2" t="s">
        <v>789</v>
      </c>
      <c r="E286" s="28">
        <v>-197935.0</v>
      </c>
      <c r="F286" s="28">
        <v>1.1343026E7</v>
      </c>
    </row>
    <row r="287">
      <c r="A287" s="2" t="s">
        <v>428</v>
      </c>
      <c r="B287" s="2" t="s">
        <v>1218</v>
      </c>
      <c r="C287" s="2" t="s">
        <v>782</v>
      </c>
      <c r="D287" s="2" t="s">
        <v>786</v>
      </c>
      <c r="E287" s="28">
        <v>-307348.0</v>
      </c>
      <c r="F287" s="28">
        <v>1.1328045E7</v>
      </c>
    </row>
    <row r="288">
      <c r="A288" s="2" t="s">
        <v>1219</v>
      </c>
      <c r="B288" s="2" t="s">
        <v>1220</v>
      </c>
      <c r="C288" s="2" t="s">
        <v>782</v>
      </c>
      <c r="D288" s="2" t="s">
        <v>789</v>
      </c>
      <c r="E288" s="28">
        <v>-144741.0</v>
      </c>
      <c r="F288" s="28">
        <v>1.1309992E7</v>
      </c>
    </row>
    <row r="289">
      <c r="A289" s="2" t="s">
        <v>1221</v>
      </c>
      <c r="B289" s="2" t="s">
        <v>1222</v>
      </c>
      <c r="C289" s="2" t="s">
        <v>782</v>
      </c>
      <c r="D289" s="2" t="s">
        <v>783</v>
      </c>
      <c r="E289" s="28">
        <v>-170894.0</v>
      </c>
      <c r="F289" s="28">
        <v>1.1313799E7</v>
      </c>
    </row>
    <row r="290">
      <c r="A290" s="2" t="s">
        <v>1223</v>
      </c>
      <c r="B290" s="2" t="s">
        <v>1224</v>
      </c>
      <c r="C290" s="2" t="s">
        <v>785</v>
      </c>
      <c r="D290" s="2" t="s">
        <v>786</v>
      </c>
      <c r="E290" s="28">
        <v>-1324981.0</v>
      </c>
      <c r="F290" s="28">
        <v>1.13091567E8</v>
      </c>
    </row>
    <row r="291">
      <c r="A291" s="2" t="s">
        <v>1225</v>
      </c>
      <c r="B291" s="2" t="s">
        <v>1226</v>
      </c>
      <c r="C291" s="2" t="s">
        <v>779</v>
      </c>
      <c r="D291" s="2" t="s">
        <v>789</v>
      </c>
      <c r="E291" s="28">
        <v>-319459.0</v>
      </c>
      <c r="F291" s="28">
        <v>1.1334915E7</v>
      </c>
    </row>
    <row r="292">
      <c r="A292" s="2" t="s">
        <v>1227</v>
      </c>
      <c r="B292" s="2" t="s">
        <v>1228</v>
      </c>
      <c r="C292" s="2" t="s">
        <v>782</v>
      </c>
      <c r="D292" s="2" t="s">
        <v>780</v>
      </c>
      <c r="E292" s="28">
        <v>-151466.0</v>
      </c>
      <c r="F292" s="28">
        <v>1.1312603E7</v>
      </c>
    </row>
    <row r="293">
      <c r="A293" s="2" t="s">
        <v>1229</v>
      </c>
      <c r="B293" s="2" t="s">
        <v>1230</v>
      </c>
      <c r="C293" s="2" t="s">
        <v>785</v>
      </c>
      <c r="D293" s="2" t="s">
        <v>786</v>
      </c>
      <c r="E293" s="28">
        <v>-190472.0</v>
      </c>
      <c r="F293" s="28">
        <v>1133548.0</v>
      </c>
    </row>
    <row r="294">
      <c r="A294" s="2" t="s">
        <v>1231</v>
      </c>
      <c r="B294" s="2" t="s">
        <v>1232</v>
      </c>
      <c r="C294" s="2" t="s">
        <v>782</v>
      </c>
      <c r="D294" s="2" t="s">
        <v>789</v>
      </c>
      <c r="E294" s="28">
        <v>-220286.0</v>
      </c>
      <c r="F294" s="28">
        <v>1.1348139E7</v>
      </c>
    </row>
    <row r="295">
      <c r="A295" s="2" t="s">
        <v>1233</v>
      </c>
      <c r="B295" s="2" t="s">
        <v>1234</v>
      </c>
      <c r="C295" s="2" t="s">
        <v>785</v>
      </c>
      <c r="D295" s="2" t="s">
        <v>789</v>
      </c>
      <c r="E295" s="28">
        <v>-198114.0</v>
      </c>
      <c r="F295" s="28">
        <v>1.1507552E7</v>
      </c>
    </row>
    <row r="296">
      <c r="A296" s="2" t="s">
        <v>658</v>
      </c>
      <c r="B296" s="2" t="s">
        <v>1235</v>
      </c>
      <c r="C296" s="2" t="s">
        <v>782</v>
      </c>
      <c r="D296" s="2" t="s">
        <v>789</v>
      </c>
      <c r="E296" s="28">
        <v>-194089.0</v>
      </c>
      <c r="F296" s="28">
        <v>1.1500026E7</v>
      </c>
    </row>
    <row r="297">
      <c r="A297" s="2" t="s">
        <v>1236</v>
      </c>
      <c r="B297" s="2" t="s">
        <v>1237</v>
      </c>
      <c r="C297" s="2" t="s">
        <v>785</v>
      </c>
      <c r="D297" s="2" t="s">
        <v>789</v>
      </c>
      <c r="E297" s="28">
        <v>-169752.0</v>
      </c>
      <c r="F297" s="28">
        <v>1.1514254E7</v>
      </c>
    </row>
    <row r="298">
      <c r="A298" s="2" t="s">
        <v>276</v>
      </c>
      <c r="B298" s="2" t="s">
        <v>1238</v>
      </c>
      <c r="C298" s="2" t="s">
        <v>857</v>
      </c>
      <c r="D298" s="2" t="s">
        <v>789</v>
      </c>
      <c r="E298" s="28">
        <v>-179008.0</v>
      </c>
      <c r="F298" s="28">
        <v>1.1514895E7</v>
      </c>
    </row>
    <row r="299">
      <c r="A299" s="2" t="s">
        <v>509</v>
      </c>
      <c r="B299" s="2" t="s">
        <v>1239</v>
      </c>
      <c r="C299" s="2" t="s">
        <v>782</v>
      </c>
      <c r="D299" s="2" t="s">
        <v>786</v>
      </c>
      <c r="E299" s="28">
        <v>-18043.0</v>
      </c>
      <c r="F299" s="28">
        <v>1.1514476E7</v>
      </c>
    </row>
    <row r="300">
      <c r="A300" s="2" t="s">
        <v>563</v>
      </c>
      <c r="B300" s="2" t="s">
        <v>1240</v>
      </c>
      <c r="C300" s="2" t="s">
        <v>779</v>
      </c>
      <c r="D300" s="2" t="s">
        <v>789</v>
      </c>
      <c r="E300" s="28">
        <v>-102536.0</v>
      </c>
      <c r="F300" s="28">
        <v>1.1496288E7</v>
      </c>
    </row>
    <row r="301">
      <c r="A301" s="2" t="s">
        <v>1241</v>
      </c>
      <c r="B301" s="2" t="s">
        <v>1242</v>
      </c>
      <c r="C301" s="2" t="s">
        <v>785</v>
      </c>
      <c r="D301" s="2" t="s">
        <v>780</v>
      </c>
      <c r="E301" s="28">
        <v>-19006.0</v>
      </c>
      <c r="F301" s="28">
        <v>1.1522009E7</v>
      </c>
    </row>
    <row r="302">
      <c r="A302" s="2" t="s">
        <v>449</v>
      </c>
      <c r="B302" s="2" t="s">
        <v>1243</v>
      </c>
      <c r="C302" s="2" t="s">
        <v>782</v>
      </c>
      <c r="D302" s="2" t="s">
        <v>789</v>
      </c>
      <c r="E302" s="28">
        <v>-193805.0</v>
      </c>
      <c r="F302" s="28">
        <v>1151131.0</v>
      </c>
    </row>
    <row r="303">
      <c r="A303" s="2" t="s">
        <v>287</v>
      </c>
      <c r="B303" s="2" t="s">
        <v>1244</v>
      </c>
      <c r="C303" s="2" t="s">
        <v>782</v>
      </c>
      <c r="D303" s="2" t="s">
        <v>786</v>
      </c>
      <c r="E303" s="28">
        <v>-186676.0</v>
      </c>
      <c r="F303" s="28">
        <v>1.1524776E7</v>
      </c>
    </row>
    <row r="304">
      <c r="A304" s="2" t="s">
        <v>612</v>
      </c>
      <c r="B304" s="2" t="s">
        <v>1245</v>
      </c>
      <c r="C304" s="2" t="s">
        <v>782</v>
      </c>
      <c r="D304" s="2" t="s">
        <v>780</v>
      </c>
      <c r="E304" s="28">
        <v>-18039.0</v>
      </c>
      <c r="F304" s="28">
        <v>1.1515611E7</v>
      </c>
    </row>
    <row r="305">
      <c r="A305" s="2" t="s">
        <v>1246</v>
      </c>
      <c r="B305" s="2" t="s">
        <v>1247</v>
      </c>
      <c r="C305" s="2" t="s">
        <v>782</v>
      </c>
      <c r="D305" s="2" t="s">
        <v>786</v>
      </c>
      <c r="E305" s="28">
        <v>-22314.0</v>
      </c>
      <c r="F305" s="28">
        <v>1.1512391E7</v>
      </c>
    </row>
    <row r="306">
      <c r="A306" s="2" t="s">
        <v>530</v>
      </c>
      <c r="B306" s="2" t="s">
        <v>1248</v>
      </c>
      <c r="C306" s="2" t="s">
        <v>782</v>
      </c>
      <c r="D306" s="2" t="s">
        <v>789</v>
      </c>
      <c r="E306" s="28">
        <v>-221736.0</v>
      </c>
      <c r="F306" s="28">
        <v>115184.0</v>
      </c>
    </row>
    <row r="307">
      <c r="A307" s="2" t="s">
        <v>191</v>
      </c>
      <c r="B307" s="2" t="s">
        <v>1249</v>
      </c>
      <c r="C307" s="2" t="s">
        <v>785</v>
      </c>
      <c r="D307" s="2" t="s">
        <v>780</v>
      </c>
      <c r="E307" s="28">
        <v>-180288.0</v>
      </c>
      <c r="F307" s="28">
        <v>1.1512014E7</v>
      </c>
    </row>
    <row r="308">
      <c r="A308" s="2" t="s">
        <v>1250</v>
      </c>
      <c r="B308" s="2" t="s">
        <v>1251</v>
      </c>
      <c r="C308" s="2" t="s">
        <v>785</v>
      </c>
      <c r="D308" s="2" t="s">
        <v>789</v>
      </c>
      <c r="E308" s="28">
        <v>-175806.0</v>
      </c>
      <c r="F308" s="28">
        <v>1.1504461E7</v>
      </c>
    </row>
    <row r="309">
      <c r="A309" s="2" t="s">
        <v>615</v>
      </c>
      <c r="B309" s="2" t="s">
        <v>1252</v>
      </c>
      <c r="C309" s="2" t="s">
        <v>785</v>
      </c>
      <c r="D309" s="2" t="s">
        <v>789</v>
      </c>
      <c r="E309" s="28">
        <v>-18721.0</v>
      </c>
      <c r="F309" s="28">
        <v>1.1517137E7</v>
      </c>
    </row>
    <row r="310">
      <c r="A310" s="2" t="s">
        <v>370</v>
      </c>
      <c r="B310" s="2" t="s">
        <v>1253</v>
      </c>
      <c r="C310" s="2" t="s">
        <v>779</v>
      </c>
      <c r="D310" s="2" t="s">
        <v>780</v>
      </c>
      <c r="E310" s="28">
        <v>-173476.0</v>
      </c>
      <c r="F310" s="28">
        <v>1.1514994E7</v>
      </c>
    </row>
    <row r="311">
      <c r="A311" s="2" t="s">
        <v>547</v>
      </c>
      <c r="B311" s="2" t="s">
        <v>1254</v>
      </c>
      <c r="C311" s="2" t="s">
        <v>782</v>
      </c>
      <c r="D311" s="2" t="s">
        <v>780</v>
      </c>
      <c r="E311" s="28">
        <v>-1731.0</v>
      </c>
      <c r="F311" s="28">
        <v>1151816.0</v>
      </c>
    </row>
    <row r="312">
      <c r="A312" s="2" t="s">
        <v>1255</v>
      </c>
      <c r="B312" s="2" t="s">
        <v>1256</v>
      </c>
      <c r="C312" s="2" t="s">
        <v>782</v>
      </c>
      <c r="D312" s="2" t="s">
        <v>789</v>
      </c>
      <c r="E312" s="28">
        <v>-180199.0</v>
      </c>
      <c r="F312" s="28">
        <v>1.1514862E7</v>
      </c>
    </row>
    <row r="313">
      <c r="A313" s="2" t="s">
        <v>1257</v>
      </c>
      <c r="B313" s="2" t="s">
        <v>1258</v>
      </c>
      <c r="C313" s="2" t="s">
        <v>779</v>
      </c>
      <c r="D313" s="2" t="s">
        <v>789</v>
      </c>
      <c r="E313" s="28">
        <v>-225921.0</v>
      </c>
      <c r="F313" s="28">
        <v>1.1393633E7</v>
      </c>
    </row>
    <row r="314">
      <c r="A314" s="2" t="s">
        <v>366</v>
      </c>
      <c r="B314" s="2" t="s">
        <v>1259</v>
      </c>
      <c r="C314" s="2" t="s">
        <v>779</v>
      </c>
      <c r="D314" s="2" t="s">
        <v>786</v>
      </c>
      <c r="E314" s="28">
        <v>-214416.0</v>
      </c>
      <c r="F314" s="28">
        <v>1.1512791E7</v>
      </c>
    </row>
    <row r="315">
      <c r="A315" s="2" t="s">
        <v>254</v>
      </c>
      <c r="B315" s="2" t="s">
        <v>1260</v>
      </c>
      <c r="C315" s="2" t="s">
        <v>782</v>
      </c>
      <c r="D315" s="2" t="s">
        <v>786</v>
      </c>
      <c r="E315" s="28">
        <v>-214329.0</v>
      </c>
      <c r="F315" s="28">
        <v>1.1525479E7</v>
      </c>
    </row>
    <row r="316">
      <c r="A316" s="2" t="s">
        <v>1261</v>
      </c>
      <c r="B316" s="2" t="s">
        <v>1262</v>
      </c>
      <c r="C316" s="2" t="s">
        <v>782</v>
      </c>
      <c r="D316" s="2" t="s">
        <v>780</v>
      </c>
      <c r="E316" s="28">
        <v>-195585.0</v>
      </c>
      <c r="F316" s="28">
        <v>1.1540284E7</v>
      </c>
    </row>
    <row r="317">
      <c r="A317" s="2" t="s">
        <v>399</v>
      </c>
      <c r="B317" s="2" t="s">
        <v>1263</v>
      </c>
      <c r="C317" s="2" t="s">
        <v>782</v>
      </c>
      <c r="D317" s="2" t="s">
        <v>789</v>
      </c>
      <c r="E317" s="28">
        <v>-211564.0</v>
      </c>
      <c r="F317" s="28">
        <v>1.1516719E7</v>
      </c>
    </row>
    <row r="318">
      <c r="A318" s="2" t="s">
        <v>538</v>
      </c>
      <c r="B318" s="2" t="s">
        <v>1264</v>
      </c>
      <c r="C318" s="2" t="s">
        <v>785</v>
      </c>
      <c r="D318" s="2" t="s">
        <v>783</v>
      </c>
      <c r="E318" s="28">
        <v>-209837.0</v>
      </c>
      <c r="F318" s="28">
        <v>1.1502918E7</v>
      </c>
    </row>
    <row r="319">
      <c r="A319" s="2" t="s">
        <v>1265</v>
      </c>
      <c r="B319" s="2" t="s">
        <v>1266</v>
      </c>
      <c r="C319" s="2" t="s">
        <v>785</v>
      </c>
      <c r="D319" s="2" t="s">
        <v>780</v>
      </c>
      <c r="E319" s="28">
        <v>-209279.0</v>
      </c>
      <c r="F319" s="28">
        <v>1151908.0</v>
      </c>
    </row>
    <row r="320">
      <c r="A320" s="2" t="s">
        <v>238</v>
      </c>
      <c r="B320" s="2" t="s">
        <v>1267</v>
      </c>
      <c r="C320" s="2" t="s">
        <v>782</v>
      </c>
      <c r="D320" s="2" t="s">
        <v>786</v>
      </c>
      <c r="E320" s="28">
        <v>-215498.0</v>
      </c>
      <c r="F320" s="28">
        <v>1.1521413E7</v>
      </c>
    </row>
    <row r="321">
      <c r="A321" s="2" t="s">
        <v>561</v>
      </c>
      <c r="B321" s="2" t="s">
        <v>1268</v>
      </c>
      <c r="C321" s="2" t="s">
        <v>782</v>
      </c>
      <c r="D321" s="2" t="s">
        <v>789</v>
      </c>
      <c r="E321" s="28">
        <v>-209341.0</v>
      </c>
      <c r="F321" s="28">
        <v>1.1516433E7</v>
      </c>
    </row>
    <row r="322">
      <c r="A322" s="2" t="s">
        <v>1269</v>
      </c>
      <c r="B322" s="2" t="s">
        <v>1270</v>
      </c>
      <c r="C322" s="2" t="s">
        <v>782</v>
      </c>
      <c r="D322" s="2" t="s">
        <v>780</v>
      </c>
      <c r="E322" s="28">
        <v>-212742.0</v>
      </c>
      <c r="F322" s="28">
        <v>1.1528834E7</v>
      </c>
    </row>
    <row r="323">
      <c r="A323" s="2" t="s">
        <v>511</v>
      </c>
      <c r="B323" s="2" t="s">
        <v>1271</v>
      </c>
      <c r="C323" s="2" t="s">
        <v>782</v>
      </c>
      <c r="D323" s="2" t="s">
        <v>786</v>
      </c>
      <c r="E323" s="28">
        <v>-219735.0</v>
      </c>
      <c r="F323" s="28">
        <v>1.1524136E7</v>
      </c>
    </row>
    <row r="324">
      <c r="A324" s="2" t="s">
        <v>545</v>
      </c>
      <c r="B324" s="2" t="s">
        <v>1272</v>
      </c>
      <c r="C324" s="2" t="s">
        <v>782</v>
      </c>
      <c r="D324" s="2" t="s">
        <v>789</v>
      </c>
      <c r="E324" s="28">
        <v>-211299.0</v>
      </c>
      <c r="F324" s="28">
        <v>1.1516648E7</v>
      </c>
    </row>
    <row r="325">
      <c r="A325" s="2" t="s">
        <v>275</v>
      </c>
      <c r="B325" s="2" t="s">
        <v>1273</v>
      </c>
      <c r="C325" s="2" t="s">
        <v>782</v>
      </c>
      <c r="D325" s="2" t="s">
        <v>786</v>
      </c>
      <c r="E325" s="28">
        <v>-216833.0</v>
      </c>
      <c r="F325" s="28">
        <v>1152699.0</v>
      </c>
    </row>
    <row r="326">
      <c r="A326" s="2" t="s">
        <v>518</v>
      </c>
      <c r="B326" s="2" t="s">
        <v>1274</v>
      </c>
      <c r="C326" s="2" t="s">
        <v>782</v>
      </c>
      <c r="D326" s="2" t="s">
        <v>780</v>
      </c>
      <c r="E326" s="28">
        <v>-21238.0</v>
      </c>
      <c r="F326" s="28">
        <v>1.1518249E7</v>
      </c>
    </row>
    <row r="327">
      <c r="A327" s="2" t="s">
        <v>1275</v>
      </c>
      <c r="B327" s="2" t="s">
        <v>1276</v>
      </c>
      <c r="C327" s="2" t="s">
        <v>779</v>
      </c>
      <c r="D327" s="2" t="s">
        <v>786</v>
      </c>
      <c r="E327" s="28">
        <v>-206029.0</v>
      </c>
      <c r="F327" s="28">
        <v>1.1533253E7</v>
      </c>
    </row>
    <row r="328">
      <c r="A328" s="2" t="s">
        <v>211</v>
      </c>
      <c r="B328" s="2" t="s">
        <v>1277</v>
      </c>
      <c r="C328" s="2" t="s">
        <v>782</v>
      </c>
      <c r="D328" s="2" t="s">
        <v>780</v>
      </c>
      <c r="E328" s="28">
        <v>-217262.0</v>
      </c>
      <c r="F328" s="28">
        <v>1.1522584E7</v>
      </c>
    </row>
    <row r="329">
      <c r="A329" s="2" t="s">
        <v>184</v>
      </c>
      <c r="B329" s="2" t="s">
        <v>1278</v>
      </c>
      <c r="C329" s="2" t="s">
        <v>782</v>
      </c>
      <c r="D329" s="2" t="s">
        <v>786</v>
      </c>
      <c r="E329" s="28">
        <v>-214154.0</v>
      </c>
      <c r="F329" s="28">
        <v>1.1519692E7</v>
      </c>
    </row>
    <row r="330">
      <c r="A330" s="2" t="s">
        <v>323</v>
      </c>
      <c r="B330" s="2" t="s">
        <v>1279</v>
      </c>
      <c r="C330" s="2" t="s">
        <v>782</v>
      </c>
      <c r="D330" s="2" t="s">
        <v>789</v>
      </c>
      <c r="E330" s="28">
        <v>-197908.0</v>
      </c>
      <c r="F330" s="28">
        <v>1.1524123E7</v>
      </c>
    </row>
    <row r="331">
      <c r="A331" s="2" t="s">
        <v>286</v>
      </c>
      <c r="B331" s="2" t="s">
        <v>1280</v>
      </c>
      <c r="C331" s="2" t="s">
        <v>782</v>
      </c>
      <c r="D331" s="2" t="s">
        <v>789</v>
      </c>
      <c r="E331" s="28">
        <v>-204096.0</v>
      </c>
      <c r="F331" s="28">
        <v>1.1513525E7</v>
      </c>
    </row>
    <row r="332">
      <c r="A332" s="2" t="s">
        <v>1281</v>
      </c>
      <c r="B332" s="2" t="s">
        <v>1282</v>
      </c>
      <c r="C332" s="2" t="s">
        <v>782</v>
      </c>
      <c r="D332" s="2" t="s">
        <v>786</v>
      </c>
      <c r="E332" s="28">
        <v>-204841.0</v>
      </c>
      <c r="F332" s="28">
        <v>1.1528577E7</v>
      </c>
    </row>
    <row r="333">
      <c r="A333" s="2" t="s">
        <v>668</v>
      </c>
      <c r="B333" s="2" t="s">
        <v>1283</v>
      </c>
      <c r="C333" s="2" t="s">
        <v>779</v>
      </c>
      <c r="D333" s="2" t="s">
        <v>789</v>
      </c>
      <c r="E333" s="28">
        <v>-107333.0</v>
      </c>
      <c r="F333" s="28">
        <v>1.1508298E7</v>
      </c>
    </row>
    <row r="334">
      <c r="A334" s="2" t="s">
        <v>1284</v>
      </c>
      <c r="B334" s="2" t="s">
        <v>1285</v>
      </c>
      <c r="C334" s="2" t="s">
        <v>785</v>
      </c>
      <c r="D334" s="2" t="s">
        <v>786</v>
      </c>
      <c r="E334" s="28">
        <v>-2058765.0</v>
      </c>
      <c r="F334" s="28">
        <v>1.15322871E8</v>
      </c>
    </row>
    <row r="335">
      <c r="A335" s="2" t="s">
        <v>1286</v>
      </c>
      <c r="B335" s="2" t="s">
        <v>1287</v>
      </c>
      <c r="C335" s="2" t="s">
        <v>782</v>
      </c>
      <c r="D335" s="2" t="s">
        <v>789</v>
      </c>
      <c r="E335" s="28">
        <v>-191006.0</v>
      </c>
      <c r="F335" s="28">
        <v>1.1485156E7</v>
      </c>
    </row>
    <row r="336">
      <c r="A336" s="2" t="s">
        <v>1288</v>
      </c>
      <c r="B336" s="2" t="s">
        <v>1289</v>
      </c>
      <c r="C336" s="2" t="s">
        <v>782</v>
      </c>
      <c r="D336" s="2" t="s">
        <v>789</v>
      </c>
      <c r="E336" s="28">
        <v>-20715.0</v>
      </c>
      <c r="F336" s="28">
        <v>1.1513729E7</v>
      </c>
    </row>
    <row r="337">
      <c r="A337" s="2" t="s">
        <v>620</v>
      </c>
      <c r="B337" s="2" t="s">
        <v>1290</v>
      </c>
      <c r="C337" s="2" t="s">
        <v>785</v>
      </c>
      <c r="D337" s="2" t="s">
        <v>789</v>
      </c>
      <c r="E337" s="28">
        <v>-207217.0</v>
      </c>
      <c r="F337" s="28">
        <v>1.1506996E7</v>
      </c>
    </row>
    <row r="338">
      <c r="A338" s="2" t="s">
        <v>475</v>
      </c>
      <c r="B338" s="2" t="s">
        <v>1291</v>
      </c>
      <c r="C338" s="2" t="s">
        <v>785</v>
      </c>
      <c r="D338" s="2" t="s">
        <v>780</v>
      </c>
      <c r="E338" s="28">
        <v>-20567.0</v>
      </c>
      <c r="F338" s="28">
        <v>1.1525358E7</v>
      </c>
    </row>
    <row r="339">
      <c r="A339" s="2" t="s">
        <v>598</v>
      </c>
      <c r="B339" s="2" t="s">
        <v>1292</v>
      </c>
      <c r="C339" s="2" t="s">
        <v>785</v>
      </c>
      <c r="D339" s="2" t="s">
        <v>786</v>
      </c>
      <c r="E339" s="28">
        <v>-203586.0</v>
      </c>
      <c r="F339" s="28">
        <v>1.1516724E7</v>
      </c>
    </row>
    <row r="340">
      <c r="A340" s="2" t="s">
        <v>643</v>
      </c>
      <c r="B340" s="2" t="s">
        <v>1293</v>
      </c>
      <c r="C340" s="2" t="s">
        <v>782</v>
      </c>
      <c r="D340" s="2" t="s">
        <v>789</v>
      </c>
      <c r="E340" s="28">
        <v>-222936.0</v>
      </c>
      <c r="F340" s="28">
        <v>1.1494829E7</v>
      </c>
    </row>
    <row r="341">
      <c r="A341" s="2" t="s">
        <v>1294</v>
      </c>
      <c r="B341" s="2" t="s">
        <v>1295</v>
      </c>
      <c r="C341" s="2" t="s">
        <v>782</v>
      </c>
      <c r="D341" s="2" t="s">
        <v>780</v>
      </c>
      <c r="E341" s="28">
        <v>-204403.0</v>
      </c>
      <c r="F341" s="28">
        <v>1.1521908E7</v>
      </c>
    </row>
    <row r="342">
      <c r="A342" s="2" t="s">
        <v>1296</v>
      </c>
      <c r="B342" s="2" t="s">
        <v>1297</v>
      </c>
      <c r="C342" s="2" t="s">
        <v>782</v>
      </c>
      <c r="D342" s="2" t="s">
        <v>786</v>
      </c>
      <c r="E342" s="28">
        <v>-195171.0</v>
      </c>
      <c r="F342" s="28">
        <v>1.1338843E7</v>
      </c>
    </row>
    <row r="343">
      <c r="A343" s="2" t="s">
        <v>1298</v>
      </c>
      <c r="B343" s="2" t="s">
        <v>1299</v>
      </c>
      <c r="C343" s="2" t="s">
        <v>779</v>
      </c>
      <c r="D343" s="2" t="s">
        <v>789</v>
      </c>
      <c r="E343" s="28">
        <v>-223246.0</v>
      </c>
      <c r="F343" s="28">
        <v>1.1393058E7</v>
      </c>
    </row>
    <row r="344">
      <c r="A344" s="2" t="s">
        <v>202</v>
      </c>
      <c r="B344" s="2" t="s">
        <v>1300</v>
      </c>
      <c r="C344" s="2" t="s">
        <v>785</v>
      </c>
      <c r="D344" s="2" t="s">
        <v>786</v>
      </c>
      <c r="E344" s="28">
        <v>-181235.0</v>
      </c>
      <c r="F344" s="28">
        <v>1.1330861E7</v>
      </c>
    </row>
    <row r="345">
      <c r="A345" s="2" t="s">
        <v>618</v>
      </c>
      <c r="B345" s="2" t="s">
        <v>1301</v>
      </c>
      <c r="C345" s="2" t="s">
        <v>785</v>
      </c>
      <c r="D345" s="2" t="s">
        <v>786</v>
      </c>
      <c r="E345" s="28">
        <v>-142861.0</v>
      </c>
      <c r="F345" s="28">
        <v>1.1306721E7</v>
      </c>
    </row>
    <row r="346">
      <c r="A346" s="2" t="s">
        <v>1302</v>
      </c>
      <c r="B346" s="2" t="s">
        <v>1303</v>
      </c>
      <c r="C346" s="2" t="s">
        <v>785</v>
      </c>
      <c r="D346" s="2" t="s">
        <v>786</v>
      </c>
      <c r="E346" s="28">
        <v>-177712.0</v>
      </c>
      <c r="F346" s="28">
        <v>1.1331199E7</v>
      </c>
    </row>
    <row r="347">
      <c r="A347" s="2" t="s">
        <v>1304</v>
      </c>
      <c r="B347" s="2" t="s">
        <v>1305</v>
      </c>
      <c r="C347" s="2" t="s">
        <v>782</v>
      </c>
      <c r="D347" s="2" t="s">
        <v>789</v>
      </c>
      <c r="E347" s="28">
        <v>-142857.0</v>
      </c>
      <c r="F347" s="28">
        <v>1.1305391E7</v>
      </c>
    </row>
    <row r="348">
      <c r="A348" s="2" t="s">
        <v>443</v>
      </c>
      <c r="B348" s="2" t="s">
        <v>1306</v>
      </c>
      <c r="C348" s="2" t="s">
        <v>779</v>
      </c>
      <c r="D348" s="2" t="s">
        <v>789</v>
      </c>
      <c r="E348" s="28">
        <v>-267749.0</v>
      </c>
      <c r="F348" s="28">
        <v>1.1428345E7</v>
      </c>
    </row>
    <row r="349">
      <c r="A349" s="2" t="s">
        <v>600</v>
      </c>
      <c r="B349" s="2" t="s">
        <v>1307</v>
      </c>
      <c r="C349" s="2" t="s">
        <v>782</v>
      </c>
      <c r="D349" s="2" t="s">
        <v>780</v>
      </c>
      <c r="E349" s="28">
        <v>-220464.0</v>
      </c>
      <c r="F349" s="28">
        <v>1.1393892E7</v>
      </c>
    </row>
    <row r="350">
      <c r="A350" s="2" t="s">
        <v>350</v>
      </c>
      <c r="B350" s="2" t="s">
        <v>1308</v>
      </c>
      <c r="C350" s="2" t="s">
        <v>929</v>
      </c>
      <c r="D350" s="2" t="s">
        <v>786</v>
      </c>
      <c r="E350" s="28">
        <v>-21852.0</v>
      </c>
      <c r="F350" s="28">
        <v>1.1386945E7</v>
      </c>
    </row>
    <row r="351">
      <c r="A351" s="2" t="s">
        <v>687</v>
      </c>
      <c r="B351" s="2" t="s">
        <v>1309</v>
      </c>
      <c r="C351" s="2" t="s">
        <v>779</v>
      </c>
      <c r="D351" s="2" t="s">
        <v>789</v>
      </c>
      <c r="E351" s="28">
        <v>-112729.0</v>
      </c>
      <c r="F351" s="28">
        <v>1.1383941E7</v>
      </c>
    </row>
    <row r="352">
      <c r="A352" s="2" t="s">
        <v>1310</v>
      </c>
      <c r="B352" s="2" t="s">
        <v>1311</v>
      </c>
      <c r="C352" s="2" t="s">
        <v>785</v>
      </c>
      <c r="D352" s="2" t="s">
        <v>786</v>
      </c>
      <c r="E352" s="28">
        <v>-223257.0</v>
      </c>
      <c r="F352" s="28">
        <v>1.1393628E7</v>
      </c>
    </row>
    <row r="353">
      <c r="A353" s="2" t="s">
        <v>498</v>
      </c>
      <c r="B353" s="2" t="s">
        <v>1312</v>
      </c>
      <c r="C353" s="2" t="s">
        <v>929</v>
      </c>
      <c r="D353" s="2" t="s">
        <v>780</v>
      </c>
      <c r="E353" s="28">
        <v>-223188.0</v>
      </c>
      <c r="F353" s="28">
        <v>1138806.0</v>
      </c>
    </row>
    <row r="354">
      <c r="A354" s="2" t="s">
        <v>1313</v>
      </c>
      <c r="B354" s="2" t="s">
        <v>1314</v>
      </c>
      <c r="C354" s="2" t="s">
        <v>782</v>
      </c>
      <c r="D354" s="2" t="s">
        <v>780</v>
      </c>
      <c r="E354" s="28">
        <v>-306102.0</v>
      </c>
      <c r="F354" s="28">
        <v>1.1442527E7</v>
      </c>
    </row>
    <row r="355">
      <c r="A355" s="2" t="s">
        <v>497</v>
      </c>
      <c r="B355" s="2" t="s">
        <v>1315</v>
      </c>
      <c r="C355" s="2" t="s">
        <v>857</v>
      </c>
      <c r="D355" s="2" t="s">
        <v>789</v>
      </c>
      <c r="E355" s="28">
        <v>-226751.0</v>
      </c>
      <c r="F355" s="28">
        <v>1.1391717E7</v>
      </c>
    </row>
    <row r="356">
      <c r="A356" s="2" t="s">
        <v>646</v>
      </c>
      <c r="B356" s="2" t="s">
        <v>1316</v>
      </c>
      <c r="C356" s="2" t="s">
        <v>782</v>
      </c>
      <c r="D356" s="2" t="s">
        <v>783</v>
      </c>
      <c r="E356" s="28">
        <v>-223504.0</v>
      </c>
      <c r="F356" s="28">
        <v>1.1391134E7</v>
      </c>
    </row>
    <row r="357">
      <c r="A357" s="2" t="s">
        <v>462</v>
      </c>
      <c r="B357" s="2" t="s">
        <v>1317</v>
      </c>
      <c r="C357" s="2" t="s">
        <v>782</v>
      </c>
      <c r="D357" s="2" t="s">
        <v>789</v>
      </c>
      <c r="E357" s="28">
        <v>-221386.0</v>
      </c>
      <c r="F357" s="28">
        <v>1.1390665E7</v>
      </c>
    </row>
    <row r="358">
      <c r="A358" s="2" t="s">
        <v>245</v>
      </c>
      <c r="B358" s="2" t="s">
        <v>1318</v>
      </c>
      <c r="C358" s="2" t="s">
        <v>779</v>
      </c>
      <c r="D358" s="2" t="s">
        <v>789</v>
      </c>
      <c r="E358" s="28">
        <v>-296693.0</v>
      </c>
      <c r="F358" s="28">
        <v>1.1441666E7</v>
      </c>
    </row>
    <row r="359">
      <c r="A359" s="2" t="s">
        <v>416</v>
      </c>
      <c r="B359" s="2" t="s">
        <v>1319</v>
      </c>
      <c r="C359" s="2" t="s">
        <v>782</v>
      </c>
      <c r="D359" s="2" t="s">
        <v>780</v>
      </c>
      <c r="E359" s="28">
        <v>-220678.0</v>
      </c>
      <c r="F359" s="28">
        <v>1.1389063E7</v>
      </c>
    </row>
    <row r="360">
      <c r="A360" s="2" t="s">
        <v>488</v>
      </c>
      <c r="B360" s="2" t="s">
        <v>1320</v>
      </c>
      <c r="C360" s="2" t="s">
        <v>782</v>
      </c>
      <c r="D360" s="2" t="s">
        <v>789</v>
      </c>
      <c r="E360" s="28">
        <v>-30832.0</v>
      </c>
      <c r="F360" s="28">
        <v>1.1435657E7</v>
      </c>
    </row>
    <row r="361">
      <c r="A361" s="2" t="s">
        <v>589</v>
      </c>
      <c r="B361" s="2" t="s">
        <v>1321</v>
      </c>
      <c r="C361" s="2" t="s">
        <v>782</v>
      </c>
      <c r="D361" s="2" t="s">
        <v>786</v>
      </c>
      <c r="E361" s="28">
        <v>-317163.0</v>
      </c>
      <c r="F361" s="28">
        <v>1.1440317E7</v>
      </c>
    </row>
    <row r="362">
      <c r="A362" s="2" t="s">
        <v>1322</v>
      </c>
      <c r="B362" s="2" t="s">
        <v>1323</v>
      </c>
      <c r="C362" s="2" t="s">
        <v>782</v>
      </c>
      <c r="D362" s="2" t="s">
        <v>780</v>
      </c>
      <c r="E362" s="28">
        <v>-323871.0</v>
      </c>
      <c r="F362" s="28">
        <v>1.1439504E7</v>
      </c>
    </row>
    <row r="363">
      <c r="A363" s="2" t="s">
        <v>637</v>
      </c>
      <c r="B363" s="2" t="s">
        <v>1324</v>
      </c>
      <c r="C363" s="2" t="s">
        <v>782</v>
      </c>
      <c r="D363" s="2" t="s">
        <v>789</v>
      </c>
      <c r="E363" s="28">
        <v>-222521.0</v>
      </c>
      <c r="F363" s="28">
        <v>1.1391884E7</v>
      </c>
    </row>
    <row r="364">
      <c r="A364" s="2" t="s">
        <v>656</v>
      </c>
      <c r="B364" s="2" t="s">
        <v>1325</v>
      </c>
      <c r="C364" s="2" t="s">
        <v>779</v>
      </c>
      <c r="D364" s="2" t="s">
        <v>789</v>
      </c>
      <c r="E364" s="28">
        <v>-168276.0</v>
      </c>
      <c r="F364" s="28">
        <v>1.1325967E7</v>
      </c>
    </row>
    <row r="365">
      <c r="A365" s="2" t="s">
        <v>1326</v>
      </c>
      <c r="B365" s="2" t="s">
        <v>1327</v>
      </c>
      <c r="C365" s="2" t="s">
        <v>782</v>
      </c>
      <c r="D365" s="2" t="s">
        <v>780</v>
      </c>
      <c r="E365" s="28">
        <v>-222475.0</v>
      </c>
      <c r="F365" s="28">
        <v>1.1393789E7</v>
      </c>
    </row>
    <row r="366">
      <c r="A366" s="2" t="s">
        <v>205</v>
      </c>
      <c r="B366" s="2" t="s">
        <v>1328</v>
      </c>
      <c r="C366" s="2" t="s">
        <v>782</v>
      </c>
      <c r="D366" s="2" t="s">
        <v>786</v>
      </c>
      <c r="E366" s="28">
        <v>-225172.0</v>
      </c>
      <c r="F366" s="28">
        <v>1.1402814E7</v>
      </c>
    </row>
    <row r="367">
      <c r="A367" s="2" t="s">
        <v>1329</v>
      </c>
      <c r="B367" s="2" t="s">
        <v>1330</v>
      </c>
      <c r="C367" s="2" t="s">
        <v>782</v>
      </c>
      <c r="D367" s="2" t="s">
        <v>780</v>
      </c>
      <c r="E367" s="28">
        <v>-221056.0</v>
      </c>
      <c r="F367" s="28">
        <v>1.1391437E7</v>
      </c>
    </row>
    <row r="368">
      <c r="A368" s="2" t="s">
        <v>1331</v>
      </c>
      <c r="B368" s="2" t="s">
        <v>1332</v>
      </c>
      <c r="C368" s="2" t="s">
        <v>782</v>
      </c>
      <c r="D368" s="2" t="s">
        <v>780</v>
      </c>
      <c r="E368" s="28">
        <v>-222537.0</v>
      </c>
      <c r="F368" s="28">
        <v>1.1388739E7</v>
      </c>
    </row>
    <row r="369">
      <c r="A369" s="2" t="s">
        <v>684</v>
      </c>
      <c r="B369" s="2" t="s">
        <v>1333</v>
      </c>
      <c r="C369" s="2" t="s">
        <v>782</v>
      </c>
      <c r="D369" s="2" t="s">
        <v>786</v>
      </c>
      <c r="E369" s="28">
        <v>-219824.0</v>
      </c>
      <c r="F369" s="28">
        <v>1.1390183E7</v>
      </c>
    </row>
    <row r="370">
      <c r="A370" s="2" t="s">
        <v>1334</v>
      </c>
      <c r="B370" s="2" t="s">
        <v>1335</v>
      </c>
      <c r="C370" s="2" t="s">
        <v>782</v>
      </c>
      <c r="D370" s="2" t="s">
        <v>780</v>
      </c>
      <c r="E370" s="28">
        <v>-232909.0</v>
      </c>
      <c r="F370" s="28">
        <v>1.1407047E7</v>
      </c>
    </row>
    <row r="371">
      <c r="A371" s="2" t="s">
        <v>198</v>
      </c>
      <c r="B371" s="2" t="s">
        <v>1336</v>
      </c>
      <c r="C371" s="2" t="s">
        <v>782</v>
      </c>
      <c r="D371" s="2" t="s">
        <v>789</v>
      </c>
      <c r="E371" s="28">
        <v>-221076.0</v>
      </c>
      <c r="F371" s="28">
        <v>1.1391769E7</v>
      </c>
    </row>
    <row r="372">
      <c r="A372" s="2" t="s">
        <v>180</v>
      </c>
      <c r="B372" s="2" t="s">
        <v>1337</v>
      </c>
      <c r="C372" s="2" t="s">
        <v>782</v>
      </c>
      <c r="D372" s="2" t="s">
        <v>789</v>
      </c>
      <c r="E372" s="28">
        <v>-203375.0</v>
      </c>
      <c r="F372" s="28">
        <v>1.1376615E7</v>
      </c>
    </row>
    <row r="373">
      <c r="A373" s="2" t="s">
        <v>1338</v>
      </c>
      <c r="B373" s="2" t="s">
        <v>1339</v>
      </c>
      <c r="C373" s="2" t="s">
        <v>782</v>
      </c>
      <c r="D373" s="2" t="s">
        <v>789</v>
      </c>
      <c r="E373" s="28">
        <v>-217371.0</v>
      </c>
      <c r="F373" s="28">
        <v>1.1385906E7</v>
      </c>
    </row>
    <row r="374">
      <c r="A374" s="2" t="s">
        <v>1340</v>
      </c>
      <c r="B374" s="2" t="s">
        <v>1341</v>
      </c>
      <c r="C374" s="2" t="s">
        <v>857</v>
      </c>
      <c r="D374" s="2" t="s">
        <v>789</v>
      </c>
      <c r="E374" s="28">
        <v>-223092.0</v>
      </c>
      <c r="F374" s="28">
        <v>1.1392229E7</v>
      </c>
    </row>
    <row r="375">
      <c r="A375" s="2" t="s">
        <v>495</v>
      </c>
      <c r="B375" s="2" t="s">
        <v>1342</v>
      </c>
      <c r="C375" s="2" t="s">
        <v>857</v>
      </c>
      <c r="D375" s="2" t="s">
        <v>786</v>
      </c>
      <c r="E375" s="28">
        <v>-22235.0</v>
      </c>
      <c r="F375" s="28">
        <v>1.1389658E7</v>
      </c>
    </row>
    <row r="376">
      <c r="A376" s="2" t="s">
        <v>1343</v>
      </c>
      <c r="B376" s="2" t="s">
        <v>1344</v>
      </c>
      <c r="C376" s="2" t="s">
        <v>857</v>
      </c>
      <c r="D376" s="2" t="s">
        <v>789</v>
      </c>
      <c r="E376" s="28">
        <v>-223839.0</v>
      </c>
      <c r="F376" s="28">
        <v>1.1394302E7</v>
      </c>
    </row>
    <row r="377">
      <c r="A377" s="2" t="s">
        <v>1345</v>
      </c>
      <c r="B377" s="2" t="s">
        <v>1346</v>
      </c>
      <c r="C377" s="2" t="s">
        <v>782</v>
      </c>
      <c r="D377" s="2" t="s">
        <v>783</v>
      </c>
      <c r="E377" s="28">
        <v>-220838.0</v>
      </c>
      <c r="F377" s="28">
        <v>1.1393087E7</v>
      </c>
    </row>
    <row r="378">
      <c r="A378" s="2" t="s">
        <v>318</v>
      </c>
      <c r="B378" s="2" t="s">
        <v>1347</v>
      </c>
      <c r="C378" s="2" t="s">
        <v>782</v>
      </c>
      <c r="D378" s="2" t="s">
        <v>789</v>
      </c>
      <c r="E378" s="28">
        <v>-185814.0</v>
      </c>
      <c r="F378" s="28">
        <v>1.1368627E7</v>
      </c>
    </row>
    <row r="379">
      <c r="A379" s="2" t="s">
        <v>1348</v>
      </c>
      <c r="B379" s="2" t="s">
        <v>1349</v>
      </c>
      <c r="C379" s="2" t="s">
        <v>782</v>
      </c>
      <c r="D379" s="2" t="s">
        <v>783</v>
      </c>
      <c r="E379" s="28">
        <v>-219939.0</v>
      </c>
      <c r="F379" s="28">
        <v>1.1391125E7</v>
      </c>
    </row>
    <row r="380">
      <c r="A380" s="2" t="s">
        <v>1350</v>
      </c>
      <c r="B380" s="2" t="s">
        <v>1351</v>
      </c>
      <c r="C380" s="2" t="s">
        <v>857</v>
      </c>
      <c r="D380" s="2" t="s">
        <v>780</v>
      </c>
      <c r="E380" s="28">
        <v>-218005.0</v>
      </c>
      <c r="F380" s="28">
        <v>1.1386888E7</v>
      </c>
    </row>
    <row r="381">
      <c r="A381" s="2" t="s">
        <v>281</v>
      </c>
      <c r="B381" s="2" t="s">
        <v>1352</v>
      </c>
      <c r="C381" s="2" t="s">
        <v>779</v>
      </c>
      <c r="D381" s="2" t="s">
        <v>789</v>
      </c>
      <c r="E381" s="28">
        <v>-328571.0</v>
      </c>
      <c r="F381" s="28">
        <v>1.1430901E7</v>
      </c>
    </row>
    <row r="382">
      <c r="A382" s="2" t="s">
        <v>1353</v>
      </c>
      <c r="B382" s="2" t="s">
        <v>1354</v>
      </c>
      <c r="C382" s="2" t="s">
        <v>857</v>
      </c>
      <c r="D382" s="2" t="s">
        <v>786</v>
      </c>
      <c r="E382" s="28">
        <v>-220541.0</v>
      </c>
      <c r="F382" s="28">
        <v>1.1393966E7</v>
      </c>
    </row>
    <row r="383">
      <c r="A383" s="2" t="s">
        <v>1355</v>
      </c>
      <c r="B383" s="2" t="s">
        <v>1356</v>
      </c>
      <c r="C383" s="2" t="s">
        <v>857</v>
      </c>
      <c r="D383" s="2" t="s">
        <v>789</v>
      </c>
      <c r="E383" s="28">
        <v>-221241.0</v>
      </c>
      <c r="F383" s="28">
        <v>1.1389754E7</v>
      </c>
    </row>
    <row r="384">
      <c r="A384" s="2" t="s">
        <v>1357</v>
      </c>
      <c r="B384" s="2" t="s">
        <v>1358</v>
      </c>
      <c r="C384" s="2" t="s">
        <v>785</v>
      </c>
      <c r="D384" s="2" t="s">
        <v>789</v>
      </c>
      <c r="E384" s="28">
        <v>-224476.0</v>
      </c>
      <c r="F384" s="28">
        <v>1.1392022E7</v>
      </c>
    </row>
    <row r="385">
      <c r="A385" s="2" t="s">
        <v>1359</v>
      </c>
      <c r="B385" s="2" t="s">
        <v>1360</v>
      </c>
      <c r="C385" s="2" t="s">
        <v>782</v>
      </c>
      <c r="D385" s="2" t="s">
        <v>786</v>
      </c>
      <c r="E385" s="28">
        <v>-218557.0</v>
      </c>
      <c r="F385" s="28">
        <v>1138978.0</v>
      </c>
    </row>
    <row r="386">
      <c r="A386" s="2" t="s">
        <v>1361</v>
      </c>
      <c r="B386" s="2" t="s">
        <v>1362</v>
      </c>
      <c r="C386" s="2" t="s">
        <v>782</v>
      </c>
      <c r="D386" s="2" t="s">
        <v>789</v>
      </c>
      <c r="E386" s="28">
        <v>-218289.0</v>
      </c>
      <c r="F386" s="28">
        <v>1.1387611E7</v>
      </c>
    </row>
    <row r="387">
      <c r="A387" s="2" t="s">
        <v>1363</v>
      </c>
      <c r="B387" s="2" t="s">
        <v>1364</v>
      </c>
      <c r="C387" s="2" t="s">
        <v>782</v>
      </c>
      <c r="D387" s="2" t="s">
        <v>786</v>
      </c>
      <c r="E387" s="28">
        <v>-218864.0</v>
      </c>
      <c r="F387" s="28">
        <v>1.1388997E7</v>
      </c>
    </row>
    <row r="388">
      <c r="A388" s="2" t="s">
        <v>499</v>
      </c>
      <c r="B388" s="2" t="s">
        <v>1365</v>
      </c>
      <c r="C388" s="2" t="s">
        <v>782</v>
      </c>
      <c r="D388" s="2" t="s">
        <v>786</v>
      </c>
      <c r="E388" s="28">
        <v>-220234.0</v>
      </c>
      <c r="F388" s="28">
        <v>1.1390384E7</v>
      </c>
    </row>
    <row r="389">
      <c r="A389" s="2" t="s">
        <v>1366</v>
      </c>
      <c r="B389" s="2" t="s">
        <v>1367</v>
      </c>
      <c r="C389" s="2" t="s">
        <v>857</v>
      </c>
      <c r="D389" s="2" t="s">
        <v>780</v>
      </c>
      <c r="E389" s="28">
        <v>-219201.0</v>
      </c>
      <c r="F389" s="28">
        <v>1138712.0</v>
      </c>
    </row>
    <row r="390">
      <c r="A390" s="2" t="s">
        <v>1368</v>
      </c>
      <c r="B390" s="2" t="s">
        <v>1369</v>
      </c>
      <c r="C390" s="2" t="s">
        <v>785</v>
      </c>
      <c r="D390" s="2" t="s">
        <v>789</v>
      </c>
      <c r="E390" s="28">
        <v>-216699.0</v>
      </c>
      <c r="F390" s="28">
        <v>1138712.0</v>
      </c>
    </row>
    <row r="391">
      <c r="A391" s="2" t="s">
        <v>1370</v>
      </c>
      <c r="B391" s="2" t="s">
        <v>1371</v>
      </c>
      <c r="C391" s="2" t="s">
        <v>782</v>
      </c>
      <c r="D391" s="2" t="s">
        <v>780</v>
      </c>
      <c r="E391" s="28">
        <v>-217382.0</v>
      </c>
      <c r="F391" s="28">
        <v>1.1387517E7</v>
      </c>
    </row>
    <row r="392">
      <c r="A392" s="2" t="s">
        <v>1372</v>
      </c>
      <c r="B392" s="2" t="s">
        <v>1373</v>
      </c>
      <c r="C392" s="2" t="s">
        <v>857</v>
      </c>
      <c r="D392" s="2" t="s">
        <v>780</v>
      </c>
      <c r="E392" s="28">
        <v>-21809.0</v>
      </c>
      <c r="F392" s="28">
        <v>1.1388929E7</v>
      </c>
    </row>
    <row r="393">
      <c r="A393" s="2" t="s">
        <v>1374</v>
      </c>
      <c r="B393" s="2" t="s">
        <v>1375</v>
      </c>
      <c r="C393" s="2" t="s">
        <v>782</v>
      </c>
      <c r="D393" s="2" t="s">
        <v>789</v>
      </c>
      <c r="E393" s="28">
        <v>-2194.0</v>
      </c>
      <c r="F393" s="28">
        <v>1.1390286E7</v>
      </c>
    </row>
    <row r="394">
      <c r="A394" s="2" t="s">
        <v>655</v>
      </c>
      <c r="B394" s="2" t="s">
        <v>1376</v>
      </c>
      <c r="C394" s="2" t="s">
        <v>785</v>
      </c>
      <c r="D394" s="2" t="s">
        <v>780</v>
      </c>
      <c r="E394" s="28">
        <v>-223798.0</v>
      </c>
      <c r="F394" s="28">
        <v>1139306.0</v>
      </c>
    </row>
    <row r="395">
      <c r="A395" s="2" t="s">
        <v>592</v>
      </c>
      <c r="B395" s="2" t="s">
        <v>1377</v>
      </c>
      <c r="C395" s="2" t="s">
        <v>785</v>
      </c>
      <c r="D395" s="2" t="s">
        <v>789</v>
      </c>
      <c r="E395" s="28">
        <v>-223142.0</v>
      </c>
      <c r="F395" s="28">
        <v>1.1389227E7</v>
      </c>
    </row>
    <row r="396">
      <c r="A396" s="2" t="s">
        <v>1378</v>
      </c>
      <c r="B396" s="2" t="s">
        <v>1379</v>
      </c>
      <c r="C396" s="2" t="s">
        <v>785</v>
      </c>
      <c r="D396" s="2" t="s">
        <v>780</v>
      </c>
      <c r="E396" s="28">
        <v>-218181.0</v>
      </c>
      <c r="F396" s="28">
        <v>1.1388102E7</v>
      </c>
    </row>
    <row r="397">
      <c r="A397" s="2" t="s">
        <v>535</v>
      </c>
      <c r="B397" s="2" t="s">
        <v>1380</v>
      </c>
      <c r="C397" s="2" t="s">
        <v>782</v>
      </c>
      <c r="D397" s="2" t="s">
        <v>789</v>
      </c>
      <c r="E397" s="28">
        <v>-22198.0</v>
      </c>
      <c r="F397" s="28">
        <v>1.1392489E7</v>
      </c>
    </row>
    <row r="398">
      <c r="A398" s="2" t="s">
        <v>1381</v>
      </c>
      <c r="B398" s="2" t="s">
        <v>1382</v>
      </c>
      <c r="C398" s="2" t="s">
        <v>785</v>
      </c>
      <c r="D398" s="2" t="s">
        <v>789</v>
      </c>
      <c r="E398" s="28">
        <v>-217323.0</v>
      </c>
      <c r="F398" s="28">
        <v>1.1394188E7</v>
      </c>
    </row>
    <row r="399">
      <c r="A399" s="2" t="s">
        <v>652</v>
      </c>
      <c r="B399" s="2" t="s">
        <v>1383</v>
      </c>
      <c r="C399" s="2" t="s">
        <v>782</v>
      </c>
      <c r="D399" s="2" t="s">
        <v>789</v>
      </c>
      <c r="E399" s="28">
        <v>-223709.0</v>
      </c>
      <c r="F399" s="28">
        <v>1.1388236E7</v>
      </c>
    </row>
    <row r="400">
      <c r="A400" s="2" t="s">
        <v>1384</v>
      </c>
      <c r="B400" s="2" t="s">
        <v>1385</v>
      </c>
      <c r="C400" s="2" t="s">
        <v>857</v>
      </c>
      <c r="D400" s="2" t="s">
        <v>789</v>
      </c>
      <c r="E400" s="28">
        <v>-220589.0</v>
      </c>
      <c r="F400" s="28">
        <v>1.1394357E7</v>
      </c>
    </row>
    <row r="401">
      <c r="A401" s="2" t="s">
        <v>1386</v>
      </c>
      <c r="B401" s="2" t="s">
        <v>1387</v>
      </c>
      <c r="C401" s="2" t="s">
        <v>857</v>
      </c>
      <c r="D401" s="2" t="s">
        <v>786</v>
      </c>
      <c r="E401" s="28">
        <v>-220759.0</v>
      </c>
      <c r="F401" s="28">
        <v>1.1389844E7</v>
      </c>
    </row>
    <row r="402">
      <c r="A402" s="2" t="s">
        <v>1388</v>
      </c>
      <c r="B402" s="2" t="s">
        <v>1389</v>
      </c>
      <c r="C402" s="2" t="s">
        <v>782</v>
      </c>
      <c r="D402" s="2" t="s">
        <v>780</v>
      </c>
      <c r="E402" s="28">
        <v>-197404.0</v>
      </c>
      <c r="F402" s="28">
        <v>1.1375371E7</v>
      </c>
    </row>
    <row r="403">
      <c r="A403" s="2" t="s">
        <v>181</v>
      </c>
      <c r="B403" s="2" t="s">
        <v>1390</v>
      </c>
      <c r="C403" s="2" t="s">
        <v>782</v>
      </c>
      <c r="D403" s="2" t="s">
        <v>789</v>
      </c>
      <c r="E403" s="28">
        <v>-219872.0</v>
      </c>
      <c r="F403" s="28">
        <v>1.1389818E7</v>
      </c>
    </row>
    <row r="404">
      <c r="A404" s="2" t="s">
        <v>1391</v>
      </c>
      <c r="B404" s="2" t="s">
        <v>1392</v>
      </c>
      <c r="C404" s="2" t="s">
        <v>857</v>
      </c>
      <c r="D404" s="2" t="s">
        <v>786</v>
      </c>
      <c r="E404" s="28">
        <v>-2173.0</v>
      </c>
      <c r="F404" s="28">
        <v>1.1386679E7</v>
      </c>
    </row>
    <row r="405">
      <c r="A405" s="2" t="s">
        <v>678</v>
      </c>
      <c r="B405" s="2" t="s">
        <v>1393</v>
      </c>
      <c r="C405" s="2" t="s">
        <v>782</v>
      </c>
      <c r="D405" s="2" t="s">
        <v>780</v>
      </c>
      <c r="E405" s="28">
        <v>-211918.0</v>
      </c>
      <c r="F405" s="28">
        <v>1.1379696E7</v>
      </c>
    </row>
    <row r="406">
      <c r="A406" s="2" t="s">
        <v>630</v>
      </c>
      <c r="B406" s="2" t="s">
        <v>1394</v>
      </c>
      <c r="C406" s="2" t="s">
        <v>782</v>
      </c>
      <c r="D406" s="2" t="s">
        <v>789</v>
      </c>
      <c r="E406" s="28">
        <v>-220648.0</v>
      </c>
      <c r="F406" s="28">
        <v>1.1391038E7</v>
      </c>
    </row>
    <row r="407">
      <c r="A407" s="2" t="s">
        <v>295</v>
      </c>
      <c r="B407" s="2" t="s">
        <v>1395</v>
      </c>
      <c r="C407" s="2" t="s">
        <v>857</v>
      </c>
      <c r="D407" s="2" t="s">
        <v>789</v>
      </c>
      <c r="E407" s="28">
        <v>-222367.0</v>
      </c>
      <c r="F407" s="28">
        <v>1.1390551E7</v>
      </c>
    </row>
    <row r="408">
      <c r="A408" s="2" t="s">
        <v>1396</v>
      </c>
      <c r="B408" s="2" t="s">
        <v>1397</v>
      </c>
      <c r="C408" s="2" t="s">
        <v>782</v>
      </c>
      <c r="D408" s="2" t="s">
        <v>780</v>
      </c>
      <c r="E408" s="28">
        <v>-222861.0</v>
      </c>
      <c r="F408" s="28">
        <v>1.1391548E7</v>
      </c>
    </row>
    <row r="409">
      <c r="A409" s="2" t="s">
        <v>583</v>
      </c>
      <c r="B409" s="2" t="s">
        <v>1398</v>
      </c>
      <c r="C409" s="2" t="s">
        <v>857</v>
      </c>
      <c r="D409" s="2" t="s">
        <v>786</v>
      </c>
      <c r="E409" s="28">
        <v>-219913.0</v>
      </c>
      <c r="F409" s="28">
        <v>1.1390585E7</v>
      </c>
    </row>
    <row r="410">
      <c r="A410" s="2" t="s">
        <v>525</v>
      </c>
      <c r="B410" s="2" t="s">
        <v>1399</v>
      </c>
      <c r="C410" s="2" t="s">
        <v>782</v>
      </c>
      <c r="D410" s="2" t="s">
        <v>789</v>
      </c>
      <c r="E410" s="28">
        <v>-20003.0</v>
      </c>
      <c r="F410" s="28">
        <v>1.1376009E7</v>
      </c>
    </row>
    <row r="411">
      <c r="A411" s="2" t="s">
        <v>297</v>
      </c>
      <c r="B411" s="2" t="s">
        <v>1400</v>
      </c>
      <c r="C411" s="2" t="s">
        <v>785</v>
      </c>
      <c r="D411" s="2" t="s">
        <v>786</v>
      </c>
      <c r="E411" s="28">
        <v>-219877.0</v>
      </c>
      <c r="F411" s="28">
        <v>1138911.0</v>
      </c>
    </row>
    <row r="412">
      <c r="A412" s="2" t="s">
        <v>1401</v>
      </c>
      <c r="B412" s="2" t="s">
        <v>1402</v>
      </c>
      <c r="C412" s="2" t="s">
        <v>782</v>
      </c>
      <c r="D412" s="2" t="s">
        <v>786</v>
      </c>
      <c r="E412" s="28">
        <v>-218569.0</v>
      </c>
      <c r="F412" s="28">
        <v>1.1388747E7</v>
      </c>
    </row>
    <row r="413">
      <c r="A413" s="2" t="s">
        <v>1403</v>
      </c>
      <c r="B413" s="2" t="s">
        <v>1404</v>
      </c>
      <c r="C413" s="2" t="s">
        <v>857</v>
      </c>
      <c r="D413" s="2" t="s">
        <v>789</v>
      </c>
      <c r="E413" s="28">
        <v>-221749.0</v>
      </c>
      <c r="F413" s="28">
        <v>1.1389944E7</v>
      </c>
    </row>
    <row r="414">
      <c r="A414" s="2" t="s">
        <v>1405</v>
      </c>
      <c r="B414" s="2" t="s">
        <v>1406</v>
      </c>
      <c r="C414" s="2" t="s">
        <v>782</v>
      </c>
      <c r="D414" s="2" t="s">
        <v>780</v>
      </c>
      <c r="E414" s="28">
        <v>-223621.0</v>
      </c>
      <c r="F414" s="28">
        <v>1139186.0</v>
      </c>
    </row>
    <row r="415">
      <c r="A415" s="2" t="s">
        <v>1407</v>
      </c>
      <c r="B415" s="2" t="s">
        <v>1408</v>
      </c>
      <c r="C415" s="2" t="s">
        <v>782</v>
      </c>
      <c r="D415" s="2" t="s">
        <v>780</v>
      </c>
      <c r="E415" s="28">
        <v>-219172.0</v>
      </c>
      <c r="F415" s="28">
        <v>1.1389505E7</v>
      </c>
    </row>
    <row r="416">
      <c r="A416" s="2" t="s">
        <v>1409</v>
      </c>
      <c r="B416" s="2" t="s">
        <v>1410</v>
      </c>
      <c r="C416" s="2" t="s">
        <v>785</v>
      </c>
      <c r="D416" s="2" t="s">
        <v>780</v>
      </c>
      <c r="E416" s="28">
        <v>-220222.0</v>
      </c>
      <c r="F416" s="28">
        <v>1.1389881E7</v>
      </c>
    </row>
    <row r="417">
      <c r="A417" s="2" t="s">
        <v>413</v>
      </c>
      <c r="B417" s="2" t="s">
        <v>1411</v>
      </c>
      <c r="C417" s="2" t="s">
        <v>857</v>
      </c>
      <c r="D417" s="2" t="s">
        <v>786</v>
      </c>
      <c r="E417" s="28">
        <v>-300969.0</v>
      </c>
      <c r="F417" s="28">
        <v>1.1441021E7</v>
      </c>
    </row>
    <row r="418">
      <c r="A418" s="2" t="s">
        <v>1412</v>
      </c>
      <c r="B418" s="2" t="s">
        <v>1413</v>
      </c>
      <c r="C418" s="2" t="s">
        <v>857</v>
      </c>
      <c r="D418" s="2" t="s">
        <v>780</v>
      </c>
      <c r="E418" s="28">
        <v>-301647.0</v>
      </c>
      <c r="F418" s="28">
        <v>1.1440229E7</v>
      </c>
    </row>
    <row r="419">
      <c r="A419" s="2" t="s">
        <v>577</v>
      </c>
      <c r="B419" s="2" t="s">
        <v>1414</v>
      </c>
      <c r="C419" s="2" t="s">
        <v>857</v>
      </c>
      <c r="D419" s="2" t="s">
        <v>780</v>
      </c>
      <c r="E419" s="28">
        <v>-21935.0</v>
      </c>
      <c r="F419" s="28">
        <v>1.1390934E7</v>
      </c>
    </row>
    <row r="420">
      <c r="A420" s="2" t="s">
        <v>719</v>
      </c>
      <c r="B420" s="2" t="s">
        <v>1415</v>
      </c>
      <c r="C420" s="2" t="s">
        <v>782</v>
      </c>
      <c r="D420" s="2" t="s">
        <v>789</v>
      </c>
      <c r="E420" s="28">
        <v>-221055.0</v>
      </c>
      <c r="F420" s="28">
        <v>1.1392124E7</v>
      </c>
    </row>
    <row r="421">
      <c r="A421" s="2" t="s">
        <v>1416</v>
      </c>
      <c r="B421" s="2" t="s">
        <v>1417</v>
      </c>
      <c r="C421" s="2" t="s">
        <v>857</v>
      </c>
      <c r="D421" s="2" t="s">
        <v>786</v>
      </c>
      <c r="E421" s="28">
        <v>-220677.0</v>
      </c>
      <c r="F421" s="28">
        <v>1.1393435E7</v>
      </c>
    </row>
    <row r="422">
      <c r="A422" s="2" t="s">
        <v>1418</v>
      </c>
      <c r="B422" s="2" t="s">
        <v>1419</v>
      </c>
      <c r="C422" s="2" t="s">
        <v>857</v>
      </c>
      <c r="D422" s="2" t="s">
        <v>786</v>
      </c>
      <c r="E422" s="28">
        <v>-221505.0</v>
      </c>
      <c r="F422" s="28">
        <v>1.1391539E7</v>
      </c>
    </row>
    <row r="423">
      <c r="A423" s="2" t="s">
        <v>1420</v>
      </c>
      <c r="B423" s="2" t="s">
        <v>1421</v>
      </c>
      <c r="C423" s="2" t="s">
        <v>857</v>
      </c>
      <c r="D423" s="2" t="s">
        <v>786</v>
      </c>
      <c r="E423" s="28">
        <v>-217637.0</v>
      </c>
      <c r="F423" s="28">
        <v>1.1386553E7</v>
      </c>
    </row>
    <row r="424">
      <c r="A424" s="2" t="s">
        <v>1422</v>
      </c>
      <c r="B424" s="2" t="s">
        <v>1423</v>
      </c>
      <c r="C424" s="2" t="s">
        <v>857</v>
      </c>
      <c r="D424" s="2" t="s">
        <v>789</v>
      </c>
      <c r="E424" s="28">
        <v>-224233.0</v>
      </c>
      <c r="F424" s="28">
        <v>1.1387168E7</v>
      </c>
    </row>
    <row r="425">
      <c r="A425" s="2" t="s">
        <v>1424</v>
      </c>
      <c r="B425" s="2" t="s">
        <v>1425</v>
      </c>
      <c r="C425" s="2" t="s">
        <v>857</v>
      </c>
      <c r="D425" s="2" t="s">
        <v>786</v>
      </c>
      <c r="E425" s="28">
        <v>-223248.0</v>
      </c>
      <c r="F425" s="28">
        <v>1.1391965E7</v>
      </c>
    </row>
    <row r="426">
      <c r="A426" s="2" t="s">
        <v>1426</v>
      </c>
      <c r="B426" s="2" t="s">
        <v>1427</v>
      </c>
      <c r="C426" s="2" t="s">
        <v>857</v>
      </c>
      <c r="D426" s="2" t="s">
        <v>786</v>
      </c>
      <c r="E426" s="28">
        <v>-221339.0</v>
      </c>
      <c r="F426" s="28">
        <v>1.1391304E7</v>
      </c>
    </row>
    <row r="427">
      <c r="A427" s="2" t="s">
        <v>1428</v>
      </c>
      <c r="B427" s="2" t="s">
        <v>1429</v>
      </c>
      <c r="C427" s="2" t="s">
        <v>857</v>
      </c>
      <c r="D427" s="2" t="s">
        <v>786</v>
      </c>
      <c r="E427" s="28">
        <v>-219115.0</v>
      </c>
      <c r="F427" s="28">
        <v>1.1389203E7</v>
      </c>
    </row>
    <row r="428">
      <c r="A428" s="2" t="s">
        <v>1430</v>
      </c>
      <c r="B428" s="2" t="s">
        <v>1431</v>
      </c>
      <c r="C428" s="2" t="s">
        <v>857</v>
      </c>
      <c r="D428" s="2" t="s">
        <v>780</v>
      </c>
      <c r="E428" s="28">
        <v>-219353.0</v>
      </c>
      <c r="F428" s="28">
        <v>1.1389919E7</v>
      </c>
    </row>
    <row r="429">
      <c r="A429" s="2" t="s">
        <v>653</v>
      </c>
      <c r="B429" s="2" t="s">
        <v>1432</v>
      </c>
      <c r="C429" s="2" t="s">
        <v>857</v>
      </c>
      <c r="D429" s="2" t="s">
        <v>780</v>
      </c>
      <c r="E429" s="28">
        <v>-220237.0</v>
      </c>
      <c r="F429" s="28">
        <v>1.1388968E7</v>
      </c>
    </row>
    <row r="430">
      <c r="A430" s="2" t="s">
        <v>1433</v>
      </c>
      <c r="B430" s="2" t="s">
        <v>1434</v>
      </c>
      <c r="C430" s="2" t="s">
        <v>857</v>
      </c>
      <c r="D430" s="2" t="s">
        <v>786</v>
      </c>
      <c r="E430" s="28">
        <v>-218936.0</v>
      </c>
      <c r="F430" s="28">
        <v>1.1389949E7</v>
      </c>
    </row>
    <row r="431">
      <c r="A431" s="2" t="s">
        <v>1435</v>
      </c>
      <c r="B431" s="2" t="s">
        <v>1436</v>
      </c>
      <c r="C431" s="2" t="s">
        <v>857</v>
      </c>
      <c r="D431" s="2" t="s">
        <v>786</v>
      </c>
      <c r="E431" s="28">
        <v>-220808.0</v>
      </c>
      <c r="F431" s="28">
        <v>113913.0</v>
      </c>
    </row>
    <row r="432">
      <c r="A432" s="2" t="s">
        <v>1437</v>
      </c>
      <c r="B432" s="2" t="s">
        <v>1438</v>
      </c>
      <c r="C432" s="2" t="s">
        <v>857</v>
      </c>
      <c r="D432" s="2" t="s">
        <v>780</v>
      </c>
      <c r="E432" s="28">
        <v>-222833.0</v>
      </c>
      <c r="F432" s="28">
        <v>1.1389489E7</v>
      </c>
    </row>
    <row r="433">
      <c r="A433" s="2" t="s">
        <v>1439</v>
      </c>
      <c r="B433" s="2" t="s">
        <v>1440</v>
      </c>
      <c r="C433" s="2" t="s">
        <v>857</v>
      </c>
      <c r="D433" s="2" t="s">
        <v>786</v>
      </c>
      <c r="E433" s="28">
        <v>-219731.0</v>
      </c>
      <c r="F433" s="28">
        <v>1.1390507E7</v>
      </c>
    </row>
    <row r="434">
      <c r="A434" s="2" t="s">
        <v>1441</v>
      </c>
      <c r="B434" s="2" t="s">
        <v>1442</v>
      </c>
      <c r="C434" s="2" t="s">
        <v>857</v>
      </c>
      <c r="D434" s="2" t="s">
        <v>786</v>
      </c>
      <c r="E434" s="28">
        <v>-222119.0</v>
      </c>
      <c r="F434" s="28">
        <v>1.1390967E7</v>
      </c>
    </row>
    <row r="435">
      <c r="A435" s="2" t="s">
        <v>1443</v>
      </c>
      <c r="B435" s="2" t="s">
        <v>1444</v>
      </c>
      <c r="C435" s="2" t="s">
        <v>857</v>
      </c>
      <c r="D435" s="2" t="s">
        <v>780</v>
      </c>
      <c r="E435" s="28">
        <v>-219022.0</v>
      </c>
      <c r="F435" s="28">
        <v>1.1388436E7</v>
      </c>
    </row>
    <row r="436">
      <c r="A436" s="2" t="s">
        <v>1445</v>
      </c>
      <c r="B436" s="2" t="s">
        <v>1446</v>
      </c>
      <c r="C436" s="2" t="s">
        <v>857</v>
      </c>
      <c r="D436" s="2" t="s">
        <v>786</v>
      </c>
      <c r="E436" s="28">
        <v>-218461.0</v>
      </c>
      <c r="F436" s="28">
        <v>1.1389115E7</v>
      </c>
    </row>
    <row r="437">
      <c r="A437" s="2" t="s">
        <v>1447</v>
      </c>
      <c r="B437" s="2" t="s">
        <v>1448</v>
      </c>
      <c r="C437" s="2" t="s">
        <v>857</v>
      </c>
      <c r="D437" s="2" t="s">
        <v>780</v>
      </c>
      <c r="E437" s="28">
        <v>-221103.0</v>
      </c>
      <c r="F437" s="28">
        <v>1138914.0</v>
      </c>
    </row>
    <row r="438">
      <c r="A438" s="2" t="s">
        <v>1449</v>
      </c>
      <c r="B438" s="2" t="s">
        <v>1450</v>
      </c>
      <c r="C438" s="2" t="s">
        <v>857</v>
      </c>
      <c r="D438" s="2" t="s">
        <v>780</v>
      </c>
      <c r="E438" s="28">
        <v>-221963.0</v>
      </c>
      <c r="F438" s="28">
        <v>1.1389567E7</v>
      </c>
    </row>
    <row r="439">
      <c r="A439" s="2" t="s">
        <v>1451</v>
      </c>
      <c r="B439" s="2" t="s">
        <v>1452</v>
      </c>
      <c r="C439" s="2" t="s">
        <v>785</v>
      </c>
      <c r="D439" s="2" t="s">
        <v>786</v>
      </c>
      <c r="E439" s="28">
        <v>-319807.0</v>
      </c>
      <c r="F439" s="28">
        <v>1.1440495E7</v>
      </c>
    </row>
    <row r="440">
      <c r="A440" s="2" t="s">
        <v>1453</v>
      </c>
      <c r="B440" s="2" t="s">
        <v>1454</v>
      </c>
      <c r="C440" s="2" t="s">
        <v>857</v>
      </c>
      <c r="D440" s="2" t="s">
        <v>780</v>
      </c>
      <c r="E440" s="28">
        <v>-217958.0</v>
      </c>
      <c r="F440" s="28">
        <v>1.1387738E7</v>
      </c>
    </row>
    <row r="441">
      <c r="A441" s="2" t="s">
        <v>1455</v>
      </c>
      <c r="B441" s="2" t="s">
        <v>1456</v>
      </c>
      <c r="C441" s="2" t="s">
        <v>857</v>
      </c>
      <c r="D441" s="2" t="s">
        <v>780</v>
      </c>
      <c r="E441" s="28">
        <v>-221524.0</v>
      </c>
      <c r="F441" s="28">
        <v>1139034.0</v>
      </c>
    </row>
    <row r="442">
      <c r="A442" s="2" t="s">
        <v>1457</v>
      </c>
      <c r="B442" s="2" t="s">
        <v>1458</v>
      </c>
      <c r="C442" s="2" t="s">
        <v>857</v>
      </c>
      <c r="D442" s="2" t="s">
        <v>786</v>
      </c>
      <c r="E442" s="28">
        <v>-222645.0</v>
      </c>
      <c r="F442" s="28">
        <v>1139232.0</v>
      </c>
    </row>
    <row r="443">
      <c r="A443" s="2" t="s">
        <v>1459</v>
      </c>
      <c r="B443" s="2" t="s">
        <v>1460</v>
      </c>
      <c r="C443" s="2" t="s">
        <v>857</v>
      </c>
      <c r="D443" s="2" t="s">
        <v>786</v>
      </c>
      <c r="E443" s="28">
        <v>-221875.0</v>
      </c>
      <c r="F443" s="28">
        <v>1139157.0</v>
      </c>
    </row>
    <row r="444">
      <c r="A444" s="2" t="s">
        <v>409</v>
      </c>
      <c r="B444" s="2" t="s">
        <v>1461</v>
      </c>
      <c r="C444" s="2" t="s">
        <v>857</v>
      </c>
      <c r="D444" s="2" t="s">
        <v>789</v>
      </c>
      <c r="E444" s="28">
        <v>-221242.0</v>
      </c>
      <c r="F444" s="28">
        <v>1.1392265E7</v>
      </c>
    </row>
    <row r="445">
      <c r="A445" s="2" t="s">
        <v>431</v>
      </c>
      <c r="B445" s="2" t="s">
        <v>1462</v>
      </c>
      <c r="C445" s="2" t="s">
        <v>857</v>
      </c>
      <c r="D445" s="2" t="s">
        <v>789</v>
      </c>
      <c r="E445" s="28">
        <v>-222789.0</v>
      </c>
      <c r="F445" s="28">
        <v>1.1390704E7</v>
      </c>
    </row>
    <row r="446">
      <c r="A446" s="2" t="s">
        <v>1463</v>
      </c>
      <c r="B446" s="2" t="s">
        <v>1464</v>
      </c>
      <c r="C446" s="2" t="s">
        <v>857</v>
      </c>
      <c r="D446" s="2" t="s">
        <v>780</v>
      </c>
      <c r="E446" s="28">
        <v>-222788.0</v>
      </c>
      <c r="F446" s="28">
        <v>1138985.0</v>
      </c>
    </row>
    <row r="447">
      <c r="A447" s="2" t="s">
        <v>1465</v>
      </c>
      <c r="B447" s="2" t="s">
        <v>1466</v>
      </c>
      <c r="C447" s="2" t="s">
        <v>857</v>
      </c>
      <c r="D447" s="2" t="s">
        <v>786</v>
      </c>
      <c r="E447" s="28">
        <v>-22103.0</v>
      </c>
      <c r="F447" s="28">
        <v>1139013.0</v>
      </c>
    </row>
    <row r="448">
      <c r="A448" s="2" t="s">
        <v>1467</v>
      </c>
      <c r="B448" s="2" t="s">
        <v>1468</v>
      </c>
      <c r="C448" s="2" t="s">
        <v>857</v>
      </c>
      <c r="D448" s="2" t="s">
        <v>786</v>
      </c>
      <c r="E448" s="28">
        <v>-220099.0</v>
      </c>
      <c r="F448" s="28">
        <v>1.1388588E7</v>
      </c>
    </row>
    <row r="449">
      <c r="A449" s="2" t="s">
        <v>496</v>
      </c>
      <c r="B449" s="2" t="s">
        <v>1469</v>
      </c>
      <c r="C449" s="2" t="s">
        <v>857</v>
      </c>
      <c r="D449" s="2" t="s">
        <v>780</v>
      </c>
      <c r="E449" s="28">
        <v>-221495.0</v>
      </c>
      <c r="F449" s="28">
        <v>1.1392972E7</v>
      </c>
    </row>
    <row r="450">
      <c r="A450" s="2" t="s">
        <v>1470</v>
      </c>
      <c r="B450" s="2" t="s">
        <v>1471</v>
      </c>
      <c r="C450" s="2" t="s">
        <v>857</v>
      </c>
      <c r="D450" s="2" t="s">
        <v>786</v>
      </c>
      <c r="E450" s="28">
        <v>-218789.0</v>
      </c>
      <c r="F450" s="28">
        <v>1.1387808E7</v>
      </c>
    </row>
    <row r="451">
      <c r="A451" s="2" t="s">
        <v>1472</v>
      </c>
      <c r="B451" s="2" t="s">
        <v>1473</v>
      </c>
      <c r="C451" s="2" t="s">
        <v>857</v>
      </c>
      <c r="D451" s="2" t="s">
        <v>780</v>
      </c>
      <c r="E451" s="28">
        <v>-22101.0</v>
      </c>
      <c r="F451" s="28">
        <v>1.1393967E7</v>
      </c>
    </row>
    <row r="452">
      <c r="A452" s="2" t="s">
        <v>625</v>
      </c>
      <c r="B452" s="2" t="s">
        <v>1474</v>
      </c>
      <c r="C452" s="2" t="s">
        <v>857</v>
      </c>
      <c r="D452" s="2" t="s">
        <v>780</v>
      </c>
      <c r="E452" s="28">
        <v>-217451.0</v>
      </c>
      <c r="F452" s="28">
        <v>1.1387116E7</v>
      </c>
    </row>
    <row r="453">
      <c r="A453" s="2" t="s">
        <v>1475</v>
      </c>
      <c r="B453" s="2" t="s">
        <v>1476</v>
      </c>
      <c r="C453" s="2" t="s">
        <v>857</v>
      </c>
      <c r="D453" s="2" t="s">
        <v>780</v>
      </c>
      <c r="E453" s="28">
        <v>-217104.0</v>
      </c>
      <c r="F453" s="28">
        <v>1.1386376E7</v>
      </c>
    </row>
    <row r="454">
      <c r="A454" s="2" t="s">
        <v>591</v>
      </c>
      <c r="B454" s="2" t="s">
        <v>1477</v>
      </c>
      <c r="C454" s="2" t="s">
        <v>782</v>
      </c>
      <c r="D454" s="2" t="s">
        <v>780</v>
      </c>
      <c r="E454" s="28">
        <v>-222173.0</v>
      </c>
      <c r="F454" s="28">
        <v>113901.0</v>
      </c>
    </row>
    <row r="455">
      <c r="A455" s="2" t="s">
        <v>1478</v>
      </c>
      <c r="B455" s="2" t="s">
        <v>1479</v>
      </c>
      <c r="C455" s="2" t="s">
        <v>782</v>
      </c>
      <c r="D455" s="2" t="s">
        <v>786</v>
      </c>
      <c r="E455" s="28">
        <v>-220536.0</v>
      </c>
      <c r="F455" s="28">
        <v>1.1392129E7</v>
      </c>
    </row>
    <row r="456">
      <c r="A456" s="2" t="s">
        <v>1480</v>
      </c>
      <c r="B456" s="2" t="s">
        <v>1481</v>
      </c>
      <c r="C456" s="2" t="s">
        <v>782</v>
      </c>
      <c r="D456" s="2" t="s">
        <v>780</v>
      </c>
      <c r="E456" s="28">
        <v>-220865.0</v>
      </c>
      <c r="F456" s="28">
        <v>1.1392851E7</v>
      </c>
    </row>
    <row r="457">
      <c r="A457" s="2" t="s">
        <v>1482</v>
      </c>
      <c r="B457" s="2" t="s">
        <v>1483</v>
      </c>
      <c r="C457" s="2" t="s">
        <v>782</v>
      </c>
      <c r="D457" s="2" t="s">
        <v>786</v>
      </c>
      <c r="E457" s="28">
        <v>-220892.0</v>
      </c>
      <c r="F457" s="28">
        <v>1.1393391E7</v>
      </c>
    </row>
    <row r="458">
      <c r="A458" s="2" t="s">
        <v>1484</v>
      </c>
      <c r="B458" s="2" t="s">
        <v>1485</v>
      </c>
      <c r="C458" s="2" t="s">
        <v>857</v>
      </c>
      <c r="D458" s="2" t="s">
        <v>783</v>
      </c>
      <c r="E458" s="28">
        <v>-222127.0</v>
      </c>
      <c r="F458" s="28">
        <v>1.1391296E7</v>
      </c>
    </row>
    <row r="459">
      <c r="A459" s="2" t="s">
        <v>272</v>
      </c>
      <c r="B459" s="2" t="s">
        <v>1486</v>
      </c>
      <c r="C459" s="2" t="s">
        <v>857</v>
      </c>
      <c r="D459" s="2" t="s">
        <v>789</v>
      </c>
      <c r="E459" s="28">
        <v>-220162.0</v>
      </c>
      <c r="F459" s="28">
        <v>1.1393233E7</v>
      </c>
    </row>
    <row r="460">
      <c r="A460" s="2" t="s">
        <v>1487</v>
      </c>
      <c r="B460" s="2" t="s">
        <v>1488</v>
      </c>
      <c r="C460" s="2" t="s">
        <v>782</v>
      </c>
      <c r="D460" s="2" t="s">
        <v>786</v>
      </c>
      <c r="E460" s="28">
        <v>-219805.0</v>
      </c>
      <c r="F460" s="28">
        <v>1139381.0</v>
      </c>
    </row>
    <row r="461">
      <c r="A461" s="2" t="s">
        <v>1489</v>
      </c>
      <c r="B461" s="2" t="s">
        <v>1490</v>
      </c>
      <c r="C461" s="2" t="s">
        <v>785</v>
      </c>
      <c r="D461" s="2" t="s">
        <v>786</v>
      </c>
      <c r="E461" s="28">
        <v>-221141.0</v>
      </c>
      <c r="F461" s="28">
        <v>1.1390898E7</v>
      </c>
    </row>
    <row r="462">
      <c r="A462" s="2" t="s">
        <v>1491</v>
      </c>
      <c r="B462" s="2" t="s">
        <v>1492</v>
      </c>
      <c r="C462" s="2" t="s">
        <v>785</v>
      </c>
      <c r="D462" s="2" t="s">
        <v>786</v>
      </c>
      <c r="E462" s="28">
        <v>-220798.0</v>
      </c>
      <c r="F462" s="28">
        <v>1.1391484E7</v>
      </c>
    </row>
    <row r="463">
      <c r="A463" s="2" t="s">
        <v>604</v>
      </c>
      <c r="B463" s="2" t="s">
        <v>1493</v>
      </c>
      <c r="C463" s="2" t="s">
        <v>782</v>
      </c>
      <c r="D463" s="2" t="s">
        <v>780</v>
      </c>
      <c r="E463" s="28">
        <v>-314775.0</v>
      </c>
      <c r="F463" s="28">
        <v>1.1437668E7</v>
      </c>
    </row>
    <row r="464">
      <c r="A464" s="2" t="s">
        <v>1494</v>
      </c>
      <c r="B464" s="2" t="s">
        <v>1495</v>
      </c>
      <c r="C464" s="2" t="s">
        <v>785</v>
      </c>
      <c r="D464" s="2" t="s">
        <v>786</v>
      </c>
      <c r="E464" s="28">
        <v>-220981.0</v>
      </c>
      <c r="F464" s="28">
        <v>1.1391173E7</v>
      </c>
    </row>
    <row r="465">
      <c r="A465" s="2" t="s">
        <v>1496</v>
      </c>
      <c r="B465" s="2" t="s">
        <v>1497</v>
      </c>
      <c r="C465" s="2" t="s">
        <v>857</v>
      </c>
      <c r="D465" s="2" t="s">
        <v>789</v>
      </c>
      <c r="E465" s="28">
        <v>-218206.0</v>
      </c>
      <c r="F465" s="28">
        <v>1.1385105E7</v>
      </c>
    </row>
    <row r="466">
      <c r="A466" s="2" t="s">
        <v>1498</v>
      </c>
      <c r="B466" s="2" t="s">
        <v>1499</v>
      </c>
      <c r="C466" s="2" t="s">
        <v>782</v>
      </c>
      <c r="D466" s="2" t="s">
        <v>780</v>
      </c>
      <c r="E466" s="28">
        <v>-221185.0</v>
      </c>
      <c r="F466" s="28">
        <v>1.1392948E7</v>
      </c>
    </row>
    <row r="467">
      <c r="A467" s="2" t="s">
        <v>1500</v>
      </c>
      <c r="B467" s="2" t="s">
        <v>1501</v>
      </c>
      <c r="C467" s="2" t="s">
        <v>782</v>
      </c>
      <c r="D467" s="2" t="s">
        <v>780</v>
      </c>
      <c r="E467" s="28">
        <v>-222656.0</v>
      </c>
      <c r="F467" s="28">
        <v>1.1393067E7</v>
      </c>
    </row>
    <row r="468">
      <c r="A468" s="2" t="s">
        <v>715</v>
      </c>
      <c r="B468" s="2" t="s">
        <v>1502</v>
      </c>
      <c r="C468" s="2" t="s">
        <v>782</v>
      </c>
      <c r="D468" s="2" t="s">
        <v>786</v>
      </c>
      <c r="E468" s="28">
        <v>-222667.0</v>
      </c>
      <c r="F468" s="28">
        <v>1.1392566E7</v>
      </c>
    </row>
    <row r="469">
      <c r="A469" s="2" t="s">
        <v>1503</v>
      </c>
      <c r="B469" s="2" t="s">
        <v>1504</v>
      </c>
      <c r="C469" s="2" t="s">
        <v>785</v>
      </c>
      <c r="D469" s="2" t="s">
        <v>789</v>
      </c>
      <c r="E469" s="28">
        <v>-216822.0</v>
      </c>
      <c r="F469" s="28">
        <v>1.1385744E7</v>
      </c>
    </row>
    <row r="470">
      <c r="A470" s="2" t="s">
        <v>1505</v>
      </c>
      <c r="B470" s="2" t="s">
        <v>1506</v>
      </c>
      <c r="C470" s="2" t="s">
        <v>782</v>
      </c>
      <c r="D470" s="2" t="s">
        <v>780</v>
      </c>
      <c r="E470" s="28">
        <v>-223772.0</v>
      </c>
      <c r="F470" s="28">
        <v>1.1392481E7</v>
      </c>
    </row>
    <row r="471">
      <c r="A471" s="2" t="s">
        <v>343</v>
      </c>
      <c r="B471" s="2" t="s">
        <v>1507</v>
      </c>
      <c r="C471" s="2" t="s">
        <v>782</v>
      </c>
      <c r="D471" s="2" t="s">
        <v>786</v>
      </c>
      <c r="E471" s="28">
        <v>-222518.0</v>
      </c>
      <c r="F471" s="28">
        <v>1.1391264E7</v>
      </c>
    </row>
    <row r="472">
      <c r="A472" s="2" t="s">
        <v>1508</v>
      </c>
      <c r="B472" s="2" t="s">
        <v>1509</v>
      </c>
      <c r="C472" s="2" t="s">
        <v>782</v>
      </c>
      <c r="D472" s="2" t="s">
        <v>786</v>
      </c>
      <c r="E472" s="28">
        <v>-222333.0</v>
      </c>
      <c r="F472" s="28">
        <v>1.1393474E7</v>
      </c>
    </row>
    <row r="473">
      <c r="A473" s="2" t="s">
        <v>226</v>
      </c>
      <c r="B473" s="2" t="s">
        <v>1510</v>
      </c>
      <c r="C473" s="2" t="s">
        <v>782</v>
      </c>
      <c r="D473" s="2" t="s">
        <v>786</v>
      </c>
      <c r="E473" s="28">
        <v>-2207.0</v>
      </c>
      <c r="F473" s="28">
        <v>1.1390364E7</v>
      </c>
    </row>
    <row r="474">
      <c r="A474" s="2" t="s">
        <v>601</v>
      </c>
      <c r="B474" s="2" t="s">
        <v>1511</v>
      </c>
      <c r="C474" s="2" t="s">
        <v>779</v>
      </c>
      <c r="D474" s="2" t="s">
        <v>789</v>
      </c>
      <c r="E474" s="28">
        <v>-277751.0</v>
      </c>
      <c r="F474" s="28">
        <v>114275.0</v>
      </c>
    </row>
    <row r="475">
      <c r="A475" s="2" t="s">
        <v>228</v>
      </c>
      <c r="B475" s="2" t="s">
        <v>1512</v>
      </c>
      <c r="C475" s="2" t="s">
        <v>782</v>
      </c>
      <c r="D475" s="2" t="s">
        <v>786</v>
      </c>
      <c r="E475" s="28">
        <v>-219193.0</v>
      </c>
      <c r="F475" s="28">
        <v>1.1390138E7</v>
      </c>
    </row>
    <row r="476">
      <c r="A476" s="2" t="s">
        <v>401</v>
      </c>
      <c r="B476" s="2" t="s">
        <v>1513</v>
      </c>
      <c r="C476" s="2" t="s">
        <v>782</v>
      </c>
      <c r="D476" s="2" t="s">
        <v>786</v>
      </c>
      <c r="E476" s="28">
        <v>-221161.0</v>
      </c>
      <c r="F476" s="28">
        <v>1.1392738E7</v>
      </c>
    </row>
    <row r="477">
      <c r="A477" s="2" t="s">
        <v>393</v>
      </c>
      <c r="B477" s="2" t="s">
        <v>1514</v>
      </c>
      <c r="C477" s="2" t="s">
        <v>785</v>
      </c>
      <c r="D477" s="2" t="s">
        <v>789</v>
      </c>
      <c r="E477" s="28">
        <v>-222688.0</v>
      </c>
      <c r="F477" s="28">
        <v>1.1388348E7</v>
      </c>
    </row>
    <row r="478">
      <c r="A478" s="2" t="s">
        <v>1515</v>
      </c>
      <c r="B478" s="2" t="s">
        <v>1516</v>
      </c>
      <c r="C478" s="2" t="s">
        <v>785</v>
      </c>
      <c r="D478" s="2" t="s">
        <v>780</v>
      </c>
      <c r="E478" s="28">
        <v>-222468.0</v>
      </c>
      <c r="F478" s="28">
        <v>1.1389207E7</v>
      </c>
    </row>
    <row r="479">
      <c r="A479" s="2" t="s">
        <v>182</v>
      </c>
      <c r="B479" s="2" t="s">
        <v>1517</v>
      </c>
      <c r="C479" s="2" t="s">
        <v>779</v>
      </c>
      <c r="D479" s="2" t="s">
        <v>789</v>
      </c>
      <c r="E479" s="28">
        <v>-295947.0</v>
      </c>
      <c r="F479" s="28">
        <v>1.1415633E7</v>
      </c>
    </row>
    <row r="480">
      <c r="A480" s="2" t="s">
        <v>1518</v>
      </c>
      <c r="B480" s="2" t="s">
        <v>1519</v>
      </c>
      <c r="C480" s="2" t="s">
        <v>782</v>
      </c>
      <c r="D480" s="2" t="s">
        <v>786</v>
      </c>
      <c r="E480" s="28">
        <v>-218358.0</v>
      </c>
      <c r="F480" s="28">
        <v>1138839.0</v>
      </c>
    </row>
    <row r="481">
      <c r="A481" s="2" t="s">
        <v>1520</v>
      </c>
      <c r="B481" s="2" t="s">
        <v>1521</v>
      </c>
      <c r="C481" s="2" t="s">
        <v>785</v>
      </c>
      <c r="D481" s="2" t="s">
        <v>786</v>
      </c>
      <c r="E481" s="28">
        <v>-220943.0</v>
      </c>
      <c r="F481" s="28">
        <v>1.1389484E7</v>
      </c>
    </row>
    <row r="482">
      <c r="A482" s="2" t="s">
        <v>1522</v>
      </c>
      <c r="B482" s="2" t="s">
        <v>1523</v>
      </c>
      <c r="C482" s="2" t="s">
        <v>785</v>
      </c>
      <c r="D482" s="2" t="s">
        <v>780</v>
      </c>
      <c r="E482" s="28">
        <v>-220546.0</v>
      </c>
      <c r="F482" s="28">
        <v>1.1388503E7</v>
      </c>
    </row>
    <row r="483">
      <c r="A483" s="2" t="s">
        <v>1524</v>
      </c>
      <c r="B483" s="2" t="s">
        <v>1525</v>
      </c>
      <c r="C483" s="2" t="s">
        <v>782</v>
      </c>
      <c r="D483" s="2" t="s">
        <v>780</v>
      </c>
      <c r="E483" s="28">
        <v>-180681.0</v>
      </c>
      <c r="F483" s="28">
        <v>1.1368099E7</v>
      </c>
    </row>
    <row r="484">
      <c r="A484" s="2" t="s">
        <v>271</v>
      </c>
      <c r="B484" s="2" t="s">
        <v>1526</v>
      </c>
      <c r="C484" s="2" t="s">
        <v>785</v>
      </c>
      <c r="D484" s="2" t="s">
        <v>780</v>
      </c>
      <c r="E484" s="28">
        <v>-198125.0</v>
      </c>
      <c r="F484" s="28">
        <v>1.1375989E7</v>
      </c>
    </row>
    <row r="485">
      <c r="A485" s="2" t="s">
        <v>314</v>
      </c>
      <c r="B485" s="2" t="s">
        <v>1527</v>
      </c>
      <c r="C485" s="2" t="s">
        <v>779</v>
      </c>
      <c r="D485" s="2" t="s">
        <v>789</v>
      </c>
      <c r="E485" s="28">
        <v>-199371.0</v>
      </c>
      <c r="F485" s="28">
        <v>1.1395425E7</v>
      </c>
    </row>
    <row r="486">
      <c r="A486" s="2" t="s">
        <v>468</v>
      </c>
      <c r="B486" s="2" t="s">
        <v>1528</v>
      </c>
      <c r="C486" s="2" t="s">
        <v>785</v>
      </c>
      <c r="D486" s="2" t="s">
        <v>789</v>
      </c>
      <c r="E486" s="28">
        <v>-224174.0</v>
      </c>
      <c r="F486" s="28">
        <v>1.1391588E7</v>
      </c>
    </row>
    <row r="487">
      <c r="A487" s="2" t="s">
        <v>1529</v>
      </c>
      <c r="B487" s="2" t="s">
        <v>1530</v>
      </c>
      <c r="C487" s="2" t="s">
        <v>785</v>
      </c>
      <c r="D487" s="2" t="s">
        <v>786</v>
      </c>
      <c r="E487" s="28">
        <v>-221786.0</v>
      </c>
      <c r="F487" s="28">
        <v>1.1392894E7</v>
      </c>
    </row>
    <row r="488">
      <c r="A488" s="2" t="s">
        <v>1531</v>
      </c>
      <c r="B488" s="2" t="s">
        <v>1532</v>
      </c>
      <c r="C488" s="2" t="s">
        <v>782</v>
      </c>
      <c r="D488" s="2" t="s">
        <v>786</v>
      </c>
      <c r="E488" s="28">
        <v>-221916.0</v>
      </c>
      <c r="F488" s="28">
        <v>1.1393762E7</v>
      </c>
    </row>
    <row r="489">
      <c r="A489" s="2" t="s">
        <v>216</v>
      </c>
      <c r="B489" s="2" t="s">
        <v>1533</v>
      </c>
      <c r="C489" s="2" t="s">
        <v>785</v>
      </c>
      <c r="D489" s="2" t="s">
        <v>786</v>
      </c>
      <c r="E489" s="28">
        <v>-223469.0</v>
      </c>
      <c r="F489" s="28">
        <v>1.1393324E7</v>
      </c>
    </row>
    <row r="490">
      <c r="A490" s="2" t="s">
        <v>234</v>
      </c>
      <c r="B490" s="2" t="s">
        <v>1534</v>
      </c>
      <c r="C490" s="2" t="s">
        <v>785</v>
      </c>
      <c r="D490" s="2" t="s">
        <v>780</v>
      </c>
      <c r="E490" s="28">
        <v>-223612.0</v>
      </c>
      <c r="F490" s="28">
        <v>1.1393729E7</v>
      </c>
    </row>
    <row r="491">
      <c r="A491" s="2" t="s">
        <v>1535</v>
      </c>
      <c r="B491" s="2" t="s">
        <v>1536</v>
      </c>
      <c r="C491" s="2" t="s">
        <v>785</v>
      </c>
      <c r="D491" s="2" t="s">
        <v>789</v>
      </c>
      <c r="E491" s="28">
        <v>-221479.0</v>
      </c>
      <c r="F491" s="28">
        <v>1.1389144E7</v>
      </c>
    </row>
    <row r="492">
      <c r="A492" s="2" t="s">
        <v>1537</v>
      </c>
      <c r="B492" s="2" t="s">
        <v>1538</v>
      </c>
      <c r="C492" s="2" t="s">
        <v>782</v>
      </c>
      <c r="D492" s="2" t="s">
        <v>789</v>
      </c>
      <c r="E492" s="28">
        <v>-342034.0</v>
      </c>
      <c r="F492" s="28">
        <v>1.1428614E7</v>
      </c>
    </row>
    <row r="493">
      <c r="A493" s="2" t="s">
        <v>1539</v>
      </c>
      <c r="B493" s="2" t="s">
        <v>1540</v>
      </c>
      <c r="C493" s="2" t="s">
        <v>857</v>
      </c>
      <c r="D493" s="2" t="s">
        <v>789</v>
      </c>
      <c r="E493" s="28">
        <v>-216095.0</v>
      </c>
      <c r="F493" s="28">
        <v>1.1384501E7</v>
      </c>
    </row>
    <row r="494">
      <c r="A494" s="2" t="s">
        <v>1541</v>
      </c>
      <c r="B494" s="2" t="s">
        <v>1542</v>
      </c>
      <c r="C494" s="2" t="s">
        <v>785</v>
      </c>
      <c r="D494" s="2" t="s">
        <v>789</v>
      </c>
      <c r="E494" s="28">
        <v>-224369.0</v>
      </c>
      <c r="F494" s="28">
        <v>1.1388959E7</v>
      </c>
    </row>
    <row r="495">
      <c r="A495" s="2" t="s">
        <v>1543</v>
      </c>
      <c r="B495" s="2" t="s">
        <v>1544</v>
      </c>
      <c r="C495" s="2" t="s">
        <v>782</v>
      </c>
      <c r="D495" s="2" t="s">
        <v>780</v>
      </c>
      <c r="E495" s="28">
        <v>-221044.0</v>
      </c>
      <c r="F495" s="28">
        <v>1.1390568E7</v>
      </c>
    </row>
    <row r="496">
      <c r="A496" s="2" t="s">
        <v>1545</v>
      </c>
      <c r="B496" s="2" t="s">
        <v>1546</v>
      </c>
      <c r="C496" s="2" t="s">
        <v>779</v>
      </c>
      <c r="D496" s="2" t="s">
        <v>789</v>
      </c>
      <c r="E496" s="28">
        <v>-129721.0</v>
      </c>
      <c r="F496" s="28">
        <v>1.1357006E7</v>
      </c>
    </row>
    <row r="497">
      <c r="A497" s="2" t="s">
        <v>1547</v>
      </c>
      <c r="B497" s="2" t="s">
        <v>1548</v>
      </c>
      <c r="C497" s="2" t="s">
        <v>785</v>
      </c>
      <c r="D497" s="2" t="s">
        <v>789</v>
      </c>
      <c r="E497" s="28">
        <v>-223282.0</v>
      </c>
      <c r="F497" s="28">
        <v>1.1390281E7</v>
      </c>
    </row>
    <row r="498">
      <c r="A498" s="2" t="s">
        <v>1549</v>
      </c>
      <c r="B498" s="2" t="s">
        <v>1550</v>
      </c>
      <c r="C498" s="2" t="s">
        <v>782</v>
      </c>
      <c r="D498" s="2" t="s">
        <v>789</v>
      </c>
      <c r="E498" s="28">
        <v>-221845.0</v>
      </c>
      <c r="F498" s="28">
        <v>1.1392004E7</v>
      </c>
    </row>
    <row r="499">
      <c r="A499" s="2" t="s">
        <v>1551</v>
      </c>
      <c r="B499" s="2" t="s">
        <v>1552</v>
      </c>
      <c r="C499" s="2" t="s">
        <v>785</v>
      </c>
      <c r="D499" s="2" t="s">
        <v>786</v>
      </c>
      <c r="E499" s="28">
        <v>-219704.0</v>
      </c>
      <c r="F499" s="28">
        <v>1138836.0</v>
      </c>
    </row>
    <row r="500">
      <c r="A500" s="2" t="s">
        <v>1553</v>
      </c>
      <c r="B500" s="2" t="s">
        <v>1554</v>
      </c>
      <c r="C500" s="2" t="s">
        <v>782</v>
      </c>
      <c r="D500" s="2" t="s">
        <v>786</v>
      </c>
      <c r="E500" s="28">
        <v>-312238.0</v>
      </c>
      <c r="F500" s="28">
        <v>1144798.0</v>
      </c>
    </row>
    <row r="501">
      <c r="A501" s="2" t="s">
        <v>506</v>
      </c>
      <c r="B501" s="2" t="s">
        <v>1555</v>
      </c>
      <c r="C501" s="2" t="s">
        <v>785</v>
      </c>
      <c r="D501" s="2" t="s">
        <v>786</v>
      </c>
      <c r="E501" s="28">
        <v>-219733.0</v>
      </c>
      <c r="F501" s="28">
        <v>1.1390839E7</v>
      </c>
    </row>
    <row r="502">
      <c r="A502" s="2" t="s">
        <v>224</v>
      </c>
      <c r="B502" s="2" t="s">
        <v>1556</v>
      </c>
      <c r="C502" s="2" t="s">
        <v>785</v>
      </c>
      <c r="D502" s="2" t="s">
        <v>786</v>
      </c>
      <c r="E502" s="28">
        <v>-221529.0</v>
      </c>
      <c r="F502" s="28">
        <v>1.1391151E7</v>
      </c>
    </row>
    <row r="503">
      <c r="A503" s="2" t="s">
        <v>741</v>
      </c>
      <c r="B503" s="2" t="s">
        <v>1557</v>
      </c>
      <c r="C503" s="2" t="s">
        <v>785</v>
      </c>
      <c r="D503" s="2" t="s">
        <v>786</v>
      </c>
      <c r="E503" s="28">
        <v>-220438.0</v>
      </c>
      <c r="F503" s="28">
        <v>1.1393584E7</v>
      </c>
    </row>
    <row r="504">
      <c r="A504" s="2" t="s">
        <v>375</v>
      </c>
      <c r="B504" s="2" t="s">
        <v>1558</v>
      </c>
      <c r="C504" s="2" t="s">
        <v>782</v>
      </c>
      <c r="D504" s="2" t="s">
        <v>780</v>
      </c>
      <c r="E504" s="28">
        <v>-217872.0</v>
      </c>
      <c r="F504" s="28">
        <v>1138836.0</v>
      </c>
    </row>
    <row r="505">
      <c r="A505" s="2" t="s">
        <v>307</v>
      </c>
      <c r="B505" s="2" t="s">
        <v>1559</v>
      </c>
      <c r="C505" s="2" t="s">
        <v>785</v>
      </c>
      <c r="D505" s="2" t="s">
        <v>786</v>
      </c>
      <c r="E505" s="28">
        <v>-221569.0</v>
      </c>
      <c r="F505" s="28">
        <v>1.1391816E7</v>
      </c>
    </row>
    <row r="506">
      <c r="A506" s="2" t="s">
        <v>1560</v>
      </c>
      <c r="B506" s="2" t="s">
        <v>1561</v>
      </c>
      <c r="C506" s="2" t="s">
        <v>782</v>
      </c>
      <c r="D506" s="2" t="s">
        <v>786</v>
      </c>
      <c r="E506" s="28">
        <v>-220712.0</v>
      </c>
      <c r="F506" s="28">
        <v>1.1393845E7</v>
      </c>
    </row>
    <row r="507">
      <c r="A507" s="2" t="s">
        <v>1562</v>
      </c>
      <c r="B507" s="2" t="s">
        <v>1563</v>
      </c>
      <c r="C507" s="2" t="s">
        <v>782</v>
      </c>
      <c r="D507" s="2" t="s">
        <v>786</v>
      </c>
      <c r="E507" s="28">
        <v>-22015.0</v>
      </c>
      <c r="F507" s="28">
        <v>1.1391714E7</v>
      </c>
    </row>
    <row r="508">
      <c r="A508" s="2" t="s">
        <v>1564</v>
      </c>
      <c r="B508" s="2" t="s">
        <v>1565</v>
      </c>
      <c r="C508" s="2" t="s">
        <v>857</v>
      </c>
      <c r="D508" s="2" t="s">
        <v>786</v>
      </c>
      <c r="E508" s="28">
        <v>-219654.0</v>
      </c>
      <c r="F508" s="28">
        <v>1.1391447E7</v>
      </c>
    </row>
    <row r="509">
      <c r="A509" s="2" t="s">
        <v>1566</v>
      </c>
      <c r="B509" s="2" t="s">
        <v>1567</v>
      </c>
      <c r="C509" s="2" t="s">
        <v>785</v>
      </c>
      <c r="D509" s="2" t="s">
        <v>786</v>
      </c>
      <c r="E509" s="28">
        <v>-205907.0</v>
      </c>
      <c r="F509" s="28">
        <v>1.1376648E7</v>
      </c>
    </row>
    <row r="510">
      <c r="A510" s="2" t="s">
        <v>1568</v>
      </c>
      <c r="B510" s="2" t="s">
        <v>1569</v>
      </c>
      <c r="C510" s="2" t="s">
        <v>857</v>
      </c>
      <c r="D510" s="2" t="s">
        <v>786</v>
      </c>
      <c r="E510" s="28">
        <v>-220426.0</v>
      </c>
      <c r="F510" s="28">
        <v>1.1389446E7</v>
      </c>
    </row>
    <row r="511">
      <c r="A511" s="2" t="s">
        <v>564</v>
      </c>
      <c r="B511" s="2" t="s">
        <v>1570</v>
      </c>
      <c r="C511" s="2" t="s">
        <v>857</v>
      </c>
      <c r="D511" s="2" t="s">
        <v>783</v>
      </c>
      <c r="E511" s="28">
        <v>-221653.0</v>
      </c>
      <c r="F511" s="28">
        <v>1.1386711E7</v>
      </c>
    </row>
    <row r="512">
      <c r="A512" s="2" t="s">
        <v>1571</v>
      </c>
      <c r="B512" s="2" t="s">
        <v>1572</v>
      </c>
      <c r="C512" s="2" t="s">
        <v>857</v>
      </c>
      <c r="D512" s="2" t="s">
        <v>789</v>
      </c>
      <c r="E512" s="28">
        <v>-22091.0</v>
      </c>
      <c r="F512" s="28">
        <v>1.1393732E7</v>
      </c>
    </row>
    <row r="513">
      <c r="A513" s="2" t="s">
        <v>629</v>
      </c>
      <c r="B513" s="2" t="s">
        <v>1573</v>
      </c>
      <c r="C513" s="2" t="s">
        <v>782</v>
      </c>
      <c r="D513" s="2" t="s">
        <v>780</v>
      </c>
      <c r="E513" s="28">
        <v>-220317.0</v>
      </c>
      <c r="F513" s="28">
        <v>1.1391773E7</v>
      </c>
    </row>
    <row r="514">
      <c r="A514" s="2" t="s">
        <v>1574</v>
      </c>
      <c r="B514" s="2" t="s">
        <v>1575</v>
      </c>
      <c r="C514" s="2" t="s">
        <v>857</v>
      </c>
      <c r="D514" s="2" t="s">
        <v>780</v>
      </c>
      <c r="E514" s="28">
        <v>-303089.0</v>
      </c>
      <c r="F514" s="28">
        <v>1.1439419E7</v>
      </c>
    </row>
    <row r="515">
      <c r="A515" s="2" t="s">
        <v>1576</v>
      </c>
      <c r="B515" s="2" t="s">
        <v>1577</v>
      </c>
      <c r="C515" s="2" t="s">
        <v>1011</v>
      </c>
      <c r="D515" s="2" t="s">
        <v>780</v>
      </c>
      <c r="E515" s="28">
        <v>-2.2067001E7</v>
      </c>
      <c r="F515" s="28">
        <v>1.139149704E9</v>
      </c>
    </row>
    <row r="516">
      <c r="A516" s="2" t="s">
        <v>1578</v>
      </c>
      <c r="B516" s="2" t="s">
        <v>1579</v>
      </c>
      <c r="C516" s="2" t="s">
        <v>785</v>
      </c>
      <c r="D516" s="2" t="s">
        <v>780</v>
      </c>
      <c r="E516" s="28">
        <v>-223205.0</v>
      </c>
      <c r="F516" s="28">
        <v>1.1394056E7</v>
      </c>
    </row>
    <row r="517">
      <c r="A517" s="2" t="s">
        <v>711</v>
      </c>
      <c r="B517" s="2" t="s">
        <v>1580</v>
      </c>
      <c r="C517" s="2" t="s">
        <v>1011</v>
      </c>
      <c r="D517" s="2" t="s">
        <v>786</v>
      </c>
      <c r="E517" s="28">
        <v>-221434.0</v>
      </c>
      <c r="F517" s="28">
        <v>1.1390558E7</v>
      </c>
    </row>
    <row r="518">
      <c r="A518" s="2" t="s">
        <v>316</v>
      </c>
      <c r="B518" s="2" t="s">
        <v>1581</v>
      </c>
      <c r="C518" s="2" t="s">
        <v>782</v>
      </c>
      <c r="D518" s="2" t="s">
        <v>789</v>
      </c>
      <c r="E518" s="28">
        <v>-207455.0</v>
      </c>
      <c r="F518" s="28">
        <v>1139481.0</v>
      </c>
    </row>
    <row r="519">
      <c r="A519" s="2" t="s">
        <v>1582</v>
      </c>
      <c r="B519" s="2" t="s">
        <v>1583</v>
      </c>
      <c r="C519" s="2" t="s">
        <v>782</v>
      </c>
      <c r="D519" s="2" t="s">
        <v>786</v>
      </c>
      <c r="E519" s="28">
        <v>-301957.0</v>
      </c>
      <c r="F519" s="28">
        <v>1.1438944E7</v>
      </c>
    </row>
    <row r="520">
      <c r="A520" s="2" t="s">
        <v>1584</v>
      </c>
      <c r="B520" s="2" t="s">
        <v>1585</v>
      </c>
      <c r="C520" s="2" t="s">
        <v>857</v>
      </c>
      <c r="D520" s="2" t="s">
        <v>789</v>
      </c>
      <c r="E520" s="28">
        <v>-22046.0</v>
      </c>
      <c r="F520" s="28">
        <v>1.1387601E7</v>
      </c>
    </row>
    <row r="521">
      <c r="A521" s="2" t="s">
        <v>270</v>
      </c>
      <c r="B521" s="2" t="s">
        <v>1586</v>
      </c>
      <c r="C521" s="2" t="s">
        <v>857</v>
      </c>
      <c r="D521" s="2" t="s">
        <v>780</v>
      </c>
      <c r="E521" s="28">
        <v>-218776.0</v>
      </c>
      <c r="F521" s="28">
        <v>1.1386294E7</v>
      </c>
    </row>
    <row r="522">
      <c r="A522" s="2" t="s">
        <v>1587</v>
      </c>
      <c r="B522" s="2" t="s">
        <v>1588</v>
      </c>
      <c r="C522" s="2" t="s">
        <v>779</v>
      </c>
      <c r="D522" s="2" t="s">
        <v>858</v>
      </c>
      <c r="E522" s="28">
        <v>-1121767.0</v>
      </c>
      <c r="F522" s="28">
        <v>1.14482933E8</v>
      </c>
    </row>
    <row r="523">
      <c r="A523" s="2" t="s">
        <v>1589</v>
      </c>
      <c r="B523" s="2" t="s">
        <v>1590</v>
      </c>
      <c r="C523" s="2" t="s">
        <v>782</v>
      </c>
      <c r="D523" s="2" t="s">
        <v>786</v>
      </c>
      <c r="E523" s="28">
        <v>-300257.0</v>
      </c>
      <c r="F523" s="28">
        <v>1.1439073E7</v>
      </c>
    </row>
    <row r="524">
      <c r="A524" s="2" t="s">
        <v>1591</v>
      </c>
      <c r="B524" s="2" t="s">
        <v>1592</v>
      </c>
      <c r="C524" s="2" t="s">
        <v>782</v>
      </c>
      <c r="D524" s="2" t="s">
        <v>786</v>
      </c>
      <c r="E524" s="28">
        <v>-221704.0</v>
      </c>
      <c r="F524" s="28">
        <v>1.1390745E7</v>
      </c>
    </row>
    <row r="525">
      <c r="A525" s="2" t="s">
        <v>528</v>
      </c>
      <c r="B525" s="2" t="s">
        <v>1593</v>
      </c>
      <c r="C525" s="2" t="s">
        <v>782</v>
      </c>
      <c r="D525" s="2" t="s">
        <v>789</v>
      </c>
      <c r="E525" s="28">
        <v>-214532.0</v>
      </c>
      <c r="F525" s="28">
        <v>1.1383375E7</v>
      </c>
    </row>
    <row r="526">
      <c r="A526" s="2" t="s">
        <v>134</v>
      </c>
      <c r="B526" s="2" t="s">
        <v>1594</v>
      </c>
      <c r="C526" s="2" t="s">
        <v>779</v>
      </c>
      <c r="D526" s="2" t="s">
        <v>858</v>
      </c>
      <c r="E526" s="28">
        <v>-172205.0</v>
      </c>
      <c r="F526" s="28">
        <v>1.1447972E7</v>
      </c>
    </row>
    <row r="527">
      <c r="A527" s="2" t="s">
        <v>1595</v>
      </c>
      <c r="B527" s="2" t="s">
        <v>1596</v>
      </c>
      <c r="C527" s="2" t="s">
        <v>782</v>
      </c>
      <c r="D527" s="2" t="s">
        <v>786</v>
      </c>
      <c r="E527" s="28">
        <v>-222155.0</v>
      </c>
      <c r="F527" s="28">
        <v>1.1391689E7</v>
      </c>
    </row>
    <row r="528">
      <c r="A528" s="2" t="s">
        <v>1597</v>
      </c>
      <c r="B528" s="2" t="s">
        <v>1598</v>
      </c>
      <c r="C528" s="2" t="s">
        <v>857</v>
      </c>
      <c r="D528" s="2" t="s">
        <v>786</v>
      </c>
      <c r="E528" s="28">
        <v>-2991.0</v>
      </c>
      <c r="F528" s="28">
        <v>1.1442744E7</v>
      </c>
    </row>
    <row r="529">
      <c r="A529" s="2" t="s">
        <v>1599</v>
      </c>
      <c r="B529" s="2" t="s">
        <v>1600</v>
      </c>
      <c r="C529" s="2" t="s">
        <v>782</v>
      </c>
      <c r="D529" s="2" t="s">
        <v>789</v>
      </c>
      <c r="E529" s="28">
        <v>-164566.0</v>
      </c>
      <c r="F529" s="28">
        <v>1.1369182E7</v>
      </c>
    </row>
    <row r="530">
      <c r="A530" s="2" t="s">
        <v>748</v>
      </c>
      <c r="B530" s="2" t="s">
        <v>1601</v>
      </c>
      <c r="C530" s="2" t="s">
        <v>785</v>
      </c>
      <c r="D530" s="2" t="s">
        <v>786</v>
      </c>
      <c r="E530" s="28">
        <v>-208528.0</v>
      </c>
      <c r="F530" s="28">
        <v>1139441.0</v>
      </c>
    </row>
    <row r="531">
      <c r="A531" s="2" t="s">
        <v>436</v>
      </c>
      <c r="B531" s="2" t="s">
        <v>1602</v>
      </c>
      <c r="C531" s="2" t="s">
        <v>782</v>
      </c>
      <c r="D531" s="2" t="s">
        <v>786</v>
      </c>
      <c r="E531" s="28">
        <v>-308008.0</v>
      </c>
      <c r="F531" s="28">
        <v>1144406.0</v>
      </c>
    </row>
    <row r="532">
      <c r="A532" s="2" t="s">
        <v>479</v>
      </c>
      <c r="B532" s="2" t="s">
        <v>1603</v>
      </c>
      <c r="C532" s="2" t="s">
        <v>782</v>
      </c>
      <c r="D532" s="2" t="s">
        <v>783</v>
      </c>
      <c r="E532" s="28">
        <v>-323718.0</v>
      </c>
      <c r="F532" s="28">
        <v>1140956.0</v>
      </c>
    </row>
    <row r="533">
      <c r="A533" s="2" t="s">
        <v>526</v>
      </c>
      <c r="B533" s="2" t="s">
        <v>1604</v>
      </c>
      <c r="C533" s="2" t="s">
        <v>782</v>
      </c>
      <c r="D533" s="2" t="s">
        <v>789</v>
      </c>
      <c r="E533" s="28">
        <v>-25514.0</v>
      </c>
      <c r="F533" s="28">
        <v>1.1419131E7</v>
      </c>
    </row>
    <row r="534">
      <c r="A534" s="2" t="s">
        <v>1605</v>
      </c>
      <c r="B534" s="2" t="s">
        <v>1606</v>
      </c>
      <c r="C534" s="2" t="s">
        <v>782</v>
      </c>
      <c r="D534" s="2" t="s">
        <v>786</v>
      </c>
      <c r="E534" s="28">
        <v>-223083.0</v>
      </c>
      <c r="F534" s="28">
        <v>1.1397868E7</v>
      </c>
    </row>
    <row r="535">
      <c r="A535" s="2" t="s">
        <v>379</v>
      </c>
      <c r="B535" s="2" t="s">
        <v>1607</v>
      </c>
      <c r="C535" s="2" t="s">
        <v>782</v>
      </c>
      <c r="D535" s="2" t="s">
        <v>780</v>
      </c>
      <c r="E535" s="28">
        <v>-27505.0</v>
      </c>
      <c r="F535" s="28">
        <v>1142576.0</v>
      </c>
    </row>
    <row r="536">
      <c r="A536" s="2" t="s">
        <v>1608</v>
      </c>
      <c r="B536" s="2" t="s">
        <v>1609</v>
      </c>
      <c r="C536" s="2" t="s">
        <v>782</v>
      </c>
      <c r="D536" s="2" t="s">
        <v>789</v>
      </c>
      <c r="E536" s="28">
        <v>-284871.0</v>
      </c>
      <c r="F536" s="28">
        <v>1.1420856E7</v>
      </c>
    </row>
    <row r="537">
      <c r="A537" s="2" t="s">
        <v>231</v>
      </c>
      <c r="B537" s="2" t="s">
        <v>1610</v>
      </c>
      <c r="C537" s="2" t="s">
        <v>782</v>
      </c>
      <c r="D537" s="2" t="s">
        <v>789</v>
      </c>
      <c r="E537" s="28">
        <v>-288974.0</v>
      </c>
      <c r="F537" s="28">
        <v>1.1415421E7</v>
      </c>
    </row>
    <row r="538">
      <c r="A538" s="2" t="s">
        <v>681</v>
      </c>
      <c r="B538" s="2" t="s">
        <v>1611</v>
      </c>
      <c r="C538" s="2" t="s">
        <v>782</v>
      </c>
      <c r="D538" s="2" t="s">
        <v>789</v>
      </c>
      <c r="E538" s="28">
        <v>-302115.0</v>
      </c>
      <c r="F538" s="28">
        <v>1.1418496E7</v>
      </c>
    </row>
    <row r="539">
      <c r="A539" s="2" t="s">
        <v>1612</v>
      </c>
      <c r="B539" s="2" t="s">
        <v>1613</v>
      </c>
      <c r="C539" s="2" t="s">
        <v>782</v>
      </c>
      <c r="D539" s="2" t="s">
        <v>789</v>
      </c>
      <c r="E539" s="28">
        <v>-188291.0</v>
      </c>
      <c r="F539" s="28">
        <v>1.1395615E7</v>
      </c>
    </row>
    <row r="540">
      <c r="A540" s="2" t="s">
        <v>1614</v>
      </c>
      <c r="B540" s="2" t="s">
        <v>1615</v>
      </c>
      <c r="C540" s="2" t="s">
        <v>857</v>
      </c>
      <c r="D540" s="2" t="s">
        <v>783</v>
      </c>
      <c r="E540" s="28">
        <v>-155551.0</v>
      </c>
      <c r="F540" s="28">
        <v>1.1391902E7</v>
      </c>
    </row>
    <row r="541">
      <c r="A541" s="2" t="s">
        <v>1616</v>
      </c>
      <c r="B541" s="2" t="s">
        <v>1617</v>
      </c>
      <c r="C541" s="2" t="s">
        <v>857</v>
      </c>
      <c r="D541" s="2" t="s">
        <v>780</v>
      </c>
      <c r="E541" s="28">
        <v>-313068.0</v>
      </c>
      <c r="F541" s="28">
        <v>1.1411875E7</v>
      </c>
    </row>
    <row r="542">
      <c r="A542" s="2" t="s">
        <v>1618</v>
      </c>
      <c r="B542" s="2" t="s">
        <v>1619</v>
      </c>
      <c r="C542" s="2" t="s">
        <v>782</v>
      </c>
      <c r="D542" s="2" t="s">
        <v>783</v>
      </c>
      <c r="E542" s="28">
        <v>-177762.0</v>
      </c>
      <c r="F542" s="28">
        <v>1.1395046E7</v>
      </c>
    </row>
    <row r="543">
      <c r="A543" s="2" t="s">
        <v>1620</v>
      </c>
      <c r="B543" s="2" t="s">
        <v>1621</v>
      </c>
      <c r="C543" s="2" t="s">
        <v>782</v>
      </c>
      <c r="D543" s="2" t="s">
        <v>786</v>
      </c>
      <c r="E543" s="28">
        <v>-220877.0</v>
      </c>
      <c r="F543" s="28">
        <v>1.1392431E7</v>
      </c>
    </row>
    <row r="544">
      <c r="A544" s="2" t="s">
        <v>1622</v>
      </c>
      <c r="B544" s="2" t="s">
        <v>1623</v>
      </c>
      <c r="C544" s="2" t="s">
        <v>779</v>
      </c>
      <c r="D544" s="2" t="s">
        <v>786</v>
      </c>
      <c r="E544" s="28">
        <v>-1294583.0</v>
      </c>
      <c r="F544" s="28">
        <v>1.14657936E8</v>
      </c>
    </row>
    <row r="545">
      <c r="A545" s="2" t="s">
        <v>1624</v>
      </c>
      <c r="B545" s="2" t="s">
        <v>1625</v>
      </c>
      <c r="C545" s="2" t="s">
        <v>779</v>
      </c>
      <c r="D545" s="2" t="s">
        <v>786</v>
      </c>
      <c r="E545" s="28">
        <v>-149979.0</v>
      </c>
      <c r="F545" s="28">
        <v>1.1320778E7</v>
      </c>
    </row>
    <row r="546">
      <c r="A546" s="2" t="s">
        <v>505</v>
      </c>
      <c r="B546" s="2" t="s">
        <v>1626</v>
      </c>
      <c r="C546" s="2" t="s">
        <v>782</v>
      </c>
      <c r="D546" s="2" t="s">
        <v>786</v>
      </c>
      <c r="E546" s="28">
        <v>-219535.0</v>
      </c>
      <c r="F546" s="28">
        <v>1.1389558E7</v>
      </c>
    </row>
    <row r="547">
      <c r="A547" s="2" t="s">
        <v>683</v>
      </c>
      <c r="B547" s="2" t="s">
        <v>1627</v>
      </c>
      <c r="C547" s="2" t="s">
        <v>779</v>
      </c>
      <c r="D547" s="2" t="s">
        <v>786</v>
      </c>
      <c r="E547" s="28">
        <v>-1190111.0</v>
      </c>
      <c r="F547" s="28">
        <v>1.14005139E8</v>
      </c>
    </row>
    <row r="548">
      <c r="A548" s="2" t="s">
        <v>1628</v>
      </c>
      <c r="B548" s="2" t="s">
        <v>1629</v>
      </c>
      <c r="C548" s="2" t="s">
        <v>857</v>
      </c>
      <c r="D548" s="2" t="s">
        <v>783</v>
      </c>
      <c r="E548" s="28">
        <v>-166848.0</v>
      </c>
      <c r="F548" s="28">
        <v>1.1394414E7</v>
      </c>
    </row>
    <row r="549">
      <c r="A549" s="2" t="s">
        <v>1630</v>
      </c>
      <c r="B549" s="2" t="s">
        <v>1631</v>
      </c>
      <c r="C549" s="2" t="s">
        <v>782</v>
      </c>
      <c r="D549" s="2" t="s">
        <v>780</v>
      </c>
      <c r="E549" s="28">
        <v>-248106.0</v>
      </c>
      <c r="F549" s="28">
        <v>1.1419223E7</v>
      </c>
    </row>
    <row r="550">
      <c r="A550" s="2" t="s">
        <v>732</v>
      </c>
      <c r="B550" s="2" t="s">
        <v>1632</v>
      </c>
      <c r="C550" s="2" t="s">
        <v>857</v>
      </c>
      <c r="D550" s="2" t="s">
        <v>783</v>
      </c>
      <c r="E550" s="28">
        <v>-138327.0</v>
      </c>
      <c r="F550" s="28">
        <v>1.1391407E7</v>
      </c>
    </row>
    <row r="551">
      <c r="A551" s="2" t="s">
        <v>1633</v>
      </c>
      <c r="B551" s="2" t="s">
        <v>1634</v>
      </c>
      <c r="C551" s="2" t="s">
        <v>857</v>
      </c>
      <c r="D551" s="2" t="s">
        <v>789</v>
      </c>
      <c r="E551" s="28">
        <v>-309048.0</v>
      </c>
      <c r="F551" s="28">
        <v>1.1410615E7</v>
      </c>
    </row>
    <row r="552">
      <c r="A552" s="2" t="s">
        <v>1635</v>
      </c>
      <c r="B552" s="2" t="s">
        <v>1636</v>
      </c>
      <c r="C552" s="2" t="s">
        <v>857</v>
      </c>
      <c r="D552" s="2" t="s">
        <v>786</v>
      </c>
      <c r="E552" s="28">
        <v>-27679.0</v>
      </c>
      <c r="F552" s="28">
        <v>1142588.0</v>
      </c>
    </row>
    <row r="553">
      <c r="A553" s="2" t="s">
        <v>1637</v>
      </c>
      <c r="B553" s="2" t="s">
        <v>1638</v>
      </c>
      <c r="C553" s="2" t="s">
        <v>857</v>
      </c>
      <c r="D553" s="2" t="s">
        <v>789</v>
      </c>
      <c r="E553" s="28">
        <v>-31339.0</v>
      </c>
      <c r="F553" s="28">
        <v>1141885.0</v>
      </c>
    </row>
    <row r="554">
      <c r="A554" s="2" t="s">
        <v>453</v>
      </c>
      <c r="B554" s="2" t="s">
        <v>1639</v>
      </c>
      <c r="C554" s="2" t="s">
        <v>857</v>
      </c>
      <c r="D554" s="2" t="s">
        <v>783</v>
      </c>
      <c r="E554" s="28">
        <v>-329275.0</v>
      </c>
      <c r="F554" s="28">
        <v>1.1404057E7</v>
      </c>
    </row>
    <row r="555">
      <c r="A555" s="2" t="s">
        <v>301</v>
      </c>
      <c r="B555" s="2" t="s">
        <v>1640</v>
      </c>
      <c r="C555" s="2" t="s">
        <v>785</v>
      </c>
      <c r="D555" s="2" t="s">
        <v>789</v>
      </c>
      <c r="E555" s="28">
        <v>-252803.0</v>
      </c>
      <c r="F555" s="28">
        <v>1.1418992E7</v>
      </c>
    </row>
    <row r="556">
      <c r="A556" s="2" t="s">
        <v>626</v>
      </c>
      <c r="B556" s="2" t="s">
        <v>1641</v>
      </c>
      <c r="C556" s="2" t="s">
        <v>782</v>
      </c>
      <c r="D556" s="2" t="s">
        <v>789</v>
      </c>
      <c r="E556" s="28">
        <v>-132221.0</v>
      </c>
      <c r="F556" s="28">
        <v>1.1392698E7</v>
      </c>
    </row>
    <row r="557">
      <c r="A557" s="2" t="s">
        <v>1642</v>
      </c>
      <c r="B557" s="2" t="s">
        <v>1643</v>
      </c>
      <c r="C557" s="2" t="s">
        <v>782</v>
      </c>
      <c r="D557" s="2" t="s">
        <v>786</v>
      </c>
      <c r="E557" s="28">
        <v>-306227.0</v>
      </c>
      <c r="F557" s="28">
        <v>1.1415399E7</v>
      </c>
    </row>
    <row r="558">
      <c r="A558" s="2" t="s">
        <v>685</v>
      </c>
      <c r="B558" s="2" t="s">
        <v>1644</v>
      </c>
      <c r="C558" s="2" t="s">
        <v>782</v>
      </c>
      <c r="D558" s="2" t="s">
        <v>789</v>
      </c>
      <c r="E558" s="28">
        <v>-305408.0</v>
      </c>
      <c r="F558" s="28">
        <v>1.1421607E7</v>
      </c>
    </row>
    <row r="559">
      <c r="A559" s="2" t="s">
        <v>632</v>
      </c>
      <c r="B559" s="2" t="s">
        <v>1645</v>
      </c>
      <c r="C559" s="2" t="s">
        <v>782</v>
      </c>
      <c r="D559" s="2" t="s">
        <v>780</v>
      </c>
      <c r="E559" s="28">
        <v>-195427.0</v>
      </c>
      <c r="F559" s="28">
        <v>1.1395659E7</v>
      </c>
    </row>
    <row r="560">
      <c r="A560" s="2" t="s">
        <v>1646</v>
      </c>
      <c r="B560" s="2" t="s">
        <v>1647</v>
      </c>
      <c r="C560" s="2" t="s">
        <v>782</v>
      </c>
      <c r="D560" s="2" t="s">
        <v>789</v>
      </c>
      <c r="E560" s="28">
        <v>-18625.0</v>
      </c>
      <c r="F560" s="28">
        <v>1.1395407E7</v>
      </c>
    </row>
    <row r="561">
      <c r="A561" s="2" t="s">
        <v>1648</v>
      </c>
      <c r="B561" s="2" t="s">
        <v>1649</v>
      </c>
      <c r="C561" s="2" t="s">
        <v>782</v>
      </c>
      <c r="D561" s="2" t="s">
        <v>789</v>
      </c>
      <c r="E561" s="28">
        <v>-182632.0</v>
      </c>
      <c r="F561" s="28">
        <v>1.1396143E7</v>
      </c>
    </row>
    <row r="562">
      <c r="A562" s="2" t="s">
        <v>1650</v>
      </c>
      <c r="B562" s="2" t="s">
        <v>1651</v>
      </c>
      <c r="C562" s="2" t="s">
        <v>782</v>
      </c>
      <c r="D562" s="2" t="s">
        <v>789</v>
      </c>
      <c r="E562" s="28">
        <v>-281207.0</v>
      </c>
      <c r="F562" s="28">
        <v>1.1419853E7</v>
      </c>
    </row>
    <row r="563">
      <c r="A563" s="2" t="s">
        <v>315</v>
      </c>
      <c r="B563" s="2" t="s">
        <v>1652</v>
      </c>
      <c r="C563" s="2" t="s">
        <v>857</v>
      </c>
      <c r="D563" s="2" t="s">
        <v>780</v>
      </c>
      <c r="E563" s="28">
        <v>-203283.0</v>
      </c>
      <c r="F563" s="28">
        <v>1.1394447E7</v>
      </c>
    </row>
    <row r="564">
      <c r="A564" s="2" t="s">
        <v>1653</v>
      </c>
      <c r="B564" s="2" t="s">
        <v>1654</v>
      </c>
      <c r="C564" s="2" t="s">
        <v>785</v>
      </c>
      <c r="D564" s="2" t="s">
        <v>786</v>
      </c>
      <c r="E564" s="28">
        <v>-327088.0</v>
      </c>
      <c r="F564" s="28">
        <v>1.1409477E7</v>
      </c>
    </row>
    <row r="565">
      <c r="A565" s="2" t="s">
        <v>1655</v>
      </c>
      <c r="B565" s="2" t="s">
        <v>1656</v>
      </c>
      <c r="C565" s="2" t="s">
        <v>785</v>
      </c>
      <c r="D565" s="2" t="s">
        <v>789</v>
      </c>
      <c r="E565" s="28">
        <v>-298676.0</v>
      </c>
      <c r="F565" s="28">
        <v>1.1416753E7</v>
      </c>
    </row>
    <row r="566">
      <c r="A566" s="2" t="s">
        <v>680</v>
      </c>
      <c r="B566" s="2" t="s">
        <v>1657</v>
      </c>
      <c r="C566" s="2" t="s">
        <v>929</v>
      </c>
      <c r="D566" s="2" t="s">
        <v>786</v>
      </c>
      <c r="E566" s="28">
        <v>-292452.0</v>
      </c>
      <c r="F566" s="28">
        <v>1.1413399E7</v>
      </c>
    </row>
    <row r="567">
      <c r="A567" s="2" t="s">
        <v>1658</v>
      </c>
      <c r="B567" s="2" t="s">
        <v>1659</v>
      </c>
      <c r="C567" s="2" t="s">
        <v>779</v>
      </c>
      <c r="D567" s="2" t="s">
        <v>789</v>
      </c>
      <c r="E567" s="28">
        <v>-96117.0</v>
      </c>
      <c r="F567" s="28">
        <v>1.1489727E7</v>
      </c>
    </row>
    <row r="568">
      <c r="A568" s="2" t="s">
        <v>1660</v>
      </c>
      <c r="B568" s="2" t="s">
        <v>1661</v>
      </c>
      <c r="C568" s="2" t="s">
        <v>782</v>
      </c>
      <c r="D568" s="2" t="s">
        <v>780</v>
      </c>
      <c r="E568" s="28">
        <v>-990403.0</v>
      </c>
      <c r="F568" s="28">
        <v>1.15373225E8</v>
      </c>
    </row>
    <row r="569">
      <c r="A569" s="2" t="s">
        <v>489</v>
      </c>
      <c r="B569" s="2" t="s">
        <v>1662</v>
      </c>
      <c r="C569" s="2" t="s">
        <v>782</v>
      </c>
      <c r="D569" s="2" t="s">
        <v>783</v>
      </c>
      <c r="E569" s="28">
        <v>-132282.0</v>
      </c>
      <c r="F569" s="28">
        <v>1.1482217E7</v>
      </c>
    </row>
    <row r="570">
      <c r="A570" s="2" t="s">
        <v>1663</v>
      </c>
      <c r="B570" s="2" t="s">
        <v>1664</v>
      </c>
      <c r="C570" s="2" t="s">
        <v>929</v>
      </c>
      <c r="D570" s="2" t="s">
        <v>789</v>
      </c>
      <c r="E570" s="28">
        <v>-287637.0</v>
      </c>
      <c r="F570" s="28">
        <v>1.1411263E7</v>
      </c>
    </row>
    <row r="571">
      <c r="A571" s="2" t="s">
        <v>444</v>
      </c>
      <c r="B571" s="2" t="s">
        <v>1665</v>
      </c>
      <c r="C571" s="2" t="s">
        <v>929</v>
      </c>
      <c r="D571" s="2" t="s">
        <v>789</v>
      </c>
      <c r="E571" s="28">
        <v>-301009.0</v>
      </c>
      <c r="F571" s="28">
        <v>1.1409486E7</v>
      </c>
    </row>
    <row r="572">
      <c r="A572" s="2" t="s">
        <v>1666</v>
      </c>
      <c r="B572" s="2" t="s">
        <v>1667</v>
      </c>
      <c r="C572" s="2" t="s">
        <v>782</v>
      </c>
      <c r="D572" s="2" t="s">
        <v>789</v>
      </c>
      <c r="E572" s="28">
        <v>-192634.0</v>
      </c>
      <c r="F572" s="28">
        <v>1.1395737E7</v>
      </c>
    </row>
    <row r="573">
      <c r="A573" s="2" t="s">
        <v>1668</v>
      </c>
      <c r="B573" s="2" t="s">
        <v>1669</v>
      </c>
      <c r="C573" s="2" t="s">
        <v>782</v>
      </c>
      <c r="D573" s="2" t="s">
        <v>786</v>
      </c>
      <c r="E573" s="28">
        <v>-274783.0</v>
      </c>
      <c r="F573" s="28">
        <v>1.1426592E7</v>
      </c>
    </row>
    <row r="574">
      <c r="A574" s="2" t="s">
        <v>464</v>
      </c>
      <c r="B574" s="2" t="s">
        <v>1670</v>
      </c>
      <c r="C574" s="2" t="s">
        <v>782</v>
      </c>
      <c r="D574" s="2" t="s">
        <v>786</v>
      </c>
      <c r="E574" s="28">
        <v>-198011.0</v>
      </c>
      <c r="F574" s="28">
        <v>1.1395049E7</v>
      </c>
    </row>
    <row r="575">
      <c r="A575" s="2" t="s">
        <v>1671</v>
      </c>
      <c r="B575" s="2" t="s">
        <v>1672</v>
      </c>
      <c r="C575" s="2" t="s">
        <v>929</v>
      </c>
      <c r="D575" s="2" t="s">
        <v>789</v>
      </c>
      <c r="E575" s="28">
        <v>-321584.0</v>
      </c>
      <c r="F575" s="28">
        <v>1.1410438E7</v>
      </c>
    </row>
    <row r="576">
      <c r="A576" s="2" t="s">
        <v>1673</v>
      </c>
      <c r="B576" s="2" t="s">
        <v>1674</v>
      </c>
      <c r="C576" s="2" t="s">
        <v>782</v>
      </c>
      <c r="D576" s="2" t="s">
        <v>789</v>
      </c>
      <c r="E576" s="28">
        <v>-173827.0</v>
      </c>
      <c r="F576" s="28">
        <v>1.1392213E7</v>
      </c>
    </row>
    <row r="577">
      <c r="A577" s="2" t="s">
        <v>457</v>
      </c>
      <c r="B577" s="2" t="s">
        <v>1675</v>
      </c>
      <c r="C577" s="2" t="s">
        <v>779</v>
      </c>
      <c r="D577" s="2" t="s">
        <v>789</v>
      </c>
      <c r="E577" s="28">
        <v>-92429.0</v>
      </c>
      <c r="F577" s="28">
        <v>1.1490118E7</v>
      </c>
    </row>
    <row r="578">
      <c r="A578" s="2" t="s">
        <v>1676</v>
      </c>
      <c r="B578" s="2" t="s">
        <v>1677</v>
      </c>
      <c r="C578" s="2" t="s">
        <v>785</v>
      </c>
      <c r="D578" s="2" t="s">
        <v>789</v>
      </c>
      <c r="E578" s="28">
        <v>-117227.0</v>
      </c>
      <c r="F578" s="28">
        <v>1.1482799E7</v>
      </c>
    </row>
    <row r="579">
      <c r="A579" s="2" t="s">
        <v>1678</v>
      </c>
      <c r="B579" s="2" t="s">
        <v>1679</v>
      </c>
      <c r="C579" s="2" t="s">
        <v>782</v>
      </c>
      <c r="D579" s="2" t="s">
        <v>789</v>
      </c>
      <c r="E579" s="28">
        <v>-108947.0</v>
      </c>
      <c r="F579" s="28">
        <v>1.1510999E7</v>
      </c>
    </row>
    <row r="580">
      <c r="A580" s="2" t="s">
        <v>531</v>
      </c>
      <c r="B580" s="2" t="s">
        <v>1680</v>
      </c>
      <c r="C580" s="2" t="s">
        <v>782</v>
      </c>
      <c r="D580" s="2" t="s">
        <v>789</v>
      </c>
      <c r="E580" s="28">
        <v>-96878.0</v>
      </c>
      <c r="F580" s="28">
        <v>1.1509502E7</v>
      </c>
    </row>
    <row r="581">
      <c r="A581" s="2" t="s">
        <v>1681</v>
      </c>
      <c r="B581" s="2" t="s">
        <v>1682</v>
      </c>
      <c r="C581" s="2" t="s">
        <v>782</v>
      </c>
      <c r="D581" s="2" t="s">
        <v>789</v>
      </c>
      <c r="E581" s="28">
        <v>-102788.0</v>
      </c>
      <c r="F581" s="28">
        <v>1.1497102E7</v>
      </c>
    </row>
    <row r="582">
      <c r="A582" s="2" t="s">
        <v>386</v>
      </c>
      <c r="B582" s="2" t="s">
        <v>1683</v>
      </c>
      <c r="C582" s="2" t="s">
        <v>857</v>
      </c>
      <c r="D582" s="2" t="s">
        <v>783</v>
      </c>
      <c r="E582" s="28">
        <v>-1063508.0</v>
      </c>
      <c r="F582" s="28">
        <v>1.1486264E7</v>
      </c>
    </row>
    <row r="583">
      <c r="A583" s="2" t="s">
        <v>467</v>
      </c>
      <c r="B583" s="2" t="s">
        <v>1684</v>
      </c>
      <c r="C583" s="2" t="s">
        <v>857</v>
      </c>
      <c r="D583" s="2" t="s">
        <v>789</v>
      </c>
      <c r="E583" s="28">
        <v>-125831.0</v>
      </c>
      <c r="F583" s="28">
        <v>1.1477877E7</v>
      </c>
    </row>
    <row r="584">
      <c r="A584" s="2" t="s">
        <v>396</v>
      </c>
      <c r="B584" s="2" t="s">
        <v>1685</v>
      </c>
      <c r="C584" s="2" t="s">
        <v>857</v>
      </c>
      <c r="D584" s="2" t="s">
        <v>783</v>
      </c>
      <c r="E584" s="28">
        <v>-97653.0</v>
      </c>
      <c r="F584" s="28">
        <v>1.1489533E7</v>
      </c>
    </row>
    <row r="585">
      <c r="A585" s="2" t="s">
        <v>187</v>
      </c>
      <c r="B585" s="2" t="s">
        <v>1686</v>
      </c>
      <c r="C585" s="2" t="s">
        <v>782</v>
      </c>
      <c r="D585" s="2" t="s">
        <v>783</v>
      </c>
      <c r="E585" s="28">
        <v>-103746.0</v>
      </c>
      <c r="F585" s="28">
        <v>1.1489885E7</v>
      </c>
    </row>
    <row r="586">
      <c r="A586" s="2" t="s">
        <v>673</v>
      </c>
      <c r="B586" s="2" t="s">
        <v>1687</v>
      </c>
      <c r="C586" s="2" t="s">
        <v>782</v>
      </c>
      <c r="D586" s="2" t="s">
        <v>789</v>
      </c>
      <c r="E586" s="28">
        <v>-135773.0</v>
      </c>
      <c r="F586" s="28">
        <v>1152607.0</v>
      </c>
    </row>
    <row r="587">
      <c r="A587" s="2" t="s">
        <v>490</v>
      </c>
      <c r="B587" s="2" t="s">
        <v>1688</v>
      </c>
      <c r="C587" s="2" t="s">
        <v>785</v>
      </c>
      <c r="D587" s="2" t="s">
        <v>780</v>
      </c>
      <c r="E587" s="28">
        <v>-98378.0</v>
      </c>
      <c r="F587" s="28">
        <v>1.1490154E7</v>
      </c>
    </row>
    <row r="588">
      <c r="A588" s="2" t="s">
        <v>551</v>
      </c>
      <c r="B588" s="2" t="s">
        <v>1689</v>
      </c>
      <c r="C588" s="2" t="s">
        <v>782</v>
      </c>
      <c r="D588" s="2" t="s">
        <v>780</v>
      </c>
      <c r="E588" s="28">
        <v>-129556.0</v>
      </c>
      <c r="F588" s="28">
        <v>1.1498632E7</v>
      </c>
    </row>
    <row r="589">
      <c r="A589" s="2" t="s">
        <v>418</v>
      </c>
      <c r="B589" s="2" t="s">
        <v>1690</v>
      </c>
      <c r="C589" s="2" t="s">
        <v>782</v>
      </c>
      <c r="D589" s="2" t="s">
        <v>783</v>
      </c>
      <c r="E589" s="28">
        <v>-125969.0</v>
      </c>
      <c r="F589" s="28">
        <v>1.1512187E7</v>
      </c>
    </row>
    <row r="590">
      <c r="A590" s="2" t="s">
        <v>333</v>
      </c>
      <c r="B590" s="2" t="s">
        <v>1691</v>
      </c>
      <c r="C590" s="2" t="s">
        <v>779</v>
      </c>
      <c r="D590" s="2" t="s">
        <v>783</v>
      </c>
      <c r="E590" s="28">
        <v>-172824.0</v>
      </c>
      <c r="F590" s="28">
        <v>1.1483654E7</v>
      </c>
    </row>
    <row r="591">
      <c r="A591" s="2" t="s">
        <v>1692</v>
      </c>
      <c r="B591" s="2" t="s">
        <v>1693</v>
      </c>
      <c r="C591" s="2" t="s">
        <v>779</v>
      </c>
      <c r="D591" s="2" t="s">
        <v>783</v>
      </c>
      <c r="E591" s="28">
        <v>-229756.0</v>
      </c>
      <c r="F591" s="28">
        <v>1.1487144E7</v>
      </c>
    </row>
    <row r="592">
      <c r="A592" s="2" t="s">
        <v>481</v>
      </c>
      <c r="B592" s="2" t="s">
        <v>1694</v>
      </c>
      <c r="C592" s="2" t="s">
        <v>782</v>
      </c>
      <c r="D592" s="2" t="s">
        <v>786</v>
      </c>
      <c r="E592" s="28">
        <v>-107045.0</v>
      </c>
      <c r="F592" s="28">
        <v>1.1539996E7</v>
      </c>
    </row>
    <row r="593">
      <c r="A593" s="2" t="s">
        <v>1695</v>
      </c>
      <c r="B593" s="2" t="s">
        <v>1696</v>
      </c>
      <c r="C593" s="2" t="s">
        <v>782</v>
      </c>
      <c r="D593" s="2" t="s">
        <v>786</v>
      </c>
      <c r="E593" s="28">
        <v>-101599.0</v>
      </c>
      <c r="F593" s="28">
        <v>1.1538111E7</v>
      </c>
    </row>
    <row r="594">
      <c r="A594" s="2" t="s">
        <v>440</v>
      </c>
      <c r="B594" s="2" t="s">
        <v>1697</v>
      </c>
      <c r="C594" s="2" t="s">
        <v>782</v>
      </c>
      <c r="D594" s="2" t="s">
        <v>786</v>
      </c>
      <c r="E594" s="28">
        <v>-110192.0</v>
      </c>
      <c r="F594" s="28">
        <v>1.1530536E7</v>
      </c>
    </row>
    <row r="595">
      <c r="A595" s="2" t="s">
        <v>1698</v>
      </c>
      <c r="B595" s="2" t="s">
        <v>1699</v>
      </c>
      <c r="C595" s="2" t="s">
        <v>782</v>
      </c>
      <c r="D595" s="2" t="s">
        <v>786</v>
      </c>
      <c r="E595" s="28">
        <v>-113705.0</v>
      </c>
      <c r="F595" s="28">
        <v>1.1560416E7</v>
      </c>
    </row>
    <row r="596">
      <c r="A596" s="2" t="s">
        <v>1700</v>
      </c>
      <c r="B596" s="2" t="s">
        <v>1701</v>
      </c>
      <c r="C596" s="2" t="s">
        <v>779</v>
      </c>
      <c r="D596" s="2" t="s">
        <v>783</v>
      </c>
      <c r="E596" s="28">
        <v>-203874.0</v>
      </c>
      <c r="F596" s="28">
        <v>1.1489231E7</v>
      </c>
    </row>
    <row r="597">
      <c r="A597" s="2" t="s">
        <v>257</v>
      </c>
      <c r="B597" s="2" t="s">
        <v>1702</v>
      </c>
      <c r="C597" s="2" t="s">
        <v>869</v>
      </c>
      <c r="D597" s="2" t="s">
        <v>789</v>
      </c>
      <c r="E597" s="28">
        <v>-76769.0</v>
      </c>
      <c r="F597" s="28">
        <v>1.1474127E7</v>
      </c>
    </row>
    <row r="598">
      <c r="A598" s="2" t="s">
        <v>1703</v>
      </c>
      <c r="B598" s="2" t="s">
        <v>1704</v>
      </c>
      <c r="C598" s="2" t="s">
        <v>782</v>
      </c>
      <c r="D598" s="2" t="s">
        <v>780</v>
      </c>
      <c r="E598" s="28">
        <v>-103308.0</v>
      </c>
      <c r="F598" s="28">
        <v>1.1487476E7</v>
      </c>
    </row>
    <row r="599">
      <c r="A599" s="2" t="s">
        <v>1705</v>
      </c>
      <c r="B599" s="2" t="s">
        <v>1706</v>
      </c>
      <c r="C599" s="2" t="s">
        <v>785</v>
      </c>
      <c r="D599" s="2" t="s">
        <v>789</v>
      </c>
      <c r="E599" s="28">
        <v>-132367.0</v>
      </c>
      <c r="F599" s="28">
        <v>1.1490038E7</v>
      </c>
    </row>
    <row r="600">
      <c r="A600" s="2" t="s">
        <v>425</v>
      </c>
      <c r="B600" s="2" t="s">
        <v>1707</v>
      </c>
      <c r="C600" s="2" t="s">
        <v>782</v>
      </c>
      <c r="D600" s="2" t="s">
        <v>789</v>
      </c>
      <c r="E600" s="28">
        <v>-115253.0</v>
      </c>
      <c r="F600" s="28">
        <v>1.1491438E7</v>
      </c>
    </row>
    <row r="601">
      <c r="A601" s="2" t="s">
        <v>1708</v>
      </c>
      <c r="B601" s="2" t="s">
        <v>1709</v>
      </c>
      <c r="C601" s="2" t="s">
        <v>785</v>
      </c>
      <c r="D601" s="2" t="s">
        <v>783</v>
      </c>
      <c r="E601" s="28">
        <v>-121088.0</v>
      </c>
      <c r="F601" s="28">
        <v>1.1479396E7</v>
      </c>
    </row>
    <row r="602">
      <c r="A602" s="2" t="s">
        <v>1710</v>
      </c>
      <c r="B602" s="2" t="s">
        <v>1711</v>
      </c>
      <c r="C602" s="2" t="s">
        <v>1085</v>
      </c>
      <c r="D602" s="2" t="s">
        <v>786</v>
      </c>
      <c r="E602" s="28">
        <v>-128153.0</v>
      </c>
      <c r="F602" s="28">
        <v>1150752.0</v>
      </c>
    </row>
    <row r="603">
      <c r="A603" s="2" t="s">
        <v>353</v>
      </c>
      <c r="B603" s="2" t="s">
        <v>1712</v>
      </c>
      <c r="C603" s="2" t="s">
        <v>782</v>
      </c>
      <c r="D603" s="2" t="s">
        <v>786</v>
      </c>
      <c r="E603" s="28">
        <v>-128267.0</v>
      </c>
      <c r="F603" s="28">
        <v>1.1494045E7</v>
      </c>
    </row>
    <row r="604">
      <c r="A604" s="2" t="s">
        <v>552</v>
      </c>
      <c r="B604" s="2" t="s">
        <v>1713</v>
      </c>
      <c r="C604" s="2" t="s">
        <v>782</v>
      </c>
      <c r="D604" s="2" t="s">
        <v>786</v>
      </c>
      <c r="E604" s="28">
        <v>-97403.0</v>
      </c>
      <c r="F604" s="28">
        <v>1.1517093E7</v>
      </c>
    </row>
    <row r="605">
      <c r="A605" s="2" t="s">
        <v>1714</v>
      </c>
      <c r="B605" s="2" t="s">
        <v>1715</v>
      </c>
      <c r="C605" s="2" t="s">
        <v>779</v>
      </c>
      <c r="D605" s="2" t="s">
        <v>786</v>
      </c>
      <c r="E605" s="28">
        <v>-295482.0</v>
      </c>
      <c r="F605" s="28">
        <v>114188.0</v>
      </c>
    </row>
    <row r="606">
      <c r="A606" s="2" t="s">
        <v>447</v>
      </c>
      <c r="B606" s="2" t="s">
        <v>1716</v>
      </c>
      <c r="C606" s="2" t="s">
        <v>782</v>
      </c>
      <c r="D606" s="2" t="s">
        <v>789</v>
      </c>
      <c r="E606" s="28">
        <v>-95056.0</v>
      </c>
      <c r="F606" s="28">
        <v>1.1489886E7</v>
      </c>
    </row>
    <row r="607">
      <c r="A607" s="2" t="s">
        <v>1717</v>
      </c>
      <c r="B607" s="2" t="s">
        <v>1718</v>
      </c>
      <c r="C607" s="2" t="s">
        <v>785</v>
      </c>
      <c r="D607" s="2" t="s">
        <v>783</v>
      </c>
      <c r="E607" s="28">
        <v>-74369.0</v>
      </c>
      <c r="F607" s="28">
        <v>1.1489399E7</v>
      </c>
    </row>
    <row r="608">
      <c r="A608" s="2" t="s">
        <v>1719</v>
      </c>
      <c r="B608" s="2" t="s">
        <v>1720</v>
      </c>
      <c r="C608" s="2" t="s">
        <v>785</v>
      </c>
      <c r="D608" s="2" t="s">
        <v>783</v>
      </c>
      <c r="E608" s="28">
        <v>-1012431.0</v>
      </c>
      <c r="F608" s="28">
        <v>1.1482594E7</v>
      </c>
    </row>
    <row r="609">
      <c r="A609" s="2" t="s">
        <v>514</v>
      </c>
      <c r="B609" s="2" t="s">
        <v>1721</v>
      </c>
      <c r="C609" s="2" t="s">
        <v>785</v>
      </c>
      <c r="D609" s="2" t="s">
        <v>783</v>
      </c>
      <c r="E609" s="28">
        <v>-89467.0</v>
      </c>
      <c r="F609" s="28">
        <v>1.1470307E7</v>
      </c>
    </row>
    <row r="610">
      <c r="A610" s="2" t="s">
        <v>586</v>
      </c>
      <c r="B610" s="2" t="s">
        <v>1722</v>
      </c>
      <c r="C610" s="2" t="s">
        <v>782</v>
      </c>
      <c r="D610" s="2" t="s">
        <v>789</v>
      </c>
      <c r="E610" s="28">
        <v>-95715.0</v>
      </c>
      <c r="F610" s="28">
        <v>1.1490144E7</v>
      </c>
    </row>
    <row r="611">
      <c r="A611" s="2" t="s">
        <v>613</v>
      </c>
      <c r="B611" s="2" t="s">
        <v>1723</v>
      </c>
      <c r="C611" s="2" t="s">
        <v>857</v>
      </c>
      <c r="D611" s="2" t="s">
        <v>780</v>
      </c>
      <c r="E611" s="28">
        <v>-94994.0</v>
      </c>
      <c r="F611" s="28">
        <v>1.1490631E7</v>
      </c>
    </row>
    <row r="612">
      <c r="A612" s="2" t="s">
        <v>196</v>
      </c>
      <c r="B612" s="2" t="s">
        <v>1724</v>
      </c>
      <c r="C612" s="2" t="s">
        <v>782</v>
      </c>
      <c r="D612" s="2" t="s">
        <v>783</v>
      </c>
      <c r="E612" s="28">
        <v>-96257.0</v>
      </c>
      <c r="F612" s="28">
        <v>1.1488679E7</v>
      </c>
    </row>
    <row r="613">
      <c r="A613" s="2" t="s">
        <v>1725</v>
      </c>
      <c r="B613" s="2" t="s">
        <v>1726</v>
      </c>
      <c r="C613" s="2" t="s">
        <v>857</v>
      </c>
      <c r="D613" s="2" t="s">
        <v>789</v>
      </c>
      <c r="E613" s="28">
        <v>-96614.0</v>
      </c>
      <c r="F613" s="28">
        <v>1.1489385E7</v>
      </c>
    </row>
    <row r="614">
      <c r="A614" s="2" t="s">
        <v>596</v>
      </c>
      <c r="B614" s="2" t="s">
        <v>1727</v>
      </c>
      <c r="C614" s="2" t="s">
        <v>782</v>
      </c>
      <c r="D614" s="2" t="s">
        <v>789</v>
      </c>
      <c r="E614" s="28">
        <v>-83461.0</v>
      </c>
      <c r="F614" s="28">
        <v>1.1483599E7</v>
      </c>
    </row>
    <row r="615">
      <c r="A615" s="2" t="s">
        <v>548</v>
      </c>
      <c r="B615" s="2" t="s">
        <v>1728</v>
      </c>
      <c r="C615" s="2" t="s">
        <v>779</v>
      </c>
      <c r="D615" s="2" t="s">
        <v>786</v>
      </c>
      <c r="E615" s="28">
        <v>-94842.0</v>
      </c>
      <c r="F615" s="28">
        <v>1.1490044E7</v>
      </c>
    </row>
    <row r="616">
      <c r="A616" s="2" t="s">
        <v>573</v>
      </c>
      <c r="B616" s="2" t="s">
        <v>1729</v>
      </c>
      <c r="C616" s="2" t="s">
        <v>779</v>
      </c>
      <c r="D616" s="2" t="s">
        <v>783</v>
      </c>
      <c r="E616" s="28">
        <v>-213443.0</v>
      </c>
      <c r="F616" s="28">
        <v>1.1486841E7</v>
      </c>
    </row>
    <row r="617">
      <c r="A617" s="2" t="s">
        <v>1730</v>
      </c>
      <c r="B617" s="2" t="s">
        <v>1731</v>
      </c>
      <c r="C617" s="2" t="s">
        <v>779</v>
      </c>
      <c r="D617" s="2" t="s">
        <v>786</v>
      </c>
      <c r="E617" s="28">
        <v>-96173.0</v>
      </c>
      <c r="F617" s="28">
        <v>1.1489112E7</v>
      </c>
    </row>
    <row r="618">
      <c r="A618" s="2" t="s">
        <v>240</v>
      </c>
      <c r="B618" s="2" t="s">
        <v>1732</v>
      </c>
      <c r="C618" s="2" t="s">
        <v>1733</v>
      </c>
      <c r="D618" s="2" t="s">
        <v>789</v>
      </c>
      <c r="E618" s="28">
        <v>-94112.0</v>
      </c>
      <c r="F618" s="28">
        <v>1.1489651E7</v>
      </c>
    </row>
    <row r="619">
      <c r="A619" s="2" t="s">
        <v>633</v>
      </c>
      <c r="B619" s="2" t="s">
        <v>1734</v>
      </c>
      <c r="C619" s="2" t="s">
        <v>782</v>
      </c>
      <c r="D619" s="2" t="s">
        <v>786</v>
      </c>
      <c r="E619" s="28">
        <v>-95461.0</v>
      </c>
      <c r="F619" s="28">
        <v>1.1490298E7</v>
      </c>
    </row>
    <row r="620">
      <c r="A620" s="2" t="s">
        <v>277</v>
      </c>
      <c r="B620" s="2" t="s">
        <v>1735</v>
      </c>
      <c r="C620" s="2" t="s">
        <v>782</v>
      </c>
      <c r="D620" s="2" t="s">
        <v>780</v>
      </c>
      <c r="E620" s="28">
        <v>-95293.0</v>
      </c>
      <c r="F620" s="28">
        <v>1.1489353E7</v>
      </c>
    </row>
    <row r="621">
      <c r="A621" s="2" t="s">
        <v>1736</v>
      </c>
      <c r="B621" s="2" t="s">
        <v>1737</v>
      </c>
      <c r="C621" s="2" t="s">
        <v>782</v>
      </c>
      <c r="D621" s="2" t="s">
        <v>786</v>
      </c>
      <c r="E621" s="28">
        <v>-94812.0</v>
      </c>
      <c r="F621" s="28">
        <v>1.1489647E7</v>
      </c>
    </row>
    <row r="622">
      <c r="A622" s="2" t="s">
        <v>1738</v>
      </c>
      <c r="B622" s="2" t="s">
        <v>1739</v>
      </c>
      <c r="C622" s="2" t="s">
        <v>782</v>
      </c>
      <c r="D622" s="2" t="s">
        <v>780</v>
      </c>
      <c r="E622" s="28">
        <v>-95369.0</v>
      </c>
      <c r="F622" s="28">
        <v>1.1490873E7</v>
      </c>
    </row>
    <row r="623">
      <c r="A623" s="2" t="s">
        <v>326</v>
      </c>
      <c r="B623" s="2" t="s">
        <v>1740</v>
      </c>
      <c r="C623" s="2" t="s">
        <v>779</v>
      </c>
      <c r="D623" s="2" t="s">
        <v>783</v>
      </c>
      <c r="E623" s="28">
        <v>-113096.0</v>
      </c>
      <c r="F623" s="28">
        <v>1149522.0</v>
      </c>
    </row>
    <row r="624">
      <c r="A624" s="2" t="s">
        <v>621</v>
      </c>
      <c r="B624" s="2" t="s">
        <v>1741</v>
      </c>
      <c r="C624" s="2" t="s">
        <v>782</v>
      </c>
      <c r="D624" s="2" t="s">
        <v>789</v>
      </c>
      <c r="E624" s="28">
        <v>-95935.0</v>
      </c>
      <c r="F624" s="28">
        <v>1.1489209E7</v>
      </c>
    </row>
    <row r="625">
      <c r="A625" s="2" t="s">
        <v>274</v>
      </c>
      <c r="B625" s="2" t="s">
        <v>1742</v>
      </c>
      <c r="C625" s="2" t="s">
        <v>782</v>
      </c>
      <c r="D625" s="2" t="s">
        <v>789</v>
      </c>
      <c r="E625" s="28">
        <v>-94303.0</v>
      </c>
      <c r="F625" s="28">
        <v>1.1490238E7</v>
      </c>
    </row>
    <row r="626">
      <c r="A626" s="2" t="s">
        <v>288</v>
      </c>
      <c r="B626" s="2" t="s">
        <v>1743</v>
      </c>
      <c r="C626" s="2" t="s">
        <v>779</v>
      </c>
      <c r="D626" s="2" t="s">
        <v>783</v>
      </c>
      <c r="E626" s="28">
        <v>-96041.0</v>
      </c>
      <c r="F626" s="28">
        <v>1149024.0</v>
      </c>
    </row>
    <row r="627">
      <c r="A627" s="2" t="s">
        <v>162</v>
      </c>
      <c r="B627" s="2" t="s">
        <v>1744</v>
      </c>
      <c r="C627" s="2" t="s">
        <v>782</v>
      </c>
      <c r="D627" s="2" t="s">
        <v>789</v>
      </c>
      <c r="E627" s="28">
        <v>-95827.0</v>
      </c>
      <c r="F627" s="28">
        <v>1.1490715E7</v>
      </c>
    </row>
    <row r="628">
      <c r="A628" s="2" t="s">
        <v>1745</v>
      </c>
      <c r="B628" s="2" t="s">
        <v>1746</v>
      </c>
      <c r="C628" s="2" t="s">
        <v>782</v>
      </c>
      <c r="D628" s="2" t="s">
        <v>789</v>
      </c>
      <c r="E628" s="28">
        <v>-90918.0</v>
      </c>
      <c r="F628" s="28">
        <v>1.1488849E7</v>
      </c>
    </row>
    <row r="629">
      <c r="A629" s="2" t="s">
        <v>1747</v>
      </c>
      <c r="B629" s="2" t="s">
        <v>1748</v>
      </c>
      <c r="C629" s="2" t="s">
        <v>782</v>
      </c>
      <c r="D629" s="2" t="s">
        <v>789</v>
      </c>
      <c r="E629" s="28">
        <v>-9496.0</v>
      </c>
      <c r="F629" s="28">
        <v>1.1485036E7</v>
      </c>
    </row>
    <row r="630">
      <c r="A630" s="2" t="s">
        <v>1749</v>
      </c>
      <c r="B630" s="2" t="s">
        <v>1750</v>
      </c>
      <c r="C630" s="2" t="s">
        <v>857</v>
      </c>
      <c r="D630" s="2" t="s">
        <v>786</v>
      </c>
      <c r="E630" s="28">
        <v>-89562.0</v>
      </c>
      <c r="F630" s="28">
        <v>1148839.0</v>
      </c>
    </row>
    <row r="631">
      <c r="A631" s="2" t="s">
        <v>1751</v>
      </c>
      <c r="B631" s="2" t="s">
        <v>1752</v>
      </c>
      <c r="C631" s="2" t="s">
        <v>785</v>
      </c>
      <c r="D631" s="2" t="s">
        <v>786</v>
      </c>
      <c r="E631" s="28">
        <v>-93883.0</v>
      </c>
      <c r="F631" s="28">
        <v>1.1488266E7</v>
      </c>
    </row>
    <row r="632">
      <c r="A632" s="2" t="s">
        <v>602</v>
      </c>
      <c r="B632" s="2" t="s">
        <v>1753</v>
      </c>
      <c r="C632" s="2" t="s">
        <v>782</v>
      </c>
      <c r="D632" s="2" t="s">
        <v>783</v>
      </c>
      <c r="E632" s="28">
        <v>-91834.0</v>
      </c>
      <c r="F632" s="28">
        <v>1.1355043E7</v>
      </c>
    </row>
    <row r="633">
      <c r="A633" s="2" t="s">
        <v>734</v>
      </c>
      <c r="B633" s="2" t="s">
        <v>1754</v>
      </c>
      <c r="C633" s="2" t="s">
        <v>782</v>
      </c>
      <c r="D633" s="2" t="s">
        <v>789</v>
      </c>
      <c r="E633" s="28">
        <v>-109275.0</v>
      </c>
      <c r="F633" s="28">
        <v>1.1385714E7</v>
      </c>
    </row>
    <row r="634">
      <c r="A634" s="2" t="s">
        <v>1755</v>
      </c>
      <c r="B634" s="2" t="s">
        <v>1756</v>
      </c>
      <c r="C634" s="2" t="s">
        <v>782</v>
      </c>
      <c r="D634" s="2" t="s">
        <v>780</v>
      </c>
      <c r="E634" s="28">
        <v>-149109.0</v>
      </c>
      <c r="F634" s="28">
        <v>1.1391853E7</v>
      </c>
    </row>
    <row r="635">
      <c r="A635" s="2" t="s">
        <v>1757</v>
      </c>
      <c r="B635" s="2" t="s">
        <v>1758</v>
      </c>
      <c r="C635" s="2" t="s">
        <v>779</v>
      </c>
      <c r="D635" s="2" t="s">
        <v>786</v>
      </c>
      <c r="E635" s="28">
        <v>-188203.0</v>
      </c>
      <c r="F635" s="28">
        <v>1.1341929E7</v>
      </c>
    </row>
    <row r="636">
      <c r="A636" s="2" t="s">
        <v>201</v>
      </c>
      <c r="B636" s="2" t="s">
        <v>1759</v>
      </c>
      <c r="C636" s="2" t="s">
        <v>782</v>
      </c>
      <c r="D636" s="2" t="s">
        <v>783</v>
      </c>
      <c r="E636" s="28">
        <v>-105278.0</v>
      </c>
      <c r="F636" s="28">
        <v>1.1372689E7</v>
      </c>
    </row>
    <row r="637">
      <c r="A637" s="2" t="s">
        <v>1760</v>
      </c>
      <c r="B637" s="2" t="s">
        <v>1761</v>
      </c>
      <c r="C637" s="2" t="s">
        <v>779</v>
      </c>
      <c r="D637" s="2" t="s">
        <v>786</v>
      </c>
      <c r="E637" s="28">
        <v>-172921.0</v>
      </c>
      <c r="F637" s="28">
        <v>1.1447908E7</v>
      </c>
    </row>
    <row r="638">
      <c r="A638" s="2" t="s">
        <v>1762</v>
      </c>
      <c r="B638" s="2" t="s">
        <v>1763</v>
      </c>
      <c r="C638" s="2" t="s">
        <v>782</v>
      </c>
      <c r="D638" s="2" t="s">
        <v>789</v>
      </c>
      <c r="E638" s="28">
        <v>-114761.0</v>
      </c>
      <c r="F638" s="28">
        <v>1.1388101E7</v>
      </c>
    </row>
    <row r="639">
      <c r="A639" s="2" t="s">
        <v>556</v>
      </c>
      <c r="B639" s="2" t="s">
        <v>1764</v>
      </c>
      <c r="C639" s="2" t="s">
        <v>779</v>
      </c>
      <c r="D639" s="2" t="s">
        <v>786</v>
      </c>
      <c r="E639" s="28">
        <v>-224864.0</v>
      </c>
      <c r="F639" s="28">
        <v>1.1395377E7</v>
      </c>
    </row>
    <row r="640">
      <c r="A640" s="2" t="s">
        <v>348</v>
      </c>
      <c r="B640" s="2" t="s">
        <v>1765</v>
      </c>
      <c r="C640" s="2" t="s">
        <v>785</v>
      </c>
      <c r="D640" s="2" t="s">
        <v>789</v>
      </c>
      <c r="E640" s="28">
        <v>-123468.0</v>
      </c>
      <c r="F640" s="28">
        <v>113877.0</v>
      </c>
    </row>
    <row r="641">
      <c r="A641" s="2" t="s">
        <v>1766</v>
      </c>
      <c r="B641" s="2" t="s">
        <v>1767</v>
      </c>
      <c r="C641" s="2" t="s">
        <v>779</v>
      </c>
      <c r="D641" s="2" t="s">
        <v>786</v>
      </c>
      <c r="E641" s="28">
        <v>-269665.0</v>
      </c>
      <c r="F641" s="28">
        <v>1.1462096E7</v>
      </c>
    </row>
    <row r="642">
      <c r="A642" s="2" t="s">
        <v>1768</v>
      </c>
      <c r="B642" s="2" t="s">
        <v>1769</v>
      </c>
      <c r="C642" s="2" t="s">
        <v>779</v>
      </c>
      <c r="D642" s="2" t="s">
        <v>786</v>
      </c>
      <c r="E642" s="28">
        <v>-2.2647689E7</v>
      </c>
      <c r="F642" s="28">
        <v>1.139344092E9</v>
      </c>
    </row>
    <row r="643">
      <c r="A643" s="2" t="s">
        <v>466</v>
      </c>
      <c r="B643" s="2" t="s">
        <v>1770</v>
      </c>
      <c r="C643" s="2" t="s">
        <v>779</v>
      </c>
      <c r="D643" s="2" t="s">
        <v>786</v>
      </c>
      <c r="E643" s="28">
        <v>-301781.0</v>
      </c>
      <c r="F643" s="28">
        <v>1.1439375E7</v>
      </c>
    </row>
    <row r="644">
      <c r="A644" s="2" t="s">
        <v>483</v>
      </c>
      <c r="B644" s="2" t="s">
        <v>1771</v>
      </c>
      <c r="C644" s="2" t="s">
        <v>782</v>
      </c>
      <c r="D644" s="2" t="s">
        <v>789</v>
      </c>
      <c r="E644" s="28">
        <v>-266705.0</v>
      </c>
      <c r="F644" s="28">
        <v>1.1443895E7</v>
      </c>
    </row>
    <row r="645">
      <c r="A645" s="2" t="s">
        <v>575</v>
      </c>
      <c r="B645" s="2" t="s">
        <v>1772</v>
      </c>
      <c r="C645" s="2" t="s">
        <v>782</v>
      </c>
      <c r="D645" s="2" t="s">
        <v>786</v>
      </c>
      <c r="E645" s="28">
        <v>-302986.0</v>
      </c>
      <c r="F645" s="28">
        <v>1.1438139E7</v>
      </c>
    </row>
    <row r="646">
      <c r="A646" s="2" t="s">
        <v>1773</v>
      </c>
      <c r="B646" s="2" t="s">
        <v>1774</v>
      </c>
      <c r="C646" s="2" t="s">
        <v>847</v>
      </c>
      <c r="D646" s="2" t="s">
        <v>780</v>
      </c>
      <c r="E646" s="28">
        <v>-279177.0</v>
      </c>
      <c r="F646" s="28">
        <v>1.1426157E7</v>
      </c>
    </row>
    <row r="647">
      <c r="A647" s="2" t="s">
        <v>176</v>
      </c>
      <c r="B647" s="2" t="s">
        <v>1775</v>
      </c>
      <c r="C647" s="2" t="s">
        <v>782</v>
      </c>
      <c r="D647" s="2" t="s">
        <v>786</v>
      </c>
      <c r="E647" s="28">
        <v>-67947.0</v>
      </c>
      <c r="F647" s="28">
        <v>1.1514599E7</v>
      </c>
    </row>
    <row r="648">
      <c r="A648" s="2" t="s">
        <v>504</v>
      </c>
      <c r="B648" s="2" t="s">
        <v>1776</v>
      </c>
      <c r="C648" s="2" t="s">
        <v>782</v>
      </c>
      <c r="D648" s="2" t="s">
        <v>783</v>
      </c>
      <c r="E648" s="28">
        <v>-87288.0</v>
      </c>
      <c r="F648" s="28">
        <v>1149288.0</v>
      </c>
    </row>
    <row r="649">
      <c r="A649" s="2" t="s">
        <v>278</v>
      </c>
      <c r="B649" s="2" t="s">
        <v>1777</v>
      </c>
      <c r="C649" s="2" t="s">
        <v>782</v>
      </c>
      <c r="D649" s="2" t="s">
        <v>789</v>
      </c>
      <c r="E649" s="28">
        <v>-52973.0</v>
      </c>
      <c r="F649" s="28">
        <v>1.1415439E7</v>
      </c>
    </row>
    <row r="650">
      <c r="A650" s="2" t="s">
        <v>344</v>
      </c>
      <c r="B650" s="2" t="s">
        <v>1778</v>
      </c>
      <c r="C650" s="2" t="s">
        <v>782</v>
      </c>
      <c r="D650" s="2" t="s">
        <v>780</v>
      </c>
      <c r="E650" s="28">
        <v>-171412.0</v>
      </c>
      <c r="F650" s="28">
        <v>1.1391273E7</v>
      </c>
    </row>
    <row r="651">
      <c r="A651" s="2" t="s">
        <v>1779</v>
      </c>
      <c r="B651" s="2" t="s">
        <v>1780</v>
      </c>
      <c r="C651" s="2" t="s">
        <v>857</v>
      </c>
      <c r="D651" s="2" t="s">
        <v>786</v>
      </c>
      <c r="E651" s="28">
        <v>-287936.0</v>
      </c>
      <c r="F651" s="28">
        <v>1.1423654E7</v>
      </c>
    </row>
    <row r="652">
      <c r="A652" s="2" t="s">
        <v>1781</v>
      </c>
      <c r="B652" s="2" t="s">
        <v>1782</v>
      </c>
      <c r="C652" s="2" t="s">
        <v>857</v>
      </c>
      <c r="D652" s="2" t="s">
        <v>786</v>
      </c>
      <c r="E652" s="28">
        <v>-266054.0</v>
      </c>
      <c r="F652" s="28">
        <v>1.1425616E7</v>
      </c>
    </row>
    <row r="653">
      <c r="A653" s="2" t="s">
        <v>1783</v>
      </c>
      <c r="B653" s="2" t="s">
        <v>1784</v>
      </c>
      <c r="C653" s="2" t="s">
        <v>929</v>
      </c>
      <c r="D653" s="2" t="s">
        <v>786</v>
      </c>
      <c r="E653" s="28">
        <v>-301232.0</v>
      </c>
      <c r="F653" s="28">
        <v>1.1411666E7</v>
      </c>
    </row>
    <row r="654">
      <c r="A654" s="2" t="s">
        <v>606</v>
      </c>
      <c r="B654" s="2" t="s">
        <v>1785</v>
      </c>
      <c r="C654" s="2" t="s">
        <v>785</v>
      </c>
      <c r="D654" s="2" t="s">
        <v>786</v>
      </c>
      <c r="E654" s="28">
        <v>-3047944.0</v>
      </c>
      <c r="F654" s="28">
        <v>1.1410875E7</v>
      </c>
    </row>
    <row r="655">
      <c r="A655" s="2" t="s">
        <v>1786</v>
      </c>
      <c r="B655" s="2" t="s">
        <v>1787</v>
      </c>
      <c r="C655" s="2" t="s">
        <v>847</v>
      </c>
      <c r="D655" s="2" t="s">
        <v>780</v>
      </c>
      <c r="E655" s="28">
        <v>-318477.0</v>
      </c>
      <c r="F655" s="28">
        <v>1.1437315E7</v>
      </c>
    </row>
    <row r="656">
      <c r="A656" s="2" t="s">
        <v>341</v>
      </c>
      <c r="B656" s="2" t="s">
        <v>1788</v>
      </c>
      <c r="C656" s="2" t="s">
        <v>857</v>
      </c>
      <c r="D656" s="2" t="s">
        <v>786</v>
      </c>
      <c r="E656" s="28">
        <v>-304083.0</v>
      </c>
      <c r="F656" s="28">
        <v>1.1440778E7</v>
      </c>
    </row>
    <row r="657">
      <c r="A657" s="2" t="s">
        <v>484</v>
      </c>
      <c r="B657" s="2" t="s">
        <v>1789</v>
      </c>
      <c r="C657" s="2" t="s">
        <v>782</v>
      </c>
      <c r="D657" s="2" t="s">
        <v>780</v>
      </c>
      <c r="E657" s="28">
        <v>-61707.0</v>
      </c>
      <c r="F657" s="28">
        <v>1.1456601E7</v>
      </c>
    </row>
    <row r="658">
      <c r="A658" s="2" t="s">
        <v>289</v>
      </c>
      <c r="B658" s="2" t="s">
        <v>1790</v>
      </c>
      <c r="C658" s="2" t="s">
        <v>782</v>
      </c>
      <c r="D658" s="2" t="s">
        <v>789</v>
      </c>
      <c r="E658" s="28">
        <v>-54377.0</v>
      </c>
      <c r="F658" s="28">
        <v>1.1450418E7</v>
      </c>
    </row>
    <row r="659">
      <c r="A659" s="2" t="s">
        <v>541</v>
      </c>
      <c r="B659" s="2" t="s">
        <v>1791</v>
      </c>
      <c r="C659" s="2" t="s">
        <v>779</v>
      </c>
      <c r="D659" s="2" t="s">
        <v>786</v>
      </c>
      <c r="E659" s="28">
        <v>-298978.0</v>
      </c>
      <c r="F659" s="28">
        <v>1.1437558E7</v>
      </c>
    </row>
    <row r="660">
      <c r="A660" s="2" t="s">
        <v>442</v>
      </c>
      <c r="B660" s="2" t="s">
        <v>1792</v>
      </c>
      <c r="C660" s="2" t="s">
        <v>782</v>
      </c>
      <c r="D660" s="2" t="s">
        <v>789</v>
      </c>
      <c r="E660" s="28">
        <v>-29924.0</v>
      </c>
      <c r="F660" s="28">
        <v>1.1327117E7</v>
      </c>
    </row>
    <row r="661">
      <c r="A661" s="2" t="s">
        <v>429</v>
      </c>
      <c r="B661" s="2" t="s">
        <v>1793</v>
      </c>
      <c r="C661" s="2" t="s">
        <v>782</v>
      </c>
      <c r="D661" s="2" t="s">
        <v>789</v>
      </c>
      <c r="E661" s="28">
        <v>-327036.0</v>
      </c>
      <c r="F661" s="28">
        <v>1.1333672E7</v>
      </c>
    </row>
    <row r="662">
      <c r="A662" s="2" t="s">
        <v>1794</v>
      </c>
      <c r="B662" s="2" t="s">
        <v>1795</v>
      </c>
      <c r="C662" s="2" t="s">
        <v>779</v>
      </c>
      <c r="D662" s="2" t="s">
        <v>786</v>
      </c>
      <c r="E662" s="28">
        <v>-299831.0</v>
      </c>
      <c r="F662" s="28">
        <v>1.1436744E7</v>
      </c>
    </row>
    <row r="663">
      <c r="A663" s="2" t="s">
        <v>768</v>
      </c>
      <c r="B663" s="2" t="s">
        <v>1796</v>
      </c>
      <c r="C663" s="2" t="s">
        <v>779</v>
      </c>
      <c r="D663" s="2" t="s">
        <v>786</v>
      </c>
      <c r="E663" s="28">
        <v>-188203.0</v>
      </c>
      <c r="F663" s="28">
        <v>1.1341929E7</v>
      </c>
    </row>
    <row r="664">
      <c r="A664" s="2" t="s">
        <v>222</v>
      </c>
      <c r="B664" s="2" t="s">
        <v>1797</v>
      </c>
      <c r="C664" s="2" t="s">
        <v>782</v>
      </c>
      <c r="D664" s="2" t="s">
        <v>786</v>
      </c>
      <c r="E664" s="28">
        <v>-217493.0</v>
      </c>
      <c r="F664" s="28">
        <v>1.1388602E7</v>
      </c>
    </row>
    <row r="665">
      <c r="A665" s="2" t="s">
        <v>1798</v>
      </c>
      <c r="B665" s="2" t="s">
        <v>1799</v>
      </c>
      <c r="C665" s="2" t="s">
        <v>782</v>
      </c>
      <c r="D665" s="2" t="s">
        <v>780</v>
      </c>
      <c r="E665" s="28">
        <v>-325369.0</v>
      </c>
      <c r="F665" s="28">
        <v>1.1437648E7</v>
      </c>
    </row>
    <row r="666">
      <c r="A666" s="2" t="s">
        <v>1800</v>
      </c>
      <c r="B666" s="2" t="s">
        <v>1801</v>
      </c>
      <c r="C666" s="2" t="s">
        <v>779</v>
      </c>
      <c r="D666" s="2" t="s">
        <v>786</v>
      </c>
      <c r="E666" s="28">
        <v>-9146.0</v>
      </c>
      <c r="F666" s="28" t="s">
        <v>1802</v>
      </c>
    </row>
    <row r="667">
      <c r="A667" s="2" t="s">
        <v>430</v>
      </c>
      <c r="B667" s="2" t="s">
        <v>1803</v>
      </c>
      <c r="C667" s="2" t="s">
        <v>782</v>
      </c>
      <c r="D667" s="2" t="s">
        <v>789</v>
      </c>
      <c r="E667" s="28">
        <v>-221898.0</v>
      </c>
      <c r="F667" s="28">
        <v>1.1393147E7</v>
      </c>
    </row>
    <row r="668">
      <c r="A668" s="2" t="s">
        <v>635</v>
      </c>
      <c r="B668" s="2" t="s">
        <v>1804</v>
      </c>
      <c r="C668" s="2" t="s">
        <v>782</v>
      </c>
      <c r="D668" s="2" t="s">
        <v>789</v>
      </c>
      <c r="E668" s="28">
        <v>-21944.0</v>
      </c>
      <c r="F668" s="28">
        <v>1.1388802E7</v>
      </c>
    </row>
    <row r="669">
      <c r="A669" s="2" t="s">
        <v>631</v>
      </c>
      <c r="B669" s="2" t="s">
        <v>1805</v>
      </c>
      <c r="C669" s="2" t="s">
        <v>779</v>
      </c>
      <c r="D669" s="2" t="s">
        <v>786</v>
      </c>
      <c r="E669" s="28">
        <v>-221329.0</v>
      </c>
      <c r="F669" s="28">
        <v>1.1392042E7</v>
      </c>
    </row>
    <row r="670">
      <c r="A670" s="2" t="s">
        <v>259</v>
      </c>
      <c r="B670" s="2" t="s">
        <v>1806</v>
      </c>
      <c r="C670" s="2" t="s">
        <v>785</v>
      </c>
      <c r="D670" s="2" t="s">
        <v>789</v>
      </c>
      <c r="E670" s="28">
        <v>-70799.0</v>
      </c>
      <c r="F670" s="28">
        <v>1.1453975E7</v>
      </c>
    </row>
    <row r="671">
      <c r="A671" s="2" t="s">
        <v>1807</v>
      </c>
      <c r="B671" s="2" t="s">
        <v>1808</v>
      </c>
      <c r="C671" s="2" t="s">
        <v>782</v>
      </c>
      <c r="D671" s="2" t="s">
        <v>780</v>
      </c>
      <c r="E671" s="28">
        <v>-60562.0</v>
      </c>
      <c r="F671" s="28">
        <v>1.1436182E7</v>
      </c>
    </row>
    <row r="672">
      <c r="A672" s="2" t="s">
        <v>337</v>
      </c>
      <c r="B672" s="2" t="s">
        <v>1809</v>
      </c>
      <c r="C672" s="2" t="s">
        <v>785</v>
      </c>
      <c r="D672" s="2" t="s">
        <v>789</v>
      </c>
      <c r="E672" s="28">
        <v>-64377.0</v>
      </c>
      <c r="F672" s="28">
        <v>1.1456408E7</v>
      </c>
    </row>
    <row r="673">
      <c r="A673" s="2" t="s">
        <v>117</v>
      </c>
      <c r="B673" s="2" t="s">
        <v>1810</v>
      </c>
      <c r="C673" s="2" t="s">
        <v>782</v>
      </c>
      <c r="D673" s="2" t="s">
        <v>786</v>
      </c>
      <c r="E673" s="28">
        <v>-66945.0</v>
      </c>
      <c r="F673" s="28">
        <v>1145281.0</v>
      </c>
    </row>
    <row r="674">
      <c r="A674" s="2" t="s">
        <v>555</v>
      </c>
      <c r="B674" s="2" t="s">
        <v>1811</v>
      </c>
      <c r="C674" s="2" t="s">
        <v>857</v>
      </c>
      <c r="D674" s="2" t="s">
        <v>789</v>
      </c>
      <c r="E674" s="28">
        <v>-63462.0</v>
      </c>
      <c r="F674" s="28">
        <v>1.1456726E7</v>
      </c>
    </row>
    <row r="675">
      <c r="A675" s="2" t="s">
        <v>163</v>
      </c>
      <c r="B675" s="2" t="s">
        <v>1812</v>
      </c>
      <c r="C675" s="2" t="s">
        <v>782</v>
      </c>
      <c r="D675" s="2" t="s">
        <v>780</v>
      </c>
      <c r="E675" s="28">
        <v>-63949.0</v>
      </c>
      <c r="F675" s="28">
        <v>1.1456278E7</v>
      </c>
    </row>
    <row r="676">
      <c r="A676" s="2" t="s">
        <v>485</v>
      </c>
      <c r="B676" s="2" t="s">
        <v>1813</v>
      </c>
      <c r="C676" s="2" t="s">
        <v>782</v>
      </c>
      <c r="D676" s="2" t="s">
        <v>783</v>
      </c>
      <c r="E676" s="28">
        <v>-697.0</v>
      </c>
      <c r="F676" s="28">
        <v>1.1429544E7</v>
      </c>
    </row>
    <row r="677">
      <c r="A677" s="2" t="s">
        <v>675</v>
      </c>
      <c r="B677" s="2" t="s">
        <v>1814</v>
      </c>
      <c r="C677" s="2" t="s">
        <v>857</v>
      </c>
      <c r="D677" s="2" t="s">
        <v>780</v>
      </c>
      <c r="E677" s="28">
        <v>-62569.0</v>
      </c>
      <c r="F677" s="28">
        <v>1.1455204E7</v>
      </c>
    </row>
    <row r="678">
      <c r="A678" s="2" t="s">
        <v>587</v>
      </c>
      <c r="B678" s="2" t="s">
        <v>1815</v>
      </c>
      <c r="C678" s="2" t="s">
        <v>782</v>
      </c>
      <c r="D678" s="2" t="s">
        <v>783</v>
      </c>
      <c r="E678" s="28">
        <v>-67591.0</v>
      </c>
      <c r="F678" s="28">
        <v>1.1444462E7</v>
      </c>
    </row>
    <row r="679">
      <c r="A679" s="2" t="s">
        <v>1816</v>
      </c>
      <c r="B679" s="2" t="s">
        <v>1817</v>
      </c>
      <c r="C679" s="2" t="s">
        <v>782</v>
      </c>
      <c r="D679" s="2" t="s">
        <v>786</v>
      </c>
      <c r="E679" s="28">
        <v>-589.0</v>
      </c>
      <c r="F679" s="28">
        <v>1142547.0</v>
      </c>
    </row>
    <row r="680">
      <c r="A680" s="2" t="s">
        <v>570</v>
      </c>
      <c r="B680" s="2" t="s">
        <v>1818</v>
      </c>
      <c r="C680" s="2" t="s">
        <v>782</v>
      </c>
      <c r="D680" s="2" t="s">
        <v>786</v>
      </c>
      <c r="E680" s="28">
        <v>-69238.0</v>
      </c>
      <c r="F680" s="28">
        <v>1.1423295E7</v>
      </c>
    </row>
    <row r="681">
      <c r="A681" s="2" t="s">
        <v>532</v>
      </c>
      <c r="B681" s="2" t="s">
        <v>1819</v>
      </c>
      <c r="C681" s="2" t="s">
        <v>782</v>
      </c>
      <c r="D681" s="2" t="s">
        <v>780</v>
      </c>
      <c r="E681" s="28">
        <v>-42772.0</v>
      </c>
      <c r="F681" s="28">
        <v>1.1408916E7</v>
      </c>
    </row>
    <row r="682">
      <c r="A682" s="2" t="s">
        <v>450</v>
      </c>
      <c r="B682" s="2" t="s">
        <v>1820</v>
      </c>
      <c r="C682" s="2" t="s">
        <v>782</v>
      </c>
      <c r="D682" s="2" t="s">
        <v>789</v>
      </c>
      <c r="E682" s="28">
        <v>-48053.0</v>
      </c>
      <c r="F682" s="28">
        <v>1.1412498E7</v>
      </c>
    </row>
    <row r="683">
      <c r="A683" s="2" t="s">
        <v>543</v>
      </c>
      <c r="B683" s="2" t="s">
        <v>1821</v>
      </c>
      <c r="C683" s="2" t="s">
        <v>779</v>
      </c>
      <c r="D683" s="2" t="s">
        <v>786</v>
      </c>
      <c r="E683" s="28">
        <v>-302461.0</v>
      </c>
      <c r="F683" s="28">
        <v>1.1439782E7</v>
      </c>
    </row>
    <row r="684">
      <c r="A684" s="2" t="s">
        <v>1822</v>
      </c>
      <c r="B684" s="2" t="s">
        <v>1823</v>
      </c>
      <c r="C684" s="2" t="s">
        <v>779</v>
      </c>
      <c r="D684" s="2" t="s">
        <v>786</v>
      </c>
      <c r="E684" s="28">
        <v>-219949.0</v>
      </c>
      <c r="F684" s="28">
        <v>1.1390855E7</v>
      </c>
    </row>
    <row r="685">
      <c r="A685" s="2" t="s">
        <v>199</v>
      </c>
      <c r="B685" s="2" t="s">
        <v>1824</v>
      </c>
      <c r="C685" s="2" t="s">
        <v>779</v>
      </c>
      <c r="D685" s="2" t="s">
        <v>786</v>
      </c>
      <c r="E685" s="28">
        <v>-220532.0</v>
      </c>
      <c r="F685" s="28">
        <v>1.1391569E7</v>
      </c>
    </row>
    <row r="686">
      <c r="A686" s="2" t="s">
        <v>200</v>
      </c>
      <c r="B686" s="2" t="s">
        <v>1825</v>
      </c>
      <c r="C686" s="2" t="s">
        <v>782</v>
      </c>
      <c r="D686" s="2" t="s">
        <v>789</v>
      </c>
      <c r="E686" s="28">
        <v>-262294.0</v>
      </c>
      <c r="F686" s="28">
        <v>1.1420639E7</v>
      </c>
    </row>
    <row r="687">
      <c r="A687" s="2" t="s">
        <v>296</v>
      </c>
      <c r="B687" s="2" t="s">
        <v>1826</v>
      </c>
      <c r="C687" s="2" t="s">
        <v>779</v>
      </c>
      <c r="D687" s="2" t="s">
        <v>786</v>
      </c>
      <c r="E687" s="28">
        <v>-222307.0</v>
      </c>
      <c r="F687" s="28">
        <v>1.1392467E7</v>
      </c>
    </row>
    <row r="688">
      <c r="A688" s="2" t="s">
        <v>365</v>
      </c>
      <c r="B688" s="2" t="s">
        <v>1827</v>
      </c>
      <c r="C688" s="2" t="s">
        <v>782</v>
      </c>
      <c r="D688" s="2" t="s">
        <v>780</v>
      </c>
      <c r="E688" s="28">
        <v>-237671.0</v>
      </c>
      <c r="F688" s="28">
        <v>1.1412495E7</v>
      </c>
    </row>
    <row r="689">
      <c r="A689" s="2" t="s">
        <v>1828</v>
      </c>
      <c r="B689" s="2" t="s">
        <v>1829</v>
      </c>
      <c r="C689" s="2" t="s">
        <v>779</v>
      </c>
      <c r="D689" s="2" t="s">
        <v>786</v>
      </c>
      <c r="E689" s="28">
        <v>-222257.0</v>
      </c>
      <c r="F689" s="28">
        <v>1.1393133E7</v>
      </c>
    </row>
    <row r="690">
      <c r="A690" s="2" t="s">
        <v>486</v>
      </c>
      <c r="B690" s="2" t="s">
        <v>1830</v>
      </c>
      <c r="C690" s="2" t="s">
        <v>782</v>
      </c>
      <c r="D690" s="2" t="s">
        <v>789</v>
      </c>
      <c r="E690" s="28">
        <v>-254083.0</v>
      </c>
      <c r="F690" s="28">
        <v>1.1454277E7</v>
      </c>
    </row>
    <row r="691">
      <c r="A691" s="2" t="s">
        <v>594</v>
      </c>
      <c r="B691" s="2" t="s">
        <v>1831</v>
      </c>
      <c r="C691" s="2" t="s">
        <v>782</v>
      </c>
      <c r="D691" s="2" t="s">
        <v>780</v>
      </c>
      <c r="E691" s="28">
        <v>-116079.0</v>
      </c>
      <c r="F691" s="28">
        <v>1.1242551E7</v>
      </c>
    </row>
    <row r="692">
      <c r="A692" s="2" t="s">
        <v>394</v>
      </c>
      <c r="B692" s="2" t="s">
        <v>1832</v>
      </c>
      <c r="C692" s="2" t="s">
        <v>782</v>
      </c>
      <c r="D692" s="2" t="s">
        <v>783</v>
      </c>
      <c r="E692" s="28">
        <v>-134971.0</v>
      </c>
      <c r="F692" s="28">
        <v>1.1308922E7</v>
      </c>
    </row>
    <row r="693">
      <c r="A693" s="2" t="s">
        <v>233</v>
      </c>
      <c r="B693" s="2" t="s">
        <v>1833</v>
      </c>
      <c r="C693" s="2" t="s">
        <v>782</v>
      </c>
      <c r="D693" s="2" t="s">
        <v>789</v>
      </c>
      <c r="E693" s="28">
        <v>-207314.0</v>
      </c>
      <c r="F693" s="28">
        <v>1.1345406E7</v>
      </c>
    </row>
    <row r="694">
      <c r="A694" s="2" t="s">
        <v>303</v>
      </c>
      <c r="B694" s="2" t="s">
        <v>1834</v>
      </c>
      <c r="C694" s="2" t="s">
        <v>782</v>
      </c>
      <c r="D694" s="2" t="s">
        <v>789</v>
      </c>
      <c r="E694" s="28">
        <v>-226931.0</v>
      </c>
      <c r="F694" s="28">
        <v>1.1347421E7</v>
      </c>
    </row>
    <row r="695">
      <c r="A695" s="2" t="s">
        <v>262</v>
      </c>
      <c r="B695" s="2" t="s">
        <v>1835</v>
      </c>
      <c r="C695" s="2" t="s">
        <v>785</v>
      </c>
      <c r="D695" s="2" t="s">
        <v>786</v>
      </c>
      <c r="E695" s="28">
        <v>-225776.0</v>
      </c>
      <c r="F695" s="28">
        <v>1.1441518E7</v>
      </c>
    </row>
    <row r="696">
      <c r="A696" s="2" t="s">
        <v>1836</v>
      </c>
      <c r="B696" s="2" t="s">
        <v>1837</v>
      </c>
      <c r="C696" s="2" t="s">
        <v>782</v>
      </c>
      <c r="D696" s="2" t="s">
        <v>780</v>
      </c>
      <c r="E696" s="28">
        <v>-340296.0</v>
      </c>
      <c r="F696" s="28">
        <v>1.1361933E7</v>
      </c>
    </row>
    <row r="697">
      <c r="A697" s="2" t="s">
        <v>197</v>
      </c>
      <c r="B697" s="2" t="s">
        <v>1838</v>
      </c>
      <c r="C697" s="2" t="s">
        <v>782</v>
      </c>
      <c r="D697" s="2" t="s">
        <v>780</v>
      </c>
      <c r="E697" s="28">
        <v>-203024.0</v>
      </c>
      <c r="F697" s="28">
        <v>1.1424023E7</v>
      </c>
    </row>
    <row r="698">
      <c r="A698" s="2" t="s">
        <v>1839</v>
      </c>
      <c r="B698" s="2" t="s">
        <v>1840</v>
      </c>
      <c r="C698" s="2" t="s">
        <v>782</v>
      </c>
      <c r="D698" s="2" t="s">
        <v>786</v>
      </c>
      <c r="E698" s="28">
        <v>-192218.0</v>
      </c>
      <c r="F698" s="28">
        <v>1.1359305E7</v>
      </c>
    </row>
    <row r="699">
      <c r="A699" s="2" t="s">
        <v>247</v>
      </c>
      <c r="B699" s="2" t="s">
        <v>1841</v>
      </c>
      <c r="C699" s="2" t="s">
        <v>782</v>
      </c>
      <c r="D699" s="2" t="s">
        <v>786</v>
      </c>
      <c r="E699" s="28">
        <v>-113045.0</v>
      </c>
      <c r="F699" s="28">
        <v>1141726.0</v>
      </c>
    </row>
    <row r="700">
      <c r="A700" s="2" t="s">
        <v>1842</v>
      </c>
      <c r="B700" s="2" t="s">
        <v>1843</v>
      </c>
      <c r="C700" s="2" t="s">
        <v>782</v>
      </c>
      <c r="D700" s="2" t="s">
        <v>786</v>
      </c>
      <c r="E700" s="28">
        <v>-84018.0</v>
      </c>
      <c r="F700" s="28">
        <v>1.1403823E7</v>
      </c>
    </row>
    <row r="701">
      <c r="A701" s="2" t="s">
        <v>461</v>
      </c>
      <c r="B701" s="2" t="s">
        <v>1844</v>
      </c>
      <c r="C701" s="2" t="s">
        <v>782</v>
      </c>
      <c r="D701" s="2" t="s">
        <v>789</v>
      </c>
      <c r="E701" s="28">
        <v>-197467.0</v>
      </c>
      <c r="F701" s="28">
        <v>1142286.0</v>
      </c>
    </row>
    <row r="702">
      <c r="A702" s="2" t="s">
        <v>645</v>
      </c>
      <c r="B702" s="2" t="s">
        <v>1845</v>
      </c>
      <c r="C702" s="2" t="s">
        <v>782</v>
      </c>
      <c r="D702" s="2" t="s">
        <v>780</v>
      </c>
      <c r="E702" s="28">
        <v>-178795.0</v>
      </c>
      <c r="F702" s="28">
        <v>1.1446913E7</v>
      </c>
    </row>
    <row r="703">
      <c r="A703" s="2" t="s">
        <v>1846</v>
      </c>
      <c r="B703" s="2" t="s">
        <v>1847</v>
      </c>
      <c r="C703" s="2" t="s">
        <v>782</v>
      </c>
      <c r="D703" s="2" t="s">
        <v>780</v>
      </c>
      <c r="E703" s="28">
        <v>-116236.0</v>
      </c>
      <c r="F703" s="28">
        <v>1.1418868E7</v>
      </c>
    </row>
    <row r="704">
      <c r="A704" s="2" t="s">
        <v>1848</v>
      </c>
      <c r="B704" s="2" t="s">
        <v>1849</v>
      </c>
      <c r="C704" s="2" t="s">
        <v>782</v>
      </c>
      <c r="D704" s="2" t="s">
        <v>786</v>
      </c>
      <c r="E704" s="28">
        <v>-87019.0</v>
      </c>
      <c r="F704" s="28">
        <v>1.1400523E7</v>
      </c>
    </row>
    <row r="705">
      <c r="A705" s="2" t="s">
        <v>340</v>
      </c>
      <c r="B705" s="2" t="s">
        <v>1850</v>
      </c>
      <c r="C705" s="2" t="s">
        <v>782</v>
      </c>
      <c r="D705" s="2" t="s">
        <v>786</v>
      </c>
      <c r="E705" s="28">
        <v>-202382.0</v>
      </c>
      <c r="F705" s="28">
        <v>1144008.0</v>
      </c>
    </row>
    <row r="706">
      <c r="A706" s="2" t="s">
        <v>1851</v>
      </c>
      <c r="B706" s="2" t="s">
        <v>1852</v>
      </c>
      <c r="C706" s="2" t="s">
        <v>782</v>
      </c>
      <c r="D706" s="2" t="s">
        <v>786</v>
      </c>
      <c r="E706" s="28">
        <v>-95755.0</v>
      </c>
      <c r="F706" s="28">
        <v>1.1403451E7</v>
      </c>
    </row>
    <row r="707">
      <c r="A707" s="2" t="s">
        <v>119</v>
      </c>
      <c r="B707" s="2" t="s">
        <v>1853</v>
      </c>
      <c r="C707" s="2" t="s">
        <v>782</v>
      </c>
      <c r="D707" s="2" t="s">
        <v>780</v>
      </c>
      <c r="E707" s="28">
        <v>-23674.0</v>
      </c>
      <c r="F707" s="28">
        <v>1.1440769E7</v>
      </c>
    </row>
    <row r="708">
      <c r="A708" s="2" t="s">
        <v>1854</v>
      </c>
      <c r="B708" s="2" t="s">
        <v>1855</v>
      </c>
      <c r="C708" s="2" t="s">
        <v>782</v>
      </c>
      <c r="D708" s="2" t="s">
        <v>786</v>
      </c>
      <c r="E708" s="28">
        <v>-218898.0</v>
      </c>
      <c r="F708" s="28">
        <v>1143938.0</v>
      </c>
    </row>
    <row r="709">
      <c r="A709" s="2" t="s">
        <v>279</v>
      </c>
      <c r="B709" s="2" t="s">
        <v>1856</v>
      </c>
      <c r="C709" s="2" t="s">
        <v>782</v>
      </c>
      <c r="D709" s="2" t="s">
        <v>786</v>
      </c>
      <c r="E709" s="28">
        <v>-11722.0</v>
      </c>
      <c r="F709" s="28">
        <v>1.1421141E7</v>
      </c>
    </row>
    <row r="710">
      <c r="A710" s="2" t="s">
        <v>1857</v>
      </c>
      <c r="B710" s="2" t="s">
        <v>1858</v>
      </c>
      <c r="C710" s="2" t="s">
        <v>782</v>
      </c>
      <c r="D710" s="2" t="s">
        <v>786</v>
      </c>
      <c r="E710" s="28">
        <v>-111041.0</v>
      </c>
      <c r="F710" s="28">
        <v>1.1415109E7</v>
      </c>
    </row>
    <row r="711">
      <c r="A711" s="2" t="s">
        <v>332</v>
      </c>
      <c r="B711" s="2" t="s">
        <v>1859</v>
      </c>
      <c r="C711" s="2" t="s">
        <v>782</v>
      </c>
      <c r="D711" s="2" t="s">
        <v>786</v>
      </c>
      <c r="E711" s="28">
        <v>-181021.0</v>
      </c>
      <c r="F711" s="28">
        <v>1.1428453E7</v>
      </c>
    </row>
    <row r="712">
      <c r="A712" s="2" t="s">
        <v>1860</v>
      </c>
      <c r="B712" s="2" t="s">
        <v>1861</v>
      </c>
      <c r="C712" s="2" t="s">
        <v>782</v>
      </c>
      <c r="D712" s="2" t="s">
        <v>786</v>
      </c>
      <c r="E712" s="28">
        <v>-111467.0</v>
      </c>
      <c r="F712" s="28">
        <v>1.1413918E7</v>
      </c>
    </row>
    <row r="713">
      <c r="A713" s="2" t="s">
        <v>309</v>
      </c>
      <c r="B713" s="2" t="s">
        <v>1862</v>
      </c>
      <c r="C713" s="2" t="s">
        <v>782</v>
      </c>
      <c r="D713" s="2" t="s">
        <v>783</v>
      </c>
      <c r="E713" s="28">
        <v>-62697.0</v>
      </c>
      <c r="F713" s="28">
        <v>1145157.0</v>
      </c>
    </row>
    <row r="714">
      <c r="A714" s="2" t="s">
        <v>1863</v>
      </c>
      <c r="B714" s="2" t="s">
        <v>1864</v>
      </c>
      <c r="C714" s="2" t="s">
        <v>782</v>
      </c>
      <c r="D714" s="2" t="s">
        <v>786</v>
      </c>
      <c r="E714" s="28">
        <v>-73757.0</v>
      </c>
      <c r="F714" s="28">
        <v>1.1396101E7</v>
      </c>
    </row>
    <row r="715">
      <c r="A715" s="2" t="s">
        <v>355</v>
      </c>
      <c r="B715" s="2" t="s">
        <v>1865</v>
      </c>
      <c r="C715" s="2" t="s">
        <v>782</v>
      </c>
      <c r="D715" s="2" t="s">
        <v>786</v>
      </c>
      <c r="E715" s="28">
        <v>-6844.0</v>
      </c>
      <c r="F715" s="28">
        <v>1.1458301E7</v>
      </c>
    </row>
    <row r="716">
      <c r="A716" s="2" t="s">
        <v>217</v>
      </c>
      <c r="B716" s="2" t="s">
        <v>1866</v>
      </c>
      <c r="C716" s="2" t="s">
        <v>782</v>
      </c>
      <c r="D716" s="2" t="s">
        <v>786</v>
      </c>
      <c r="E716" s="28">
        <v>-117407.0</v>
      </c>
      <c r="F716" s="28">
        <v>112496.0</v>
      </c>
    </row>
    <row r="717">
      <c r="A717" s="2" t="s">
        <v>269</v>
      </c>
      <c r="B717" s="2" t="s">
        <v>1867</v>
      </c>
      <c r="C717" s="2" t="s">
        <v>782</v>
      </c>
      <c r="D717" s="2" t="s">
        <v>786</v>
      </c>
      <c r="E717" s="28">
        <v>-1161318.0</v>
      </c>
      <c r="F717" s="28">
        <v>1.12622896E8</v>
      </c>
    </row>
    <row r="718">
      <c r="A718" s="2" t="s">
        <v>1868</v>
      </c>
      <c r="B718" s="2" t="s">
        <v>1869</v>
      </c>
      <c r="C718" s="2" t="s">
        <v>782</v>
      </c>
      <c r="D718" s="2" t="s">
        <v>786</v>
      </c>
      <c r="E718" s="28">
        <v>-117918.0</v>
      </c>
      <c r="F718" s="28">
        <v>1.1255508E7</v>
      </c>
    </row>
    <row r="719">
      <c r="A719" s="2" t="s">
        <v>1870</v>
      </c>
      <c r="B719" s="2" t="s">
        <v>1871</v>
      </c>
      <c r="C719" s="2" t="s">
        <v>782</v>
      </c>
      <c r="D719" s="2" t="s">
        <v>780</v>
      </c>
      <c r="E719" s="28">
        <v>-237329.0</v>
      </c>
      <c r="F719" s="28">
        <v>1.1339403E7</v>
      </c>
    </row>
    <row r="720">
      <c r="A720" s="2" t="s">
        <v>362</v>
      </c>
      <c r="B720" s="2" t="s">
        <v>1872</v>
      </c>
      <c r="C720" s="2" t="s">
        <v>782</v>
      </c>
      <c r="D720" s="2" t="s">
        <v>786</v>
      </c>
      <c r="E720" s="28">
        <v>-113812.0</v>
      </c>
      <c r="F720" s="28">
        <v>1.1260717E7</v>
      </c>
    </row>
    <row r="721">
      <c r="A721" s="2" t="s">
        <v>1873</v>
      </c>
      <c r="B721" s="2" t="s">
        <v>1874</v>
      </c>
      <c r="C721" s="2" t="s">
        <v>782</v>
      </c>
      <c r="D721" s="2" t="s">
        <v>786</v>
      </c>
      <c r="E721" s="28">
        <v>-99818.0</v>
      </c>
      <c r="F721" s="28">
        <v>1.1228272E7</v>
      </c>
    </row>
    <row r="722">
      <c r="A722" s="2" t="s">
        <v>1875</v>
      </c>
      <c r="B722" s="2" t="s">
        <v>1876</v>
      </c>
      <c r="C722" s="2" t="s">
        <v>782</v>
      </c>
      <c r="D722" s="2" t="s">
        <v>786</v>
      </c>
      <c r="E722" s="28">
        <v>-7212.0</v>
      </c>
      <c r="F722" s="28">
        <v>1122181.0</v>
      </c>
    </row>
    <row r="723">
      <c r="A723" s="2" t="s">
        <v>265</v>
      </c>
      <c r="B723" s="2" t="s">
        <v>1877</v>
      </c>
      <c r="C723" s="2" t="s">
        <v>779</v>
      </c>
      <c r="D723" s="2" t="s">
        <v>783</v>
      </c>
      <c r="E723" s="28">
        <v>-65434.0</v>
      </c>
      <c r="F723" s="28">
        <v>1.1457831E7</v>
      </c>
    </row>
    <row r="724">
      <c r="A724" s="2" t="s">
        <v>1878</v>
      </c>
      <c r="B724" s="2" t="s">
        <v>1879</v>
      </c>
      <c r="C724" s="2" t="s">
        <v>785</v>
      </c>
      <c r="D724" s="2" t="s">
        <v>789</v>
      </c>
      <c r="E724" s="28">
        <v>-2931.0</v>
      </c>
      <c r="F724" s="28">
        <v>1.1472297E7</v>
      </c>
    </row>
    <row r="725">
      <c r="A725" s="2" t="s">
        <v>1880</v>
      </c>
      <c r="B725" s="2" t="s">
        <v>1881</v>
      </c>
      <c r="C725" s="2" t="s">
        <v>779</v>
      </c>
      <c r="D725" s="2" t="s">
        <v>783</v>
      </c>
      <c r="E725" s="28">
        <v>-12263.0</v>
      </c>
      <c r="F725" s="28">
        <v>1.1488241E7</v>
      </c>
    </row>
    <row r="726">
      <c r="A726" s="2" t="s">
        <v>1882</v>
      </c>
      <c r="B726" s="2" t="s">
        <v>1883</v>
      </c>
      <c r="C726" s="2" t="s">
        <v>779</v>
      </c>
      <c r="D726" s="2" t="s">
        <v>783</v>
      </c>
      <c r="E726" s="28">
        <v>-39592.0</v>
      </c>
      <c r="F726" s="28">
        <v>114863.0</v>
      </c>
    </row>
    <row r="727">
      <c r="A727" s="2" t="s">
        <v>1884</v>
      </c>
      <c r="B727" s="2" t="s">
        <v>1885</v>
      </c>
      <c r="C727" s="2" t="s">
        <v>869</v>
      </c>
      <c r="D727" s="2" t="s">
        <v>789</v>
      </c>
      <c r="E727" s="28">
        <v>-3264.0</v>
      </c>
      <c r="F727" s="28">
        <v>1.1483319E7</v>
      </c>
    </row>
    <row r="728">
      <c r="A728" s="2" t="s">
        <v>445</v>
      </c>
      <c r="B728" s="2" t="s">
        <v>1886</v>
      </c>
      <c r="C728" s="2" t="s">
        <v>782</v>
      </c>
      <c r="D728" s="2" t="s">
        <v>786</v>
      </c>
      <c r="E728" s="28">
        <v>-117499.0</v>
      </c>
      <c r="F728" s="28">
        <v>1.1236188E7</v>
      </c>
    </row>
    <row r="729">
      <c r="A729" s="2" t="s">
        <v>1887</v>
      </c>
      <c r="B729" s="2" t="s">
        <v>1888</v>
      </c>
      <c r="C729" s="2" t="s">
        <v>782</v>
      </c>
      <c r="D729" s="2" t="s">
        <v>786</v>
      </c>
      <c r="E729" s="28">
        <v>-106205.0</v>
      </c>
      <c r="F729" s="28">
        <v>1.1229943E7</v>
      </c>
    </row>
    <row r="730">
      <c r="A730" s="2" t="s">
        <v>1889</v>
      </c>
      <c r="B730" s="2" t="s">
        <v>1890</v>
      </c>
      <c r="C730" s="2" t="s">
        <v>782</v>
      </c>
      <c r="D730" s="2" t="s">
        <v>786</v>
      </c>
      <c r="E730" s="28">
        <v>-103197.0</v>
      </c>
      <c r="F730" s="28">
        <v>1.1228429E7</v>
      </c>
    </row>
    <row r="731">
      <c r="A731" s="2" t="s">
        <v>701</v>
      </c>
      <c r="B731" s="2" t="s">
        <v>1891</v>
      </c>
      <c r="C731" s="2" t="s">
        <v>782</v>
      </c>
      <c r="D731" s="2" t="s">
        <v>780</v>
      </c>
      <c r="E731" s="28">
        <v>-241706.0</v>
      </c>
      <c r="F731" s="28">
        <v>1.1335977E7</v>
      </c>
    </row>
    <row r="732">
      <c r="A732" s="2" t="s">
        <v>363</v>
      </c>
      <c r="B732" s="2" t="s">
        <v>1892</v>
      </c>
      <c r="C732" s="2" t="s">
        <v>782</v>
      </c>
      <c r="D732" s="2" t="s">
        <v>780</v>
      </c>
      <c r="E732" s="28">
        <v>-325122.0</v>
      </c>
      <c r="F732" s="28">
        <v>1.1334753E7</v>
      </c>
    </row>
    <row r="733">
      <c r="A733" s="2" t="s">
        <v>1893</v>
      </c>
      <c r="B733" s="2" t="s">
        <v>1894</v>
      </c>
      <c r="C733" s="2" t="s">
        <v>785</v>
      </c>
      <c r="D733" s="2" t="s">
        <v>786</v>
      </c>
      <c r="E733" s="28">
        <v>-73521.0</v>
      </c>
      <c r="F733" s="28">
        <v>1.1435925E7</v>
      </c>
    </row>
    <row r="734">
      <c r="A734" s="2" t="s">
        <v>361</v>
      </c>
      <c r="B734" s="2" t="s">
        <v>1895</v>
      </c>
      <c r="C734" s="2" t="s">
        <v>782</v>
      </c>
      <c r="D734" s="2" t="s">
        <v>780</v>
      </c>
      <c r="E734" s="28">
        <v>-30627.0</v>
      </c>
      <c r="F734" s="28">
        <v>1.1360951E7</v>
      </c>
    </row>
    <row r="735">
      <c r="A735" s="2" t="s">
        <v>634</v>
      </c>
      <c r="B735" s="2" t="s">
        <v>1896</v>
      </c>
      <c r="C735" s="2" t="s">
        <v>782</v>
      </c>
      <c r="D735" s="2" t="s">
        <v>786</v>
      </c>
      <c r="E735" s="28">
        <v>-1241.0</v>
      </c>
      <c r="F735" s="28">
        <v>1127145.0</v>
      </c>
    </row>
    <row r="736">
      <c r="A736" s="2" t="s">
        <v>346</v>
      </c>
      <c r="B736" s="2" t="s">
        <v>1897</v>
      </c>
      <c r="C736" s="2" t="s">
        <v>782</v>
      </c>
      <c r="D736" s="2" t="s">
        <v>786</v>
      </c>
      <c r="E736" s="28">
        <v>-1274.0</v>
      </c>
      <c r="F736" s="28">
        <v>1127164.0</v>
      </c>
    </row>
    <row r="737">
      <c r="A737" s="2" t="s">
        <v>1898</v>
      </c>
      <c r="B737" s="2" t="s">
        <v>1899</v>
      </c>
      <c r="C737" s="2" t="s">
        <v>782</v>
      </c>
      <c r="D737" s="2" t="s">
        <v>783</v>
      </c>
      <c r="E737" s="28">
        <v>-158893.0</v>
      </c>
      <c r="F737" s="28">
        <v>1143099.0</v>
      </c>
    </row>
    <row r="738">
      <c r="A738" s="2" t="s">
        <v>752</v>
      </c>
      <c r="B738" s="2" t="s">
        <v>1900</v>
      </c>
      <c r="C738" s="2" t="s">
        <v>782</v>
      </c>
      <c r="D738" s="2" t="s">
        <v>786</v>
      </c>
      <c r="E738" s="28">
        <v>-10764.0</v>
      </c>
      <c r="F738" s="28">
        <v>1.1275253E7</v>
      </c>
    </row>
    <row r="739">
      <c r="A739" s="2" t="s">
        <v>1901</v>
      </c>
      <c r="B739" s="2" t="s">
        <v>1902</v>
      </c>
      <c r="C739" s="2" t="s">
        <v>782</v>
      </c>
      <c r="D739" s="2" t="s">
        <v>786</v>
      </c>
      <c r="E739" s="28">
        <v>-972.0</v>
      </c>
      <c r="F739" s="28">
        <v>1.1395784E7</v>
      </c>
    </row>
    <row r="740">
      <c r="A740" s="2" t="s">
        <v>250</v>
      </c>
      <c r="B740" s="2" t="s">
        <v>1903</v>
      </c>
      <c r="C740" s="2" t="s">
        <v>782</v>
      </c>
      <c r="D740" s="2" t="s">
        <v>780</v>
      </c>
      <c r="E740" s="28">
        <v>-7859.0</v>
      </c>
      <c r="F740" s="28">
        <v>1.1405308E7</v>
      </c>
    </row>
    <row r="741">
      <c r="A741" s="2" t="s">
        <v>1904</v>
      </c>
      <c r="B741" s="2" t="s">
        <v>1905</v>
      </c>
      <c r="C741" s="2" t="s">
        <v>782</v>
      </c>
      <c r="D741" s="2" t="s">
        <v>780</v>
      </c>
      <c r="E741" s="28">
        <v>-98715.0</v>
      </c>
      <c r="F741" s="28">
        <v>1.1403602E7</v>
      </c>
    </row>
    <row r="742">
      <c r="A742" s="2" t="s">
        <v>249</v>
      </c>
      <c r="B742" s="2" t="s">
        <v>1906</v>
      </c>
      <c r="C742" s="2" t="s">
        <v>782</v>
      </c>
      <c r="D742" s="2" t="s">
        <v>786</v>
      </c>
      <c r="E742" s="28">
        <v>-109108.0</v>
      </c>
      <c r="F742" s="28">
        <v>1.1424508E7</v>
      </c>
    </row>
    <row r="743">
      <c r="A743" s="2" t="s">
        <v>705</v>
      </c>
      <c r="B743" s="2" t="s">
        <v>1907</v>
      </c>
      <c r="C743" s="2" t="s">
        <v>782</v>
      </c>
      <c r="D743" s="2" t="s">
        <v>786</v>
      </c>
      <c r="E743" s="28">
        <v>-111231.0</v>
      </c>
      <c r="F743" s="28">
        <v>1.1232046E7</v>
      </c>
    </row>
    <row r="744">
      <c r="A744" s="2" t="s">
        <v>1908</v>
      </c>
      <c r="B744" s="2" t="s">
        <v>1909</v>
      </c>
      <c r="C744" s="2" t="s">
        <v>782</v>
      </c>
      <c r="D744" s="2" t="s">
        <v>786</v>
      </c>
      <c r="E744" s="28">
        <v>-105919.0</v>
      </c>
      <c r="F744" s="28">
        <v>1.1253026E7</v>
      </c>
    </row>
    <row r="745">
      <c r="A745" s="2" t="s">
        <v>1910</v>
      </c>
      <c r="B745" s="2" t="s">
        <v>1911</v>
      </c>
      <c r="C745" s="2" t="s">
        <v>782</v>
      </c>
      <c r="D745" s="2" t="s">
        <v>786</v>
      </c>
      <c r="E745" s="28">
        <v>-110293.0</v>
      </c>
      <c r="F745" s="28">
        <v>1127173.0</v>
      </c>
    </row>
    <row r="746">
      <c r="A746" s="2" t="s">
        <v>1912</v>
      </c>
      <c r="B746" s="2" t="s">
        <v>1913</v>
      </c>
      <c r="C746" s="2" t="s">
        <v>782</v>
      </c>
      <c r="D746" s="2" t="s">
        <v>786</v>
      </c>
      <c r="E746" s="28">
        <v>-73759.0</v>
      </c>
      <c r="F746" s="28">
        <v>1.1399509E7</v>
      </c>
    </row>
    <row r="747">
      <c r="A747" s="2" t="s">
        <v>377</v>
      </c>
      <c r="B747" s="2" t="s">
        <v>1914</v>
      </c>
      <c r="C747" s="2" t="s">
        <v>782</v>
      </c>
      <c r="D747" s="2" t="s">
        <v>786</v>
      </c>
      <c r="E747" s="28">
        <v>-127631.0</v>
      </c>
      <c r="F747" s="28">
        <v>1.1275382E7</v>
      </c>
    </row>
    <row r="748">
      <c r="A748" s="2" t="s">
        <v>1915</v>
      </c>
      <c r="B748" s="2" t="s">
        <v>1916</v>
      </c>
      <c r="C748" s="2" t="s">
        <v>782</v>
      </c>
      <c r="D748" s="2" t="s">
        <v>786</v>
      </c>
      <c r="E748" s="28">
        <v>-115793.0</v>
      </c>
      <c r="F748" s="28">
        <v>1.1435613E7</v>
      </c>
    </row>
    <row r="749">
      <c r="A749" s="2" t="s">
        <v>472</v>
      </c>
      <c r="B749" s="2" t="s">
        <v>1917</v>
      </c>
      <c r="C749" s="2" t="s">
        <v>782</v>
      </c>
      <c r="D749" s="2" t="s">
        <v>786</v>
      </c>
      <c r="E749" s="28">
        <v>-112495.0</v>
      </c>
      <c r="F749" s="28">
        <v>1.1422502E7</v>
      </c>
    </row>
    <row r="750">
      <c r="A750" s="2" t="s">
        <v>359</v>
      </c>
      <c r="B750" s="2" t="s">
        <v>1918</v>
      </c>
      <c r="C750" s="2" t="s">
        <v>782</v>
      </c>
      <c r="D750" s="2" t="s">
        <v>786</v>
      </c>
      <c r="E750" s="28">
        <v>-85993.0</v>
      </c>
      <c r="F750" s="28">
        <v>1.1381485E7</v>
      </c>
    </row>
    <row r="751">
      <c r="A751" s="2" t="s">
        <v>1919</v>
      </c>
      <c r="B751" s="2" t="s">
        <v>1920</v>
      </c>
      <c r="C751" s="2" t="s">
        <v>782</v>
      </c>
      <c r="D751" s="2" t="s">
        <v>786</v>
      </c>
      <c r="E751" s="28">
        <v>-116663.0</v>
      </c>
      <c r="F751" s="28">
        <v>1.1238892E7</v>
      </c>
    </row>
    <row r="752">
      <c r="A752" s="2" t="s">
        <v>1921</v>
      </c>
      <c r="B752" s="2" t="s">
        <v>1922</v>
      </c>
      <c r="C752" s="2" t="s">
        <v>782</v>
      </c>
      <c r="D752" s="2" t="s">
        <v>786</v>
      </c>
      <c r="E752" s="28">
        <v>-62638.0</v>
      </c>
      <c r="F752" s="28">
        <v>1.1460068E7</v>
      </c>
    </row>
    <row r="753">
      <c r="A753" s="2" t="s">
        <v>1923</v>
      </c>
      <c r="B753" s="2" t="s">
        <v>1924</v>
      </c>
      <c r="C753" s="2" t="s">
        <v>779</v>
      </c>
      <c r="D753" s="2" t="s">
        <v>786</v>
      </c>
      <c r="E753" s="28">
        <v>-62555.0</v>
      </c>
      <c r="F753" s="28">
        <v>1.1455637E7</v>
      </c>
    </row>
    <row r="754">
      <c r="A754" s="2" t="s">
        <v>1925</v>
      </c>
      <c r="B754" s="2" t="s">
        <v>1926</v>
      </c>
      <c r="C754" s="2" t="s">
        <v>782</v>
      </c>
      <c r="D754" s="2" t="s">
        <v>780</v>
      </c>
      <c r="E754" s="28">
        <v>-62515.0</v>
      </c>
      <c r="F754" s="28">
        <v>1.1457179E7</v>
      </c>
    </row>
    <row r="755">
      <c r="A755" s="2" t="s">
        <v>1927</v>
      </c>
      <c r="B755" s="2" t="s">
        <v>1928</v>
      </c>
      <c r="C755" s="2" t="s">
        <v>782</v>
      </c>
      <c r="D755" s="2" t="s">
        <v>789</v>
      </c>
      <c r="E755" s="28">
        <v>-120458.0</v>
      </c>
      <c r="F755" s="28">
        <v>1.1422903E7</v>
      </c>
    </row>
    <row r="756">
      <c r="A756" s="2" t="s">
        <v>421</v>
      </c>
      <c r="B756" s="2" t="s">
        <v>1929</v>
      </c>
      <c r="C756" s="2" t="s">
        <v>785</v>
      </c>
      <c r="D756" s="2" t="s">
        <v>858</v>
      </c>
      <c r="E756" s="28">
        <v>-62204.0</v>
      </c>
      <c r="F756" s="28">
        <v>1.1480614E7</v>
      </c>
    </row>
    <row r="757">
      <c r="A757" s="2" t="s">
        <v>1930</v>
      </c>
      <c r="B757" s="2" t="s">
        <v>1931</v>
      </c>
      <c r="C757" s="2" t="s">
        <v>782</v>
      </c>
      <c r="D757" s="2" t="s">
        <v>786</v>
      </c>
      <c r="E757" s="28">
        <v>-899.0</v>
      </c>
      <c r="F757" s="28">
        <v>1140144.0</v>
      </c>
    </row>
    <row r="758">
      <c r="A758" s="2" t="s">
        <v>644</v>
      </c>
      <c r="B758" s="2" t="s">
        <v>1932</v>
      </c>
      <c r="C758" s="2" t="s">
        <v>785</v>
      </c>
      <c r="D758" s="2" t="s">
        <v>789</v>
      </c>
      <c r="E758" s="28">
        <v>-66847.0</v>
      </c>
      <c r="F758" s="28">
        <v>1.1464065E7</v>
      </c>
    </row>
    <row r="759">
      <c r="A759" s="2" t="s">
        <v>565</v>
      </c>
      <c r="B759" s="2" t="s">
        <v>1933</v>
      </c>
      <c r="C759" s="2" t="s">
        <v>782</v>
      </c>
      <c r="D759" s="2" t="s">
        <v>780</v>
      </c>
      <c r="E759" s="28">
        <v>-156546.0</v>
      </c>
      <c r="F759" s="28">
        <v>1.1320602E7</v>
      </c>
    </row>
    <row r="760">
      <c r="A760" s="2" t="s">
        <v>1934</v>
      </c>
      <c r="B760" s="2" t="s">
        <v>1935</v>
      </c>
      <c r="C760" s="2" t="s">
        <v>782</v>
      </c>
      <c r="D760" s="2" t="s">
        <v>786</v>
      </c>
      <c r="E760" s="28">
        <v>-140572.0</v>
      </c>
      <c r="F760" s="28">
        <v>1.1309271E7</v>
      </c>
    </row>
    <row r="761">
      <c r="A761" s="2" t="s">
        <v>1936</v>
      </c>
      <c r="B761" s="2" t="s">
        <v>1937</v>
      </c>
      <c r="C761" s="2" t="s">
        <v>857</v>
      </c>
      <c r="D761" s="2" t="s">
        <v>786</v>
      </c>
      <c r="E761" s="28">
        <v>-63398.0</v>
      </c>
      <c r="F761" s="28">
        <v>1.1457499E7</v>
      </c>
    </row>
    <row r="762">
      <c r="A762" s="2" t="s">
        <v>136</v>
      </c>
      <c r="B762" s="2" t="s">
        <v>1938</v>
      </c>
      <c r="C762" s="2" t="s">
        <v>782</v>
      </c>
      <c r="D762" s="2" t="s">
        <v>858</v>
      </c>
      <c r="E762" s="28">
        <v>-60313.0</v>
      </c>
      <c r="F762" s="28">
        <v>1.1473414E7</v>
      </c>
    </row>
    <row r="763">
      <c r="A763" s="2" t="s">
        <v>672</v>
      </c>
      <c r="B763" s="2" t="s">
        <v>1939</v>
      </c>
      <c r="C763" s="2" t="s">
        <v>782</v>
      </c>
      <c r="D763" s="2" t="s">
        <v>783</v>
      </c>
      <c r="E763" s="28">
        <v>-6143.0</v>
      </c>
      <c r="F763" s="28">
        <v>1.1457674E7</v>
      </c>
    </row>
    <row r="764">
      <c r="A764" s="2" t="s">
        <v>1940</v>
      </c>
      <c r="B764" s="2" t="s">
        <v>1941</v>
      </c>
      <c r="C764" s="2" t="s">
        <v>782</v>
      </c>
      <c r="D764" s="2" t="s">
        <v>786</v>
      </c>
      <c r="E764" s="28">
        <v>-36533.0</v>
      </c>
      <c r="F764" s="28">
        <v>1147338.0</v>
      </c>
    </row>
    <row r="765">
      <c r="A765" s="2" t="s">
        <v>1942</v>
      </c>
      <c r="B765" s="2" t="s">
        <v>1943</v>
      </c>
      <c r="C765" s="2" t="s">
        <v>782</v>
      </c>
      <c r="D765" s="2" t="s">
        <v>786</v>
      </c>
      <c r="E765" s="28">
        <v>-40943.0</v>
      </c>
      <c r="F765" s="28">
        <v>1.1471413E7</v>
      </c>
    </row>
    <row r="766">
      <c r="A766" s="2" t="s">
        <v>144</v>
      </c>
      <c r="B766" s="2" t="s">
        <v>1944</v>
      </c>
      <c r="C766" s="2" t="s">
        <v>782</v>
      </c>
      <c r="D766" s="2" t="s">
        <v>786</v>
      </c>
      <c r="E766" s="28">
        <v>-33132.0</v>
      </c>
      <c r="F766" s="28">
        <v>1.1463516E7</v>
      </c>
    </row>
    <row r="767">
      <c r="A767" s="2" t="s">
        <v>434</v>
      </c>
      <c r="B767" s="2" t="s">
        <v>1945</v>
      </c>
      <c r="C767" s="2" t="s">
        <v>782</v>
      </c>
      <c r="D767" s="2" t="s">
        <v>786</v>
      </c>
      <c r="E767" s="28">
        <v>-32286.0</v>
      </c>
      <c r="F767" s="28">
        <v>1.1498423E7</v>
      </c>
    </row>
    <row r="768">
      <c r="A768" s="2" t="s">
        <v>670</v>
      </c>
      <c r="B768" s="2" t="s">
        <v>1946</v>
      </c>
      <c r="C768" s="2" t="s">
        <v>779</v>
      </c>
      <c r="D768" s="2" t="s">
        <v>783</v>
      </c>
      <c r="E768" s="28">
        <v>-33929.0</v>
      </c>
      <c r="F768" s="28">
        <v>1.1474356E7</v>
      </c>
    </row>
    <row r="769">
      <c r="A769" s="2" t="s">
        <v>313</v>
      </c>
      <c r="B769" s="2" t="s">
        <v>1947</v>
      </c>
      <c r="C769" s="2" t="s">
        <v>782</v>
      </c>
      <c r="D769" s="2" t="s">
        <v>786</v>
      </c>
      <c r="E769" s="28">
        <v>-81873.0</v>
      </c>
      <c r="F769" s="28">
        <v>1.1463015E7</v>
      </c>
    </row>
    <row r="770">
      <c r="A770" s="2" t="s">
        <v>1948</v>
      </c>
      <c r="B770" s="2" t="s">
        <v>1949</v>
      </c>
      <c r="C770" s="2" t="s">
        <v>782</v>
      </c>
      <c r="D770" s="2" t="s">
        <v>786</v>
      </c>
      <c r="E770" s="28">
        <v>-119616.0</v>
      </c>
      <c r="F770" s="28">
        <v>1134171.0</v>
      </c>
    </row>
    <row r="771">
      <c r="A771" s="2" t="s">
        <v>1950</v>
      </c>
      <c r="B771" s="2" t="s">
        <v>1951</v>
      </c>
      <c r="C771" s="2" t="s">
        <v>782</v>
      </c>
      <c r="D771" s="2" t="s">
        <v>786</v>
      </c>
      <c r="E771" s="28">
        <v>-231967.0</v>
      </c>
      <c r="F771" s="28">
        <v>1.1344255E7</v>
      </c>
    </row>
    <row r="772">
      <c r="A772" s="2" t="s">
        <v>1952</v>
      </c>
      <c r="B772" s="2" t="s">
        <v>1953</v>
      </c>
      <c r="C772" s="2" t="s">
        <v>782</v>
      </c>
      <c r="D772" s="2" t="s">
        <v>786</v>
      </c>
      <c r="E772" s="28">
        <v>-112987.0</v>
      </c>
      <c r="F772" s="28">
        <v>1.1243199E7</v>
      </c>
    </row>
    <row r="773">
      <c r="A773" s="2" t="s">
        <v>1954</v>
      </c>
      <c r="B773" s="2" t="s">
        <v>1955</v>
      </c>
      <c r="C773" s="2" t="s">
        <v>779</v>
      </c>
      <c r="D773" s="2" t="s">
        <v>786</v>
      </c>
      <c r="E773" s="28">
        <v>-61629.0</v>
      </c>
      <c r="F773" s="28">
        <v>1.1457196E7</v>
      </c>
    </row>
    <row r="774">
      <c r="A774" s="2" t="s">
        <v>158</v>
      </c>
      <c r="B774" s="2" t="s">
        <v>1956</v>
      </c>
      <c r="C774" s="2" t="s">
        <v>782</v>
      </c>
      <c r="D774" s="2" t="s">
        <v>780</v>
      </c>
      <c r="E774" s="28">
        <v>-66205.0</v>
      </c>
      <c r="F774" s="28">
        <v>1.1459734E7</v>
      </c>
    </row>
    <row r="775">
      <c r="A775" s="2" t="s">
        <v>566</v>
      </c>
      <c r="B775" s="2" t="s">
        <v>1957</v>
      </c>
      <c r="C775" s="2" t="s">
        <v>782</v>
      </c>
      <c r="D775" s="2" t="s">
        <v>786</v>
      </c>
      <c r="E775" s="28">
        <v>-228565.0</v>
      </c>
      <c r="F775" s="28">
        <v>1.1344334E7</v>
      </c>
    </row>
    <row r="776">
      <c r="A776" s="2" t="s">
        <v>660</v>
      </c>
      <c r="B776" s="2" t="s">
        <v>1958</v>
      </c>
      <c r="C776" s="2" t="s">
        <v>779</v>
      </c>
      <c r="D776" s="2" t="s">
        <v>786</v>
      </c>
      <c r="E776" s="28">
        <v>-13426.0</v>
      </c>
      <c r="F776" s="28">
        <v>114367.0</v>
      </c>
    </row>
    <row r="777">
      <c r="A777" s="2" t="s">
        <v>1959</v>
      </c>
      <c r="B777" s="2" t="s">
        <v>1960</v>
      </c>
      <c r="C777" s="2" t="s">
        <v>785</v>
      </c>
      <c r="D777" s="2" t="s">
        <v>786</v>
      </c>
      <c r="E777" s="28">
        <v>-1855211.0</v>
      </c>
      <c r="F777" s="28">
        <v>1.15100747E8</v>
      </c>
    </row>
    <row r="778">
      <c r="A778" s="2" t="s">
        <v>1961</v>
      </c>
      <c r="B778" s="2" t="s">
        <v>1962</v>
      </c>
      <c r="C778" s="2" t="s">
        <v>785</v>
      </c>
      <c r="D778" s="2" t="s">
        <v>786</v>
      </c>
      <c r="E778" s="28">
        <v>-607841.0</v>
      </c>
      <c r="F778" s="28">
        <v>1.14639597E8</v>
      </c>
    </row>
    <row r="779">
      <c r="A779" s="2" t="s">
        <v>328</v>
      </c>
      <c r="B779" s="2" t="s">
        <v>1963</v>
      </c>
      <c r="C779" s="2" t="s">
        <v>785</v>
      </c>
      <c r="D779" s="2" t="s">
        <v>786</v>
      </c>
      <c r="E779" s="28">
        <v>-593584.0</v>
      </c>
      <c r="F779" s="28">
        <v>1.1473469E7</v>
      </c>
    </row>
    <row r="780">
      <c r="A780" s="2" t="s">
        <v>1964</v>
      </c>
      <c r="B780" s="2" t="s">
        <v>1965</v>
      </c>
      <c r="C780" s="2" t="s">
        <v>847</v>
      </c>
      <c r="D780" s="2" t="s">
        <v>786</v>
      </c>
      <c r="E780" s="28">
        <v>-93188.0</v>
      </c>
      <c r="F780" s="28">
        <v>1.1493393E7</v>
      </c>
    </row>
    <row r="781">
      <c r="A781" s="2" t="s">
        <v>579</v>
      </c>
      <c r="B781" s="2" t="s">
        <v>1966</v>
      </c>
      <c r="C781" s="2" t="s">
        <v>785</v>
      </c>
      <c r="D781" s="2" t="s">
        <v>786</v>
      </c>
      <c r="E781" s="28">
        <v>-13837.0</v>
      </c>
      <c r="F781" s="28">
        <v>1.1306127E7</v>
      </c>
    </row>
    <row r="782">
      <c r="A782" s="2" t="s">
        <v>320</v>
      </c>
      <c r="B782" s="2" t="s">
        <v>1967</v>
      </c>
      <c r="C782" s="2" t="s">
        <v>785</v>
      </c>
      <c r="D782" s="2" t="s">
        <v>786</v>
      </c>
      <c r="E782" s="28">
        <v>-1504571.0</v>
      </c>
      <c r="F782" s="28">
        <v>1.12958977E8</v>
      </c>
    </row>
    <row r="783">
      <c r="A783" s="2" t="s">
        <v>1968</v>
      </c>
      <c r="B783" s="2" t="s">
        <v>1969</v>
      </c>
      <c r="C783" s="2" t="s">
        <v>785</v>
      </c>
      <c r="D783" s="2" t="s">
        <v>786</v>
      </c>
      <c r="E783" s="28">
        <v>-3234919.0</v>
      </c>
      <c r="F783" s="28">
        <v>1.13319095E8</v>
      </c>
    </row>
    <row r="784">
      <c r="A784" s="2" t="s">
        <v>438</v>
      </c>
      <c r="B784" s="2" t="s">
        <v>1970</v>
      </c>
      <c r="C784" s="2" t="s">
        <v>785</v>
      </c>
      <c r="D784" s="2" t="s">
        <v>786</v>
      </c>
      <c r="E784" s="28">
        <v>-273131.0</v>
      </c>
      <c r="F784" s="28">
        <v>1.1453387E7</v>
      </c>
    </row>
    <row r="785">
      <c r="A785" s="2" t="s">
        <v>492</v>
      </c>
      <c r="B785" s="2" t="s">
        <v>1971</v>
      </c>
      <c r="C785" s="2" t="s">
        <v>785</v>
      </c>
      <c r="D785" s="2" t="s">
        <v>786</v>
      </c>
      <c r="E785" s="28">
        <v>-257343.0</v>
      </c>
      <c r="F785" s="28">
        <v>1.1449548E7</v>
      </c>
    </row>
    <row r="786">
      <c r="A786" s="2" t="s">
        <v>623</v>
      </c>
      <c r="B786" s="2" t="s">
        <v>1972</v>
      </c>
      <c r="C786" s="2" t="s">
        <v>785</v>
      </c>
      <c r="D786" s="2" t="s">
        <v>786</v>
      </c>
      <c r="E786" s="28">
        <v>-267223.0</v>
      </c>
      <c r="F786" s="28">
        <v>1.1449975E7</v>
      </c>
    </row>
    <row r="787">
      <c r="A787" s="2" t="s">
        <v>1973</v>
      </c>
      <c r="B787" s="2" t="s">
        <v>1974</v>
      </c>
      <c r="C787" s="2" t="s">
        <v>847</v>
      </c>
      <c r="D787" s="2" t="s">
        <v>786</v>
      </c>
      <c r="E787" s="28">
        <v>-1321238.0</v>
      </c>
      <c r="F787" s="28">
        <v>1.13389622E8</v>
      </c>
    </row>
    <row r="788">
      <c r="A788" s="2" t="s">
        <v>212</v>
      </c>
      <c r="B788" s="2" t="s">
        <v>1975</v>
      </c>
      <c r="C788" s="2" t="s">
        <v>779</v>
      </c>
      <c r="D788" s="2" t="s">
        <v>780</v>
      </c>
      <c r="E788" s="28">
        <v>-927938.0</v>
      </c>
      <c r="F788" s="28">
        <v>1.1356588E7</v>
      </c>
    </row>
    <row r="789">
      <c r="A789" s="2" t="s">
        <v>1976</v>
      </c>
      <c r="B789" s="2" t="s">
        <v>1977</v>
      </c>
      <c r="C789" s="2" t="s">
        <v>785</v>
      </c>
      <c r="D789" s="2" t="s">
        <v>786</v>
      </c>
      <c r="E789" s="28">
        <v>-233804.0</v>
      </c>
      <c r="F789" s="28">
        <v>1.1487824E7</v>
      </c>
    </row>
    <row r="790">
      <c r="F790" s="29"/>
    </row>
    <row r="791">
      <c r="F791" s="29"/>
    </row>
    <row r="792">
      <c r="F792" s="29"/>
    </row>
    <row r="793">
      <c r="F793" s="29"/>
    </row>
    <row r="794">
      <c r="F794" s="29"/>
    </row>
    <row r="795">
      <c r="F795" s="29"/>
    </row>
    <row r="796">
      <c r="F796" s="29"/>
    </row>
    <row r="797">
      <c r="F797" s="29"/>
    </row>
    <row r="798">
      <c r="F798" s="29"/>
    </row>
    <row r="799">
      <c r="F799" s="29"/>
    </row>
    <row r="800">
      <c r="F800" s="29"/>
    </row>
    <row r="801">
      <c r="F801" s="29"/>
    </row>
    <row r="802">
      <c r="F802" s="29"/>
    </row>
    <row r="803">
      <c r="F803" s="29"/>
    </row>
    <row r="804">
      <c r="F804" s="29"/>
    </row>
    <row r="805">
      <c r="F805" s="29"/>
    </row>
    <row r="806">
      <c r="F806" s="29"/>
    </row>
    <row r="807">
      <c r="F807" s="29"/>
    </row>
    <row r="808">
      <c r="F808" s="29"/>
    </row>
    <row r="809">
      <c r="F809" s="29"/>
    </row>
    <row r="810">
      <c r="F810" s="29"/>
    </row>
    <row r="811">
      <c r="F811" s="29"/>
    </row>
    <row r="812">
      <c r="F812" s="29"/>
    </row>
    <row r="813">
      <c r="F813" s="29"/>
    </row>
    <row r="814">
      <c r="F814" s="29"/>
    </row>
    <row r="815">
      <c r="F815" s="29"/>
    </row>
    <row r="816">
      <c r="F816" s="29"/>
    </row>
    <row r="817">
      <c r="F817" s="29"/>
    </row>
    <row r="818">
      <c r="F818" s="29"/>
    </row>
    <row r="819">
      <c r="F819" s="29"/>
    </row>
    <row r="820">
      <c r="F820" s="29"/>
    </row>
    <row r="821">
      <c r="F821" s="29"/>
    </row>
    <row r="822">
      <c r="F822" s="29"/>
    </row>
    <row r="823">
      <c r="F823" s="29"/>
    </row>
    <row r="824">
      <c r="F824" s="29"/>
    </row>
    <row r="825">
      <c r="F825" s="29"/>
    </row>
    <row r="826">
      <c r="F826" s="29"/>
    </row>
    <row r="827">
      <c r="F827" s="29"/>
    </row>
    <row r="828">
      <c r="F828" s="29"/>
    </row>
    <row r="829">
      <c r="F829" s="29"/>
    </row>
    <row r="830">
      <c r="F830" s="29"/>
    </row>
    <row r="831">
      <c r="F831" s="29"/>
    </row>
    <row r="832">
      <c r="F832" s="29"/>
    </row>
    <row r="833">
      <c r="F833" s="29"/>
    </row>
    <row r="834">
      <c r="F834" s="29"/>
    </row>
    <row r="835">
      <c r="F835" s="29"/>
    </row>
    <row r="836">
      <c r="F836" s="29"/>
    </row>
    <row r="837">
      <c r="F837" s="29"/>
    </row>
    <row r="838">
      <c r="F838" s="29"/>
    </row>
    <row r="839">
      <c r="F839" s="29"/>
    </row>
    <row r="840">
      <c r="F840" s="29"/>
    </row>
    <row r="841">
      <c r="F841" s="29"/>
    </row>
    <row r="842">
      <c r="F842" s="29"/>
    </row>
    <row r="843">
      <c r="F843" s="29"/>
    </row>
    <row r="844">
      <c r="F844" s="29"/>
    </row>
    <row r="845">
      <c r="F845" s="29"/>
    </row>
    <row r="846">
      <c r="F846" s="29"/>
    </row>
    <row r="847">
      <c r="F847" s="29"/>
    </row>
    <row r="848">
      <c r="F848" s="29"/>
    </row>
    <row r="849">
      <c r="F849" s="29"/>
    </row>
    <row r="850">
      <c r="F850" s="29"/>
    </row>
    <row r="851">
      <c r="F851" s="29"/>
    </row>
    <row r="852">
      <c r="F852" s="29"/>
    </row>
    <row r="853">
      <c r="F853" s="29"/>
    </row>
    <row r="854">
      <c r="F854" s="29"/>
    </row>
    <row r="855">
      <c r="F855" s="29"/>
    </row>
    <row r="856">
      <c r="F856" s="29"/>
    </row>
    <row r="857">
      <c r="F857" s="29"/>
    </row>
    <row r="858">
      <c r="F858" s="29"/>
    </row>
    <row r="859">
      <c r="F859" s="29"/>
    </row>
    <row r="860">
      <c r="F860" s="29"/>
    </row>
    <row r="861">
      <c r="F861" s="29"/>
    </row>
    <row r="862">
      <c r="F862" s="29"/>
    </row>
    <row r="863">
      <c r="F863" s="29"/>
    </row>
    <row r="864">
      <c r="F864" s="29"/>
    </row>
    <row r="865">
      <c r="F865" s="29"/>
    </row>
    <row r="866">
      <c r="F866" s="29"/>
    </row>
    <row r="867">
      <c r="F867" s="29"/>
    </row>
    <row r="868">
      <c r="F868" s="29"/>
    </row>
    <row r="869">
      <c r="F869" s="29"/>
    </row>
    <row r="870">
      <c r="F870" s="29"/>
    </row>
    <row r="871">
      <c r="F871" s="29"/>
    </row>
    <row r="872">
      <c r="F872" s="29"/>
    </row>
    <row r="873">
      <c r="F873" s="29"/>
    </row>
    <row r="874">
      <c r="F874" s="29"/>
    </row>
    <row r="875">
      <c r="F875" s="29"/>
    </row>
    <row r="876">
      <c r="F876" s="29"/>
    </row>
    <row r="877">
      <c r="F877" s="29"/>
    </row>
    <row r="878">
      <c r="F878" s="29"/>
    </row>
    <row r="879">
      <c r="F879" s="29"/>
    </row>
    <row r="880">
      <c r="F880" s="29"/>
    </row>
    <row r="881">
      <c r="F881" s="29"/>
    </row>
    <row r="882">
      <c r="F882" s="29"/>
    </row>
    <row r="883">
      <c r="F883" s="29"/>
    </row>
    <row r="884">
      <c r="F884" s="29"/>
    </row>
    <row r="885">
      <c r="F885" s="29"/>
    </row>
    <row r="886">
      <c r="F886" s="29"/>
    </row>
    <row r="887">
      <c r="F887" s="29"/>
    </row>
    <row r="888">
      <c r="F888" s="29"/>
    </row>
    <row r="889">
      <c r="F889" s="29"/>
    </row>
    <row r="890">
      <c r="F890" s="29"/>
    </row>
    <row r="891">
      <c r="F891" s="29"/>
    </row>
    <row r="892">
      <c r="F892" s="29"/>
    </row>
    <row r="893">
      <c r="F893" s="29"/>
    </row>
    <row r="894">
      <c r="F894" s="29"/>
    </row>
    <row r="895">
      <c r="F895" s="29"/>
    </row>
    <row r="896">
      <c r="F896" s="29"/>
    </row>
    <row r="897">
      <c r="F897" s="29"/>
    </row>
    <row r="898">
      <c r="F898" s="29"/>
    </row>
    <row r="899">
      <c r="F899" s="29"/>
    </row>
    <row r="900">
      <c r="F900" s="29"/>
    </row>
    <row r="901">
      <c r="F901" s="29"/>
    </row>
    <row r="902">
      <c r="F902" s="29"/>
    </row>
    <row r="903">
      <c r="F903" s="29"/>
    </row>
    <row r="904">
      <c r="F904" s="29"/>
    </row>
    <row r="905">
      <c r="F905" s="29"/>
    </row>
    <row r="906">
      <c r="F906" s="29"/>
    </row>
    <row r="907">
      <c r="F907" s="29"/>
    </row>
    <row r="908">
      <c r="F908" s="29"/>
    </row>
    <row r="909">
      <c r="F909" s="29"/>
    </row>
    <row r="910">
      <c r="F910" s="29"/>
    </row>
    <row r="911">
      <c r="F911" s="29"/>
    </row>
    <row r="912">
      <c r="F912" s="29"/>
    </row>
    <row r="913">
      <c r="F913" s="29"/>
    </row>
    <row r="914">
      <c r="F914" s="29"/>
    </row>
    <row r="915">
      <c r="F915" s="29"/>
    </row>
    <row r="916">
      <c r="F916" s="29"/>
    </row>
    <row r="917">
      <c r="F917" s="29"/>
    </row>
    <row r="918">
      <c r="F918" s="29"/>
    </row>
    <row r="919">
      <c r="F919" s="29"/>
    </row>
    <row r="920">
      <c r="F920" s="29"/>
    </row>
    <row r="921">
      <c r="F921" s="29"/>
    </row>
    <row r="922">
      <c r="F922" s="29"/>
    </row>
    <row r="923">
      <c r="F923" s="29"/>
    </row>
    <row r="924">
      <c r="F924" s="29"/>
    </row>
    <row r="925">
      <c r="F925" s="29"/>
    </row>
    <row r="926">
      <c r="F926" s="29"/>
    </row>
    <row r="927">
      <c r="F927" s="29"/>
    </row>
    <row r="928">
      <c r="F928" s="29"/>
    </row>
    <row r="929">
      <c r="F929" s="29"/>
    </row>
    <row r="930">
      <c r="F930" s="29"/>
    </row>
    <row r="931">
      <c r="F931" s="29"/>
    </row>
    <row r="932">
      <c r="F932" s="29"/>
    </row>
    <row r="933">
      <c r="F933" s="29"/>
    </row>
    <row r="934">
      <c r="F934" s="29"/>
    </row>
    <row r="935">
      <c r="F935" s="29"/>
    </row>
    <row r="936">
      <c r="F936" s="29"/>
    </row>
    <row r="937">
      <c r="F937" s="29"/>
    </row>
    <row r="938">
      <c r="F938" s="29"/>
    </row>
    <row r="939">
      <c r="F939" s="29"/>
    </row>
    <row r="940">
      <c r="F940" s="29"/>
    </row>
    <row r="941">
      <c r="F941" s="29"/>
    </row>
    <row r="942">
      <c r="F942" s="29"/>
    </row>
    <row r="943">
      <c r="F943" s="29"/>
    </row>
    <row r="944">
      <c r="F944" s="29"/>
    </row>
    <row r="945">
      <c r="F945" s="29"/>
    </row>
    <row r="946">
      <c r="F946" s="29"/>
    </row>
    <row r="947">
      <c r="F947" s="29"/>
    </row>
    <row r="948">
      <c r="F948" s="29"/>
    </row>
    <row r="949">
      <c r="F949" s="29"/>
    </row>
    <row r="950">
      <c r="F950" s="29"/>
    </row>
    <row r="951">
      <c r="F951" s="29"/>
    </row>
    <row r="952">
      <c r="F952" s="29"/>
    </row>
    <row r="953">
      <c r="F953" s="29"/>
    </row>
    <row r="954">
      <c r="F954" s="29"/>
    </row>
    <row r="955">
      <c r="F955" s="29"/>
    </row>
    <row r="956">
      <c r="F956" s="29"/>
    </row>
    <row r="957">
      <c r="F957" s="29"/>
    </row>
    <row r="958">
      <c r="F958" s="29"/>
    </row>
    <row r="959">
      <c r="F959" s="29"/>
    </row>
    <row r="960">
      <c r="F960" s="29"/>
    </row>
    <row r="961">
      <c r="F961" s="29"/>
    </row>
    <row r="962">
      <c r="F962" s="29"/>
    </row>
    <row r="963">
      <c r="F963" s="29"/>
    </row>
    <row r="964">
      <c r="F964" s="29"/>
    </row>
    <row r="965">
      <c r="F965" s="29"/>
    </row>
    <row r="966">
      <c r="F966" s="29"/>
    </row>
    <row r="967">
      <c r="F967" s="29"/>
    </row>
    <row r="968">
      <c r="F968" s="29"/>
    </row>
    <row r="969">
      <c r="F969" s="29"/>
    </row>
    <row r="970">
      <c r="F970" s="29"/>
    </row>
    <row r="971">
      <c r="F971" s="29"/>
    </row>
    <row r="972">
      <c r="F972" s="29"/>
    </row>
    <row r="973">
      <c r="F973" s="29"/>
    </row>
    <row r="974">
      <c r="F974" s="29"/>
    </row>
    <row r="975">
      <c r="F975" s="29"/>
    </row>
    <row r="976">
      <c r="F976" s="29"/>
    </row>
    <row r="977">
      <c r="F977" s="29"/>
    </row>
    <row r="978">
      <c r="F978" s="29"/>
    </row>
    <row r="979">
      <c r="F979" s="29"/>
    </row>
    <row r="980">
      <c r="F980" s="29"/>
    </row>
    <row r="981">
      <c r="F981" s="29"/>
    </row>
    <row r="982">
      <c r="F982" s="29"/>
    </row>
    <row r="983">
      <c r="F983" s="29"/>
    </row>
    <row r="984">
      <c r="F984" s="29"/>
    </row>
    <row r="985">
      <c r="F985" s="29"/>
    </row>
    <row r="986">
      <c r="F986" s="29"/>
    </row>
    <row r="987">
      <c r="F987" s="29"/>
    </row>
    <row r="988">
      <c r="F988" s="29"/>
    </row>
    <row r="989">
      <c r="F989" s="29"/>
    </row>
    <row r="990">
      <c r="F990" s="29"/>
    </row>
    <row r="991">
      <c r="F991" s="29"/>
    </row>
    <row r="992">
      <c r="F992" s="29"/>
    </row>
    <row r="993">
      <c r="F993" s="29"/>
    </row>
    <row r="994">
      <c r="F994" s="29"/>
    </row>
    <row r="995">
      <c r="F995" s="29"/>
    </row>
    <row r="996">
      <c r="F996" s="29"/>
    </row>
    <row r="997">
      <c r="F997" s="29"/>
    </row>
    <row r="998">
      <c r="F998" s="29"/>
    </row>
    <row r="999">
      <c r="F999" s="29"/>
    </row>
    <row r="1000">
      <c r="F1000" s="2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75"/>
    <col customWidth="1" min="2" max="2" width="18.38"/>
  </cols>
  <sheetData>
    <row r="1"/>
    <row r="2"/>
    <row r="3"/>
    <row r="4"/>
    <row r="5"/>
    <row r="8"/>
    <row r="9"/>
    <row r="10"/>
    <row r="11"/>
    <row r="12"/>
    <row r="13"/>
    <row r="14"/>
    <row r="15"/>
    <row r="16"/>
    <row r="17"/>
    <row r="18"/>
    <row r="19"/>
    <row r="20"/>
    <row r="23"/>
    <row r="24"/>
    <row r="25"/>
    <row r="26"/>
    <row r="27"/>
    <row r="28"/>
  </sheetData>
  <drawing r:id="rId4"/>
  <extLst>
    <ext uri="{3A4CF648-6AED-40f4-86FF-DC5316D8AED3}">
      <x14:slicerList>
        <x14:slicer r:id="rId5"/>
      </x14:slicerList>
    </ext>
  </extLst>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drawing r:id="rId2"/>
</worksheet>
</file>